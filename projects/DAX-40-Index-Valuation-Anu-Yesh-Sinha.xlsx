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yeshsinha/Desktop/AVFM/Valuation of DE 40/"/>
    </mc:Choice>
  </mc:AlternateContent>
  <xr:revisionPtr revIDLastSave="0" documentId="13_ncr:1_{90D2D77A-9332-C84A-9699-EDBC20006220}" xr6:coauthVersionLast="47" xr6:coauthVersionMax="47" xr10:uidLastSave="{00000000-0000-0000-0000-000000000000}"/>
  <bookViews>
    <workbookView xWindow="0" yWindow="760" windowWidth="38400" windowHeight="22340" activeTab="1" xr2:uid="{49DF9F34-3CAC-EB4C-B372-F09387D3BFDD}"/>
  </bookViews>
  <sheets>
    <sheet name="Valuation&gt;" sheetId="1" r:id="rId1"/>
    <sheet name="DE 40 Valuation" sheetId="2" r:id="rId2"/>
    <sheet name="Data&gt;" sheetId="3" r:id="rId3"/>
    <sheet name="Expected Dividend &amp; BuyBack" sheetId="9" r:id="rId4"/>
    <sheet name="DE 40 EPSGrowth" sheetId="4" r:id="rId5"/>
    <sheet name="DE 40 Historical Data" sheetId="5" r:id="rId6"/>
    <sheet name="DE 40 Perf Historical Data" sheetId="11" r:id="rId7"/>
    <sheet name="Risk Free Rate Calculation" sheetId="6" r:id="rId8"/>
    <sheet name="ERP Historical Data" sheetId="7" r:id="rId9"/>
    <sheet name="Dividend Payout Ratio 2025 - 26" sheetId="10" r:id="rId10"/>
  </sheets>
  <externalReferences>
    <externalReference r:id="rId11"/>
  </externalReferences>
  <definedNames>
    <definedName name="_xlnm._FilterDatabase" localSheetId="4" hidden="1">'DE 40 EPSGrowth'!$U$3:$Y$28</definedName>
    <definedName name="_xlnm._FilterDatabase" localSheetId="6" hidden="1">'DE 40 Perf Historical Data'!$B$2:$D$2</definedName>
    <definedName name="_xlnm._FilterDatabase" localSheetId="1" hidden="1">'DE 40 Valuation'!$B$3:$E$23</definedName>
    <definedName name="_xlnm._FilterDatabase" localSheetId="3" hidden="1">'Expected Dividend &amp; BuyBack'!$B$36:$C$62</definedName>
    <definedName name="_xlnm._FilterDatabase" localSheetId="7" hidden="1">'Risk Free Rate Calculation'!$A$3:$G$342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1" l="1"/>
  <c r="M10" i="11"/>
  <c r="M8" i="11"/>
  <c r="M6" i="11"/>
  <c r="M4" i="11"/>
  <c r="M9" i="4"/>
  <c r="M7" i="4"/>
  <c r="M5" i="4"/>
  <c r="M3" i="4"/>
  <c r="L13" i="9"/>
  <c r="L11" i="9"/>
  <c r="L9" i="9"/>
  <c r="L7" i="9"/>
  <c r="L5" i="9"/>
  <c r="L3" i="9"/>
  <c r="H26" i="9"/>
  <c r="H25" i="9"/>
  <c r="G26" i="9"/>
  <c r="G25" i="9"/>
  <c r="F26" i="9"/>
  <c r="F25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D30" i="4"/>
  <c r="D4" i="5"/>
  <c r="B4" i="4"/>
  <c r="C4" i="4"/>
  <c r="D4" i="4"/>
  <c r="E4" i="4"/>
  <c r="T5" i="4"/>
  <c r="S6" i="4"/>
  <c r="C26" i="9"/>
  <c r="C25" i="9"/>
  <c r="C30" i="4"/>
  <c r="B30" i="4"/>
  <c r="C29" i="4"/>
  <c r="B29" i="4"/>
  <c r="D29" i="5"/>
  <c r="D28" i="5"/>
  <c r="D6983" i="11"/>
  <c r="D6982" i="11"/>
  <c r="D6981" i="11"/>
  <c r="D6980" i="11"/>
  <c r="D6979" i="11"/>
  <c r="D6978" i="11"/>
  <c r="D6977" i="11"/>
  <c r="D6976" i="11"/>
  <c r="D6975" i="11"/>
  <c r="D6974" i="11"/>
  <c r="D6973" i="11"/>
  <c r="D6972" i="11"/>
  <c r="D6971" i="11"/>
  <c r="D6970" i="11"/>
  <c r="D6969" i="11"/>
  <c r="D6968" i="11"/>
  <c r="D6967" i="11"/>
  <c r="D6966" i="11"/>
  <c r="D6965" i="11"/>
  <c r="D6964" i="11"/>
  <c r="D6963" i="11"/>
  <c r="D6962" i="11"/>
  <c r="D6961" i="11"/>
  <c r="D6960" i="11"/>
  <c r="D6959" i="11"/>
  <c r="D6958" i="11"/>
  <c r="D6957" i="11"/>
  <c r="D6956" i="11"/>
  <c r="D6955" i="11"/>
  <c r="D6954" i="11"/>
  <c r="D6953" i="11"/>
  <c r="D6952" i="11"/>
  <c r="D6951" i="11"/>
  <c r="D6950" i="11"/>
  <c r="D6949" i="11"/>
  <c r="D6948" i="11"/>
  <c r="D6947" i="11"/>
  <c r="D6946" i="11"/>
  <c r="D6945" i="11"/>
  <c r="D6944" i="11"/>
  <c r="D6943" i="11"/>
  <c r="D6942" i="11"/>
  <c r="D6941" i="11"/>
  <c r="D6940" i="11"/>
  <c r="D6939" i="11"/>
  <c r="D6938" i="11"/>
  <c r="D6937" i="11"/>
  <c r="D6936" i="11"/>
  <c r="D6935" i="11"/>
  <c r="D6934" i="11"/>
  <c r="D6933" i="11"/>
  <c r="D6932" i="11"/>
  <c r="D6931" i="11"/>
  <c r="D6930" i="11"/>
  <c r="D6929" i="11"/>
  <c r="D6928" i="11"/>
  <c r="D6927" i="11"/>
  <c r="D6926" i="11"/>
  <c r="D6925" i="11"/>
  <c r="D6924" i="11"/>
  <c r="D6923" i="11"/>
  <c r="D6922" i="11"/>
  <c r="D6921" i="11"/>
  <c r="D6920" i="11"/>
  <c r="D6919" i="11"/>
  <c r="D6918" i="11"/>
  <c r="D6917" i="11"/>
  <c r="D6916" i="11"/>
  <c r="D6915" i="11"/>
  <c r="D6914" i="11"/>
  <c r="D6913" i="11"/>
  <c r="D6912" i="11"/>
  <c r="D6911" i="11"/>
  <c r="D6910" i="11"/>
  <c r="D6909" i="11"/>
  <c r="D6908" i="11"/>
  <c r="D6907" i="11"/>
  <c r="D6906" i="11"/>
  <c r="D6905" i="11"/>
  <c r="D6904" i="11"/>
  <c r="D6903" i="11"/>
  <c r="D6902" i="11"/>
  <c r="D6901" i="11"/>
  <c r="D6900" i="11"/>
  <c r="D6899" i="11"/>
  <c r="D6898" i="11"/>
  <c r="D6897" i="11"/>
  <c r="D6896" i="11"/>
  <c r="D6895" i="11"/>
  <c r="D6894" i="11"/>
  <c r="D6893" i="11"/>
  <c r="D6892" i="11"/>
  <c r="D6891" i="11"/>
  <c r="D6890" i="11"/>
  <c r="D6889" i="11"/>
  <c r="D6888" i="11"/>
  <c r="D6887" i="11"/>
  <c r="D6886" i="11"/>
  <c r="D6885" i="11"/>
  <c r="D6884" i="11"/>
  <c r="D6883" i="11"/>
  <c r="D6882" i="11"/>
  <c r="D6881" i="11"/>
  <c r="D6880" i="11"/>
  <c r="D6879" i="11"/>
  <c r="D6878" i="11"/>
  <c r="D6877" i="11"/>
  <c r="D6876" i="11"/>
  <c r="D6875" i="11"/>
  <c r="D6874" i="11"/>
  <c r="D6873" i="11"/>
  <c r="D6872" i="11"/>
  <c r="D6871" i="11"/>
  <c r="D6870" i="11"/>
  <c r="D6869" i="11"/>
  <c r="D6868" i="11"/>
  <c r="D6867" i="11"/>
  <c r="D6866" i="11"/>
  <c r="D6865" i="11"/>
  <c r="D6864" i="11"/>
  <c r="D6863" i="11"/>
  <c r="D6862" i="11"/>
  <c r="D6861" i="11"/>
  <c r="D6860" i="11"/>
  <c r="D6859" i="11"/>
  <c r="D6858" i="11"/>
  <c r="D6857" i="11"/>
  <c r="D6856" i="11"/>
  <c r="D6855" i="11"/>
  <c r="D6854" i="11"/>
  <c r="D6853" i="11"/>
  <c r="D6852" i="11"/>
  <c r="D6851" i="11"/>
  <c r="D6850" i="11"/>
  <c r="D6849" i="11"/>
  <c r="D6848" i="11"/>
  <c r="D6847" i="11"/>
  <c r="D6846" i="11"/>
  <c r="D6845" i="11"/>
  <c r="D6844" i="11"/>
  <c r="D6843" i="11"/>
  <c r="D6842" i="11"/>
  <c r="D6841" i="11"/>
  <c r="D6840" i="11"/>
  <c r="D6839" i="11"/>
  <c r="D6838" i="11"/>
  <c r="D6837" i="11"/>
  <c r="D6836" i="11"/>
  <c r="D6835" i="11"/>
  <c r="D6834" i="11"/>
  <c r="D6833" i="11"/>
  <c r="D6832" i="11"/>
  <c r="D6831" i="11"/>
  <c r="D6830" i="11"/>
  <c r="D6829" i="11"/>
  <c r="D6828" i="11"/>
  <c r="D6827" i="11"/>
  <c r="D6826" i="11"/>
  <c r="D6825" i="11"/>
  <c r="D6824" i="11"/>
  <c r="D6823" i="11"/>
  <c r="D6822" i="11"/>
  <c r="D6821" i="11"/>
  <c r="D6820" i="11"/>
  <c r="D6819" i="11"/>
  <c r="D6818" i="11"/>
  <c r="D6817" i="11"/>
  <c r="D6816" i="11"/>
  <c r="D6815" i="11"/>
  <c r="D6814" i="11"/>
  <c r="D6813" i="11"/>
  <c r="D6812" i="11"/>
  <c r="D6811" i="11"/>
  <c r="D6810" i="11"/>
  <c r="D6809" i="11"/>
  <c r="D6808" i="11"/>
  <c r="D6807" i="11"/>
  <c r="D6806" i="11"/>
  <c r="D6805" i="11"/>
  <c r="D6804" i="11"/>
  <c r="D6803" i="11"/>
  <c r="D6802" i="11"/>
  <c r="D6801" i="11"/>
  <c r="D6800" i="11"/>
  <c r="D6799" i="11"/>
  <c r="D6798" i="11"/>
  <c r="D6797" i="11"/>
  <c r="D6796" i="11"/>
  <c r="D6795" i="11"/>
  <c r="D6794" i="11"/>
  <c r="D6793" i="11"/>
  <c r="D6792" i="11"/>
  <c r="D6791" i="11"/>
  <c r="D6790" i="11"/>
  <c r="D6789" i="11"/>
  <c r="D6788" i="11"/>
  <c r="D6787" i="11"/>
  <c r="D6786" i="11"/>
  <c r="D6785" i="11"/>
  <c r="D6784" i="11"/>
  <c r="D6783" i="11"/>
  <c r="D6782" i="11"/>
  <c r="D6781" i="11"/>
  <c r="D6780" i="11"/>
  <c r="D6779" i="11"/>
  <c r="D6778" i="11"/>
  <c r="D6777" i="11"/>
  <c r="D6776" i="11"/>
  <c r="D6775" i="11"/>
  <c r="D6774" i="11"/>
  <c r="D6773" i="11"/>
  <c r="D6772" i="11"/>
  <c r="D6771" i="11"/>
  <c r="D6770" i="11"/>
  <c r="D6769" i="11"/>
  <c r="D6768" i="11"/>
  <c r="D6767" i="11"/>
  <c r="D6766" i="11"/>
  <c r="D6765" i="11"/>
  <c r="D6764" i="11"/>
  <c r="D6763" i="11"/>
  <c r="D6762" i="11"/>
  <c r="D6761" i="11"/>
  <c r="D6760" i="11"/>
  <c r="D6759" i="11"/>
  <c r="D6758" i="11"/>
  <c r="D6757" i="11"/>
  <c r="D6756" i="11"/>
  <c r="D6755" i="11"/>
  <c r="D6754" i="11"/>
  <c r="D6753" i="11"/>
  <c r="D6752" i="11"/>
  <c r="D6751" i="11"/>
  <c r="D6750" i="11"/>
  <c r="D6749" i="11"/>
  <c r="D6748" i="11"/>
  <c r="D6747" i="11"/>
  <c r="D6746" i="11"/>
  <c r="D6745" i="11"/>
  <c r="D6744" i="11"/>
  <c r="D6743" i="11"/>
  <c r="D6742" i="11"/>
  <c r="D6741" i="11"/>
  <c r="D6740" i="11"/>
  <c r="D6739" i="11"/>
  <c r="D6738" i="11"/>
  <c r="D6737" i="11"/>
  <c r="D6736" i="11"/>
  <c r="D6735" i="11"/>
  <c r="D6734" i="11"/>
  <c r="D6733" i="11"/>
  <c r="D6732" i="11"/>
  <c r="D6731" i="11"/>
  <c r="D6730" i="11"/>
  <c r="D6729" i="11"/>
  <c r="D6728" i="11"/>
  <c r="D6727" i="11"/>
  <c r="D6726" i="11"/>
  <c r="D6725" i="11"/>
  <c r="D6724" i="11"/>
  <c r="D6723" i="11"/>
  <c r="D6722" i="11"/>
  <c r="D6721" i="11"/>
  <c r="D6720" i="11"/>
  <c r="D6719" i="11"/>
  <c r="D6718" i="11"/>
  <c r="D6717" i="11"/>
  <c r="D6716" i="11"/>
  <c r="D6715" i="11"/>
  <c r="D6714" i="11"/>
  <c r="D6713" i="11"/>
  <c r="D6712" i="11"/>
  <c r="D6711" i="11"/>
  <c r="D6710" i="11"/>
  <c r="D6709" i="11"/>
  <c r="D6708" i="11"/>
  <c r="D6707" i="11"/>
  <c r="D6706" i="11"/>
  <c r="D6705" i="11"/>
  <c r="D6704" i="11"/>
  <c r="D6703" i="11"/>
  <c r="D6702" i="11"/>
  <c r="D6701" i="11"/>
  <c r="D6700" i="11"/>
  <c r="D6699" i="11"/>
  <c r="D6698" i="11"/>
  <c r="D6697" i="11"/>
  <c r="D6696" i="11"/>
  <c r="D6695" i="11"/>
  <c r="D6694" i="11"/>
  <c r="D6693" i="11"/>
  <c r="D6692" i="11"/>
  <c r="D6691" i="11"/>
  <c r="D6690" i="11"/>
  <c r="D6689" i="11"/>
  <c r="D6688" i="11"/>
  <c r="D6687" i="11"/>
  <c r="D6686" i="11"/>
  <c r="D6685" i="11"/>
  <c r="D6684" i="11"/>
  <c r="D6683" i="11"/>
  <c r="D6682" i="11"/>
  <c r="D6681" i="11"/>
  <c r="D6680" i="11"/>
  <c r="D6679" i="11"/>
  <c r="D6678" i="11"/>
  <c r="D6677" i="11"/>
  <c r="D6676" i="11"/>
  <c r="D6675" i="11"/>
  <c r="D6674" i="11"/>
  <c r="D6673" i="11"/>
  <c r="D6672" i="11"/>
  <c r="D6671" i="11"/>
  <c r="D6670" i="11"/>
  <c r="D6669" i="11"/>
  <c r="D6668" i="11"/>
  <c r="D6667" i="11"/>
  <c r="D6666" i="11"/>
  <c r="D6665" i="11"/>
  <c r="D6664" i="11"/>
  <c r="D6663" i="11"/>
  <c r="D6662" i="11"/>
  <c r="D6661" i="11"/>
  <c r="D6660" i="11"/>
  <c r="D6659" i="11"/>
  <c r="D6658" i="11"/>
  <c r="D6657" i="11"/>
  <c r="D6656" i="11"/>
  <c r="D6655" i="11"/>
  <c r="D6654" i="11"/>
  <c r="D6653" i="11"/>
  <c r="D6652" i="11"/>
  <c r="D6651" i="11"/>
  <c r="D6650" i="11"/>
  <c r="D6649" i="11"/>
  <c r="D6648" i="11"/>
  <c r="D6647" i="11"/>
  <c r="D6646" i="11"/>
  <c r="D6645" i="11"/>
  <c r="D6644" i="11"/>
  <c r="D6643" i="11"/>
  <c r="D6642" i="11"/>
  <c r="D6641" i="11"/>
  <c r="D6640" i="11"/>
  <c r="D6639" i="11"/>
  <c r="D6638" i="11"/>
  <c r="D6637" i="11"/>
  <c r="D6636" i="11"/>
  <c r="D6635" i="11"/>
  <c r="D6634" i="11"/>
  <c r="D6633" i="11"/>
  <c r="D6632" i="11"/>
  <c r="D6631" i="11"/>
  <c r="D6630" i="11"/>
  <c r="D6629" i="11"/>
  <c r="D6628" i="11"/>
  <c r="D6627" i="11"/>
  <c r="D6626" i="11"/>
  <c r="D6625" i="11"/>
  <c r="D6624" i="11"/>
  <c r="D6623" i="11"/>
  <c r="D6622" i="11"/>
  <c r="D6621" i="11"/>
  <c r="D6620" i="11"/>
  <c r="D6619" i="11"/>
  <c r="D6618" i="11"/>
  <c r="D6617" i="11"/>
  <c r="D6616" i="11"/>
  <c r="D6615" i="11"/>
  <c r="D6614" i="11"/>
  <c r="D6613" i="11"/>
  <c r="D6612" i="11"/>
  <c r="D6611" i="11"/>
  <c r="D6610" i="11"/>
  <c r="D6609" i="11"/>
  <c r="D6608" i="11"/>
  <c r="D6607" i="11"/>
  <c r="D6606" i="11"/>
  <c r="D6605" i="11"/>
  <c r="D6604" i="11"/>
  <c r="D6603" i="11"/>
  <c r="D6602" i="11"/>
  <c r="D6601" i="11"/>
  <c r="D6600" i="11"/>
  <c r="D6599" i="11"/>
  <c r="D6598" i="11"/>
  <c r="D6597" i="11"/>
  <c r="D6596" i="11"/>
  <c r="D6595" i="11"/>
  <c r="D6594" i="11"/>
  <c r="D6593" i="11"/>
  <c r="D6592" i="11"/>
  <c r="D6591" i="11"/>
  <c r="D6590" i="11"/>
  <c r="D6589" i="11"/>
  <c r="D6588" i="11"/>
  <c r="D6587" i="11"/>
  <c r="D6586" i="11"/>
  <c r="D6585" i="11"/>
  <c r="D6584" i="11"/>
  <c r="D6583" i="11"/>
  <c r="D6582" i="11"/>
  <c r="D6581" i="11"/>
  <c r="D6580" i="11"/>
  <c r="D6579" i="11"/>
  <c r="D6578" i="11"/>
  <c r="D6577" i="11"/>
  <c r="D6576" i="11"/>
  <c r="D6575" i="11"/>
  <c r="D6574" i="11"/>
  <c r="D6573" i="11"/>
  <c r="D6572" i="11"/>
  <c r="D6571" i="11"/>
  <c r="D6570" i="11"/>
  <c r="D6569" i="11"/>
  <c r="D6568" i="11"/>
  <c r="D6567" i="11"/>
  <c r="D6566" i="11"/>
  <c r="D6565" i="11"/>
  <c r="D6564" i="11"/>
  <c r="D6563" i="11"/>
  <c r="D6562" i="11"/>
  <c r="D6561" i="11"/>
  <c r="D6560" i="11"/>
  <c r="D6559" i="11"/>
  <c r="D6558" i="11"/>
  <c r="D6557" i="11"/>
  <c r="D6556" i="11"/>
  <c r="D6555" i="11"/>
  <c r="D6554" i="11"/>
  <c r="D6553" i="11"/>
  <c r="D6552" i="11"/>
  <c r="D6551" i="11"/>
  <c r="D6550" i="11"/>
  <c r="D6549" i="11"/>
  <c r="D6548" i="11"/>
  <c r="D6547" i="11"/>
  <c r="D6546" i="11"/>
  <c r="D6545" i="11"/>
  <c r="D6544" i="11"/>
  <c r="D6543" i="11"/>
  <c r="D6542" i="11"/>
  <c r="D6541" i="11"/>
  <c r="D6540" i="11"/>
  <c r="D6539" i="11"/>
  <c r="D6538" i="11"/>
  <c r="D6537" i="11"/>
  <c r="D6536" i="11"/>
  <c r="D6535" i="11"/>
  <c r="D6534" i="11"/>
  <c r="D6533" i="11"/>
  <c r="D6532" i="11"/>
  <c r="D6531" i="11"/>
  <c r="D6530" i="11"/>
  <c r="D6529" i="11"/>
  <c r="D6528" i="11"/>
  <c r="D6527" i="11"/>
  <c r="D6526" i="11"/>
  <c r="D6525" i="11"/>
  <c r="D6524" i="11"/>
  <c r="D6523" i="11"/>
  <c r="D6522" i="11"/>
  <c r="D6521" i="11"/>
  <c r="D6520" i="11"/>
  <c r="D6519" i="11"/>
  <c r="D6518" i="11"/>
  <c r="D6517" i="11"/>
  <c r="D6516" i="11"/>
  <c r="D6515" i="11"/>
  <c r="D6514" i="11"/>
  <c r="D6513" i="11"/>
  <c r="D6512" i="11"/>
  <c r="D6511" i="11"/>
  <c r="D6510" i="11"/>
  <c r="D6509" i="11"/>
  <c r="D6508" i="11"/>
  <c r="D6507" i="11"/>
  <c r="D6506" i="11"/>
  <c r="D6505" i="11"/>
  <c r="D6504" i="11"/>
  <c r="D6503" i="11"/>
  <c r="D6502" i="11"/>
  <c r="D6501" i="11"/>
  <c r="D6500" i="11"/>
  <c r="D6499" i="11"/>
  <c r="D6498" i="11"/>
  <c r="D6497" i="11"/>
  <c r="D6496" i="11"/>
  <c r="D6495" i="11"/>
  <c r="D6494" i="11"/>
  <c r="D6493" i="11"/>
  <c r="D6492" i="11"/>
  <c r="D6491" i="11"/>
  <c r="D6490" i="11"/>
  <c r="D6489" i="11"/>
  <c r="D6488" i="11"/>
  <c r="D6487" i="11"/>
  <c r="D6486" i="11"/>
  <c r="D6485" i="11"/>
  <c r="D6484" i="11"/>
  <c r="D6483" i="11"/>
  <c r="D6482" i="11"/>
  <c r="D6481" i="11"/>
  <c r="D6480" i="11"/>
  <c r="D6479" i="11"/>
  <c r="D6478" i="11"/>
  <c r="D6477" i="11"/>
  <c r="D6476" i="11"/>
  <c r="D6475" i="11"/>
  <c r="D6474" i="11"/>
  <c r="D6473" i="11"/>
  <c r="D6472" i="11"/>
  <c r="D6471" i="11"/>
  <c r="D6470" i="11"/>
  <c r="D6469" i="11"/>
  <c r="D6468" i="11"/>
  <c r="D6467" i="11"/>
  <c r="D6466" i="11"/>
  <c r="D6465" i="11"/>
  <c r="D6464" i="11"/>
  <c r="D6463" i="11"/>
  <c r="D6462" i="11"/>
  <c r="D6461" i="11"/>
  <c r="D6460" i="11"/>
  <c r="D6459" i="11"/>
  <c r="D6458" i="11"/>
  <c r="D6457" i="11"/>
  <c r="D6456" i="11"/>
  <c r="D6455" i="11"/>
  <c r="D6454" i="11"/>
  <c r="D6453" i="11"/>
  <c r="D6452" i="11"/>
  <c r="D6451" i="11"/>
  <c r="D6450" i="11"/>
  <c r="D6449" i="11"/>
  <c r="D6448" i="11"/>
  <c r="D6447" i="11"/>
  <c r="D6446" i="11"/>
  <c r="D6445" i="11"/>
  <c r="D6444" i="11"/>
  <c r="D6443" i="11"/>
  <c r="D6442" i="11"/>
  <c r="D6441" i="11"/>
  <c r="D6440" i="11"/>
  <c r="D6439" i="11"/>
  <c r="D6438" i="11"/>
  <c r="D6437" i="11"/>
  <c r="D6436" i="11"/>
  <c r="D6435" i="11"/>
  <c r="D6434" i="11"/>
  <c r="D6433" i="11"/>
  <c r="D6432" i="11"/>
  <c r="D6431" i="11"/>
  <c r="D6430" i="11"/>
  <c r="D6429" i="11"/>
  <c r="D6428" i="11"/>
  <c r="D6427" i="11"/>
  <c r="D6426" i="11"/>
  <c r="D6425" i="11"/>
  <c r="D6424" i="11"/>
  <c r="D6423" i="11"/>
  <c r="D6422" i="11"/>
  <c r="D6421" i="11"/>
  <c r="D6420" i="11"/>
  <c r="D6419" i="11"/>
  <c r="D6418" i="11"/>
  <c r="D6417" i="11"/>
  <c r="D6416" i="11"/>
  <c r="D6415" i="11"/>
  <c r="D6414" i="11"/>
  <c r="D6413" i="11"/>
  <c r="D6412" i="11"/>
  <c r="D6411" i="11"/>
  <c r="D6410" i="11"/>
  <c r="D6409" i="11"/>
  <c r="D6408" i="11"/>
  <c r="D6407" i="11"/>
  <c r="D6406" i="11"/>
  <c r="D6405" i="11"/>
  <c r="D6404" i="11"/>
  <c r="D6403" i="11"/>
  <c r="D6402" i="11"/>
  <c r="D6401" i="11"/>
  <c r="D6400" i="11"/>
  <c r="D6399" i="11"/>
  <c r="D6398" i="11"/>
  <c r="D6397" i="11"/>
  <c r="D6396" i="11"/>
  <c r="D6395" i="11"/>
  <c r="D6394" i="11"/>
  <c r="D6393" i="11"/>
  <c r="D6392" i="11"/>
  <c r="D6391" i="11"/>
  <c r="D6390" i="11"/>
  <c r="D6389" i="11"/>
  <c r="D6388" i="11"/>
  <c r="D6387" i="11"/>
  <c r="D6386" i="11"/>
  <c r="D6385" i="11"/>
  <c r="D6384" i="11"/>
  <c r="D6383" i="11"/>
  <c r="D6382" i="11"/>
  <c r="D6381" i="11"/>
  <c r="D6380" i="11"/>
  <c r="D6379" i="11"/>
  <c r="D6378" i="11"/>
  <c r="D6377" i="11"/>
  <c r="D6376" i="11"/>
  <c r="D6375" i="11"/>
  <c r="D6374" i="11"/>
  <c r="D6373" i="11"/>
  <c r="D6372" i="11"/>
  <c r="D6371" i="11"/>
  <c r="D6370" i="11"/>
  <c r="D6369" i="11"/>
  <c r="D6368" i="11"/>
  <c r="D6367" i="11"/>
  <c r="D6366" i="11"/>
  <c r="D6365" i="11"/>
  <c r="D6364" i="11"/>
  <c r="D6363" i="11"/>
  <c r="D6362" i="11"/>
  <c r="D6361" i="11"/>
  <c r="D6360" i="11"/>
  <c r="D6359" i="11"/>
  <c r="D6358" i="11"/>
  <c r="D6357" i="11"/>
  <c r="D6356" i="11"/>
  <c r="D6355" i="11"/>
  <c r="D6354" i="11"/>
  <c r="D6353" i="11"/>
  <c r="D6352" i="11"/>
  <c r="D6351" i="11"/>
  <c r="D6350" i="11"/>
  <c r="D6349" i="11"/>
  <c r="D6348" i="11"/>
  <c r="D6347" i="11"/>
  <c r="D6346" i="11"/>
  <c r="D6345" i="11"/>
  <c r="D6344" i="11"/>
  <c r="D6343" i="11"/>
  <c r="D6342" i="11"/>
  <c r="D6341" i="11"/>
  <c r="D6340" i="11"/>
  <c r="D6339" i="11"/>
  <c r="D6338" i="11"/>
  <c r="D6337" i="11"/>
  <c r="D6336" i="11"/>
  <c r="D6335" i="11"/>
  <c r="D6334" i="11"/>
  <c r="D6333" i="11"/>
  <c r="D6332" i="11"/>
  <c r="D6331" i="11"/>
  <c r="D6330" i="11"/>
  <c r="D6329" i="11"/>
  <c r="D6328" i="11"/>
  <c r="D6327" i="11"/>
  <c r="D6326" i="11"/>
  <c r="D6325" i="11"/>
  <c r="D6324" i="11"/>
  <c r="D6323" i="11"/>
  <c r="D6322" i="11"/>
  <c r="D6321" i="11"/>
  <c r="D6320" i="11"/>
  <c r="D6319" i="11"/>
  <c r="D6318" i="11"/>
  <c r="D6317" i="11"/>
  <c r="D6316" i="11"/>
  <c r="D6315" i="11"/>
  <c r="D6314" i="11"/>
  <c r="D6313" i="11"/>
  <c r="D6312" i="11"/>
  <c r="D6311" i="11"/>
  <c r="D6310" i="11"/>
  <c r="D6309" i="11"/>
  <c r="D6308" i="11"/>
  <c r="D6307" i="11"/>
  <c r="D6306" i="11"/>
  <c r="D6305" i="11"/>
  <c r="D6304" i="11"/>
  <c r="D6303" i="11"/>
  <c r="D6302" i="11"/>
  <c r="D6301" i="11"/>
  <c r="D6300" i="11"/>
  <c r="D6299" i="11"/>
  <c r="D6298" i="11"/>
  <c r="D6297" i="11"/>
  <c r="D6296" i="11"/>
  <c r="D6295" i="11"/>
  <c r="D6294" i="11"/>
  <c r="D6293" i="11"/>
  <c r="D6292" i="11"/>
  <c r="D6291" i="11"/>
  <c r="D6290" i="11"/>
  <c r="D6289" i="11"/>
  <c r="D6288" i="11"/>
  <c r="D6287" i="11"/>
  <c r="D6286" i="11"/>
  <c r="D6285" i="11"/>
  <c r="D6284" i="11"/>
  <c r="D6283" i="11"/>
  <c r="D6282" i="11"/>
  <c r="D6281" i="11"/>
  <c r="D6280" i="11"/>
  <c r="D6279" i="11"/>
  <c r="D6278" i="11"/>
  <c r="D6277" i="11"/>
  <c r="D6276" i="11"/>
  <c r="D6275" i="11"/>
  <c r="D6274" i="11"/>
  <c r="D6273" i="11"/>
  <c r="D6272" i="11"/>
  <c r="D6271" i="11"/>
  <c r="D6270" i="11"/>
  <c r="D6269" i="11"/>
  <c r="D6268" i="11"/>
  <c r="D6267" i="11"/>
  <c r="D6266" i="11"/>
  <c r="D6265" i="11"/>
  <c r="D6264" i="11"/>
  <c r="D6263" i="11"/>
  <c r="D6262" i="11"/>
  <c r="D6261" i="11"/>
  <c r="D6260" i="11"/>
  <c r="D6259" i="11"/>
  <c r="D6258" i="11"/>
  <c r="D6257" i="11"/>
  <c r="D6256" i="11"/>
  <c r="D6255" i="11"/>
  <c r="D6254" i="11"/>
  <c r="D6253" i="11"/>
  <c r="D6252" i="11"/>
  <c r="D6251" i="11"/>
  <c r="D6250" i="11"/>
  <c r="D6249" i="11"/>
  <c r="D6248" i="11"/>
  <c r="D6247" i="11"/>
  <c r="D6246" i="11"/>
  <c r="D6245" i="11"/>
  <c r="D6244" i="11"/>
  <c r="D6243" i="11"/>
  <c r="D6242" i="11"/>
  <c r="D6241" i="11"/>
  <c r="D6240" i="11"/>
  <c r="D6239" i="11"/>
  <c r="D6238" i="11"/>
  <c r="D6237" i="11"/>
  <c r="D6236" i="11"/>
  <c r="D6235" i="11"/>
  <c r="D6234" i="11"/>
  <c r="D6233" i="11"/>
  <c r="D6232" i="11"/>
  <c r="D6231" i="11"/>
  <c r="D6230" i="11"/>
  <c r="D6229" i="11"/>
  <c r="D6228" i="11"/>
  <c r="D6227" i="11"/>
  <c r="D6226" i="11"/>
  <c r="D6225" i="11"/>
  <c r="D6224" i="11"/>
  <c r="D6223" i="11"/>
  <c r="D6222" i="11"/>
  <c r="D6221" i="11"/>
  <c r="D6220" i="11"/>
  <c r="D6219" i="11"/>
  <c r="D6218" i="11"/>
  <c r="D6217" i="11"/>
  <c r="D6216" i="11"/>
  <c r="D6215" i="11"/>
  <c r="D6214" i="11"/>
  <c r="D6213" i="11"/>
  <c r="D6212" i="11"/>
  <c r="D6211" i="11"/>
  <c r="D6210" i="11"/>
  <c r="D6209" i="11"/>
  <c r="D6208" i="11"/>
  <c r="D6207" i="11"/>
  <c r="D6206" i="11"/>
  <c r="D6205" i="11"/>
  <c r="D6204" i="11"/>
  <c r="D6203" i="11"/>
  <c r="D6202" i="11"/>
  <c r="D6201" i="11"/>
  <c r="D6200" i="11"/>
  <c r="D6199" i="11"/>
  <c r="D6198" i="11"/>
  <c r="D6197" i="11"/>
  <c r="D6196" i="11"/>
  <c r="D6195" i="11"/>
  <c r="D6194" i="11"/>
  <c r="D6193" i="11"/>
  <c r="D6192" i="11"/>
  <c r="D6191" i="11"/>
  <c r="D6190" i="11"/>
  <c r="D6189" i="11"/>
  <c r="D6188" i="11"/>
  <c r="D6187" i="11"/>
  <c r="D6186" i="11"/>
  <c r="D6185" i="11"/>
  <c r="D6184" i="11"/>
  <c r="D6183" i="11"/>
  <c r="D6182" i="11"/>
  <c r="D6181" i="11"/>
  <c r="D6180" i="11"/>
  <c r="D6179" i="11"/>
  <c r="D6178" i="11"/>
  <c r="D6177" i="11"/>
  <c r="D6176" i="11"/>
  <c r="D6175" i="11"/>
  <c r="D6174" i="11"/>
  <c r="D6173" i="11"/>
  <c r="D6172" i="11"/>
  <c r="D6171" i="11"/>
  <c r="D6170" i="11"/>
  <c r="D6169" i="11"/>
  <c r="D6168" i="11"/>
  <c r="D6167" i="11"/>
  <c r="D6166" i="11"/>
  <c r="D6165" i="11"/>
  <c r="D6164" i="11"/>
  <c r="D6163" i="11"/>
  <c r="D6162" i="11"/>
  <c r="D6161" i="11"/>
  <c r="D6160" i="11"/>
  <c r="D6159" i="11"/>
  <c r="D6158" i="11"/>
  <c r="D6157" i="11"/>
  <c r="D6156" i="11"/>
  <c r="D6155" i="11"/>
  <c r="D6154" i="11"/>
  <c r="D6153" i="11"/>
  <c r="D6152" i="11"/>
  <c r="D6151" i="11"/>
  <c r="D6150" i="11"/>
  <c r="D6149" i="11"/>
  <c r="D6148" i="11"/>
  <c r="D6147" i="11"/>
  <c r="D6146" i="11"/>
  <c r="D6145" i="11"/>
  <c r="D6144" i="11"/>
  <c r="D6143" i="11"/>
  <c r="D6142" i="11"/>
  <c r="D6141" i="11"/>
  <c r="D6140" i="11"/>
  <c r="D6139" i="11"/>
  <c r="D6138" i="11"/>
  <c r="D6137" i="11"/>
  <c r="D6136" i="11"/>
  <c r="D6135" i="11"/>
  <c r="D6134" i="11"/>
  <c r="D6133" i="11"/>
  <c r="D6132" i="11"/>
  <c r="D6131" i="11"/>
  <c r="D6130" i="11"/>
  <c r="D6129" i="11"/>
  <c r="D6128" i="11"/>
  <c r="D6127" i="11"/>
  <c r="D6126" i="11"/>
  <c r="D6125" i="11"/>
  <c r="D6124" i="11"/>
  <c r="D6123" i="11"/>
  <c r="D6122" i="11"/>
  <c r="D6121" i="11"/>
  <c r="D6120" i="11"/>
  <c r="D6119" i="11"/>
  <c r="D6118" i="11"/>
  <c r="D6117" i="11"/>
  <c r="D6116" i="11"/>
  <c r="D6115" i="11"/>
  <c r="D6114" i="11"/>
  <c r="D6113" i="11"/>
  <c r="D6112" i="11"/>
  <c r="D6111" i="11"/>
  <c r="D6110" i="11"/>
  <c r="D6109" i="11"/>
  <c r="D6108" i="11"/>
  <c r="D6107" i="11"/>
  <c r="D6106" i="11"/>
  <c r="D6105" i="11"/>
  <c r="D6104" i="11"/>
  <c r="D6103" i="11"/>
  <c r="D6102" i="11"/>
  <c r="D6101" i="11"/>
  <c r="D6100" i="11"/>
  <c r="D6099" i="11"/>
  <c r="D6098" i="11"/>
  <c r="D6097" i="11"/>
  <c r="D6096" i="11"/>
  <c r="D6095" i="11"/>
  <c r="D6094" i="11"/>
  <c r="D6093" i="11"/>
  <c r="D6092" i="11"/>
  <c r="D6091" i="11"/>
  <c r="D6090" i="11"/>
  <c r="D6089" i="11"/>
  <c r="D6088" i="11"/>
  <c r="D6087" i="11"/>
  <c r="D6086" i="11"/>
  <c r="D6085" i="11"/>
  <c r="D6084" i="11"/>
  <c r="D6083" i="11"/>
  <c r="D6082" i="11"/>
  <c r="D6081" i="11"/>
  <c r="D6080" i="11"/>
  <c r="D6079" i="11"/>
  <c r="D6078" i="11"/>
  <c r="D6077" i="11"/>
  <c r="D6076" i="11"/>
  <c r="D6075" i="11"/>
  <c r="D6074" i="11"/>
  <c r="D6073" i="11"/>
  <c r="D6072" i="11"/>
  <c r="D6071" i="11"/>
  <c r="D6070" i="11"/>
  <c r="D6069" i="11"/>
  <c r="D6068" i="11"/>
  <c r="D6067" i="11"/>
  <c r="D6066" i="11"/>
  <c r="D6065" i="11"/>
  <c r="D6064" i="11"/>
  <c r="D6063" i="11"/>
  <c r="D6062" i="11"/>
  <c r="D6061" i="11"/>
  <c r="D6060" i="11"/>
  <c r="D6059" i="11"/>
  <c r="D6058" i="11"/>
  <c r="D6057" i="11"/>
  <c r="D6056" i="11"/>
  <c r="D6055" i="11"/>
  <c r="D6054" i="11"/>
  <c r="D6053" i="11"/>
  <c r="D6052" i="11"/>
  <c r="D6051" i="11"/>
  <c r="D6050" i="11"/>
  <c r="D6049" i="11"/>
  <c r="D6048" i="11"/>
  <c r="D6047" i="11"/>
  <c r="D6046" i="11"/>
  <c r="D6045" i="11"/>
  <c r="D6044" i="11"/>
  <c r="D6043" i="11"/>
  <c r="D6042" i="11"/>
  <c r="D6041" i="11"/>
  <c r="D6040" i="11"/>
  <c r="D6039" i="11"/>
  <c r="D6038" i="11"/>
  <c r="D6037" i="11"/>
  <c r="D6036" i="11"/>
  <c r="D6035" i="11"/>
  <c r="D6034" i="11"/>
  <c r="D6033" i="11"/>
  <c r="D6032" i="11"/>
  <c r="D6031" i="11"/>
  <c r="D6030" i="11"/>
  <c r="D6029" i="11"/>
  <c r="D6028" i="11"/>
  <c r="D6027" i="11"/>
  <c r="D6026" i="11"/>
  <c r="D6025" i="11"/>
  <c r="D6024" i="11"/>
  <c r="D6023" i="11"/>
  <c r="D6022" i="11"/>
  <c r="D6021" i="11"/>
  <c r="D6020" i="11"/>
  <c r="D6019" i="11"/>
  <c r="D6018" i="11"/>
  <c r="D6017" i="11"/>
  <c r="D6016" i="11"/>
  <c r="D6015" i="11"/>
  <c r="D6014" i="11"/>
  <c r="D6013" i="11"/>
  <c r="D6012" i="11"/>
  <c r="D6011" i="11"/>
  <c r="D6010" i="11"/>
  <c r="D6009" i="11"/>
  <c r="D6008" i="11"/>
  <c r="D6007" i="11"/>
  <c r="D6006" i="11"/>
  <c r="D6005" i="11"/>
  <c r="D6004" i="11"/>
  <c r="D6003" i="11"/>
  <c r="D6002" i="11"/>
  <c r="D6001" i="11"/>
  <c r="D6000" i="11"/>
  <c r="D5999" i="11"/>
  <c r="D5998" i="11"/>
  <c r="D5997" i="11"/>
  <c r="D5996" i="11"/>
  <c r="D5995" i="11"/>
  <c r="D5994" i="11"/>
  <c r="D5993" i="11"/>
  <c r="D5992" i="11"/>
  <c r="D5991" i="11"/>
  <c r="D5990" i="11"/>
  <c r="D5989" i="11"/>
  <c r="D5988" i="11"/>
  <c r="D5987" i="11"/>
  <c r="D5986" i="11"/>
  <c r="D5985" i="11"/>
  <c r="D5984" i="11"/>
  <c r="D5983" i="11"/>
  <c r="D5982" i="11"/>
  <c r="D5981" i="11"/>
  <c r="D5980" i="11"/>
  <c r="D5979" i="11"/>
  <c r="D5978" i="11"/>
  <c r="D5977" i="11"/>
  <c r="D5976" i="11"/>
  <c r="D5975" i="11"/>
  <c r="D5974" i="11"/>
  <c r="D5973" i="11"/>
  <c r="D5972" i="11"/>
  <c r="D5971" i="11"/>
  <c r="D5970" i="11"/>
  <c r="D5969" i="11"/>
  <c r="D5968" i="11"/>
  <c r="D5967" i="11"/>
  <c r="D5966" i="11"/>
  <c r="D5965" i="11"/>
  <c r="D5964" i="11"/>
  <c r="D5963" i="11"/>
  <c r="D5962" i="11"/>
  <c r="D5961" i="11"/>
  <c r="D5960" i="11"/>
  <c r="D5959" i="11"/>
  <c r="D5958" i="11"/>
  <c r="D5957" i="11"/>
  <c r="D5956" i="11"/>
  <c r="D5955" i="11"/>
  <c r="D5954" i="11"/>
  <c r="D5953" i="11"/>
  <c r="D5952" i="11"/>
  <c r="D5951" i="11"/>
  <c r="D5950" i="11"/>
  <c r="D5949" i="11"/>
  <c r="D5948" i="11"/>
  <c r="D5947" i="11"/>
  <c r="D5946" i="11"/>
  <c r="D5945" i="11"/>
  <c r="D5944" i="11"/>
  <c r="D5943" i="11"/>
  <c r="D5942" i="11"/>
  <c r="D5941" i="11"/>
  <c r="D5940" i="11"/>
  <c r="D5939" i="11"/>
  <c r="D5938" i="11"/>
  <c r="D5937" i="11"/>
  <c r="D5936" i="11"/>
  <c r="D5935" i="11"/>
  <c r="D5934" i="11"/>
  <c r="D5933" i="11"/>
  <c r="D5932" i="11"/>
  <c r="D5931" i="11"/>
  <c r="D5930" i="11"/>
  <c r="D5929" i="11"/>
  <c r="D5928" i="11"/>
  <c r="D5927" i="11"/>
  <c r="D5926" i="11"/>
  <c r="D5925" i="11"/>
  <c r="D5924" i="11"/>
  <c r="D5923" i="11"/>
  <c r="D5922" i="11"/>
  <c r="D5921" i="11"/>
  <c r="D5920" i="11"/>
  <c r="D5919" i="11"/>
  <c r="D5918" i="11"/>
  <c r="D5917" i="11"/>
  <c r="D5916" i="11"/>
  <c r="D5915" i="11"/>
  <c r="D5914" i="11"/>
  <c r="D5913" i="11"/>
  <c r="D5912" i="11"/>
  <c r="D5911" i="11"/>
  <c r="D5910" i="11"/>
  <c r="D5909" i="11"/>
  <c r="D5908" i="11"/>
  <c r="D5907" i="11"/>
  <c r="D5906" i="11"/>
  <c r="D5905" i="11"/>
  <c r="D5904" i="11"/>
  <c r="D5903" i="11"/>
  <c r="D5902" i="11"/>
  <c r="D5901" i="11"/>
  <c r="D5900" i="11"/>
  <c r="D5899" i="11"/>
  <c r="D5898" i="11"/>
  <c r="D5897" i="11"/>
  <c r="D5896" i="11"/>
  <c r="D5895" i="11"/>
  <c r="D5894" i="11"/>
  <c r="D5893" i="11"/>
  <c r="D5892" i="11"/>
  <c r="D5891" i="11"/>
  <c r="D5890" i="11"/>
  <c r="D5889" i="11"/>
  <c r="D5888" i="11"/>
  <c r="D5887" i="11"/>
  <c r="D5886" i="11"/>
  <c r="D5885" i="11"/>
  <c r="D5884" i="11"/>
  <c r="D5883" i="11"/>
  <c r="D5882" i="11"/>
  <c r="D5881" i="11"/>
  <c r="D5880" i="11"/>
  <c r="D5879" i="11"/>
  <c r="D5878" i="11"/>
  <c r="D5877" i="11"/>
  <c r="D5876" i="11"/>
  <c r="D5875" i="11"/>
  <c r="D5874" i="11"/>
  <c r="D5873" i="11"/>
  <c r="D5872" i="11"/>
  <c r="D5871" i="11"/>
  <c r="D5870" i="11"/>
  <c r="D5869" i="11"/>
  <c r="D5868" i="11"/>
  <c r="D5867" i="11"/>
  <c r="D5866" i="11"/>
  <c r="D5865" i="11"/>
  <c r="D5864" i="11"/>
  <c r="D5863" i="11"/>
  <c r="D5862" i="11"/>
  <c r="D5861" i="11"/>
  <c r="D5860" i="11"/>
  <c r="D5859" i="11"/>
  <c r="D5858" i="11"/>
  <c r="D5857" i="11"/>
  <c r="D5856" i="11"/>
  <c r="D5855" i="11"/>
  <c r="D5854" i="11"/>
  <c r="D5853" i="11"/>
  <c r="D5852" i="11"/>
  <c r="D5851" i="11"/>
  <c r="D5850" i="11"/>
  <c r="D5849" i="11"/>
  <c r="D5848" i="11"/>
  <c r="D5847" i="11"/>
  <c r="D5846" i="11"/>
  <c r="D5845" i="11"/>
  <c r="D5844" i="11"/>
  <c r="D5843" i="11"/>
  <c r="D5842" i="11"/>
  <c r="D5841" i="11"/>
  <c r="D5840" i="11"/>
  <c r="D5839" i="11"/>
  <c r="D5838" i="11"/>
  <c r="D5837" i="11"/>
  <c r="D5836" i="11"/>
  <c r="D5835" i="11"/>
  <c r="D5834" i="11"/>
  <c r="D5833" i="11"/>
  <c r="D5832" i="11"/>
  <c r="D5831" i="11"/>
  <c r="D5830" i="11"/>
  <c r="D5829" i="11"/>
  <c r="D5828" i="11"/>
  <c r="D5827" i="11"/>
  <c r="D5826" i="11"/>
  <c r="D5825" i="11"/>
  <c r="D5824" i="11"/>
  <c r="D5823" i="11"/>
  <c r="D5822" i="11"/>
  <c r="D5821" i="11"/>
  <c r="D5820" i="11"/>
  <c r="D5819" i="11"/>
  <c r="D5818" i="11"/>
  <c r="D5817" i="11"/>
  <c r="D5816" i="11"/>
  <c r="D5815" i="11"/>
  <c r="D5814" i="11"/>
  <c r="D5813" i="11"/>
  <c r="D5812" i="11"/>
  <c r="D5811" i="11"/>
  <c r="D5810" i="11"/>
  <c r="D5809" i="11"/>
  <c r="D5808" i="11"/>
  <c r="D5807" i="11"/>
  <c r="D5806" i="11"/>
  <c r="D5805" i="11"/>
  <c r="D5804" i="11"/>
  <c r="D5803" i="11"/>
  <c r="D5802" i="11"/>
  <c r="D5801" i="11"/>
  <c r="D5800" i="11"/>
  <c r="D5799" i="11"/>
  <c r="D5798" i="11"/>
  <c r="D5797" i="11"/>
  <c r="D5796" i="11"/>
  <c r="D5795" i="11"/>
  <c r="D5794" i="11"/>
  <c r="D5793" i="11"/>
  <c r="D5792" i="11"/>
  <c r="D5791" i="11"/>
  <c r="D5790" i="11"/>
  <c r="D5789" i="11"/>
  <c r="D5788" i="11"/>
  <c r="D5787" i="11"/>
  <c r="D5786" i="11"/>
  <c r="D5785" i="11"/>
  <c r="D5784" i="11"/>
  <c r="D5783" i="11"/>
  <c r="D5782" i="11"/>
  <c r="D5781" i="11"/>
  <c r="D5780" i="11"/>
  <c r="D5779" i="11"/>
  <c r="D5778" i="11"/>
  <c r="D5777" i="11"/>
  <c r="D5776" i="11"/>
  <c r="D5775" i="11"/>
  <c r="D5774" i="11"/>
  <c r="D5773" i="11"/>
  <c r="D5772" i="11"/>
  <c r="D5771" i="11"/>
  <c r="D5770" i="11"/>
  <c r="D5769" i="11"/>
  <c r="D5768" i="11"/>
  <c r="D5767" i="11"/>
  <c r="D5766" i="11"/>
  <c r="D5765" i="11"/>
  <c r="D5764" i="11"/>
  <c r="D5763" i="11"/>
  <c r="D5762" i="11"/>
  <c r="D5761" i="11"/>
  <c r="D5760" i="11"/>
  <c r="D5759" i="11"/>
  <c r="D5758" i="11"/>
  <c r="D5757" i="11"/>
  <c r="D5756" i="11"/>
  <c r="D5755" i="11"/>
  <c r="D5754" i="11"/>
  <c r="D5753" i="11"/>
  <c r="D5752" i="11"/>
  <c r="D5751" i="11"/>
  <c r="D5750" i="11"/>
  <c r="D5749" i="11"/>
  <c r="D5748" i="11"/>
  <c r="D5747" i="11"/>
  <c r="D5746" i="11"/>
  <c r="D5745" i="11"/>
  <c r="D5744" i="11"/>
  <c r="D5743" i="11"/>
  <c r="D5742" i="11"/>
  <c r="D5741" i="11"/>
  <c r="D5740" i="11"/>
  <c r="D5739" i="11"/>
  <c r="D5738" i="11"/>
  <c r="D5737" i="11"/>
  <c r="D5736" i="11"/>
  <c r="D5735" i="11"/>
  <c r="D5734" i="11"/>
  <c r="D5733" i="11"/>
  <c r="D5732" i="11"/>
  <c r="D5731" i="11"/>
  <c r="D5730" i="11"/>
  <c r="D5729" i="11"/>
  <c r="D5728" i="11"/>
  <c r="D5727" i="11"/>
  <c r="D5726" i="11"/>
  <c r="D5725" i="11"/>
  <c r="D5724" i="11"/>
  <c r="D5723" i="11"/>
  <c r="D5722" i="11"/>
  <c r="D5721" i="11"/>
  <c r="D5720" i="11"/>
  <c r="D5719" i="11"/>
  <c r="D5718" i="11"/>
  <c r="D5717" i="11"/>
  <c r="D5716" i="11"/>
  <c r="D5715" i="11"/>
  <c r="D5714" i="11"/>
  <c r="D5713" i="11"/>
  <c r="D5712" i="11"/>
  <c r="D5711" i="11"/>
  <c r="D5710" i="11"/>
  <c r="D5709" i="11"/>
  <c r="D5708" i="11"/>
  <c r="D5707" i="11"/>
  <c r="D5706" i="11"/>
  <c r="D5705" i="11"/>
  <c r="D5704" i="11"/>
  <c r="D5703" i="11"/>
  <c r="D5702" i="11"/>
  <c r="D5701" i="11"/>
  <c r="D5700" i="11"/>
  <c r="D5699" i="11"/>
  <c r="D5698" i="11"/>
  <c r="D5697" i="11"/>
  <c r="D5696" i="11"/>
  <c r="D5695" i="11"/>
  <c r="D5694" i="11"/>
  <c r="D5693" i="11"/>
  <c r="D5692" i="11"/>
  <c r="D5691" i="11"/>
  <c r="D5690" i="11"/>
  <c r="D5689" i="11"/>
  <c r="D5688" i="11"/>
  <c r="D5687" i="11"/>
  <c r="D5686" i="11"/>
  <c r="D5685" i="11"/>
  <c r="D5684" i="11"/>
  <c r="D5683" i="11"/>
  <c r="D5682" i="11"/>
  <c r="D5681" i="11"/>
  <c r="D5680" i="11"/>
  <c r="D5679" i="11"/>
  <c r="D5678" i="11"/>
  <c r="D5677" i="11"/>
  <c r="D5676" i="11"/>
  <c r="D5675" i="11"/>
  <c r="D5674" i="11"/>
  <c r="D5673" i="11"/>
  <c r="D5672" i="11"/>
  <c r="D5671" i="11"/>
  <c r="D5670" i="11"/>
  <c r="D5669" i="11"/>
  <c r="D5668" i="11"/>
  <c r="D5667" i="11"/>
  <c r="D5666" i="11"/>
  <c r="D5665" i="11"/>
  <c r="D5664" i="11"/>
  <c r="D5663" i="11"/>
  <c r="D5662" i="11"/>
  <c r="D5661" i="11"/>
  <c r="D5660" i="11"/>
  <c r="D5659" i="11"/>
  <c r="D5658" i="11"/>
  <c r="D5657" i="11"/>
  <c r="D5656" i="11"/>
  <c r="D5655" i="11"/>
  <c r="D5654" i="11"/>
  <c r="D5653" i="11"/>
  <c r="D5652" i="11"/>
  <c r="D5651" i="11"/>
  <c r="D5650" i="11"/>
  <c r="D5649" i="11"/>
  <c r="D5648" i="11"/>
  <c r="D5647" i="11"/>
  <c r="D5646" i="11"/>
  <c r="D5645" i="11"/>
  <c r="D5644" i="11"/>
  <c r="D5643" i="11"/>
  <c r="D5642" i="11"/>
  <c r="D5641" i="11"/>
  <c r="D5640" i="11"/>
  <c r="D5639" i="11"/>
  <c r="D5638" i="11"/>
  <c r="D5637" i="11"/>
  <c r="D5636" i="11"/>
  <c r="D5635" i="11"/>
  <c r="D5634" i="11"/>
  <c r="D5633" i="11"/>
  <c r="D5632" i="11"/>
  <c r="D5631" i="11"/>
  <c r="D5630" i="11"/>
  <c r="D5629" i="11"/>
  <c r="D5628" i="11"/>
  <c r="D5627" i="11"/>
  <c r="D5626" i="11"/>
  <c r="D5625" i="11"/>
  <c r="D5624" i="11"/>
  <c r="D5623" i="11"/>
  <c r="D5622" i="11"/>
  <c r="D5621" i="11"/>
  <c r="D5620" i="11"/>
  <c r="D5619" i="11"/>
  <c r="D5618" i="11"/>
  <c r="D5617" i="11"/>
  <c r="D5616" i="11"/>
  <c r="D5615" i="11"/>
  <c r="D5614" i="11"/>
  <c r="D5613" i="11"/>
  <c r="D5612" i="11"/>
  <c r="D5611" i="11"/>
  <c r="D5610" i="11"/>
  <c r="D5609" i="11"/>
  <c r="D5608" i="11"/>
  <c r="D5607" i="11"/>
  <c r="D5606" i="11"/>
  <c r="D5605" i="11"/>
  <c r="D5604" i="11"/>
  <c r="D5603" i="11"/>
  <c r="D5602" i="11"/>
  <c r="D5601" i="11"/>
  <c r="D5600" i="11"/>
  <c r="D5599" i="11"/>
  <c r="D5598" i="11"/>
  <c r="D5597" i="11"/>
  <c r="D5596" i="11"/>
  <c r="D5595" i="11"/>
  <c r="D5594" i="11"/>
  <c r="D5593" i="11"/>
  <c r="D5592" i="11"/>
  <c r="D5591" i="11"/>
  <c r="D5590" i="11"/>
  <c r="D5589" i="11"/>
  <c r="D5588" i="11"/>
  <c r="D5587" i="11"/>
  <c r="D5586" i="11"/>
  <c r="D5585" i="11"/>
  <c r="D5584" i="11"/>
  <c r="D5583" i="11"/>
  <c r="D5582" i="11"/>
  <c r="D5581" i="11"/>
  <c r="D5580" i="11"/>
  <c r="D5579" i="11"/>
  <c r="D5578" i="11"/>
  <c r="D5577" i="11"/>
  <c r="D5576" i="11"/>
  <c r="D5575" i="11"/>
  <c r="D5574" i="11"/>
  <c r="D5573" i="11"/>
  <c r="D5572" i="11"/>
  <c r="D5571" i="11"/>
  <c r="D5570" i="11"/>
  <c r="D5569" i="11"/>
  <c r="D5568" i="11"/>
  <c r="D5567" i="11"/>
  <c r="D5566" i="11"/>
  <c r="D5565" i="11"/>
  <c r="D5564" i="11"/>
  <c r="D5563" i="11"/>
  <c r="D5562" i="11"/>
  <c r="D5561" i="11"/>
  <c r="D5560" i="11"/>
  <c r="D5559" i="11"/>
  <c r="D5558" i="11"/>
  <c r="D5557" i="11"/>
  <c r="D5556" i="11"/>
  <c r="D5555" i="11"/>
  <c r="D5554" i="11"/>
  <c r="D5553" i="11"/>
  <c r="D5552" i="11"/>
  <c r="D5551" i="11"/>
  <c r="D5550" i="11"/>
  <c r="D5549" i="11"/>
  <c r="D5548" i="11"/>
  <c r="D5547" i="11"/>
  <c r="D5546" i="11"/>
  <c r="D5545" i="11"/>
  <c r="D5544" i="11"/>
  <c r="D5543" i="11"/>
  <c r="D5542" i="11"/>
  <c r="D5541" i="11"/>
  <c r="D5540" i="11"/>
  <c r="D5539" i="11"/>
  <c r="D5538" i="11"/>
  <c r="D5537" i="11"/>
  <c r="D5536" i="11"/>
  <c r="D5535" i="11"/>
  <c r="D5534" i="11"/>
  <c r="D5533" i="11"/>
  <c r="D5532" i="11"/>
  <c r="D5531" i="11"/>
  <c r="D5530" i="11"/>
  <c r="D5529" i="11"/>
  <c r="D5528" i="11"/>
  <c r="D5527" i="11"/>
  <c r="D5526" i="11"/>
  <c r="D5525" i="11"/>
  <c r="D5524" i="11"/>
  <c r="D5523" i="11"/>
  <c r="D5522" i="11"/>
  <c r="D5521" i="11"/>
  <c r="D5520" i="11"/>
  <c r="D5519" i="11"/>
  <c r="D5518" i="11"/>
  <c r="D5517" i="11"/>
  <c r="D5516" i="11"/>
  <c r="D5515" i="11"/>
  <c r="D5514" i="11"/>
  <c r="D5513" i="11"/>
  <c r="D5512" i="11"/>
  <c r="D5511" i="11"/>
  <c r="D5510" i="11"/>
  <c r="D5509" i="11"/>
  <c r="D5508" i="11"/>
  <c r="D5507" i="11"/>
  <c r="D5506" i="11"/>
  <c r="D5505" i="11"/>
  <c r="D5504" i="11"/>
  <c r="D5503" i="11"/>
  <c r="D5502" i="11"/>
  <c r="D5501" i="11"/>
  <c r="D5500" i="11"/>
  <c r="D5499" i="11"/>
  <c r="D5498" i="11"/>
  <c r="D5497" i="11"/>
  <c r="D5496" i="11"/>
  <c r="D5495" i="11"/>
  <c r="D5494" i="11"/>
  <c r="D5493" i="11"/>
  <c r="D5492" i="11"/>
  <c r="D5491" i="11"/>
  <c r="D5490" i="11"/>
  <c r="D5489" i="11"/>
  <c r="D5488" i="11"/>
  <c r="D5487" i="11"/>
  <c r="D5486" i="11"/>
  <c r="D5485" i="11"/>
  <c r="D5484" i="11"/>
  <c r="D5483" i="11"/>
  <c r="D5482" i="11"/>
  <c r="D5481" i="11"/>
  <c r="D5480" i="11"/>
  <c r="D5479" i="11"/>
  <c r="D5478" i="11"/>
  <c r="D5477" i="11"/>
  <c r="D5476" i="11"/>
  <c r="D5475" i="11"/>
  <c r="D5474" i="11"/>
  <c r="D5473" i="11"/>
  <c r="D5472" i="11"/>
  <c r="D5471" i="11"/>
  <c r="D5470" i="11"/>
  <c r="D5469" i="11"/>
  <c r="D5468" i="11"/>
  <c r="D5467" i="11"/>
  <c r="D5466" i="11"/>
  <c r="D5465" i="11"/>
  <c r="D5464" i="11"/>
  <c r="D5463" i="11"/>
  <c r="D5462" i="11"/>
  <c r="D5461" i="11"/>
  <c r="D5460" i="11"/>
  <c r="D5459" i="11"/>
  <c r="D5458" i="11"/>
  <c r="D5457" i="11"/>
  <c r="D5456" i="11"/>
  <c r="D5455" i="11"/>
  <c r="D5454" i="11"/>
  <c r="D5453" i="11"/>
  <c r="D5452" i="11"/>
  <c r="D5451" i="11"/>
  <c r="D5450" i="11"/>
  <c r="D5449" i="11"/>
  <c r="D5448" i="11"/>
  <c r="D5447" i="11"/>
  <c r="D5446" i="11"/>
  <c r="D5445" i="11"/>
  <c r="D5444" i="11"/>
  <c r="D5443" i="11"/>
  <c r="D5442" i="11"/>
  <c r="D5441" i="11"/>
  <c r="D5440" i="11"/>
  <c r="D5439" i="11"/>
  <c r="D5438" i="11"/>
  <c r="D5437" i="11"/>
  <c r="D5436" i="11"/>
  <c r="D5435" i="11"/>
  <c r="D5434" i="11"/>
  <c r="D5433" i="11"/>
  <c r="D5432" i="11"/>
  <c r="D5431" i="11"/>
  <c r="D5430" i="11"/>
  <c r="D5429" i="11"/>
  <c r="D5428" i="11"/>
  <c r="D5427" i="11"/>
  <c r="D5426" i="11"/>
  <c r="D5425" i="11"/>
  <c r="D5424" i="11"/>
  <c r="D5423" i="11"/>
  <c r="D5422" i="11"/>
  <c r="D5421" i="11"/>
  <c r="D5420" i="11"/>
  <c r="D5419" i="11"/>
  <c r="D5418" i="11"/>
  <c r="D5417" i="11"/>
  <c r="D5416" i="11"/>
  <c r="D5415" i="11"/>
  <c r="D5414" i="11"/>
  <c r="D5413" i="11"/>
  <c r="D5412" i="11"/>
  <c r="D5411" i="11"/>
  <c r="D5410" i="11"/>
  <c r="D5409" i="11"/>
  <c r="D5408" i="11"/>
  <c r="D5407" i="11"/>
  <c r="D5406" i="11"/>
  <c r="D5405" i="11"/>
  <c r="D5404" i="11"/>
  <c r="D5403" i="11"/>
  <c r="D5402" i="11"/>
  <c r="D5401" i="11"/>
  <c r="D5400" i="11"/>
  <c r="D5399" i="11"/>
  <c r="D5398" i="11"/>
  <c r="D5397" i="11"/>
  <c r="D5396" i="11"/>
  <c r="D5395" i="11"/>
  <c r="D5394" i="11"/>
  <c r="D5393" i="11"/>
  <c r="D5392" i="11"/>
  <c r="D5391" i="11"/>
  <c r="D5390" i="11"/>
  <c r="D5389" i="11"/>
  <c r="D5388" i="11"/>
  <c r="D5387" i="11"/>
  <c r="D5386" i="11"/>
  <c r="D5385" i="11"/>
  <c r="D5384" i="11"/>
  <c r="D5383" i="11"/>
  <c r="D5382" i="11"/>
  <c r="D5381" i="11"/>
  <c r="D5380" i="11"/>
  <c r="D5379" i="11"/>
  <c r="D5378" i="11"/>
  <c r="D5377" i="11"/>
  <c r="D5376" i="11"/>
  <c r="D5375" i="11"/>
  <c r="D5374" i="11"/>
  <c r="D5373" i="11"/>
  <c r="D5372" i="11"/>
  <c r="D5371" i="11"/>
  <c r="D5370" i="11"/>
  <c r="D5369" i="11"/>
  <c r="D5368" i="11"/>
  <c r="D5367" i="11"/>
  <c r="D5366" i="11"/>
  <c r="D5365" i="11"/>
  <c r="D5364" i="11"/>
  <c r="D5363" i="11"/>
  <c r="D5362" i="11"/>
  <c r="D5361" i="11"/>
  <c r="D5360" i="11"/>
  <c r="D5359" i="11"/>
  <c r="D5358" i="11"/>
  <c r="D5357" i="11"/>
  <c r="D5356" i="11"/>
  <c r="D5355" i="11"/>
  <c r="D5354" i="11"/>
  <c r="D5353" i="11"/>
  <c r="D5352" i="11"/>
  <c r="D5351" i="11"/>
  <c r="D5350" i="11"/>
  <c r="D5349" i="11"/>
  <c r="D5348" i="11"/>
  <c r="D5347" i="11"/>
  <c r="D5346" i="11"/>
  <c r="D5345" i="11"/>
  <c r="D5344" i="11"/>
  <c r="D5343" i="11"/>
  <c r="D5342" i="11"/>
  <c r="D5341" i="11"/>
  <c r="D5340" i="11"/>
  <c r="D5339" i="11"/>
  <c r="D5338" i="11"/>
  <c r="D5337" i="11"/>
  <c r="D5336" i="11"/>
  <c r="D5335" i="11"/>
  <c r="D5334" i="11"/>
  <c r="D5333" i="11"/>
  <c r="D5332" i="11"/>
  <c r="D5331" i="11"/>
  <c r="D5330" i="11"/>
  <c r="D5329" i="11"/>
  <c r="D5328" i="11"/>
  <c r="D5327" i="11"/>
  <c r="D5326" i="11"/>
  <c r="D5325" i="11"/>
  <c r="D5324" i="11"/>
  <c r="D5323" i="11"/>
  <c r="D5322" i="11"/>
  <c r="D5321" i="11"/>
  <c r="D5320" i="11"/>
  <c r="D5319" i="11"/>
  <c r="D5318" i="11"/>
  <c r="D5317" i="11"/>
  <c r="D5316" i="11"/>
  <c r="D5315" i="11"/>
  <c r="D5314" i="11"/>
  <c r="D5313" i="11"/>
  <c r="D5312" i="11"/>
  <c r="D5311" i="11"/>
  <c r="D5310" i="11"/>
  <c r="D5309" i="11"/>
  <c r="D5308" i="11"/>
  <c r="D5307" i="11"/>
  <c r="D5306" i="11"/>
  <c r="D5305" i="11"/>
  <c r="D5304" i="11"/>
  <c r="D5303" i="11"/>
  <c r="D5302" i="11"/>
  <c r="D5301" i="11"/>
  <c r="D5300" i="11"/>
  <c r="D5299" i="11"/>
  <c r="D5298" i="11"/>
  <c r="D5297" i="11"/>
  <c r="D5296" i="11"/>
  <c r="D5295" i="11"/>
  <c r="D5294" i="11"/>
  <c r="D5293" i="11"/>
  <c r="D5292" i="11"/>
  <c r="D5291" i="11"/>
  <c r="D5290" i="11"/>
  <c r="D5289" i="11"/>
  <c r="D5288" i="11"/>
  <c r="D5287" i="11"/>
  <c r="D5286" i="11"/>
  <c r="D5285" i="11"/>
  <c r="D5284" i="11"/>
  <c r="D5283" i="11"/>
  <c r="D5282" i="11"/>
  <c r="D5281" i="11"/>
  <c r="D5280" i="11"/>
  <c r="D5279" i="11"/>
  <c r="D5278" i="11"/>
  <c r="D5277" i="11"/>
  <c r="D5276" i="11"/>
  <c r="D5275" i="11"/>
  <c r="D5274" i="11"/>
  <c r="D5273" i="11"/>
  <c r="D5272" i="11"/>
  <c r="D5271" i="11"/>
  <c r="D5270" i="11"/>
  <c r="D5269" i="11"/>
  <c r="D5268" i="11"/>
  <c r="D5267" i="11"/>
  <c r="D5266" i="11"/>
  <c r="D5265" i="11"/>
  <c r="D5264" i="11"/>
  <c r="D5263" i="11"/>
  <c r="D5262" i="11"/>
  <c r="D5261" i="11"/>
  <c r="D5260" i="11"/>
  <c r="D5259" i="11"/>
  <c r="D5258" i="11"/>
  <c r="D5257" i="11"/>
  <c r="D5256" i="11"/>
  <c r="D5255" i="11"/>
  <c r="D5254" i="11"/>
  <c r="D5253" i="11"/>
  <c r="D5252" i="11"/>
  <c r="D5251" i="11"/>
  <c r="D5250" i="11"/>
  <c r="D5249" i="11"/>
  <c r="D5248" i="11"/>
  <c r="D5247" i="11"/>
  <c r="D5246" i="11"/>
  <c r="D5245" i="11"/>
  <c r="D5244" i="11"/>
  <c r="D5243" i="11"/>
  <c r="D5242" i="11"/>
  <c r="D5241" i="11"/>
  <c r="D5240" i="11"/>
  <c r="D5239" i="11"/>
  <c r="D5238" i="11"/>
  <c r="D5237" i="11"/>
  <c r="D5236" i="11"/>
  <c r="D5235" i="11"/>
  <c r="D5234" i="11"/>
  <c r="D5233" i="11"/>
  <c r="D5232" i="11"/>
  <c r="D5231" i="11"/>
  <c r="D5230" i="11"/>
  <c r="D5229" i="11"/>
  <c r="D5228" i="11"/>
  <c r="D5227" i="11"/>
  <c r="D5226" i="11"/>
  <c r="D5225" i="11"/>
  <c r="D5224" i="11"/>
  <c r="D5223" i="11"/>
  <c r="D5222" i="11"/>
  <c r="D5221" i="11"/>
  <c r="D5220" i="11"/>
  <c r="D5219" i="11"/>
  <c r="D5218" i="11"/>
  <c r="D5217" i="11"/>
  <c r="D5216" i="11"/>
  <c r="D5215" i="11"/>
  <c r="D5214" i="11"/>
  <c r="D5213" i="11"/>
  <c r="D5212" i="11"/>
  <c r="D5211" i="11"/>
  <c r="D5210" i="11"/>
  <c r="D5209" i="11"/>
  <c r="D5208" i="11"/>
  <c r="D5207" i="11"/>
  <c r="D5206" i="11"/>
  <c r="D5205" i="11"/>
  <c r="D5204" i="11"/>
  <c r="D5203" i="11"/>
  <c r="D5202" i="11"/>
  <c r="D5201" i="11"/>
  <c r="D5200" i="11"/>
  <c r="D5199" i="11"/>
  <c r="D5198" i="11"/>
  <c r="D5197" i="11"/>
  <c r="D5196" i="11"/>
  <c r="D5195" i="11"/>
  <c r="D5194" i="11"/>
  <c r="D5193" i="11"/>
  <c r="D5192" i="11"/>
  <c r="D5191" i="11"/>
  <c r="D5190" i="11"/>
  <c r="D5189" i="11"/>
  <c r="D5188" i="11"/>
  <c r="D5187" i="11"/>
  <c r="D5186" i="11"/>
  <c r="D5185" i="11"/>
  <c r="D5184" i="11"/>
  <c r="D5183" i="11"/>
  <c r="D5182" i="11"/>
  <c r="D5181" i="11"/>
  <c r="D5180" i="11"/>
  <c r="D5179" i="11"/>
  <c r="D5178" i="11"/>
  <c r="D5177" i="11"/>
  <c r="D5176" i="11"/>
  <c r="D5175" i="11"/>
  <c r="D5174" i="11"/>
  <c r="D5173" i="11"/>
  <c r="D5172" i="11"/>
  <c r="D5171" i="11"/>
  <c r="D5170" i="11"/>
  <c r="D5169" i="11"/>
  <c r="D5168" i="11"/>
  <c r="D5167" i="11"/>
  <c r="D5166" i="11"/>
  <c r="D5165" i="11"/>
  <c r="D5164" i="11"/>
  <c r="D5163" i="11"/>
  <c r="D5162" i="11"/>
  <c r="D5161" i="11"/>
  <c r="D5160" i="11"/>
  <c r="D5159" i="11"/>
  <c r="D5158" i="11"/>
  <c r="D5157" i="11"/>
  <c r="D5156" i="11"/>
  <c r="D5155" i="11"/>
  <c r="D5154" i="11"/>
  <c r="D5153" i="11"/>
  <c r="D5152" i="11"/>
  <c r="D5151" i="11"/>
  <c r="D5150" i="11"/>
  <c r="D5149" i="11"/>
  <c r="D5148" i="11"/>
  <c r="D5147" i="11"/>
  <c r="D5146" i="11"/>
  <c r="D5145" i="11"/>
  <c r="D5144" i="11"/>
  <c r="D5143" i="11"/>
  <c r="D5142" i="11"/>
  <c r="D5141" i="11"/>
  <c r="D5140" i="11"/>
  <c r="D5139" i="11"/>
  <c r="D5138" i="11"/>
  <c r="D5137" i="11"/>
  <c r="D5136" i="11"/>
  <c r="D5135" i="11"/>
  <c r="D5134" i="11"/>
  <c r="D5133" i="11"/>
  <c r="D5132" i="11"/>
  <c r="D5131" i="11"/>
  <c r="D5130" i="11"/>
  <c r="D5129" i="11"/>
  <c r="D5128" i="11"/>
  <c r="D5127" i="11"/>
  <c r="D5126" i="11"/>
  <c r="D5125" i="11"/>
  <c r="D5124" i="11"/>
  <c r="D5123" i="11"/>
  <c r="D5122" i="11"/>
  <c r="D5121" i="11"/>
  <c r="D5120" i="11"/>
  <c r="D5119" i="11"/>
  <c r="D5118" i="11"/>
  <c r="D5117" i="11"/>
  <c r="D5116" i="11"/>
  <c r="D5115" i="11"/>
  <c r="D5114" i="11"/>
  <c r="D5113" i="11"/>
  <c r="D5112" i="11"/>
  <c r="D5111" i="11"/>
  <c r="D5110" i="11"/>
  <c r="D5109" i="11"/>
  <c r="D5108" i="11"/>
  <c r="D5107" i="11"/>
  <c r="D5106" i="11"/>
  <c r="D5105" i="11"/>
  <c r="D5104" i="11"/>
  <c r="D5103" i="11"/>
  <c r="D5102" i="11"/>
  <c r="D5101" i="11"/>
  <c r="D5100" i="11"/>
  <c r="D5099" i="11"/>
  <c r="D5098" i="11"/>
  <c r="D5097" i="11"/>
  <c r="D5096" i="11"/>
  <c r="D5095" i="11"/>
  <c r="D5094" i="11"/>
  <c r="D5093" i="11"/>
  <c r="D5092" i="11"/>
  <c r="D5091" i="11"/>
  <c r="D5090" i="11"/>
  <c r="D5089" i="11"/>
  <c r="D5088" i="11"/>
  <c r="D5087" i="11"/>
  <c r="D5086" i="11"/>
  <c r="D5085" i="11"/>
  <c r="D5084" i="11"/>
  <c r="D5083" i="11"/>
  <c r="D5082" i="11"/>
  <c r="D5081" i="11"/>
  <c r="D5080" i="11"/>
  <c r="D5079" i="11"/>
  <c r="D5078" i="11"/>
  <c r="D5077" i="11"/>
  <c r="D5076" i="11"/>
  <c r="D5075" i="11"/>
  <c r="D5074" i="11"/>
  <c r="D5073" i="11"/>
  <c r="D5072" i="11"/>
  <c r="D5071" i="11"/>
  <c r="D5070" i="11"/>
  <c r="D5069" i="11"/>
  <c r="D5068" i="11"/>
  <c r="D5067" i="11"/>
  <c r="D5066" i="11"/>
  <c r="D5065" i="11"/>
  <c r="D5064" i="11"/>
  <c r="D5063" i="11"/>
  <c r="D5062" i="11"/>
  <c r="D5061" i="11"/>
  <c r="D5060" i="11"/>
  <c r="D5059" i="11"/>
  <c r="D5058" i="11"/>
  <c r="D5057" i="11"/>
  <c r="D5056" i="11"/>
  <c r="D5055" i="11"/>
  <c r="D5054" i="11"/>
  <c r="D5053" i="11"/>
  <c r="D5052" i="11"/>
  <c r="D5051" i="11"/>
  <c r="D5050" i="11"/>
  <c r="D5049" i="11"/>
  <c r="D5048" i="11"/>
  <c r="D5047" i="11"/>
  <c r="D5046" i="11"/>
  <c r="D5045" i="11"/>
  <c r="D5044" i="11"/>
  <c r="D5043" i="11"/>
  <c r="D5042" i="11"/>
  <c r="D5041" i="11"/>
  <c r="D5040" i="11"/>
  <c r="D5039" i="11"/>
  <c r="D5038" i="11"/>
  <c r="D5037" i="11"/>
  <c r="D5036" i="11"/>
  <c r="D5035" i="11"/>
  <c r="D5034" i="11"/>
  <c r="D5033" i="11"/>
  <c r="D5032" i="11"/>
  <c r="D5031" i="11"/>
  <c r="D5030" i="11"/>
  <c r="D5029" i="11"/>
  <c r="D5028" i="11"/>
  <c r="D5027" i="11"/>
  <c r="D5026" i="11"/>
  <c r="D5025" i="11"/>
  <c r="D5024" i="11"/>
  <c r="D5023" i="11"/>
  <c r="D5022" i="11"/>
  <c r="D5021" i="11"/>
  <c r="D5020" i="11"/>
  <c r="D5019" i="11"/>
  <c r="D5018" i="11"/>
  <c r="D5017" i="11"/>
  <c r="D5016" i="11"/>
  <c r="D5015" i="11"/>
  <c r="D5014" i="11"/>
  <c r="D5013" i="11"/>
  <c r="D5012" i="11"/>
  <c r="D5011" i="11"/>
  <c r="D5010" i="11"/>
  <c r="D5009" i="11"/>
  <c r="D5008" i="11"/>
  <c r="D5007" i="11"/>
  <c r="D5006" i="11"/>
  <c r="D5005" i="11"/>
  <c r="D5004" i="11"/>
  <c r="D5003" i="11"/>
  <c r="D5002" i="11"/>
  <c r="D5001" i="11"/>
  <c r="D5000" i="11"/>
  <c r="D4999" i="11"/>
  <c r="D4998" i="11"/>
  <c r="D4997" i="11"/>
  <c r="D4996" i="11"/>
  <c r="D4995" i="11"/>
  <c r="D4994" i="11"/>
  <c r="D4993" i="11"/>
  <c r="D4992" i="11"/>
  <c r="D4991" i="11"/>
  <c r="D4990" i="11"/>
  <c r="D4989" i="11"/>
  <c r="D4988" i="11"/>
  <c r="D4987" i="11"/>
  <c r="D4986" i="11"/>
  <c r="D4985" i="11"/>
  <c r="D4984" i="11"/>
  <c r="D4983" i="11"/>
  <c r="D4982" i="11"/>
  <c r="D4981" i="11"/>
  <c r="D4980" i="11"/>
  <c r="D4979" i="11"/>
  <c r="D4978" i="11"/>
  <c r="D4977" i="11"/>
  <c r="D4976" i="11"/>
  <c r="D4975" i="11"/>
  <c r="D4974" i="11"/>
  <c r="D4973" i="11"/>
  <c r="D4972" i="11"/>
  <c r="D4971" i="11"/>
  <c r="D4970" i="11"/>
  <c r="D4969" i="11"/>
  <c r="D4968" i="11"/>
  <c r="D4967" i="11"/>
  <c r="D4966" i="11"/>
  <c r="D4965" i="11"/>
  <c r="D4964" i="11"/>
  <c r="D4963" i="11"/>
  <c r="D4962" i="11"/>
  <c r="D4961" i="11"/>
  <c r="D4960" i="11"/>
  <c r="D4959" i="11"/>
  <c r="D4958" i="11"/>
  <c r="D4957" i="11"/>
  <c r="D4956" i="11"/>
  <c r="D4955" i="11"/>
  <c r="D4954" i="11"/>
  <c r="D4953" i="11"/>
  <c r="D4952" i="11"/>
  <c r="D4951" i="11"/>
  <c r="D4950" i="11"/>
  <c r="D4949" i="11"/>
  <c r="D4948" i="11"/>
  <c r="D4947" i="11"/>
  <c r="D4946" i="11"/>
  <c r="D4945" i="11"/>
  <c r="D4944" i="11"/>
  <c r="D4943" i="11"/>
  <c r="D4942" i="11"/>
  <c r="D4941" i="11"/>
  <c r="D4940" i="11"/>
  <c r="D4939" i="11"/>
  <c r="D4938" i="11"/>
  <c r="D4937" i="11"/>
  <c r="D4936" i="11"/>
  <c r="D4935" i="11"/>
  <c r="D4934" i="11"/>
  <c r="D4933" i="11"/>
  <c r="D4932" i="11"/>
  <c r="D4931" i="11"/>
  <c r="D4930" i="11"/>
  <c r="D4929" i="11"/>
  <c r="D4928" i="11"/>
  <c r="D4927" i="11"/>
  <c r="D4926" i="11"/>
  <c r="D4925" i="11"/>
  <c r="D4924" i="11"/>
  <c r="D4923" i="11"/>
  <c r="D4922" i="11"/>
  <c r="D4921" i="11"/>
  <c r="D4920" i="11"/>
  <c r="D4919" i="11"/>
  <c r="D4918" i="11"/>
  <c r="D4917" i="11"/>
  <c r="D4916" i="11"/>
  <c r="D4915" i="11"/>
  <c r="D4914" i="11"/>
  <c r="D4913" i="11"/>
  <c r="D4912" i="11"/>
  <c r="D4911" i="11"/>
  <c r="D4910" i="11"/>
  <c r="D4909" i="11"/>
  <c r="D4908" i="11"/>
  <c r="D4907" i="11"/>
  <c r="D4906" i="11"/>
  <c r="D4905" i="11"/>
  <c r="D4904" i="11"/>
  <c r="D4903" i="11"/>
  <c r="D4902" i="11"/>
  <c r="D4901" i="11"/>
  <c r="D4900" i="11"/>
  <c r="D4899" i="11"/>
  <c r="D4898" i="11"/>
  <c r="D4897" i="11"/>
  <c r="D4896" i="11"/>
  <c r="D4895" i="11"/>
  <c r="D4894" i="11"/>
  <c r="D4893" i="11"/>
  <c r="D4892" i="11"/>
  <c r="D4891" i="11"/>
  <c r="D4890" i="11"/>
  <c r="D4889" i="11"/>
  <c r="D4888" i="11"/>
  <c r="D4887" i="11"/>
  <c r="D4886" i="11"/>
  <c r="D4885" i="11"/>
  <c r="D4884" i="11"/>
  <c r="D4883" i="11"/>
  <c r="D4882" i="11"/>
  <c r="D4881" i="11"/>
  <c r="D4880" i="11"/>
  <c r="D4879" i="11"/>
  <c r="D4878" i="11"/>
  <c r="D4877" i="11"/>
  <c r="D4876" i="11"/>
  <c r="D4875" i="11"/>
  <c r="D4874" i="11"/>
  <c r="D4873" i="11"/>
  <c r="D4872" i="11"/>
  <c r="D4871" i="11"/>
  <c r="D4870" i="11"/>
  <c r="D4869" i="11"/>
  <c r="D4868" i="11"/>
  <c r="D4867" i="11"/>
  <c r="D4866" i="11"/>
  <c r="D4865" i="11"/>
  <c r="D4864" i="11"/>
  <c r="D4863" i="11"/>
  <c r="D4862" i="11"/>
  <c r="D4861" i="11"/>
  <c r="D4860" i="11"/>
  <c r="D4859" i="11"/>
  <c r="D4858" i="11"/>
  <c r="D4857" i="11"/>
  <c r="D4856" i="11"/>
  <c r="D4855" i="11"/>
  <c r="D4854" i="11"/>
  <c r="D4853" i="11"/>
  <c r="D4852" i="11"/>
  <c r="D4851" i="11"/>
  <c r="D4850" i="11"/>
  <c r="D4849" i="11"/>
  <c r="D4848" i="11"/>
  <c r="D4847" i="11"/>
  <c r="D4846" i="11"/>
  <c r="D4845" i="11"/>
  <c r="D4844" i="11"/>
  <c r="D4843" i="11"/>
  <c r="D4842" i="11"/>
  <c r="D4841" i="11"/>
  <c r="D4840" i="11"/>
  <c r="D4839" i="11"/>
  <c r="D4838" i="11"/>
  <c r="D4837" i="11"/>
  <c r="D4836" i="11"/>
  <c r="D4835" i="11"/>
  <c r="D4834" i="11"/>
  <c r="D4833" i="11"/>
  <c r="D4832" i="11"/>
  <c r="D4831" i="11"/>
  <c r="D4830" i="11"/>
  <c r="D4829" i="11"/>
  <c r="D4828" i="11"/>
  <c r="D4827" i="11"/>
  <c r="D4826" i="11"/>
  <c r="D4825" i="11"/>
  <c r="D4824" i="11"/>
  <c r="D4823" i="11"/>
  <c r="D4822" i="11"/>
  <c r="D4821" i="11"/>
  <c r="D4820" i="11"/>
  <c r="D4819" i="11"/>
  <c r="D4818" i="11"/>
  <c r="D4817" i="11"/>
  <c r="D4816" i="11"/>
  <c r="D4815" i="11"/>
  <c r="D4814" i="11"/>
  <c r="D4813" i="11"/>
  <c r="D4812" i="11"/>
  <c r="D4811" i="11"/>
  <c r="D4810" i="11"/>
  <c r="D4809" i="11"/>
  <c r="D4808" i="11"/>
  <c r="D4807" i="11"/>
  <c r="D4806" i="11"/>
  <c r="D4805" i="11"/>
  <c r="D4804" i="11"/>
  <c r="D4803" i="11"/>
  <c r="D4802" i="11"/>
  <c r="D4801" i="11"/>
  <c r="D4800" i="11"/>
  <c r="D4799" i="11"/>
  <c r="D4798" i="11"/>
  <c r="D4797" i="11"/>
  <c r="D4796" i="11"/>
  <c r="D4795" i="11"/>
  <c r="D4794" i="11"/>
  <c r="D4793" i="11"/>
  <c r="D4792" i="11"/>
  <c r="D4791" i="11"/>
  <c r="D4790" i="11"/>
  <c r="D4789" i="11"/>
  <c r="D4788" i="11"/>
  <c r="D4787" i="11"/>
  <c r="D4786" i="11"/>
  <c r="D4785" i="11"/>
  <c r="D4784" i="11"/>
  <c r="D4783" i="11"/>
  <c r="D4782" i="11"/>
  <c r="D4781" i="11"/>
  <c r="D4780" i="11"/>
  <c r="D4779" i="11"/>
  <c r="D4778" i="11"/>
  <c r="D4777" i="11"/>
  <c r="D4776" i="11"/>
  <c r="D4775" i="11"/>
  <c r="D4774" i="11"/>
  <c r="D4773" i="11"/>
  <c r="D4772" i="11"/>
  <c r="D4771" i="11"/>
  <c r="D4770" i="11"/>
  <c r="D4769" i="11"/>
  <c r="D4768" i="11"/>
  <c r="D4767" i="11"/>
  <c r="D4766" i="11"/>
  <c r="D4765" i="11"/>
  <c r="D4764" i="11"/>
  <c r="D4763" i="11"/>
  <c r="D4762" i="11"/>
  <c r="D4761" i="11"/>
  <c r="D4760" i="11"/>
  <c r="D4759" i="11"/>
  <c r="D4758" i="11"/>
  <c r="D4757" i="11"/>
  <c r="D4756" i="11"/>
  <c r="D4755" i="11"/>
  <c r="D4754" i="11"/>
  <c r="D4753" i="11"/>
  <c r="D4752" i="11"/>
  <c r="D4751" i="11"/>
  <c r="D4750" i="11"/>
  <c r="D4749" i="11"/>
  <c r="D4748" i="11"/>
  <c r="D4747" i="11"/>
  <c r="D4746" i="11"/>
  <c r="D4745" i="11"/>
  <c r="D4744" i="11"/>
  <c r="D4743" i="11"/>
  <c r="D4742" i="11"/>
  <c r="D4741" i="11"/>
  <c r="D4740" i="11"/>
  <c r="D4739" i="11"/>
  <c r="D4738" i="11"/>
  <c r="D4737" i="11"/>
  <c r="D4736" i="11"/>
  <c r="D4735" i="11"/>
  <c r="D4734" i="11"/>
  <c r="D4733" i="11"/>
  <c r="D4732" i="11"/>
  <c r="D4731" i="11"/>
  <c r="D4730" i="11"/>
  <c r="D4729" i="11"/>
  <c r="D4728" i="11"/>
  <c r="D4727" i="11"/>
  <c r="D4726" i="11"/>
  <c r="D4725" i="11"/>
  <c r="D4724" i="11"/>
  <c r="D4723" i="11"/>
  <c r="D4722" i="11"/>
  <c r="D4721" i="11"/>
  <c r="D4720" i="11"/>
  <c r="D4719" i="11"/>
  <c r="D4718" i="11"/>
  <c r="D4717" i="11"/>
  <c r="D4716" i="11"/>
  <c r="D4715" i="11"/>
  <c r="D4714" i="11"/>
  <c r="D4713" i="11"/>
  <c r="D4712" i="11"/>
  <c r="D4711" i="11"/>
  <c r="D4710" i="11"/>
  <c r="D4709" i="11"/>
  <c r="D4708" i="11"/>
  <c r="D4707" i="11"/>
  <c r="D4706" i="11"/>
  <c r="D4705" i="11"/>
  <c r="D4704" i="11"/>
  <c r="D4703" i="11"/>
  <c r="D4702" i="11"/>
  <c r="D4701" i="11"/>
  <c r="D4700" i="11"/>
  <c r="D4699" i="11"/>
  <c r="D4698" i="11"/>
  <c r="D4697" i="11"/>
  <c r="D4696" i="11"/>
  <c r="D4695" i="11"/>
  <c r="D4694" i="11"/>
  <c r="D4693" i="11"/>
  <c r="D4692" i="11"/>
  <c r="D4691" i="11"/>
  <c r="D4690" i="11"/>
  <c r="D4689" i="11"/>
  <c r="D4688" i="11"/>
  <c r="D4687" i="11"/>
  <c r="D4686" i="11"/>
  <c r="D4685" i="11"/>
  <c r="D4684" i="11"/>
  <c r="D4683" i="11"/>
  <c r="D4682" i="11"/>
  <c r="D4681" i="11"/>
  <c r="D4680" i="11"/>
  <c r="D4679" i="11"/>
  <c r="D4678" i="11"/>
  <c r="D4677" i="11"/>
  <c r="D4676" i="11"/>
  <c r="D4675" i="11"/>
  <c r="D4674" i="11"/>
  <c r="D4673" i="11"/>
  <c r="D4672" i="11"/>
  <c r="D4671" i="11"/>
  <c r="D4670" i="11"/>
  <c r="D4669" i="11"/>
  <c r="D4668" i="11"/>
  <c r="D4667" i="11"/>
  <c r="D4666" i="11"/>
  <c r="D4665" i="11"/>
  <c r="D4664" i="11"/>
  <c r="D4663" i="11"/>
  <c r="D4662" i="11"/>
  <c r="D4661" i="11"/>
  <c r="D4660" i="11"/>
  <c r="D4659" i="11"/>
  <c r="D4658" i="11"/>
  <c r="D4657" i="11"/>
  <c r="D4656" i="11"/>
  <c r="D4655" i="11"/>
  <c r="D4654" i="11"/>
  <c r="D4653" i="11"/>
  <c r="D4652" i="11"/>
  <c r="D4651" i="11"/>
  <c r="D4650" i="11"/>
  <c r="D4649" i="11"/>
  <c r="D4648" i="11"/>
  <c r="D4647" i="11"/>
  <c r="D4646" i="11"/>
  <c r="D4645" i="11"/>
  <c r="D4644" i="11"/>
  <c r="D4643" i="11"/>
  <c r="D4642" i="11"/>
  <c r="D4641" i="11"/>
  <c r="D4640" i="11"/>
  <c r="D4639" i="11"/>
  <c r="D4638" i="11"/>
  <c r="D4637" i="11"/>
  <c r="D4636" i="11"/>
  <c r="D4635" i="11"/>
  <c r="D4634" i="11"/>
  <c r="D4633" i="11"/>
  <c r="D4632" i="11"/>
  <c r="D4631" i="11"/>
  <c r="D4630" i="11"/>
  <c r="D4629" i="11"/>
  <c r="D4628" i="11"/>
  <c r="D4627" i="11"/>
  <c r="D4626" i="11"/>
  <c r="D4625" i="11"/>
  <c r="D4624" i="11"/>
  <c r="D4623" i="11"/>
  <c r="D4622" i="11"/>
  <c r="D4621" i="11"/>
  <c r="D4620" i="11"/>
  <c r="D4619" i="11"/>
  <c r="D4618" i="11"/>
  <c r="D4617" i="11"/>
  <c r="D4616" i="11"/>
  <c r="D4615" i="11"/>
  <c r="D4614" i="11"/>
  <c r="D4613" i="11"/>
  <c r="D4612" i="11"/>
  <c r="D4611" i="11"/>
  <c r="D4610" i="11"/>
  <c r="D4609" i="11"/>
  <c r="D4608" i="11"/>
  <c r="D4607" i="11"/>
  <c r="D4606" i="11"/>
  <c r="D4605" i="11"/>
  <c r="D4604" i="11"/>
  <c r="D4603" i="11"/>
  <c r="D4602" i="11"/>
  <c r="D4601" i="11"/>
  <c r="D4600" i="11"/>
  <c r="D4599" i="11"/>
  <c r="D4598" i="11"/>
  <c r="D4597" i="11"/>
  <c r="D4596" i="11"/>
  <c r="D4595" i="11"/>
  <c r="D4594" i="11"/>
  <c r="D4593" i="11"/>
  <c r="D4592" i="11"/>
  <c r="D4591" i="11"/>
  <c r="D4590" i="11"/>
  <c r="D4589" i="11"/>
  <c r="D4588" i="11"/>
  <c r="D4587" i="11"/>
  <c r="D4586" i="11"/>
  <c r="D4585" i="11"/>
  <c r="D4584" i="11"/>
  <c r="D4583" i="11"/>
  <c r="D4582" i="11"/>
  <c r="D4581" i="11"/>
  <c r="D4580" i="11"/>
  <c r="D4579" i="11"/>
  <c r="D4578" i="11"/>
  <c r="D4577" i="11"/>
  <c r="D4576" i="11"/>
  <c r="D4575" i="11"/>
  <c r="D4574" i="11"/>
  <c r="D4573" i="11"/>
  <c r="D4572" i="11"/>
  <c r="D4571" i="11"/>
  <c r="D4570" i="11"/>
  <c r="D4569" i="11"/>
  <c r="D4568" i="11"/>
  <c r="D4567" i="11"/>
  <c r="D4566" i="11"/>
  <c r="D4565" i="11"/>
  <c r="D4564" i="11"/>
  <c r="D4563" i="11"/>
  <c r="D4562" i="11"/>
  <c r="D4561" i="11"/>
  <c r="D4560" i="11"/>
  <c r="D4559" i="11"/>
  <c r="D4558" i="11"/>
  <c r="D4557" i="11"/>
  <c r="D4556" i="11"/>
  <c r="D4555" i="11"/>
  <c r="D4554" i="11"/>
  <c r="D4553" i="11"/>
  <c r="D4552" i="11"/>
  <c r="D4551" i="11"/>
  <c r="D4550" i="11"/>
  <c r="D4549" i="11"/>
  <c r="D4548" i="11"/>
  <c r="D4547" i="11"/>
  <c r="D4546" i="11"/>
  <c r="D4545" i="11"/>
  <c r="D4544" i="11"/>
  <c r="D4543" i="11"/>
  <c r="D4542" i="11"/>
  <c r="D4541" i="11"/>
  <c r="D4540" i="11"/>
  <c r="D4539" i="11"/>
  <c r="D4538" i="11"/>
  <c r="D4537" i="11"/>
  <c r="D4536" i="11"/>
  <c r="D4535" i="11"/>
  <c r="D4534" i="11"/>
  <c r="D4533" i="11"/>
  <c r="D4532" i="11"/>
  <c r="D4531" i="11"/>
  <c r="D4530" i="11"/>
  <c r="D4529" i="11"/>
  <c r="D4528" i="11"/>
  <c r="D4527" i="11"/>
  <c r="D4526" i="11"/>
  <c r="D4525" i="11"/>
  <c r="D4524" i="11"/>
  <c r="D4523" i="11"/>
  <c r="D4522" i="11"/>
  <c r="D4521" i="11"/>
  <c r="D4520" i="11"/>
  <c r="D4519" i="11"/>
  <c r="D4518" i="11"/>
  <c r="D4517" i="11"/>
  <c r="D4516" i="11"/>
  <c r="D4515" i="11"/>
  <c r="D4514" i="11"/>
  <c r="D4513" i="11"/>
  <c r="D4512" i="11"/>
  <c r="D4511" i="11"/>
  <c r="D4510" i="11"/>
  <c r="D4509" i="11"/>
  <c r="D4508" i="11"/>
  <c r="D4507" i="11"/>
  <c r="D4506" i="11"/>
  <c r="D4505" i="11"/>
  <c r="D4504" i="11"/>
  <c r="D4503" i="11"/>
  <c r="D4502" i="11"/>
  <c r="D4501" i="11"/>
  <c r="D4500" i="11"/>
  <c r="D4499" i="11"/>
  <c r="D4498" i="11"/>
  <c r="D4497" i="11"/>
  <c r="D4496" i="11"/>
  <c r="D4495" i="11"/>
  <c r="D4494" i="11"/>
  <c r="D4493" i="11"/>
  <c r="D4492" i="11"/>
  <c r="D4491" i="11"/>
  <c r="D4490" i="11"/>
  <c r="D4489" i="11"/>
  <c r="D4488" i="11"/>
  <c r="D4487" i="11"/>
  <c r="D4486" i="11"/>
  <c r="D4485" i="11"/>
  <c r="D4484" i="11"/>
  <c r="D4483" i="11"/>
  <c r="D4482" i="11"/>
  <c r="D4481" i="11"/>
  <c r="D4480" i="11"/>
  <c r="D4479" i="11"/>
  <c r="D4478" i="11"/>
  <c r="D4477" i="11"/>
  <c r="D4476" i="11"/>
  <c r="D4475" i="11"/>
  <c r="D4474" i="11"/>
  <c r="D4473" i="11"/>
  <c r="D4472" i="11"/>
  <c r="D4471" i="11"/>
  <c r="D4470" i="11"/>
  <c r="D4469" i="11"/>
  <c r="D4468" i="11"/>
  <c r="D4467" i="11"/>
  <c r="D4466" i="11"/>
  <c r="D4465" i="11"/>
  <c r="D4464" i="11"/>
  <c r="D4463" i="11"/>
  <c r="D4462" i="11"/>
  <c r="D4461" i="11"/>
  <c r="D4460" i="11"/>
  <c r="D4459" i="11"/>
  <c r="D4458" i="11"/>
  <c r="D4457" i="11"/>
  <c r="D4456" i="11"/>
  <c r="D4455" i="11"/>
  <c r="D4454" i="11"/>
  <c r="D4453" i="11"/>
  <c r="D4452" i="11"/>
  <c r="D4451" i="11"/>
  <c r="D4450" i="11"/>
  <c r="D4449" i="11"/>
  <c r="D4448" i="11"/>
  <c r="D4447" i="11"/>
  <c r="D4446" i="11"/>
  <c r="D4445" i="11"/>
  <c r="D4444" i="11"/>
  <c r="D4443" i="11"/>
  <c r="D4442" i="11"/>
  <c r="D4441" i="11"/>
  <c r="D4440" i="11"/>
  <c r="D4439" i="11"/>
  <c r="D4438" i="11"/>
  <c r="D4437" i="11"/>
  <c r="D4436" i="11"/>
  <c r="D4435" i="11"/>
  <c r="D4434" i="11"/>
  <c r="D4433" i="11"/>
  <c r="D4432" i="11"/>
  <c r="D4431" i="11"/>
  <c r="D4430" i="11"/>
  <c r="D4429" i="11"/>
  <c r="D4428" i="11"/>
  <c r="D4427" i="11"/>
  <c r="D4426" i="11"/>
  <c r="D4425" i="11"/>
  <c r="D4424" i="11"/>
  <c r="D4423" i="11"/>
  <c r="D4422" i="11"/>
  <c r="D4421" i="11"/>
  <c r="D4420" i="11"/>
  <c r="D4419" i="11"/>
  <c r="D4418" i="11"/>
  <c r="D4417" i="11"/>
  <c r="D4416" i="11"/>
  <c r="D4415" i="11"/>
  <c r="D4414" i="11"/>
  <c r="D4413" i="11"/>
  <c r="D4412" i="11"/>
  <c r="D4411" i="11"/>
  <c r="D4410" i="11"/>
  <c r="D4409" i="11"/>
  <c r="D4408" i="11"/>
  <c r="D4407" i="11"/>
  <c r="D4406" i="11"/>
  <c r="D4405" i="11"/>
  <c r="D4404" i="11"/>
  <c r="D4403" i="11"/>
  <c r="D4402" i="11"/>
  <c r="D4401" i="11"/>
  <c r="D4400" i="11"/>
  <c r="D4399" i="11"/>
  <c r="D4398" i="11"/>
  <c r="D4397" i="11"/>
  <c r="D4396" i="11"/>
  <c r="D4395" i="11"/>
  <c r="D4394" i="11"/>
  <c r="D4393" i="11"/>
  <c r="D4392" i="11"/>
  <c r="D4391" i="11"/>
  <c r="D4390" i="11"/>
  <c r="D4389" i="11"/>
  <c r="D4388" i="11"/>
  <c r="D4387" i="11"/>
  <c r="D4386" i="11"/>
  <c r="D4385" i="11"/>
  <c r="D4384" i="11"/>
  <c r="D4383" i="11"/>
  <c r="D4382" i="11"/>
  <c r="D4381" i="11"/>
  <c r="D4380" i="11"/>
  <c r="D4379" i="11"/>
  <c r="D4378" i="11"/>
  <c r="D4377" i="11"/>
  <c r="D4376" i="11"/>
  <c r="D4375" i="11"/>
  <c r="D4374" i="11"/>
  <c r="D4373" i="11"/>
  <c r="D4372" i="11"/>
  <c r="D4371" i="11"/>
  <c r="D4370" i="11"/>
  <c r="D4369" i="11"/>
  <c r="D4368" i="11"/>
  <c r="D4367" i="11"/>
  <c r="D4366" i="11"/>
  <c r="D4365" i="11"/>
  <c r="D4364" i="11"/>
  <c r="D4363" i="11"/>
  <c r="D4362" i="11"/>
  <c r="D4361" i="11"/>
  <c r="D4360" i="11"/>
  <c r="D4359" i="11"/>
  <c r="D4358" i="11"/>
  <c r="D4357" i="11"/>
  <c r="D4356" i="11"/>
  <c r="D4355" i="11"/>
  <c r="D4354" i="11"/>
  <c r="D4353" i="11"/>
  <c r="D4352" i="11"/>
  <c r="D4351" i="11"/>
  <c r="D4350" i="11"/>
  <c r="D4349" i="11"/>
  <c r="D4348" i="11"/>
  <c r="D4347" i="11"/>
  <c r="D4346" i="11"/>
  <c r="D4345" i="11"/>
  <c r="D4344" i="11"/>
  <c r="D4343" i="11"/>
  <c r="D4342" i="11"/>
  <c r="D4341" i="11"/>
  <c r="D4340" i="11"/>
  <c r="D4339" i="11"/>
  <c r="D4338" i="11"/>
  <c r="D4337" i="11"/>
  <c r="D4336" i="11"/>
  <c r="D4335" i="11"/>
  <c r="D4334" i="11"/>
  <c r="D4333" i="11"/>
  <c r="D4332" i="11"/>
  <c r="D4331" i="11"/>
  <c r="D4330" i="11"/>
  <c r="D4329" i="11"/>
  <c r="D4328" i="11"/>
  <c r="D4327" i="11"/>
  <c r="D4326" i="11"/>
  <c r="D4325" i="11"/>
  <c r="D4324" i="11"/>
  <c r="D4323" i="11"/>
  <c r="D4322" i="11"/>
  <c r="D4321" i="11"/>
  <c r="D4320" i="11"/>
  <c r="D4319" i="11"/>
  <c r="D4318" i="11"/>
  <c r="D4317" i="11"/>
  <c r="D4316" i="11"/>
  <c r="D4315" i="11"/>
  <c r="D4314" i="11"/>
  <c r="D4313" i="11"/>
  <c r="D4312" i="11"/>
  <c r="D4311" i="11"/>
  <c r="D4310" i="11"/>
  <c r="D4309" i="11"/>
  <c r="D4308" i="11"/>
  <c r="D4307" i="11"/>
  <c r="D4306" i="11"/>
  <c r="D4305" i="11"/>
  <c r="D4304" i="11"/>
  <c r="D4303" i="11"/>
  <c r="D4302" i="11"/>
  <c r="D4301" i="11"/>
  <c r="D4300" i="11"/>
  <c r="D4299" i="11"/>
  <c r="D4298" i="11"/>
  <c r="D4297" i="11"/>
  <c r="D4296" i="11"/>
  <c r="D4295" i="11"/>
  <c r="D4294" i="11"/>
  <c r="D4293" i="11"/>
  <c r="D4292" i="11"/>
  <c r="D4291" i="11"/>
  <c r="D4290" i="11"/>
  <c r="D4289" i="11"/>
  <c r="D4288" i="11"/>
  <c r="D4287" i="11"/>
  <c r="D4286" i="11"/>
  <c r="D4285" i="11"/>
  <c r="D4284" i="11"/>
  <c r="D4283" i="11"/>
  <c r="D4282" i="11"/>
  <c r="D4281" i="11"/>
  <c r="D4280" i="11"/>
  <c r="D4279" i="11"/>
  <c r="D4278" i="11"/>
  <c r="D4277" i="11"/>
  <c r="D4276" i="11"/>
  <c r="D4275" i="11"/>
  <c r="D4274" i="11"/>
  <c r="D4273" i="11"/>
  <c r="D4272" i="11"/>
  <c r="D4271" i="11"/>
  <c r="D4270" i="11"/>
  <c r="D4269" i="11"/>
  <c r="D4268" i="11"/>
  <c r="D4267" i="11"/>
  <c r="D4266" i="11"/>
  <c r="D4265" i="11"/>
  <c r="D4264" i="11"/>
  <c r="D4263" i="11"/>
  <c r="D4262" i="11"/>
  <c r="D4261" i="11"/>
  <c r="D4260" i="11"/>
  <c r="D4259" i="11"/>
  <c r="D4258" i="11"/>
  <c r="D4257" i="11"/>
  <c r="D4256" i="11"/>
  <c r="D4255" i="11"/>
  <c r="D4254" i="11"/>
  <c r="D4253" i="11"/>
  <c r="D4252" i="11"/>
  <c r="D4251" i="11"/>
  <c r="D4250" i="11"/>
  <c r="D4249" i="11"/>
  <c r="D4248" i="11"/>
  <c r="D4247" i="11"/>
  <c r="D4246" i="11"/>
  <c r="D4245" i="11"/>
  <c r="D4244" i="11"/>
  <c r="D4243" i="11"/>
  <c r="D4242" i="11"/>
  <c r="D4241" i="11"/>
  <c r="D4240" i="11"/>
  <c r="D4239" i="11"/>
  <c r="D4238" i="11"/>
  <c r="D4237" i="11"/>
  <c r="D4236" i="11"/>
  <c r="D4235" i="11"/>
  <c r="D4234" i="11"/>
  <c r="D4233" i="11"/>
  <c r="D4232" i="11"/>
  <c r="D4231" i="11"/>
  <c r="D4230" i="11"/>
  <c r="D4229" i="11"/>
  <c r="D4228" i="11"/>
  <c r="D4227" i="11"/>
  <c r="D4226" i="11"/>
  <c r="D4225" i="11"/>
  <c r="D4224" i="11"/>
  <c r="D4223" i="11"/>
  <c r="D4222" i="11"/>
  <c r="D4221" i="11"/>
  <c r="D4220" i="11"/>
  <c r="D4219" i="11"/>
  <c r="D4218" i="11"/>
  <c r="D4217" i="11"/>
  <c r="D4216" i="11"/>
  <c r="D4215" i="11"/>
  <c r="D4214" i="11"/>
  <c r="D4213" i="11"/>
  <c r="D4212" i="11"/>
  <c r="D4211" i="11"/>
  <c r="D4210" i="11"/>
  <c r="D4209" i="11"/>
  <c r="D4208" i="11"/>
  <c r="D4207" i="11"/>
  <c r="D4206" i="11"/>
  <c r="D4205" i="11"/>
  <c r="D4204" i="11"/>
  <c r="D4203" i="11"/>
  <c r="D4202" i="11"/>
  <c r="D4201" i="11"/>
  <c r="D4200" i="11"/>
  <c r="D4199" i="11"/>
  <c r="D4198" i="11"/>
  <c r="D4197" i="11"/>
  <c r="D4196" i="11"/>
  <c r="D4195" i="11"/>
  <c r="D4194" i="11"/>
  <c r="D4193" i="11"/>
  <c r="D4192" i="11"/>
  <c r="D4191" i="11"/>
  <c r="D4190" i="11"/>
  <c r="D4189" i="11"/>
  <c r="D4188" i="11"/>
  <c r="D4187" i="11"/>
  <c r="D4186" i="11"/>
  <c r="D4185" i="11"/>
  <c r="D4184" i="11"/>
  <c r="D4183" i="11"/>
  <c r="D4182" i="11"/>
  <c r="D4181" i="11"/>
  <c r="D4180" i="11"/>
  <c r="D4179" i="11"/>
  <c r="D4178" i="11"/>
  <c r="D4177" i="11"/>
  <c r="D4176" i="11"/>
  <c r="D4175" i="11"/>
  <c r="D4174" i="11"/>
  <c r="D4173" i="11"/>
  <c r="D4172" i="11"/>
  <c r="D4171" i="11"/>
  <c r="D4170" i="11"/>
  <c r="D4169" i="11"/>
  <c r="D4168" i="11"/>
  <c r="D4167" i="11"/>
  <c r="D4166" i="11"/>
  <c r="D4165" i="11"/>
  <c r="D4164" i="11"/>
  <c r="D4163" i="11"/>
  <c r="D4162" i="11"/>
  <c r="D4161" i="11"/>
  <c r="D4160" i="11"/>
  <c r="D4159" i="11"/>
  <c r="D4158" i="11"/>
  <c r="D4157" i="11"/>
  <c r="D4156" i="11"/>
  <c r="D4155" i="11"/>
  <c r="D4154" i="11"/>
  <c r="D4153" i="11"/>
  <c r="D4152" i="11"/>
  <c r="D4151" i="11"/>
  <c r="D4150" i="11"/>
  <c r="D4149" i="11"/>
  <c r="D4148" i="11"/>
  <c r="D4147" i="11"/>
  <c r="D4146" i="11"/>
  <c r="D4145" i="11"/>
  <c r="D4144" i="11"/>
  <c r="D4143" i="11"/>
  <c r="D4142" i="11"/>
  <c r="D4141" i="11"/>
  <c r="D4140" i="11"/>
  <c r="D4139" i="11"/>
  <c r="D4138" i="11"/>
  <c r="D4137" i="11"/>
  <c r="D4136" i="11"/>
  <c r="D4135" i="11"/>
  <c r="D4134" i="11"/>
  <c r="D4133" i="11"/>
  <c r="D4132" i="11"/>
  <c r="D4131" i="11"/>
  <c r="D4130" i="11"/>
  <c r="D4129" i="11"/>
  <c r="D4128" i="11"/>
  <c r="D4127" i="11"/>
  <c r="D4126" i="11"/>
  <c r="D4125" i="11"/>
  <c r="D4124" i="11"/>
  <c r="D4123" i="11"/>
  <c r="D4122" i="11"/>
  <c r="D4121" i="11"/>
  <c r="D4120" i="11"/>
  <c r="D4119" i="11"/>
  <c r="D4118" i="11"/>
  <c r="D4117" i="11"/>
  <c r="D4116" i="11"/>
  <c r="D4115" i="11"/>
  <c r="D4114" i="11"/>
  <c r="D4113" i="11"/>
  <c r="D4112" i="11"/>
  <c r="D4111" i="11"/>
  <c r="D4110" i="11"/>
  <c r="D4109" i="11"/>
  <c r="D4108" i="11"/>
  <c r="D4107" i="11"/>
  <c r="D4106" i="11"/>
  <c r="D4105" i="11"/>
  <c r="D4104" i="11"/>
  <c r="D4103" i="11"/>
  <c r="D4102" i="11"/>
  <c r="D4101" i="11"/>
  <c r="D4100" i="11"/>
  <c r="D4099" i="11"/>
  <c r="D4098" i="11"/>
  <c r="D4097" i="11"/>
  <c r="D4096" i="11"/>
  <c r="D4095" i="11"/>
  <c r="D4094" i="11"/>
  <c r="D4093" i="11"/>
  <c r="D4092" i="11"/>
  <c r="D4091" i="11"/>
  <c r="D4090" i="11"/>
  <c r="D4089" i="11"/>
  <c r="D4088" i="11"/>
  <c r="D4087" i="11"/>
  <c r="D4086" i="11"/>
  <c r="D4085" i="11"/>
  <c r="D4084" i="11"/>
  <c r="D4083" i="11"/>
  <c r="D4082" i="11"/>
  <c r="D4081" i="11"/>
  <c r="D4080" i="11"/>
  <c r="D4079" i="11"/>
  <c r="D4078" i="11"/>
  <c r="D4077" i="11"/>
  <c r="D4076" i="11"/>
  <c r="D4075" i="11"/>
  <c r="D4074" i="11"/>
  <c r="D4073" i="11"/>
  <c r="D4072" i="11"/>
  <c r="D4071" i="11"/>
  <c r="D4070" i="11"/>
  <c r="D4069" i="11"/>
  <c r="D4068" i="11"/>
  <c r="D4067" i="11"/>
  <c r="D4066" i="11"/>
  <c r="D4065" i="11"/>
  <c r="D4064" i="11"/>
  <c r="D4063" i="11"/>
  <c r="D4062" i="11"/>
  <c r="D4061" i="11"/>
  <c r="D4060" i="11"/>
  <c r="D4059" i="11"/>
  <c r="D4058" i="11"/>
  <c r="D4057" i="11"/>
  <c r="D4056" i="11"/>
  <c r="D4055" i="11"/>
  <c r="D4054" i="11"/>
  <c r="D4053" i="11"/>
  <c r="D4052" i="11"/>
  <c r="D4051" i="11"/>
  <c r="D4050" i="11"/>
  <c r="D4049" i="11"/>
  <c r="D4048" i="11"/>
  <c r="D4047" i="11"/>
  <c r="D4046" i="11"/>
  <c r="D4045" i="11"/>
  <c r="D4044" i="11"/>
  <c r="D4043" i="11"/>
  <c r="D4042" i="11"/>
  <c r="D4041" i="11"/>
  <c r="D4040" i="11"/>
  <c r="D4039" i="11"/>
  <c r="D4038" i="11"/>
  <c r="D4037" i="11"/>
  <c r="D4036" i="11"/>
  <c r="D4035" i="11"/>
  <c r="D4034" i="11"/>
  <c r="D4033" i="11"/>
  <c r="D4032" i="11"/>
  <c r="D4031" i="11"/>
  <c r="D4030" i="11"/>
  <c r="D4029" i="11"/>
  <c r="D4028" i="11"/>
  <c r="D4027" i="11"/>
  <c r="D4026" i="11"/>
  <c r="D4025" i="11"/>
  <c r="D4024" i="11"/>
  <c r="D4023" i="11"/>
  <c r="D4022" i="11"/>
  <c r="D4021" i="11"/>
  <c r="D4020" i="11"/>
  <c r="D4019" i="11"/>
  <c r="D4018" i="11"/>
  <c r="D4017" i="11"/>
  <c r="D4016" i="11"/>
  <c r="D4015" i="11"/>
  <c r="D4014" i="11"/>
  <c r="D4013" i="11"/>
  <c r="D4012" i="11"/>
  <c r="D4011" i="11"/>
  <c r="D4010" i="11"/>
  <c r="D4009" i="11"/>
  <c r="D4008" i="11"/>
  <c r="D4007" i="11"/>
  <c r="D4006" i="11"/>
  <c r="D4005" i="11"/>
  <c r="D4004" i="11"/>
  <c r="D4003" i="11"/>
  <c r="D4002" i="11"/>
  <c r="D4001" i="11"/>
  <c r="D4000" i="11"/>
  <c r="D3999" i="11"/>
  <c r="D3998" i="11"/>
  <c r="D3997" i="11"/>
  <c r="D3996" i="11"/>
  <c r="D3995" i="11"/>
  <c r="D3994" i="11"/>
  <c r="D3993" i="11"/>
  <c r="D3992" i="11"/>
  <c r="D3991" i="11"/>
  <c r="D3990" i="11"/>
  <c r="D3989" i="11"/>
  <c r="D3988" i="11"/>
  <c r="D3987" i="11"/>
  <c r="D3986" i="11"/>
  <c r="D3985" i="11"/>
  <c r="D3984" i="11"/>
  <c r="D3983" i="11"/>
  <c r="D3982" i="11"/>
  <c r="D3981" i="11"/>
  <c r="D3980" i="11"/>
  <c r="D3979" i="11"/>
  <c r="D3978" i="11"/>
  <c r="D3977" i="11"/>
  <c r="D3976" i="11"/>
  <c r="D3975" i="11"/>
  <c r="D3974" i="11"/>
  <c r="D3973" i="11"/>
  <c r="D3972" i="11"/>
  <c r="D3971" i="11"/>
  <c r="D3970" i="11"/>
  <c r="D3969" i="11"/>
  <c r="D3968" i="11"/>
  <c r="D3967" i="11"/>
  <c r="D3966" i="11"/>
  <c r="D3965" i="11"/>
  <c r="D3964" i="11"/>
  <c r="D3963" i="11"/>
  <c r="D3962" i="11"/>
  <c r="D3961" i="11"/>
  <c r="D3960" i="11"/>
  <c r="D3959" i="11"/>
  <c r="D3958" i="11"/>
  <c r="D3957" i="11"/>
  <c r="D3956" i="11"/>
  <c r="D3955" i="11"/>
  <c r="D3954" i="11"/>
  <c r="D3953" i="11"/>
  <c r="D3952" i="11"/>
  <c r="D3951" i="11"/>
  <c r="D3950" i="11"/>
  <c r="D3949" i="11"/>
  <c r="D3948" i="11"/>
  <c r="D3947" i="11"/>
  <c r="D3946" i="11"/>
  <c r="D3945" i="11"/>
  <c r="D3944" i="11"/>
  <c r="D3943" i="11"/>
  <c r="D3942" i="11"/>
  <c r="D3941" i="11"/>
  <c r="D3940" i="11"/>
  <c r="D3939" i="11"/>
  <c r="D3938" i="11"/>
  <c r="D3937" i="11"/>
  <c r="D3936" i="11"/>
  <c r="D3935" i="11"/>
  <c r="D3934" i="11"/>
  <c r="D3933" i="11"/>
  <c r="D3932" i="11"/>
  <c r="D3931" i="11"/>
  <c r="D3930" i="11"/>
  <c r="D3929" i="11"/>
  <c r="D3928" i="11"/>
  <c r="D3927" i="11"/>
  <c r="D3926" i="11"/>
  <c r="D3925" i="11"/>
  <c r="D3924" i="11"/>
  <c r="D3923" i="11"/>
  <c r="D3922" i="11"/>
  <c r="D3921" i="11"/>
  <c r="D3920" i="11"/>
  <c r="D3919" i="11"/>
  <c r="D3918" i="11"/>
  <c r="D3917" i="11"/>
  <c r="D3916" i="11"/>
  <c r="D3915" i="11"/>
  <c r="D3914" i="11"/>
  <c r="D3913" i="11"/>
  <c r="D3912" i="11"/>
  <c r="D3911" i="11"/>
  <c r="D3910" i="11"/>
  <c r="D3909" i="11"/>
  <c r="D3908" i="11"/>
  <c r="D3907" i="11"/>
  <c r="D3906" i="11"/>
  <c r="D3905" i="11"/>
  <c r="D3904" i="11"/>
  <c r="D3903" i="11"/>
  <c r="D3902" i="11"/>
  <c r="D3901" i="11"/>
  <c r="D3900" i="11"/>
  <c r="D3899" i="11"/>
  <c r="D3898" i="11"/>
  <c r="D3897" i="11"/>
  <c r="D3896" i="11"/>
  <c r="D3895" i="11"/>
  <c r="D3894" i="11"/>
  <c r="D3893" i="11"/>
  <c r="D3892" i="11"/>
  <c r="D3891" i="11"/>
  <c r="D3890" i="11"/>
  <c r="D3889" i="11"/>
  <c r="D3888" i="11"/>
  <c r="D3887" i="11"/>
  <c r="D3886" i="11"/>
  <c r="D3885" i="11"/>
  <c r="D3884" i="11"/>
  <c r="D3883" i="11"/>
  <c r="D3882" i="11"/>
  <c r="D3881" i="11"/>
  <c r="D3880" i="11"/>
  <c r="D3879" i="11"/>
  <c r="D3878" i="11"/>
  <c r="D3877" i="11"/>
  <c r="D3876" i="11"/>
  <c r="D3875" i="11"/>
  <c r="D3874" i="11"/>
  <c r="D3873" i="11"/>
  <c r="D3872" i="11"/>
  <c r="D3871" i="11"/>
  <c r="D3870" i="11"/>
  <c r="D3869" i="11"/>
  <c r="D3868" i="11"/>
  <c r="D3867" i="11"/>
  <c r="D3866" i="11"/>
  <c r="D3865" i="11"/>
  <c r="D3864" i="11"/>
  <c r="D3863" i="11"/>
  <c r="D3862" i="11"/>
  <c r="D3861" i="11"/>
  <c r="D3860" i="11"/>
  <c r="D3859" i="11"/>
  <c r="D3858" i="11"/>
  <c r="D3857" i="11"/>
  <c r="D3856" i="11"/>
  <c r="D3855" i="11"/>
  <c r="D3854" i="11"/>
  <c r="D3853" i="11"/>
  <c r="D3852" i="11"/>
  <c r="D3851" i="11"/>
  <c r="D3850" i="11"/>
  <c r="D3849" i="11"/>
  <c r="D3848" i="11"/>
  <c r="D3847" i="11"/>
  <c r="D3846" i="11"/>
  <c r="D3845" i="11"/>
  <c r="D3844" i="11"/>
  <c r="D3843" i="11"/>
  <c r="D3842" i="11"/>
  <c r="D3841" i="11"/>
  <c r="D3840" i="11"/>
  <c r="D3839" i="11"/>
  <c r="D3838" i="11"/>
  <c r="D3837" i="11"/>
  <c r="D3836" i="11"/>
  <c r="D3835" i="11"/>
  <c r="D3834" i="11"/>
  <c r="D3833" i="11"/>
  <c r="D3832" i="11"/>
  <c r="D3831" i="11"/>
  <c r="D3830" i="11"/>
  <c r="D3829" i="11"/>
  <c r="D3828" i="11"/>
  <c r="D3827" i="11"/>
  <c r="D3826" i="11"/>
  <c r="D3825" i="11"/>
  <c r="D3824" i="11"/>
  <c r="D3823" i="11"/>
  <c r="D3822" i="11"/>
  <c r="D3821" i="11"/>
  <c r="D3820" i="11"/>
  <c r="D3819" i="11"/>
  <c r="D3818" i="11"/>
  <c r="D3817" i="11"/>
  <c r="D3816" i="11"/>
  <c r="D3815" i="11"/>
  <c r="D3814" i="11"/>
  <c r="D3813" i="11"/>
  <c r="D3812" i="11"/>
  <c r="D3811" i="11"/>
  <c r="D3810" i="11"/>
  <c r="D3809" i="11"/>
  <c r="D3808" i="11"/>
  <c r="D3807" i="11"/>
  <c r="D3806" i="11"/>
  <c r="D3805" i="11"/>
  <c r="D3804" i="11"/>
  <c r="D3803" i="11"/>
  <c r="D3802" i="11"/>
  <c r="D3801" i="11"/>
  <c r="D3800" i="11"/>
  <c r="D3799" i="11"/>
  <c r="D3798" i="11"/>
  <c r="D3797" i="11"/>
  <c r="D3796" i="11"/>
  <c r="D3795" i="11"/>
  <c r="D3794" i="11"/>
  <c r="D3793" i="11"/>
  <c r="D3792" i="11"/>
  <c r="D3791" i="11"/>
  <c r="D3790" i="11"/>
  <c r="D3789" i="11"/>
  <c r="D3788" i="11"/>
  <c r="D3787" i="11"/>
  <c r="D3786" i="11"/>
  <c r="D3785" i="11"/>
  <c r="D3784" i="11"/>
  <c r="D3783" i="11"/>
  <c r="D3782" i="11"/>
  <c r="D3781" i="11"/>
  <c r="D3780" i="11"/>
  <c r="D3779" i="11"/>
  <c r="D3778" i="11"/>
  <c r="D3777" i="11"/>
  <c r="D3776" i="11"/>
  <c r="D3775" i="11"/>
  <c r="D3774" i="11"/>
  <c r="D3773" i="11"/>
  <c r="D3772" i="11"/>
  <c r="D3771" i="11"/>
  <c r="D3770" i="11"/>
  <c r="D3769" i="11"/>
  <c r="D3768" i="11"/>
  <c r="D3767" i="11"/>
  <c r="D3766" i="11"/>
  <c r="D3765" i="11"/>
  <c r="D3764" i="11"/>
  <c r="D3763" i="11"/>
  <c r="D3762" i="11"/>
  <c r="D3761" i="11"/>
  <c r="D3760" i="11"/>
  <c r="D3759" i="11"/>
  <c r="D3758" i="11"/>
  <c r="D3757" i="11"/>
  <c r="D3756" i="11"/>
  <c r="D3755" i="11"/>
  <c r="D3754" i="11"/>
  <c r="D3753" i="11"/>
  <c r="D3752" i="11"/>
  <c r="D3751" i="11"/>
  <c r="D3750" i="11"/>
  <c r="D3749" i="11"/>
  <c r="D3748" i="11"/>
  <c r="D3747" i="11"/>
  <c r="D3746" i="11"/>
  <c r="D3745" i="11"/>
  <c r="D3744" i="11"/>
  <c r="D3743" i="11"/>
  <c r="D3742" i="11"/>
  <c r="D3741" i="11"/>
  <c r="D3740" i="11"/>
  <c r="D3739" i="11"/>
  <c r="D3738" i="11"/>
  <c r="D3737" i="11"/>
  <c r="D3736" i="11"/>
  <c r="D3735" i="11"/>
  <c r="D3734" i="11"/>
  <c r="D3733" i="11"/>
  <c r="D3732" i="11"/>
  <c r="D3731" i="11"/>
  <c r="D3730" i="11"/>
  <c r="D3729" i="11"/>
  <c r="D3728" i="11"/>
  <c r="D3727" i="11"/>
  <c r="D3726" i="11"/>
  <c r="D3725" i="11"/>
  <c r="D3724" i="11"/>
  <c r="D3723" i="11"/>
  <c r="D3722" i="11"/>
  <c r="D3721" i="11"/>
  <c r="D3720" i="11"/>
  <c r="D3719" i="11"/>
  <c r="D3718" i="11"/>
  <c r="D3717" i="11"/>
  <c r="D3716" i="11"/>
  <c r="D3715" i="11"/>
  <c r="D3714" i="11"/>
  <c r="D3713" i="11"/>
  <c r="D3712" i="11"/>
  <c r="D3711" i="11"/>
  <c r="D3710" i="11"/>
  <c r="D3709" i="11"/>
  <c r="D3708" i="11"/>
  <c r="D3707" i="11"/>
  <c r="D3706" i="11"/>
  <c r="D3705" i="11"/>
  <c r="D3704" i="11"/>
  <c r="D3703" i="11"/>
  <c r="D3702" i="11"/>
  <c r="D3701" i="11"/>
  <c r="D3700" i="11"/>
  <c r="D3699" i="11"/>
  <c r="D3698" i="11"/>
  <c r="D3697" i="11"/>
  <c r="D3696" i="11"/>
  <c r="D3695" i="11"/>
  <c r="D3694" i="11"/>
  <c r="D3693" i="11"/>
  <c r="D3692" i="11"/>
  <c r="D3691" i="11"/>
  <c r="D3690" i="11"/>
  <c r="D3689" i="11"/>
  <c r="D3688" i="11"/>
  <c r="D3687" i="11"/>
  <c r="D3686" i="11"/>
  <c r="D3685" i="11"/>
  <c r="D3684" i="11"/>
  <c r="D3683" i="11"/>
  <c r="D3682" i="11"/>
  <c r="D3681" i="11"/>
  <c r="D3680" i="11"/>
  <c r="D3679" i="11"/>
  <c r="D3678" i="11"/>
  <c r="D3677" i="11"/>
  <c r="D3676" i="11"/>
  <c r="D3675" i="11"/>
  <c r="D3674" i="11"/>
  <c r="D3673" i="11"/>
  <c r="D3672" i="11"/>
  <c r="D3671" i="11"/>
  <c r="D3670" i="11"/>
  <c r="D3669" i="11"/>
  <c r="D3668" i="11"/>
  <c r="D3667" i="11"/>
  <c r="D3666" i="11"/>
  <c r="D3665" i="11"/>
  <c r="D3664" i="11"/>
  <c r="D3663" i="11"/>
  <c r="D3662" i="11"/>
  <c r="D3661" i="11"/>
  <c r="D3660" i="11"/>
  <c r="D3659" i="11"/>
  <c r="D3658" i="11"/>
  <c r="D3657" i="11"/>
  <c r="D3656" i="11"/>
  <c r="D3655" i="11"/>
  <c r="D3654" i="11"/>
  <c r="D3653" i="11"/>
  <c r="D3652" i="11"/>
  <c r="D3651" i="11"/>
  <c r="D3650" i="11"/>
  <c r="D3649" i="11"/>
  <c r="D3648" i="11"/>
  <c r="D3647" i="11"/>
  <c r="D3646" i="11"/>
  <c r="D3645" i="11"/>
  <c r="D3644" i="11"/>
  <c r="D3643" i="11"/>
  <c r="D3642" i="11"/>
  <c r="D3641" i="11"/>
  <c r="D3640" i="11"/>
  <c r="D3639" i="11"/>
  <c r="D3638" i="11"/>
  <c r="D3637" i="11"/>
  <c r="D3636" i="11"/>
  <c r="D3635" i="11"/>
  <c r="D3634" i="11"/>
  <c r="D3633" i="11"/>
  <c r="D3632" i="11"/>
  <c r="D3631" i="11"/>
  <c r="D3630" i="11"/>
  <c r="D3629" i="11"/>
  <c r="D3628" i="11"/>
  <c r="D3627" i="11"/>
  <c r="D3626" i="11"/>
  <c r="D3625" i="11"/>
  <c r="D3624" i="11"/>
  <c r="D3623" i="11"/>
  <c r="D3622" i="11"/>
  <c r="D3621" i="11"/>
  <c r="D3620" i="11"/>
  <c r="D3619" i="11"/>
  <c r="D3618" i="11"/>
  <c r="D3617" i="11"/>
  <c r="D3616" i="11"/>
  <c r="D3615" i="11"/>
  <c r="D3614" i="11"/>
  <c r="D3613" i="11"/>
  <c r="D3612" i="11"/>
  <c r="D3611" i="11"/>
  <c r="D3610" i="11"/>
  <c r="D3609" i="11"/>
  <c r="D3608" i="11"/>
  <c r="D3607" i="11"/>
  <c r="D3606" i="11"/>
  <c r="D3605" i="11"/>
  <c r="D3604" i="11"/>
  <c r="D3603" i="11"/>
  <c r="D3602" i="11"/>
  <c r="D3601" i="11"/>
  <c r="D3600" i="11"/>
  <c r="D3599" i="11"/>
  <c r="D3598" i="11"/>
  <c r="D3597" i="11"/>
  <c r="D3596" i="11"/>
  <c r="D3595" i="11"/>
  <c r="D3594" i="11"/>
  <c r="D3593" i="11"/>
  <c r="D3592" i="11"/>
  <c r="D3591" i="11"/>
  <c r="D3590" i="11"/>
  <c r="D3589" i="11"/>
  <c r="D3588" i="11"/>
  <c r="D3587" i="11"/>
  <c r="D3586" i="11"/>
  <c r="D3585" i="11"/>
  <c r="D3584" i="11"/>
  <c r="D3583" i="11"/>
  <c r="D3582" i="11"/>
  <c r="D3581" i="11"/>
  <c r="D3580" i="11"/>
  <c r="D3579" i="11"/>
  <c r="D3578" i="11"/>
  <c r="D3577" i="11"/>
  <c r="D3576" i="11"/>
  <c r="D3575" i="11"/>
  <c r="D3574" i="11"/>
  <c r="D3573" i="11"/>
  <c r="D3572" i="11"/>
  <c r="D3571" i="11"/>
  <c r="D3570" i="11"/>
  <c r="D3569" i="11"/>
  <c r="D3568" i="11"/>
  <c r="D3567" i="11"/>
  <c r="D3566" i="11"/>
  <c r="D3565" i="11"/>
  <c r="D3564" i="11"/>
  <c r="D3563" i="11"/>
  <c r="D3562" i="11"/>
  <c r="D3561" i="11"/>
  <c r="D3560" i="11"/>
  <c r="D3559" i="11"/>
  <c r="D3558" i="11"/>
  <c r="D3557" i="11"/>
  <c r="D3556" i="11"/>
  <c r="D3555" i="11"/>
  <c r="D3554" i="11"/>
  <c r="D3553" i="11"/>
  <c r="D3552" i="11"/>
  <c r="D3551" i="11"/>
  <c r="D3550" i="11"/>
  <c r="D3549" i="11"/>
  <c r="D3548" i="11"/>
  <c r="D3547" i="11"/>
  <c r="D3546" i="11"/>
  <c r="D3545" i="11"/>
  <c r="D3544" i="11"/>
  <c r="D3543" i="11"/>
  <c r="D3542" i="11"/>
  <c r="D3541" i="11"/>
  <c r="D3540" i="11"/>
  <c r="D3539" i="11"/>
  <c r="D3538" i="11"/>
  <c r="D3537" i="11"/>
  <c r="D3536" i="11"/>
  <c r="D3535" i="11"/>
  <c r="D3534" i="11"/>
  <c r="D3533" i="11"/>
  <c r="D3532" i="11"/>
  <c r="D3531" i="11"/>
  <c r="D3530" i="11"/>
  <c r="D3529" i="11"/>
  <c r="D3528" i="11"/>
  <c r="D3527" i="11"/>
  <c r="D3526" i="11"/>
  <c r="D3525" i="11"/>
  <c r="D3524" i="11"/>
  <c r="D3523" i="11"/>
  <c r="D3522" i="11"/>
  <c r="D3521" i="11"/>
  <c r="D3520" i="11"/>
  <c r="D3519" i="11"/>
  <c r="D3518" i="11"/>
  <c r="D3517" i="11"/>
  <c r="D3516" i="11"/>
  <c r="D3515" i="11"/>
  <c r="D3514" i="11"/>
  <c r="D3513" i="11"/>
  <c r="D3512" i="11"/>
  <c r="D3511" i="11"/>
  <c r="D3510" i="11"/>
  <c r="D3509" i="11"/>
  <c r="D3508" i="11"/>
  <c r="D3507" i="11"/>
  <c r="D3506" i="11"/>
  <c r="D3505" i="11"/>
  <c r="D3504" i="11"/>
  <c r="D3503" i="11"/>
  <c r="D3502" i="11"/>
  <c r="D3501" i="11"/>
  <c r="D3500" i="11"/>
  <c r="D3499" i="11"/>
  <c r="D3498" i="11"/>
  <c r="D3497" i="11"/>
  <c r="D3496" i="11"/>
  <c r="D3495" i="11"/>
  <c r="D3494" i="11"/>
  <c r="D3493" i="11"/>
  <c r="D3492" i="11"/>
  <c r="D3491" i="11"/>
  <c r="D3490" i="11"/>
  <c r="D3489" i="11"/>
  <c r="D3488" i="11"/>
  <c r="D3487" i="11"/>
  <c r="D3486" i="11"/>
  <c r="D3485" i="11"/>
  <c r="D3484" i="11"/>
  <c r="D3483" i="11"/>
  <c r="D3482" i="11"/>
  <c r="D3481" i="11"/>
  <c r="D3480" i="11"/>
  <c r="D3479" i="11"/>
  <c r="D3478" i="11"/>
  <c r="D3477" i="11"/>
  <c r="D3476" i="11"/>
  <c r="D3475" i="11"/>
  <c r="D3474" i="11"/>
  <c r="D3473" i="11"/>
  <c r="D3472" i="11"/>
  <c r="D3471" i="11"/>
  <c r="D3470" i="11"/>
  <c r="D3469" i="11"/>
  <c r="D3468" i="11"/>
  <c r="D3467" i="11"/>
  <c r="D3466" i="11"/>
  <c r="D3465" i="11"/>
  <c r="D3464" i="11"/>
  <c r="D3463" i="11"/>
  <c r="D3462" i="11"/>
  <c r="D3461" i="11"/>
  <c r="D3460" i="11"/>
  <c r="D3459" i="11"/>
  <c r="D3458" i="11"/>
  <c r="D3457" i="11"/>
  <c r="D3456" i="11"/>
  <c r="D3455" i="11"/>
  <c r="D3454" i="11"/>
  <c r="D3453" i="11"/>
  <c r="D3452" i="11"/>
  <c r="D3451" i="11"/>
  <c r="D3450" i="11"/>
  <c r="D3449" i="11"/>
  <c r="D3448" i="11"/>
  <c r="D3447" i="11"/>
  <c r="D3446" i="11"/>
  <c r="D3445" i="11"/>
  <c r="D3444" i="11"/>
  <c r="D3443" i="11"/>
  <c r="D3442" i="11"/>
  <c r="D3441" i="11"/>
  <c r="D3440" i="11"/>
  <c r="D3439" i="11"/>
  <c r="D3438" i="11"/>
  <c r="D3437" i="11"/>
  <c r="D3436" i="11"/>
  <c r="D3435" i="11"/>
  <c r="D3434" i="11"/>
  <c r="D3433" i="11"/>
  <c r="D3432" i="11"/>
  <c r="D3431" i="11"/>
  <c r="D3430" i="11"/>
  <c r="D3429" i="11"/>
  <c r="D3428" i="11"/>
  <c r="D3427" i="11"/>
  <c r="D3426" i="11"/>
  <c r="D3425" i="11"/>
  <c r="D3424" i="11"/>
  <c r="D3423" i="11"/>
  <c r="D3422" i="11"/>
  <c r="D3421" i="11"/>
  <c r="D3420" i="11"/>
  <c r="D3419" i="11"/>
  <c r="D3418" i="11"/>
  <c r="D3417" i="11"/>
  <c r="D3416" i="11"/>
  <c r="D3415" i="11"/>
  <c r="D3414" i="11"/>
  <c r="D3413" i="11"/>
  <c r="D3412" i="11"/>
  <c r="D3411" i="11"/>
  <c r="D3410" i="11"/>
  <c r="D3409" i="11"/>
  <c r="D3408" i="11"/>
  <c r="D3407" i="11"/>
  <c r="D3406" i="11"/>
  <c r="D3405" i="11"/>
  <c r="D3404" i="11"/>
  <c r="D3403" i="11"/>
  <c r="D3402" i="11"/>
  <c r="D3401" i="11"/>
  <c r="D3400" i="11"/>
  <c r="D3399" i="11"/>
  <c r="D3398" i="11"/>
  <c r="D3397" i="11"/>
  <c r="D3396" i="11"/>
  <c r="D3395" i="11"/>
  <c r="D3394" i="11"/>
  <c r="D3393" i="11"/>
  <c r="D3392" i="11"/>
  <c r="D3391" i="11"/>
  <c r="D3390" i="11"/>
  <c r="D3389" i="11"/>
  <c r="D3388" i="11"/>
  <c r="D3387" i="11"/>
  <c r="D3386" i="11"/>
  <c r="D3385" i="11"/>
  <c r="D3384" i="11"/>
  <c r="D3383" i="11"/>
  <c r="D3382" i="11"/>
  <c r="D3381" i="11"/>
  <c r="D3380" i="11"/>
  <c r="D3379" i="11"/>
  <c r="D3378" i="11"/>
  <c r="D3377" i="11"/>
  <c r="D3376" i="11"/>
  <c r="D3375" i="11"/>
  <c r="D3374" i="11"/>
  <c r="D3373" i="11"/>
  <c r="D3372" i="11"/>
  <c r="D3371" i="11"/>
  <c r="D3370" i="11"/>
  <c r="D3369" i="11"/>
  <c r="D3368" i="11"/>
  <c r="D3367" i="11"/>
  <c r="D3366" i="11"/>
  <c r="D3365" i="11"/>
  <c r="D3364" i="11"/>
  <c r="D3363" i="11"/>
  <c r="D3362" i="11"/>
  <c r="D3361" i="11"/>
  <c r="D3360" i="11"/>
  <c r="D3359" i="11"/>
  <c r="D3358" i="11"/>
  <c r="D3357" i="11"/>
  <c r="D3356" i="11"/>
  <c r="D3355" i="11"/>
  <c r="D3354" i="11"/>
  <c r="D3353" i="11"/>
  <c r="D3352" i="11"/>
  <c r="D3351" i="11"/>
  <c r="D3350" i="11"/>
  <c r="D3349" i="11"/>
  <c r="D3348" i="11"/>
  <c r="D3347" i="11"/>
  <c r="D3346" i="11"/>
  <c r="D3345" i="11"/>
  <c r="D3344" i="11"/>
  <c r="D3343" i="11"/>
  <c r="D3342" i="11"/>
  <c r="D3341" i="11"/>
  <c r="D3340" i="11"/>
  <c r="D3339" i="11"/>
  <c r="D3338" i="11"/>
  <c r="D3337" i="11"/>
  <c r="D3336" i="11"/>
  <c r="D3335" i="11"/>
  <c r="D3334" i="11"/>
  <c r="D3333" i="11"/>
  <c r="D3332" i="11"/>
  <c r="D3331" i="11"/>
  <c r="D3330" i="11"/>
  <c r="D3329" i="11"/>
  <c r="D3328" i="11"/>
  <c r="D3327" i="11"/>
  <c r="D3326" i="11"/>
  <c r="D3325" i="11"/>
  <c r="D3324" i="11"/>
  <c r="D3323" i="11"/>
  <c r="D3322" i="11"/>
  <c r="D3321" i="11"/>
  <c r="D3320" i="11"/>
  <c r="D3319" i="11"/>
  <c r="D3318" i="11"/>
  <c r="D3317" i="11"/>
  <c r="D3316" i="11"/>
  <c r="D3315" i="11"/>
  <c r="D3314" i="11"/>
  <c r="D3313" i="11"/>
  <c r="D3312" i="11"/>
  <c r="D3311" i="11"/>
  <c r="D3310" i="11"/>
  <c r="D3309" i="11"/>
  <c r="D3308" i="11"/>
  <c r="D3307" i="11"/>
  <c r="D3306" i="11"/>
  <c r="D3305" i="11"/>
  <c r="D3304" i="11"/>
  <c r="D3303" i="11"/>
  <c r="D3302" i="11"/>
  <c r="D3301" i="11"/>
  <c r="D3300" i="11"/>
  <c r="D3299" i="11"/>
  <c r="D3298" i="11"/>
  <c r="D3297" i="11"/>
  <c r="D3296" i="11"/>
  <c r="D3295" i="11"/>
  <c r="D3294" i="11"/>
  <c r="D3293" i="11"/>
  <c r="D3292" i="11"/>
  <c r="D3291" i="11"/>
  <c r="D3290" i="11"/>
  <c r="D3289" i="11"/>
  <c r="D3288" i="11"/>
  <c r="D3287" i="11"/>
  <c r="D3286" i="11"/>
  <c r="D3285" i="11"/>
  <c r="D3284" i="11"/>
  <c r="D3283" i="11"/>
  <c r="D3282" i="11"/>
  <c r="D3281" i="11"/>
  <c r="D3280" i="11"/>
  <c r="D3279" i="11"/>
  <c r="D3278" i="11"/>
  <c r="D3277" i="11"/>
  <c r="D3276" i="11"/>
  <c r="D3275" i="11"/>
  <c r="D3274" i="11"/>
  <c r="D3273" i="11"/>
  <c r="D3272" i="11"/>
  <c r="D3271" i="11"/>
  <c r="D3270" i="11"/>
  <c r="D3269" i="11"/>
  <c r="D3268" i="11"/>
  <c r="D3267" i="11"/>
  <c r="D3266" i="11"/>
  <c r="D3265" i="11"/>
  <c r="D3264" i="11"/>
  <c r="D3263" i="11"/>
  <c r="D3262" i="11"/>
  <c r="D3261" i="11"/>
  <c r="D3260" i="11"/>
  <c r="D3259" i="11"/>
  <c r="D3258" i="11"/>
  <c r="D3257" i="11"/>
  <c r="D3256" i="11"/>
  <c r="D3255" i="11"/>
  <c r="D3254" i="11"/>
  <c r="D3253" i="11"/>
  <c r="D3252" i="11"/>
  <c r="D3251" i="11"/>
  <c r="D3250" i="11"/>
  <c r="D3249" i="11"/>
  <c r="D3248" i="11"/>
  <c r="D3247" i="11"/>
  <c r="D3246" i="11"/>
  <c r="D3245" i="11"/>
  <c r="D3244" i="11"/>
  <c r="D3243" i="11"/>
  <c r="D3242" i="11"/>
  <c r="D3241" i="11"/>
  <c r="D3240" i="11"/>
  <c r="D3239" i="11"/>
  <c r="D3238" i="11"/>
  <c r="D3237" i="11"/>
  <c r="D3236" i="11"/>
  <c r="D3235" i="11"/>
  <c r="D3234" i="11"/>
  <c r="D3233" i="11"/>
  <c r="D3232" i="11"/>
  <c r="D3231" i="11"/>
  <c r="D3230" i="11"/>
  <c r="D3229" i="11"/>
  <c r="D3228" i="11"/>
  <c r="D3227" i="11"/>
  <c r="D3226" i="11"/>
  <c r="D3225" i="11"/>
  <c r="D3224" i="11"/>
  <c r="D3223" i="11"/>
  <c r="D3222" i="11"/>
  <c r="D3221" i="11"/>
  <c r="D3220" i="11"/>
  <c r="D3219" i="11"/>
  <c r="D3218" i="11"/>
  <c r="D3217" i="11"/>
  <c r="D3216" i="11"/>
  <c r="D3215" i="11"/>
  <c r="D3214" i="11"/>
  <c r="D3213" i="11"/>
  <c r="D3212" i="11"/>
  <c r="D3211" i="11"/>
  <c r="D3210" i="11"/>
  <c r="D3209" i="11"/>
  <c r="D3208" i="11"/>
  <c r="D3207" i="11"/>
  <c r="D3206" i="11"/>
  <c r="D3205" i="11"/>
  <c r="D3204" i="11"/>
  <c r="D3203" i="11"/>
  <c r="D3202" i="11"/>
  <c r="D3201" i="11"/>
  <c r="D3200" i="11"/>
  <c r="D3199" i="11"/>
  <c r="D3198" i="11"/>
  <c r="D3197" i="11"/>
  <c r="D3196" i="11"/>
  <c r="D3195" i="11"/>
  <c r="D3194" i="11"/>
  <c r="D3193" i="11"/>
  <c r="D3192" i="11"/>
  <c r="D3191" i="11"/>
  <c r="D3190" i="11"/>
  <c r="D3189" i="11"/>
  <c r="D3188" i="11"/>
  <c r="D3187" i="11"/>
  <c r="D3186" i="11"/>
  <c r="D3185" i="11"/>
  <c r="D3184" i="11"/>
  <c r="D3183" i="11"/>
  <c r="D3182" i="11"/>
  <c r="D3181" i="11"/>
  <c r="D3180" i="11"/>
  <c r="D3179" i="11"/>
  <c r="D3178" i="11"/>
  <c r="D3177" i="11"/>
  <c r="D3176" i="11"/>
  <c r="D3175" i="11"/>
  <c r="D3174" i="11"/>
  <c r="D3173" i="11"/>
  <c r="D3172" i="11"/>
  <c r="D3171" i="11"/>
  <c r="D3170" i="11"/>
  <c r="D3169" i="11"/>
  <c r="D3168" i="11"/>
  <c r="D3167" i="11"/>
  <c r="D3166" i="11"/>
  <c r="D3165" i="11"/>
  <c r="D3164" i="11"/>
  <c r="D3163" i="11"/>
  <c r="D3162" i="11"/>
  <c r="D3161" i="11"/>
  <c r="D3160" i="11"/>
  <c r="D3159" i="11"/>
  <c r="D3158" i="11"/>
  <c r="D3157" i="11"/>
  <c r="D3156" i="11"/>
  <c r="D3155" i="11"/>
  <c r="D3154" i="11"/>
  <c r="D3153" i="11"/>
  <c r="D3152" i="11"/>
  <c r="D3151" i="11"/>
  <c r="D3150" i="11"/>
  <c r="D3149" i="11"/>
  <c r="D3148" i="11"/>
  <c r="D3147" i="11"/>
  <c r="D3146" i="11"/>
  <c r="D3145" i="11"/>
  <c r="D3144" i="11"/>
  <c r="D3143" i="11"/>
  <c r="D3142" i="11"/>
  <c r="D3141" i="11"/>
  <c r="D3140" i="11"/>
  <c r="D3139" i="11"/>
  <c r="D3138" i="11"/>
  <c r="D3137" i="11"/>
  <c r="D3136" i="11"/>
  <c r="D3135" i="11"/>
  <c r="D3134" i="11"/>
  <c r="D3133" i="11"/>
  <c r="D3132" i="11"/>
  <c r="D3131" i="11"/>
  <c r="D3130" i="11"/>
  <c r="D3129" i="11"/>
  <c r="D3128" i="11"/>
  <c r="D3127" i="11"/>
  <c r="D3126" i="11"/>
  <c r="D3125" i="11"/>
  <c r="D3124" i="11"/>
  <c r="D3123" i="11"/>
  <c r="D3122" i="11"/>
  <c r="D3121" i="11"/>
  <c r="D3120" i="11"/>
  <c r="D3119" i="11"/>
  <c r="D3118" i="11"/>
  <c r="D3117" i="11"/>
  <c r="D3116" i="11"/>
  <c r="D3115" i="11"/>
  <c r="D3114" i="11"/>
  <c r="D3113" i="11"/>
  <c r="D3112" i="11"/>
  <c r="D3111" i="11"/>
  <c r="D3110" i="11"/>
  <c r="D3109" i="11"/>
  <c r="D3108" i="11"/>
  <c r="D3107" i="11"/>
  <c r="D3106" i="11"/>
  <c r="D3105" i="11"/>
  <c r="D3104" i="11"/>
  <c r="D3103" i="11"/>
  <c r="D3102" i="11"/>
  <c r="D3101" i="11"/>
  <c r="D3100" i="11"/>
  <c r="D3099" i="11"/>
  <c r="D3098" i="11"/>
  <c r="D3097" i="11"/>
  <c r="D3096" i="11"/>
  <c r="D3095" i="11"/>
  <c r="D3094" i="11"/>
  <c r="D3093" i="11"/>
  <c r="D3092" i="11"/>
  <c r="D3091" i="11"/>
  <c r="D3090" i="11"/>
  <c r="D3089" i="11"/>
  <c r="D3088" i="11"/>
  <c r="D3087" i="11"/>
  <c r="D3086" i="11"/>
  <c r="D3085" i="11"/>
  <c r="D3084" i="11"/>
  <c r="D3083" i="11"/>
  <c r="D3082" i="11"/>
  <c r="D3081" i="11"/>
  <c r="D3080" i="11"/>
  <c r="D3079" i="11"/>
  <c r="D3078" i="11"/>
  <c r="D3077" i="11"/>
  <c r="D3076" i="11"/>
  <c r="D3075" i="11"/>
  <c r="D3074" i="11"/>
  <c r="D3073" i="11"/>
  <c r="D3072" i="11"/>
  <c r="D3071" i="11"/>
  <c r="D3070" i="11"/>
  <c r="D3069" i="11"/>
  <c r="D3068" i="11"/>
  <c r="D3067" i="11"/>
  <c r="D3066" i="11"/>
  <c r="D3065" i="11"/>
  <c r="D3064" i="11"/>
  <c r="D3063" i="11"/>
  <c r="D3062" i="11"/>
  <c r="D3061" i="11"/>
  <c r="D3060" i="11"/>
  <c r="D3059" i="11"/>
  <c r="D3058" i="11"/>
  <c r="D3057" i="11"/>
  <c r="D3056" i="11"/>
  <c r="D3055" i="11"/>
  <c r="D3054" i="11"/>
  <c r="D3053" i="11"/>
  <c r="D3052" i="11"/>
  <c r="D3051" i="11"/>
  <c r="D3050" i="11"/>
  <c r="D3049" i="11"/>
  <c r="D3048" i="11"/>
  <c r="D3047" i="11"/>
  <c r="D3046" i="11"/>
  <c r="D3045" i="11"/>
  <c r="D3044" i="11"/>
  <c r="D3043" i="11"/>
  <c r="D3042" i="11"/>
  <c r="D3041" i="11"/>
  <c r="D3040" i="11"/>
  <c r="D3039" i="11"/>
  <c r="D3038" i="11"/>
  <c r="D3037" i="11"/>
  <c r="D3036" i="11"/>
  <c r="D3035" i="11"/>
  <c r="D3034" i="11"/>
  <c r="D3033" i="11"/>
  <c r="D3032" i="11"/>
  <c r="D3031" i="11"/>
  <c r="D3030" i="11"/>
  <c r="D3029" i="11"/>
  <c r="D3028" i="11"/>
  <c r="D3027" i="11"/>
  <c r="D3026" i="11"/>
  <c r="D3025" i="11"/>
  <c r="D3024" i="11"/>
  <c r="D3023" i="11"/>
  <c r="D3022" i="11"/>
  <c r="D3021" i="11"/>
  <c r="D3020" i="11"/>
  <c r="D3019" i="11"/>
  <c r="D3018" i="11"/>
  <c r="D3017" i="11"/>
  <c r="D3016" i="11"/>
  <c r="D3015" i="11"/>
  <c r="D3014" i="11"/>
  <c r="D3013" i="11"/>
  <c r="D3012" i="11"/>
  <c r="D3011" i="11"/>
  <c r="D3010" i="11"/>
  <c r="D3009" i="11"/>
  <c r="D3008" i="11"/>
  <c r="D3007" i="11"/>
  <c r="D3006" i="11"/>
  <c r="D3005" i="11"/>
  <c r="D3004" i="11"/>
  <c r="D3003" i="11"/>
  <c r="D3002" i="11"/>
  <c r="D3001" i="11"/>
  <c r="D3000" i="11"/>
  <c r="D2999" i="11"/>
  <c r="D2998" i="11"/>
  <c r="D2997" i="11"/>
  <c r="D2996" i="11"/>
  <c r="D2995" i="11"/>
  <c r="D2994" i="11"/>
  <c r="D2993" i="11"/>
  <c r="D2992" i="11"/>
  <c r="D2991" i="11"/>
  <c r="D2990" i="11"/>
  <c r="D2989" i="11"/>
  <c r="D2988" i="11"/>
  <c r="D2987" i="11"/>
  <c r="D2986" i="11"/>
  <c r="D2985" i="11"/>
  <c r="D2984" i="11"/>
  <c r="D2983" i="11"/>
  <c r="D2982" i="11"/>
  <c r="D2981" i="11"/>
  <c r="D2980" i="11"/>
  <c r="D2979" i="11"/>
  <c r="D2978" i="11"/>
  <c r="D2977" i="11"/>
  <c r="D2976" i="11"/>
  <c r="D2975" i="11"/>
  <c r="D2974" i="11"/>
  <c r="D2973" i="11"/>
  <c r="D2972" i="11"/>
  <c r="D2971" i="11"/>
  <c r="D2970" i="11"/>
  <c r="D2969" i="11"/>
  <c r="D2968" i="11"/>
  <c r="D2967" i="11"/>
  <c r="D2966" i="11"/>
  <c r="D2965" i="11"/>
  <c r="D2964" i="11"/>
  <c r="D2963" i="11"/>
  <c r="D2962" i="11"/>
  <c r="D2961" i="11"/>
  <c r="D2960" i="11"/>
  <c r="D2959" i="11"/>
  <c r="D2958" i="11"/>
  <c r="D2957" i="11"/>
  <c r="D2956" i="11"/>
  <c r="D2955" i="11"/>
  <c r="D2954" i="11"/>
  <c r="D2953" i="11"/>
  <c r="D2952" i="11"/>
  <c r="D2951" i="11"/>
  <c r="D2950" i="11"/>
  <c r="D2949" i="11"/>
  <c r="D2948" i="11"/>
  <c r="D2947" i="11"/>
  <c r="D2946" i="11"/>
  <c r="D2945" i="11"/>
  <c r="D2944" i="11"/>
  <c r="D2943" i="11"/>
  <c r="D2942" i="11"/>
  <c r="D2941" i="11"/>
  <c r="D2940" i="11"/>
  <c r="D2939" i="11"/>
  <c r="D2938" i="11"/>
  <c r="D2937" i="11"/>
  <c r="D2936" i="11"/>
  <c r="D2935" i="11"/>
  <c r="D2934" i="11"/>
  <c r="D2933" i="11"/>
  <c r="D2932" i="11"/>
  <c r="D2931" i="11"/>
  <c r="D2930" i="11"/>
  <c r="D2929" i="11"/>
  <c r="D2928" i="11"/>
  <c r="D2927" i="11"/>
  <c r="D2926" i="11"/>
  <c r="D2925" i="11"/>
  <c r="D2924" i="11"/>
  <c r="D2923" i="11"/>
  <c r="D2922" i="11"/>
  <c r="D2921" i="11"/>
  <c r="D2920" i="11"/>
  <c r="D2919" i="11"/>
  <c r="D2918" i="11"/>
  <c r="D2917" i="11"/>
  <c r="D2916" i="11"/>
  <c r="D2915" i="11"/>
  <c r="D2914" i="11"/>
  <c r="D2913" i="11"/>
  <c r="D2912" i="11"/>
  <c r="D2911" i="11"/>
  <c r="D2910" i="11"/>
  <c r="D2909" i="11"/>
  <c r="D2908" i="11"/>
  <c r="D2907" i="11"/>
  <c r="D2906" i="11"/>
  <c r="D2905" i="11"/>
  <c r="D2904" i="11"/>
  <c r="D2903" i="11"/>
  <c r="D2902" i="11"/>
  <c r="D2901" i="11"/>
  <c r="D2900" i="11"/>
  <c r="D2899" i="11"/>
  <c r="D2898" i="11"/>
  <c r="D2897" i="11"/>
  <c r="D2896" i="11"/>
  <c r="D2895" i="11"/>
  <c r="D2894" i="11"/>
  <c r="D2893" i="11"/>
  <c r="D2892" i="11"/>
  <c r="D2891" i="11"/>
  <c r="D2890" i="11"/>
  <c r="D2889" i="11"/>
  <c r="D2888" i="11"/>
  <c r="D2887" i="11"/>
  <c r="D2886" i="11"/>
  <c r="D2885" i="11"/>
  <c r="D2884" i="11"/>
  <c r="D2883" i="11"/>
  <c r="D2882" i="11"/>
  <c r="D2881" i="11"/>
  <c r="D2880" i="11"/>
  <c r="D2879" i="11"/>
  <c r="D2878" i="11"/>
  <c r="D2877" i="11"/>
  <c r="D2876" i="11"/>
  <c r="D2875" i="11"/>
  <c r="D2874" i="11"/>
  <c r="D2873" i="11"/>
  <c r="D2872" i="11"/>
  <c r="D2871" i="11"/>
  <c r="D2870" i="11"/>
  <c r="D2869" i="11"/>
  <c r="D2868" i="11"/>
  <c r="D2867" i="11"/>
  <c r="D2866" i="11"/>
  <c r="D2865" i="11"/>
  <c r="D2864" i="11"/>
  <c r="D2863" i="11"/>
  <c r="D2862" i="11"/>
  <c r="D2861" i="11"/>
  <c r="D2860" i="11"/>
  <c r="D2859" i="11"/>
  <c r="D2858" i="11"/>
  <c r="D2857" i="11"/>
  <c r="D2856" i="11"/>
  <c r="D2855" i="11"/>
  <c r="D2854" i="11"/>
  <c r="D2853" i="11"/>
  <c r="D2852" i="11"/>
  <c r="D2851" i="11"/>
  <c r="D2850" i="11"/>
  <c r="D2849" i="11"/>
  <c r="D2848" i="11"/>
  <c r="D2847" i="11"/>
  <c r="D2846" i="11"/>
  <c r="D2845" i="11"/>
  <c r="D2844" i="11"/>
  <c r="D2843" i="11"/>
  <c r="D2842" i="11"/>
  <c r="D2841" i="11"/>
  <c r="D2840" i="11"/>
  <c r="D2839" i="11"/>
  <c r="D2838" i="11"/>
  <c r="D2837" i="11"/>
  <c r="D2836" i="11"/>
  <c r="D2835" i="11"/>
  <c r="D2834" i="11"/>
  <c r="D2833" i="11"/>
  <c r="D2832" i="11"/>
  <c r="D2831" i="11"/>
  <c r="D2830" i="11"/>
  <c r="D2829" i="11"/>
  <c r="D2828" i="11"/>
  <c r="D2827" i="11"/>
  <c r="D2826" i="11"/>
  <c r="D2825" i="11"/>
  <c r="D2824" i="11"/>
  <c r="D2823" i="11"/>
  <c r="D2822" i="11"/>
  <c r="D2821" i="11"/>
  <c r="D2820" i="11"/>
  <c r="D2819" i="11"/>
  <c r="D2818" i="11"/>
  <c r="D2817" i="11"/>
  <c r="D2816" i="11"/>
  <c r="D2815" i="11"/>
  <c r="D2814" i="11"/>
  <c r="D2813" i="11"/>
  <c r="D2812" i="11"/>
  <c r="D2811" i="11"/>
  <c r="D2810" i="11"/>
  <c r="D2809" i="11"/>
  <c r="D2808" i="11"/>
  <c r="D2807" i="11"/>
  <c r="D2806" i="11"/>
  <c r="D2805" i="11"/>
  <c r="D2804" i="11"/>
  <c r="D2803" i="11"/>
  <c r="D2802" i="11"/>
  <c r="D2801" i="11"/>
  <c r="D2800" i="11"/>
  <c r="D2799" i="11"/>
  <c r="D2798" i="11"/>
  <c r="D2797" i="11"/>
  <c r="D2796" i="11"/>
  <c r="D2795" i="11"/>
  <c r="D2794" i="11"/>
  <c r="D2793" i="11"/>
  <c r="D2792" i="11"/>
  <c r="D2791" i="11"/>
  <c r="D2790" i="11"/>
  <c r="D2789" i="11"/>
  <c r="D2788" i="11"/>
  <c r="D2787" i="11"/>
  <c r="D2786" i="11"/>
  <c r="D2785" i="11"/>
  <c r="D2784" i="11"/>
  <c r="D2783" i="11"/>
  <c r="D2782" i="11"/>
  <c r="D2781" i="11"/>
  <c r="D2780" i="11"/>
  <c r="D2779" i="11"/>
  <c r="D2778" i="11"/>
  <c r="D2777" i="11"/>
  <c r="D2776" i="11"/>
  <c r="D2775" i="11"/>
  <c r="D2774" i="11"/>
  <c r="D2773" i="11"/>
  <c r="D2772" i="11"/>
  <c r="D2771" i="11"/>
  <c r="D2770" i="11"/>
  <c r="D2769" i="11"/>
  <c r="D2768" i="11"/>
  <c r="D2767" i="11"/>
  <c r="D2766" i="11"/>
  <c r="D2765" i="11"/>
  <c r="D2764" i="11"/>
  <c r="D2763" i="11"/>
  <c r="D2762" i="11"/>
  <c r="D2761" i="11"/>
  <c r="D2760" i="11"/>
  <c r="D2759" i="11"/>
  <c r="D2758" i="11"/>
  <c r="D2757" i="11"/>
  <c r="D2756" i="11"/>
  <c r="D2755" i="11"/>
  <c r="D2754" i="11"/>
  <c r="D2753" i="11"/>
  <c r="D2752" i="11"/>
  <c r="D2751" i="11"/>
  <c r="D2750" i="11"/>
  <c r="D2749" i="11"/>
  <c r="D2748" i="11"/>
  <c r="D2747" i="11"/>
  <c r="D2746" i="11"/>
  <c r="D2745" i="11"/>
  <c r="D2744" i="11"/>
  <c r="D2743" i="11"/>
  <c r="D2742" i="11"/>
  <c r="D2741" i="11"/>
  <c r="D2740" i="11"/>
  <c r="D2739" i="11"/>
  <c r="D2738" i="11"/>
  <c r="D2737" i="11"/>
  <c r="D2736" i="11"/>
  <c r="D2735" i="11"/>
  <c r="D2734" i="11"/>
  <c r="D2733" i="11"/>
  <c r="D2732" i="11"/>
  <c r="D2731" i="11"/>
  <c r="D2730" i="11"/>
  <c r="D2729" i="11"/>
  <c r="D2728" i="11"/>
  <c r="D2727" i="11"/>
  <c r="D2726" i="11"/>
  <c r="D2725" i="11"/>
  <c r="D2724" i="11"/>
  <c r="D2723" i="11"/>
  <c r="D2722" i="11"/>
  <c r="D2721" i="11"/>
  <c r="D2720" i="11"/>
  <c r="D2719" i="11"/>
  <c r="D2718" i="11"/>
  <c r="D2717" i="11"/>
  <c r="D2716" i="11"/>
  <c r="D2715" i="11"/>
  <c r="D2714" i="11"/>
  <c r="D2713" i="11"/>
  <c r="D2712" i="11"/>
  <c r="D2711" i="11"/>
  <c r="D2710" i="11"/>
  <c r="D2709" i="11"/>
  <c r="D2708" i="11"/>
  <c r="D2707" i="11"/>
  <c r="D2706" i="11"/>
  <c r="D2705" i="11"/>
  <c r="D2704" i="11"/>
  <c r="D2703" i="11"/>
  <c r="D2702" i="11"/>
  <c r="D2701" i="11"/>
  <c r="D2700" i="11"/>
  <c r="D2699" i="11"/>
  <c r="D2698" i="11"/>
  <c r="D2697" i="11"/>
  <c r="D2696" i="11"/>
  <c r="D2695" i="11"/>
  <c r="D2694" i="11"/>
  <c r="D2693" i="11"/>
  <c r="D2692" i="11"/>
  <c r="D2691" i="11"/>
  <c r="D2690" i="11"/>
  <c r="D2689" i="11"/>
  <c r="D2688" i="11"/>
  <c r="D2687" i="11"/>
  <c r="D2686" i="11"/>
  <c r="D2685" i="11"/>
  <c r="D2684" i="11"/>
  <c r="D2683" i="11"/>
  <c r="D2682" i="11"/>
  <c r="D2681" i="11"/>
  <c r="D2680" i="11"/>
  <c r="D2679" i="11"/>
  <c r="D2678" i="11"/>
  <c r="D2677" i="11"/>
  <c r="D2676" i="11"/>
  <c r="D2675" i="11"/>
  <c r="D2674" i="11"/>
  <c r="D2673" i="11"/>
  <c r="D2672" i="11"/>
  <c r="D2671" i="11"/>
  <c r="D2670" i="11"/>
  <c r="D2669" i="11"/>
  <c r="D2668" i="11"/>
  <c r="D2667" i="11"/>
  <c r="D2666" i="11"/>
  <c r="D2665" i="11"/>
  <c r="D2664" i="11"/>
  <c r="D2663" i="11"/>
  <c r="D2662" i="11"/>
  <c r="D2661" i="11"/>
  <c r="D2660" i="11"/>
  <c r="D2659" i="11"/>
  <c r="D2658" i="11"/>
  <c r="D2657" i="11"/>
  <c r="D2656" i="11"/>
  <c r="D2655" i="11"/>
  <c r="D2654" i="11"/>
  <c r="D2653" i="11"/>
  <c r="D2652" i="11"/>
  <c r="D2651" i="11"/>
  <c r="D2650" i="11"/>
  <c r="D2649" i="11"/>
  <c r="D2648" i="11"/>
  <c r="D2647" i="11"/>
  <c r="D2646" i="11"/>
  <c r="D2645" i="11"/>
  <c r="D2644" i="11"/>
  <c r="D2643" i="11"/>
  <c r="D2642" i="11"/>
  <c r="D2641" i="11"/>
  <c r="D2640" i="11"/>
  <c r="D2639" i="11"/>
  <c r="D2638" i="11"/>
  <c r="D2637" i="11"/>
  <c r="D2636" i="11"/>
  <c r="D2635" i="11"/>
  <c r="D2634" i="11"/>
  <c r="D2633" i="11"/>
  <c r="D2632" i="11"/>
  <c r="D2631" i="11"/>
  <c r="D2630" i="11"/>
  <c r="D2629" i="11"/>
  <c r="D2628" i="11"/>
  <c r="D2627" i="11"/>
  <c r="D2626" i="11"/>
  <c r="D2625" i="11"/>
  <c r="D2624" i="11"/>
  <c r="D2623" i="11"/>
  <c r="D2622" i="11"/>
  <c r="D2621" i="11"/>
  <c r="D2620" i="11"/>
  <c r="D2619" i="11"/>
  <c r="D2618" i="11"/>
  <c r="D2617" i="11"/>
  <c r="D2616" i="11"/>
  <c r="D2615" i="11"/>
  <c r="D2614" i="11"/>
  <c r="D2613" i="11"/>
  <c r="D2612" i="11"/>
  <c r="D2611" i="11"/>
  <c r="D2610" i="11"/>
  <c r="D2609" i="11"/>
  <c r="D2608" i="11"/>
  <c r="D2607" i="11"/>
  <c r="D2606" i="11"/>
  <c r="D2605" i="11"/>
  <c r="D2604" i="11"/>
  <c r="D2603" i="11"/>
  <c r="D2602" i="11"/>
  <c r="D2601" i="11"/>
  <c r="D2600" i="11"/>
  <c r="D2599" i="11"/>
  <c r="D2598" i="11"/>
  <c r="D2597" i="11"/>
  <c r="D2596" i="11"/>
  <c r="D2595" i="11"/>
  <c r="D2594" i="11"/>
  <c r="D2593" i="11"/>
  <c r="D2592" i="11"/>
  <c r="D2591" i="11"/>
  <c r="D2590" i="11"/>
  <c r="D2589" i="11"/>
  <c r="D2588" i="11"/>
  <c r="D2587" i="11"/>
  <c r="D2586" i="11"/>
  <c r="D2585" i="11"/>
  <c r="D2584" i="11"/>
  <c r="D2583" i="11"/>
  <c r="D2582" i="11"/>
  <c r="D2581" i="11"/>
  <c r="D2580" i="11"/>
  <c r="D2579" i="11"/>
  <c r="D2578" i="11"/>
  <c r="D2577" i="11"/>
  <c r="D2576" i="11"/>
  <c r="D2575" i="11"/>
  <c r="D2574" i="11"/>
  <c r="D2573" i="11"/>
  <c r="D2572" i="11"/>
  <c r="D2571" i="11"/>
  <c r="D2570" i="11"/>
  <c r="D2569" i="11"/>
  <c r="D2568" i="11"/>
  <c r="D2567" i="11"/>
  <c r="D2566" i="11"/>
  <c r="D2565" i="11"/>
  <c r="D2564" i="11"/>
  <c r="D2563" i="11"/>
  <c r="D2562" i="11"/>
  <c r="D2561" i="11"/>
  <c r="D2560" i="11"/>
  <c r="D2559" i="11"/>
  <c r="D2558" i="11"/>
  <c r="D2557" i="11"/>
  <c r="D2556" i="11"/>
  <c r="D2555" i="11"/>
  <c r="D2554" i="11"/>
  <c r="D2553" i="11"/>
  <c r="D2552" i="11"/>
  <c r="D2551" i="11"/>
  <c r="D2550" i="11"/>
  <c r="D2549" i="11"/>
  <c r="D2548" i="11"/>
  <c r="D2547" i="11"/>
  <c r="D2546" i="11"/>
  <c r="D2545" i="11"/>
  <c r="D2544" i="11"/>
  <c r="D2543" i="11"/>
  <c r="D2542" i="11"/>
  <c r="D2541" i="11"/>
  <c r="D2540" i="11"/>
  <c r="D2539" i="11"/>
  <c r="D2538" i="11"/>
  <c r="D2537" i="11"/>
  <c r="D2536" i="11"/>
  <c r="D2535" i="11"/>
  <c r="D2534" i="11"/>
  <c r="D2533" i="11"/>
  <c r="D2532" i="11"/>
  <c r="D2531" i="11"/>
  <c r="D2530" i="11"/>
  <c r="D2529" i="11"/>
  <c r="D2528" i="11"/>
  <c r="D2527" i="11"/>
  <c r="D2526" i="11"/>
  <c r="D2525" i="11"/>
  <c r="D2524" i="11"/>
  <c r="D2523" i="11"/>
  <c r="D2522" i="11"/>
  <c r="D2521" i="11"/>
  <c r="D2520" i="11"/>
  <c r="D2519" i="11"/>
  <c r="D2518" i="11"/>
  <c r="D2517" i="11"/>
  <c r="D2516" i="11"/>
  <c r="D2515" i="11"/>
  <c r="D2514" i="11"/>
  <c r="D2513" i="11"/>
  <c r="D2512" i="11"/>
  <c r="D2511" i="11"/>
  <c r="D2510" i="11"/>
  <c r="D2509" i="11"/>
  <c r="D2508" i="11"/>
  <c r="D2507" i="11"/>
  <c r="D2506" i="11"/>
  <c r="D2505" i="11"/>
  <c r="D2504" i="11"/>
  <c r="D2503" i="11"/>
  <c r="D2502" i="11"/>
  <c r="D2501" i="11"/>
  <c r="D2500" i="11"/>
  <c r="D2499" i="11"/>
  <c r="D2498" i="11"/>
  <c r="D2497" i="11"/>
  <c r="D2496" i="11"/>
  <c r="D2495" i="11"/>
  <c r="D2494" i="11"/>
  <c r="D2493" i="11"/>
  <c r="D2492" i="11"/>
  <c r="D2491" i="11"/>
  <c r="D2490" i="11"/>
  <c r="D2489" i="11"/>
  <c r="D2488" i="11"/>
  <c r="D2487" i="11"/>
  <c r="D2486" i="11"/>
  <c r="D2485" i="11"/>
  <c r="D2484" i="11"/>
  <c r="D2483" i="11"/>
  <c r="D2482" i="11"/>
  <c r="D2481" i="11"/>
  <c r="D2480" i="11"/>
  <c r="D2479" i="11"/>
  <c r="D2478" i="11"/>
  <c r="D2477" i="11"/>
  <c r="D2476" i="11"/>
  <c r="D2475" i="11"/>
  <c r="D2474" i="11"/>
  <c r="D2473" i="11"/>
  <c r="D2472" i="11"/>
  <c r="D2471" i="11"/>
  <c r="D2470" i="11"/>
  <c r="D2469" i="11"/>
  <c r="D2468" i="11"/>
  <c r="D2467" i="11"/>
  <c r="D2466" i="11"/>
  <c r="D2465" i="11"/>
  <c r="D2464" i="11"/>
  <c r="D2463" i="11"/>
  <c r="D2462" i="11"/>
  <c r="D2461" i="11"/>
  <c r="D2460" i="11"/>
  <c r="D2459" i="11"/>
  <c r="D2458" i="11"/>
  <c r="D2457" i="11"/>
  <c r="D2456" i="11"/>
  <c r="D2455" i="11"/>
  <c r="D2454" i="11"/>
  <c r="D2453" i="11"/>
  <c r="D2452" i="11"/>
  <c r="D2451" i="11"/>
  <c r="D2450" i="11"/>
  <c r="D2449" i="11"/>
  <c r="D2448" i="11"/>
  <c r="D2447" i="11"/>
  <c r="D2446" i="11"/>
  <c r="D2445" i="11"/>
  <c r="D2444" i="11"/>
  <c r="D2443" i="11"/>
  <c r="D2442" i="11"/>
  <c r="D2441" i="11"/>
  <c r="D2440" i="11"/>
  <c r="D2439" i="11"/>
  <c r="D2438" i="11"/>
  <c r="D2437" i="11"/>
  <c r="D2436" i="11"/>
  <c r="D2435" i="11"/>
  <c r="D2434" i="11"/>
  <c r="D2433" i="11"/>
  <c r="D2432" i="11"/>
  <c r="D2431" i="11"/>
  <c r="D2430" i="11"/>
  <c r="D2429" i="11"/>
  <c r="D2428" i="11"/>
  <c r="D2427" i="11"/>
  <c r="D2426" i="11"/>
  <c r="D2425" i="11"/>
  <c r="D2424" i="11"/>
  <c r="D2423" i="11"/>
  <c r="D2422" i="11"/>
  <c r="D2421" i="11"/>
  <c r="D2420" i="11"/>
  <c r="D2419" i="11"/>
  <c r="D2418" i="11"/>
  <c r="D2417" i="11"/>
  <c r="D2416" i="11"/>
  <c r="D2415" i="11"/>
  <c r="D2414" i="11"/>
  <c r="D2413" i="11"/>
  <c r="D2412" i="11"/>
  <c r="D2411" i="11"/>
  <c r="D2410" i="11"/>
  <c r="D2409" i="11"/>
  <c r="D2408" i="11"/>
  <c r="D2407" i="11"/>
  <c r="D2406" i="11"/>
  <c r="D2405" i="11"/>
  <c r="D2404" i="11"/>
  <c r="D2403" i="11"/>
  <c r="D2402" i="11"/>
  <c r="D2401" i="11"/>
  <c r="D2400" i="11"/>
  <c r="D2399" i="11"/>
  <c r="D2398" i="11"/>
  <c r="D2397" i="11"/>
  <c r="D2396" i="11"/>
  <c r="D2395" i="11"/>
  <c r="D2394" i="11"/>
  <c r="D2393" i="11"/>
  <c r="D2392" i="11"/>
  <c r="D2391" i="11"/>
  <c r="D2390" i="11"/>
  <c r="D2389" i="11"/>
  <c r="D2388" i="11"/>
  <c r="D2387" i="11"/>
  <c r="D2386" i="11"/>
  <c r="D2385" i="11"/>
  <c r="D2384" i="11"/>
  <c r="D2383" i="11"/>
  <c r="D2382" i="11"/>
  <c r="D2381" i="11"/>
  <c r="D2380" i="11"/>
  <c r="D2379" i="11"/>
  <c r="D2378" i="11"/>
  <c r="D2377" i="11"/>
  <c r="D2376" i="11"/>
  <c r="D2375" i="11"/>
  <c r="D2374" i="11"/>
  <c r="D2373" i="11"/>
  <c r="D2372" i="11"/>
  <c r="D2371" i="11"/>
  <c r="D2370" i="11"/>
  <c r="D2369" i="11"/>
  <c r="D2368" i="11"/>
  <c r="D2367" i="11"/>
  <c r="D2366" i="11"/>
  <c r="D2365" i="11"/>
  <c r="D2364" i="11"/>
  <c r="D2363" i="11"/>
  <c r="D2362" i="11"/>
  <c r="D2361" i="11"/>
  <c r="D2360" i="11"/>
  <c r="D2359" i="11"/>
  <c r="D2358" i="11"/>
  <c r="D2357" i="11"/>
  <c r="D2356" i="11"/>
  <c r="D2355" i="11"/>
  <c r="D2354" i="11"/>
  <c r="D2353" i="11"/>
  <c r="D2352" i="11"/>
  <c r="D2351" i="11"/>
  <c r="D2350" i="11"/>
  <c r="D2349" i="11"/>
  <c r="D2348" i="11"/>
  <c r="D2347" i="11"/>
  <c r="D2346" i="11"/>
  <c r="D2345" i="11"/>
  <c r="D2344" i="11"/>
  <c r="D2343" i="11"/>
  <c r="D2342" i="11"/>
  <c r="D2341" i="11"/>
  <c r="D2340" i="11"/>
  <c r="D2339" i="11"/>
  <c r="D2338" i="11"/>
  <c r="D2337" i="11"/>
  <c r="D2336" i="11"/>
  <c r="D2335" i="11"/>
  <c r="D2334" i="11"/>
  <c r="D2333" i="11"/>
  <c r="D2332" i="11"/>
  <c r="D2331" i="11"/>
  <c r="D2330" i="11"/>
  <c r="D2329" i="11"/>
  <c r="D2328" i="11"/>
  <c r="D2327" i="11"/>
  <c r="D2326" i="11"/>
  <c r="D2325" i="11"/>
  <c r="D2324" i="11"/>
  <c r="D2323" i="11"/>
  <c r="D2322" i="11"/>
  <c r="D2321" i="11"/>
  <c r="D2320" i="11"/>
  <c r="D2319" i="11"/>
  <c r="D2318" i="11"/>
  <c r="D2317" i="11"/>
  <c r="D2316" i="11"/>
  <c r="D2315" i="11"/>
  <c r="D2314" i="11"/>
  <c r="D2313" i="11"/>
  <c r="D2312" i="11"/>
  <c r="D2311" i="11"/>
  <c r="D2310" i="11"/>
  <c r="D2309" i="11"/>
  <c r="D2308" i="11"/>
  <c r="D2307" i="11"/>
  <c r="D2306" i="11"/>
  <c r="D2305" i="11"/>
  <c r="D2304" i="11"/>
  <c r="D2303" i="11"/>
  <c r="D2302" i="11"/>
  <c r="D2301" i="11"/>
  <c r="D2300" i="11"/>
  <c r="D2299" i="11"/>
  <c r="D2298" i="11"/>
  <c r="D2297" i="11"/>
  <c r="D2296" i="11"/>
  <c r="D2295" i="11"/>
  <c r="D2294" i="11"/>
  <c r="D2293" i="11"/>
  <c r="D2292" i="11"/>
  <c r="D2291" i="11"/>
  <c r="D2290" i="11"/>
  <c r="D2289" i="11"/>
  <c r="D2288" i="11"/>
  <c r="D2287" i="11"/>
  <c r="D2286" i="11"/>
  <c r="D2285" i="11"/>
  <c r="D2284" i="11"/>
  <c r="D2283" i="11"/>
  <c r="D2282" i="11"/>
  <c r="D2281" i="11"/>
  <c r="D2280" i="11"/>
  <c r="D2279" i="11"/>
  <c r="D2278" i="11"/>
  <c r="D2277" i="11"/>
  <c r="D2276" i="11"/>
  <c r="D2275" i="11"/>
  <c r="D2274" i="11"/>
  <c r="D2273" i="11"/>
  <c r="D2272" i="11"/>
  <c r="D2271" i="11"/>
  <c r="D2270" i="11"/>
  <c r="D2269" i="11"/>
  <c r="D2268" i="11"/>
  <c r="D2267" i="11"/>
  <c r="D2266" i="11"/>
  <c r="D2265" i="11"/>
  <c r="D2264" i="11"/>
  <c r="D2263" i="11"/>
  <c r="D2262" i="11"/>
  <c r="D2261" i="11"/>
  <c r="D2260" i="11"/>
  <c r="D2259" i="11"/>
  <c r="D2258" i="11"/>
  <c r="D2257" i="11"/>
  <c r="D2256" i="11"/>
  <c r="D2255" i="11"/>
  <c r="D2254" i="11"/>
  <c r="D2253" i="11"/>
  <c r="D2252" i="11"/>
  <c r="D2251" i="11"/>
  <c r="D2250" i="11"/>
  <c r="D2249" i="11"/>
  <c r="D2248" i="11"/>
  <c r="D2247" i="11"/>
  <c r="D2246" i="11"/>
  <c r="D2245" i="11"/>
  <c r="D2244" i="11"/>
  <c r="D2243" i="11"/>
  <c r="D2242" i="11"/>
  <c r="D2241" i="11"/>
  <c r="D2240" i="11"/>
  <c r="D2239" i="11"/>
  <c r="D2238" i="11"/>
  <c r="D2237" i="11"/>
  <c r="D2236" i="11"/>
  <c r="D2235" i="11"/>
  <c r="D2234" i="11"/>
  <c r="D2233" i="11"/>
  <c r="D2232" i="11"/>
  <c r="D2231" i="11"/>
  <c r="D2230" i="11"/>
  <c r="D2229" i="11"/>
  <c r="D2228" i="11"/>
  <c r="D2227" i="11"/>
  <c r="D2226" i="11"/>
  <c r="D2225" i="11"/>
  <c r="D2224" i="11"/>
  <c r="D2223" i="11"/>
  <c r="D2222" i="11"/>
  <c r="D2221" i="11"/>
  <c r="D2220" i="11"/>
  <c r="D2219" i="11"/>
  <c r="D2218" i="11"/>
  <c r="D2217" i="11"/>
  <c r="D2216" i="11"/>
  <c r="D2215" i="11"/>
  <c r="D2214" i="11"/>
  <c r="D2213" i="11"/>
  <c r="D2212" i="11"/>
  <c r="D2211" i="11"/>
  <c r="D2210" i="11"/>
  <c r="D2209" i="11"/>
  <c r="D2208" i="11"/>
  <c r="D2207" i="11"/>
  <c r="D2206" i="11"/>
  <c r="D2205" i="11"/>
  <c r="D2204" i="11"/>
  <c r="D2203" i="11"/>
  <c r="D2202" i="11"/>
  <c r="D2201" i="11"/>
  <c r="D2200" i="11"/>
  <c r="D2199" i="11"/>
  <c r="D2198" i="11"/>
  <c r="D2197" i="11"/>
  <c r="D2196" i="11"/>
  <c r="D2195" i="11"/>
  <c r="D2194" i="11"/>
  <c r="D2193" i="11"/>
  <c r="D2192" i="11"/>
  <c r="D2191" i="11"/>
  <c r="D2190" i="11"/>
  <c r="D2189" i="11"/>
  <c r="D2188" i="11"/>
  <c r="D2187" i="11"/>
  <c r="D2186" i="11"/>
  <c r="D2185" i="11"/>
  <c r="D2184" i="11"/>
  <c r="D2183" i="11"/>
  <c r="D2182" i="11"/>
  <c r="D2181" i="11"/>
  <c r="D2180" i="11"/>
  <c r="D2179" i="11"/>
  <c r="D2178" i="11"/>
  <c r="D2177" i="11"/>
  <c r="D2176" i="11"/>
  <c r="D2175" i="11"/>
  <c r="D2174" i="11"/>
  <c r="D2173" i="11"/>
  <c r="D2172" i="11"/>
  <c r="D2171" i="11"/>
  <c r="D2170" i="11"/>
  <c r="D2169" i="11"/>
  <c r="D2168" i="11"/>
  <c r="D2167" i="11"/>
  <c r="D2166" i="11"/>
  <c r="D2165" i="11"/>
  <c r="D2164" i="11"/>
  <c r="D2163" i="11"/>
  <c r="D2162" i="11"/>
  <c r="D2161" i="11"/>
  <c r="D2160" i="11"/>
  <c r="D2159" i="11"/>
  <c r="D2158" i="11"/>
  <c r="D2157" i="11"/>
  <c r="D2156" i="11"/>
  <c r="D2155" i="11"/>
  <c r="D2154" i="11"/>
  <c r="D2153" i="11"/>
  <c r="D2152" i="11"/>
  <c r="D2151" i="11"/>
  <c r="D2150" i="11"/>
  <c r="D2149" i="11"/>
  <c r="D2148" i="11"/>
  <c r="D2147" i="11"/>
  <c r="D2146" i="11"/>
  <c r="D2145" i="11"/>
  <c r="D2144" i="11"/>
  <c r="D2143" i="11"/>
  <c r="D2142" i="11"/>
  <c r="D2141" i="11"/>
  <c r="D2140" i="11"/>
  <c r="D2139" i="11"/>
  <c r="D2138" i="11"/>
  <c r="D2137" i="11"/>
  <c r="D2136" i="11"/>
  <c r="D2135" i="11"/>
  <c r="D2134" i="11"/>
  <c r="D2133" i="11"/>
  <c r="D2132" i="11"/>
  <c r="D2131" i="11"/>
  <c r="D2130" i="11"/>
  <c r="D2129" i="11"/>
  <c r="D2128" i="11"/>
  <c r="D2127" i="11"/>
  <c r="D2126" i="11"/>
  <c r="D2125" i="11"/>
  <c r="D2124" i="11"/>
  <c r="D2123" i="11"/>
  <c r="D2122" i="11"/>
  <c r="D2121" i="11"/>
  <c r="D2120" i="11"/>
  <c r="D2119" i="11"/>
  <c r="D2118" i="11"/>
  <c r="D2117" i="11"/>
  <c r="D2116" i="11"/>
  <c r="D2115" i="11"/>
  <c r="D2114" i="11"/>
  <c r="D2113" i="11"/>
  <c r="D2112" i="11"/>
  <c r="D2111" i="11"/>
  <c r="D2110" i="11"/>
  <c r="D2109" i="11"/>
  <c r="D2108" i="11"/>
  <c r="D2107" i="11"/>
  <c r="D2106" i="11"/>
  <c r="D2105" i="11"/>
  <c r="D2104" i="11"/>
  <c r="D2103" i="11"/>
  <c r="D2102" i="11"/>
  <c r="D2101" i="11"/>
  <c r="D2100" i="11"/>
  <c r="D2099" i="11"/>
  <c r="D2098" i="11"/>
  <c r="D2097" i="11"/>
  <c r="D2096" i="11"/>
  <c r="D2095" i="11"/>
  <c r="D2094" i="11"/>
  <c r="D2093" i="11"/>
  <c r="D2092" i="11"/>
  <c r="D2091" i="11"/>
  <c r="D2090" i="11"/>
  <c r="D2089" i="11"/>
  <c r="D2088" i="11"/>
  <c r="D2087" i="11"/>
  <c r="D2086" i="11"/>
  <c r="D2085" i="11"/>
  <c r="D2084" i="11"/>
  <c r="D2083" i="11"/>
  <c r="D2082" i="11"/>
  <c r="D2081" i="11"/>
  <c r="D2080" i="11"/>
  <c r="D2079" i="11"/>
  <c r="D2078" i="11"/>
  <c r="D2077" i="11"/>
  <c r="D2076" i="11"/>
  <c r="D2075" i="11"/>
  <c r="D2074" i="11"/>
  <c r="D2073" i="11"/>
  <c r="D2072" i="11"/>
  <c r="D2071" i="11"/>
  <c r="D2070" i="11"/>
  <c r="D2069" i="11"/>
  <c r="D2068" i="11"/>
  <c r="D2067" i="11"/>
  <c r="D2066" i="11"/>
  <c r="D2065" i="11"/>
  <c r="D2064" i="11"/>
  <c r="D2063" i="11"/>
  <c r="D2062" i="11"/>
  <c r="D2061" i="11"/>
  <c r="D2060" i="11"/>
  <c r="D2059" i="11"/>
  <c r="D2058" i="11"/>
  <c r="D2057" i="11"/>
  <c r="D2056" i="11"/>
  <c r="D2055" i="11"/>
  <c r="D2054" i="11"/>
  <c r="D2053" i="11"/>
  <c r="D2052" i="11"/>
  <c r="D2051" i="11"/>
  <c r="D2050" i="11"/>
  <c r="D2049" i="11"/>
  <c r="D2048" i="11"/>
  <c r="D2047" i="11"/>
  <c r="D2046" i="11"/>
  <c r="D2045" i="11"/>
  <c r="D2044" i="11"/>
  <c r="D2043" i="11"/>
  <c r="D2042" i="11"/>
  <c r="D2041" i="11"/>
  <c r="D2040" i="11"/>
  <c r="D2039" i="11"/>
  <c r="D2038" i="11"/>
  <c r="D2037" i="11"/>
  <c r="D2036" i="11"/>
  <c r="D2035" i="11"/>
  <c r="D2034" i="11"/>
  <c r="D2033" i="11"/>
  <c r="D2032" i="11"/>
  <c r="D2031" i="11"/>
  <c r="D2030" i="11"/>
  <c r="D2029" i="11"/>
  <c r="D2028" i="11"/>
  <c r="D2027" i="11"/>
  <c r="D2026" i="11"/>
  <c r="D2025" i="11"/>
  <c r="D2024" i="11"/>
  <c r="D2023" i="11"/>
  <c r="D2022" i="11"/>
  <c r="D2021" i="11"/>
  <c r="D2020" i="11"/>
  <c r="D2019" i="11"/>
  <c r="D2018" i="11"/>
  <c r="D2017" i="11"/>
  <c r="D2016" i="11"/>
  <c r="D2015" i="11"/>
  <c r="D2014" i="11"/>
  <c r="D2013" i="11"/>
  <c r="D2012" i="11"/>
  <c r="D2011" i="11"/>
  <c r="D2010" i="11"/>
  <c r="D2009" i="11"/>
  <c r="D2008" i="11"/>
  <c r="D2007" i="11"/>
  <c r="D2006" i="11"/>
  <c r="D2005" i="11"/>
  <c r="D2004" i="11"/>
  <c r="D2003" i="11"/>
  <c r="D2002" i="11"/>
  <c r="D2001" i="11"/>
  <c r="D2000" i="11"/>
  <c r="D1999" i="11"/>
  <c r="D1998" i="11"/>
  <c r="D1997" i="11"/>
  <c r="D1996" i="11"/>
  <c r="D1995" i="11"/>
  <c r="D1994" i="11"/>
  <c r="D1993" i="11"/>
  <c r="D1992" i="11"/>
  <c r="D1991" i="11"/>
  <c r="D1990" i="11"/>
  <c r="D1989" i="11"/>
  <c r="D1988" i="11"/>
  <c r="D1987" i="11"/>
  <c r="D1986" i="11"/>
  <c r="D1985" i="11"/>
  <c r="D1984" i="11"/>
  <c r="D1983" i="11"/>
  <c r="D1982" i="11"/>
  <c r="D1981" i="11"/>
  <c r="D1980" i="11"/>
  <c r="D1979" i="11"/>
  <c r="D1978" i="11"/>
  <c r="D1977" i="11"/>
  <c r="D1976" i="11"/>
  <c r="D1975" i="11"/>
  <c r="D1974" i="11"/>
  <c r="D1973" i="11"/>
  <c r="D1972" i="11"/>
  <c r="D1971" i="11"/>
  <c r="D1970" i="11"/>
  <c r="D1969" i="11"/>
  <c r="D1968" i="11"/>
  <c r="D1967" i="11"/>
  <c r="D1966" i="11"/>
  <c r="D1965" i="11"/>
  <c r="D1964" i="11"/>
  <c r="D1963" i="11"/>
  <c r="D1962" i="11"/>
  <c r="D1961" i="11"/>
  <c r="D1960" i="11"/>
  <c r="D1959" i="11"/>
  <c r="D1958" i="11"/>
  <c r="D1957" i="11"/>
  <c r="D1956" i="11"/>
  <c r="D1955" i="11"/>
  <c r="D1954" i="11"/>
  <c r="D1953" i="11"/>
  <c r="D1952" i="11"/>
  <c r="D1951" i="11"/>
  <c r="D1950" i="11"/>
  <c r="D1949" i="11"/>
  <c r="D1948" i="11"/>
  <c r="D1947" i="11"/>
  <c r="D1946" i="11"/>
  <c r="D1945" i="11"/>
  <c r="D1944" i="11"/>
  <c r="D1943" i="11"/>
  <c r="D1942" i="11"/>
  <c r="D1941" i="11"/>
  <c r="D1940" i="11"/>
  <c r="D1939" i="11"/>
  <c r="D1938" i="11"/>
  <c r="D1937" i="11"/>
  <c r="D1936" i="11"/>
  <c r="D1935" i="11"/>
  <c r="D1934" i="11"/>
  <c r="D1933" i="11"/>
  <c r="D1932" i="11"/>
  <c r="D1931" i="11"/>
  <c r="D1930" i="11"/>
  <c r="D1929" i="11"/>
  <c r="D1928" i="11"/>
  <c r="D1927" i="11"/>
  <c r="D1926" i="11"/>
  <c r="D1925" i="11"/>
  <c r="D1924" i="11"/>
  <c r="D1923" i="11"/>
  <c r="D1922" i="11"/>
  <c r="D1921" i="11"/>
  <c r="D1920" i="11"/>
  <c r="D1919" i="11"/>
  <c r="D1918" i="11"/>
  <c r="D1917" i="11"/>
  <c r="D1916" i="11"/>
  <c r="D1915" i="11"/>
  <c r="D1914" i="11"/>
  <c r="D1913" i="11"/>
  <c r="D1912" i="11"/>
  <c r="D1911" i="11"/>
  <c r="D1910" i="11"/>
  <c r="D1909" i="11"/>
  <c r="D1908" i="11"/>
  <c r="D1907" i="11"/>
  <c r="D1906" i="11"/>
  <c r="D1905" i="11"/>
  <c r="D1904" i="11"/>
  <c r="D1903" i="11"/>
  <c r="D1902" i="11"/>
  <c r="D1901" i="11"/>
  <c r="D1900" i="11"/>
  <c r="D1899" i="11"/>
  <c r="D1898" i="11"/>
  <c r="D1897" i="11"/>
  <c r="D1896" i="11"/>
  <c r="D1895" i="11"/>
  <c r="D1894" i="11"/>
  <c r="D1893" i="11"/>
  <c r="D1892" i="11"/>
  <c r="D1891" i="11"/>
  <c r="D1890" i="11"/>
  <c r="D1889" i="11"/>
  <c r="D1888" i="11"/>
  <c r="D1887" i="11"/>
  <c r="D1886" i="11"/>
  <c r="D1885" i="11"/>
  <c r="D1884" i="11"/>
  <c r="D1883" i="11"/>
  <c r="D1882" i="11"/>
  <c r="D1881" i="11"/>
  <c r="D1880" i="11"/>
  <c r="D1879" i="11"/>
  <c r="D1878" i="11"/>
  <c r="D1877" i="11"/>
  <c r="D1876" i="11"/>
  <c r="D1875" i="11"/>
  <c r="D1874" i="11"/>
  <c r="D1873" i="11"/>
  <c r="D1872" i="11"/>
  <c r="D1871" i="11"/>
  <c r="D1870" i="11"/>
  <c r="D1869" i="11"/>
  <c r="D1868" i="11"/>
  <c r="D1867" i="11"/>
  <c r="D1866" i="11"/>
  <c r="D1865" i="11"/>
  <c r="D1864" i="11"/>
  <c r="D1863" i="11"/>
  <c r="D1862" i="11"/>
  <c r="D1861" i="11"/>
  <c r="D1860" i="11"/>
  <c r="D1859" i="11"/>
  <c r="D1858" i="11"/>
  <c r="D1857" i="11"/>
  <c r="D1856" i="11"/>
  <c r="D1855" i="11"/>
  <c r="D1854" i="11"/>
  <c r="D1853" i="11"/>
  <c r="D1852" i="11"/>
  <c r="D1851" i="11"/>
  <c r="D1850" i="11"/>
  <c r="D1849" i="11"/>
  <c r="D1848" i="11"/>
  <c r="D1847" i="11"/>
  <c r="D1846" i="11"/>
  <c r="D1845" i="11"/>
  <c r="D1844" i="11"/>
  <c r="D1843" i="11"/>
  <c r="D1842" i="11"/>
  <c r="D1841" i="11"/>
  <c r="D1840" i="11"/>
  <c r="D1839" i="11"/>
  <c r="D1838" i="11"/>
  <c r="D1837" i="11"/>
  <c r="D1836" i="11"/>
  <c r="D1835" i="11"/>
  <c r="D1834" i="11"/>
  <c r="D1833" i="11"/>
  <c r="D1832" i="11"/>
  <c r="D1831" i="11"/>
  <c r="D1830" i="11"/>
  <c r="D1829" i="11"/>
  <c r="D1828" i="11"/>
  <c r="D1827" i="11"/>
  <c r="D1826" i="11"/>
  <c r="D1825" i="11"/>
  <c r="D1824" i="11"/>
  <c r="D1823" i="11"/>
  <c r="D1822" i="11"/>
  <c r="D1821" i="11"/>
  <c r="D1820" i="11"/>
  <c r="D1819" i="11"/>
  <c r="D1818" i="11"/>
  <c r="D1817" i="11"/>
  <c r="D1816" i="11"/>
  <c r="D1815" i="11"/>
  <c r="D1814" i="11"/>
  <c r="D1813" i="11"/>
  <c r="D1812" i="11"/>
  <c r="D1811" i="11"/>
  <c r="D1810" i="11"/>
  <c r="D1809" i="11"/>
  <c r="D1808" i="11"/>
  <c r="D1807" i="11"/>
  <c r="D1806" i="11"/>
  <c r="D1805" i="11"/>
  <c r="D1804" i="11"/>
  <c r="D1803" i="11"/>
  <c r="D1802" i="11"/>
  <c r="D1801" i="11"/>
  <c r="D1800" i="11"/>
  <c r="D1799" i="11"/>
  <c r="D1798" i="11"/>
  <c r="D1797" i="11"/>
  <c r="D1796" i="11"/>
  <c r="D1795" i="11"/>
  <c r="D1794" i="11"/>
  <c r="D1793" i="11"/>
  <c r="D1792" i="11"/>
  <c r="D1791" i="11"/>
  <c r="D1790" i="11"/>
  <c r="D1789" i="11"/>
  <c r="D1788" i="11"/>
  <c r="D1787" i="11"/>
  <c r="D1786" i="11"/>
  <c r="D1785" i="11"/>
  <c r="D1784" i="11"/>
  <c r="D1783" i="11"/>
  <c r="D1782" i="11"/>
  <c r="D1781" i="11"/>
  <c r="D1780" i="11"/>
  <c r="D1779" i="11"/>
  <c r="D1778" i="11"/>
  <c r="D1777" i="11"/>
  <c r="D1776" i="11"/>
  <c r="D1775" i="11"/>
  <c r="D1774" i="11"/>
  <c r="D1773" i="11"/>
  <c r="D1772" i="11"/>
  <c r="D1771" i="11"/>
  <c r="D1770" i="11"/>
  <c r="D1769" i="11"/>
  <c r="D1768" i="11"/>
  <c r="D1767" i="11"/>
  <c r="D1766" i="11"/>
  <c r="D1765" i="11"/>
  <c r="D1764" i="11"/>
  <c r="D1763" i="11"/>
  <c r="D1762" i="11"/>
  <c r="D1761" i="11"/>
  <c r="D1760" i="11"/>
  <c r="D1759" i="11"/>
  <c r="D1758" i="11"/>
  <c r="D1757" i="11"/>
  <c r="D1756" i="11"/>
  <c r="D1755" i="11"/>
  <c r="D1754" i="11"/>
  <c r="D1753" i="11"/>
  <c r="D1752" i="11"/>
  <c r="D1751" i="11"/>
  <c r="D1750" i="11"/>
  <c r="D1749" i="11"/>
  <c r="D1748" i="11"/>
  <c r="D1747" i="11"/>
  <c r="D1746" i="11"/>
  <c r="D1745" i="11"/>
  <c r="D1744" i="11"/>
  <c r="D1743" i="11"/>
  <c r="D1742" i="11"/>
  <c r="D1741" i="11"/>
  <c r="D1740" i="11"/>
  <c r="D1739" i="11"/>
  <c r="D1738" i="11"/>
  <c r="D1737" i="11"/>
  <c r="D1736" i="11"/>
  <c r="D1735" i="11"/>
  <c r="D1734" i="11"/>
  <c r="D1733" i="11"/>
  <c r="D1732" i="11"/>
  <c r="D1731" i="11"/>
  <c r="D1730" i="11"/>
  <c r="D1729" i="11"/>
  <c r="D1728" i="11"/>
  <c r="D1727" i="11"/>
  <c r="D1726" i="11"/>
  <c r="D1725" i="11"/>
  <c r="D1724" i="11"/>
  <c r="D1723" i="11"/>
  <c r="D1722" i="11"/>
  <c r="D1721" i="11"/>
  <c r="D1720" i="11"/>
  <c r="D1719" i="11"/>
  <c r="D1718" i="11"/>
  <c r="D1717" i="11"/>
  <c r="D1716" i="11"/>
  <c r="D1715" i="11"/>
  <c r="D1714" i="11"/>
  <c r="D1713" i="11"/>
  <c r="D1712" i="11"/>
  <c r="D1711" i="11"/>
  <c r="D1710" i="11"/>
  <c r="D1709" i="11"/>
  <c r="D1708" i="11"/>
  <c r="D1707" i="11"/>
  <c r="D1706" i="11"/>
  <c r="D1705" i="11"/>
  <c r="D1704" i="11"/>
  <c r="D1703" i="11"/>
  <c r="D1702" i="11"/>
  <c r="D1701" i="11"/>
  <c r="D1700" i="11"/>
  <c r="D1699" i="11"/>
  <c r="D1698" i="11"/>
  <c r="D1697" i="11"/>
  <c r="D1696" i="11"/>
  <c r="D1695" i="11"/>
  <c r="D1694" i="11"/>
  <c r="D1693" i="11"/>
  <c r="D1692" i="11"/>
  <c r="D1691" i="11"/>
  <c r="D1690" i="11"/>
  <c r="D1689" i="11"/>
  <c r="D1688" i="11"/>
  <c r="D1687" i="11"/>
  <c r="D1686" i="11"/>
  <c r="D1685" i="11"/>
  <c r="D1684" i="11"/>
  <c r="D1683" i="11"/>
  <c r="D1682" i="11"/>
  <c r="D1681" i="11"/>
  <c r="D1680" i="11"/>
  <c r="D1679" i="11"/>
  <c r="D1678" i="11"/>
  <c r="D1677" i="11"/>
  <c r="D1676" i="11"/>
  <c r="D1675" i="11"/>
  <c r="D1674" i="11"/>
  <c r="D1673" i="11"/>
  <c r="D1672" i="11"/>
  <c r="D1671" i="11"/>
  <c r="D1670" i="11"/>
  <c r="D1669" i="11"/>
  <c r="D1668" i="11"/>
  <c r="D1667" i="11"/>
  <c r="D1666" i="11"/>
  <c r="D1665" i="11"/>
  <c r="D1664" i="11"/>
  <c r="D1663" i="11"/>
  <c r="D1662" i="11"/>
  <c r="D1661" i="11"/>
  <c r="D1660" i="11"/>
  <c r="D1659" i="11"/>
  <c r="D1658" i="11"/>
  <c r="D1657" i="11"/>
  <c r="D1656" i="11"/>
  <c r="D1655" i="11"/>
  <c r="D1654" i="11"/>
  <c r="D1653" i="11"/>
  <c r="D1652" i="11"/>
  <c r="D1651" i="11"/>
  <c r="D1650" i="11"/>
  <c r="D1649" i="11"/>
  <c r="D1648" i="11"/>
  <c r="D1647" i="11"/>
  <c r="D1646" i="11"/>
  <c r="D1645" i="11"/>
  <c r="D1644" i="11"/>
  <c r="D1643" i="11"/>
  <c r="D1642" i="11"/>
  <c r="D1641" i="11"/>
  <c r="D1640" i="11"/>
  <c r="D1639" i="11"/>
  <c r="D1638" i="11"/>
  <c r="D1637" i="11"/>
  <c r="D1636" i="11"/>
  <c r="D1635" i="11"/>
  <c r="D1634" i="11"/>
  <c r="D1633" i="11"/>
  <c r="D1632" i="11"/>
  <c r="D1631" i="11"/>
  <c r="D1630" i="11"/>
  <c r="D1629" i="11"/>
  <c r="D1628" i="11"/>
  <c r="D1627" i="11"/>
  <c r="D1626" i="11"/>
  <c r="D1625" i="11"/>
  <c r="D1624" i="11"/>
  <c r="D1623" i="11"/>
  <c r="D1622" i="11"/>
  <c r="D1621" i="11"/>
  <c r="D1620" i="11"/>
  <c r="D1619" i="11"/>
  <c r="D1618" i="11"/>
  <c r="D1617" i="11"/>
  <c r="D1616" i="11"/>
  <c r="D1615" i="11"/>
  <c r="D1614" i="11"/>
  <c r="D1613" i="11"/>
  <c r="D1612" i="11"/>
  <c r="D1611" i="11"/>
  <c r="D1610" i="11"/>
  <c r="D1609" i="11"/>
  <c r="D1608" i="11"/>
  <c r="D1607" i="11"/>
  <c r="D1606" i="11"/>
  <c r="D1605" i="11"/>
  <c r="D1604" i="11"/>
  <c r="D1603" i="11"/>
  <c r="D1602" i="11"/>
  <c r="D1601" i="11"/>
  <c r="D1600" i="11"/>
  <c r="D1599" i="11"/>
  <c r="D1598" i="11"/>
  <c r="D1597" i="11"/>
  <c r="D1596" i="11"/>
  <c r="D1595" i="11"/>
  <c r="D1594" i="11"/>
  <c r="D1593" i="11"/>
  <c r="D1592" i="11"/>
  <c r="D1591" i="11"/>
  <c r="D1590" i="11"/>
  <c r="D1589" i="11"/>
  <c r="D1588" i="11"/>
  <c r="D1587" i="11"/>
  <c r="D1586" i="11"/>
  <c r="D1585" i="11"/>
  <c r="D1584" i="11"/>
  <c r="D1583" i="11"/>
  <c r="D1582" i="11"/>
  <c r="D1581" i="11"/>
  <c r="D1580" i="11"/>
  <c r="D1579" i="11"/>
  <c r="D1578" i="11"/>
  <c r="D1577" i="11"/>
  <c r="D1576" i="11"/>
  <c r="D1575" i="11"/>
  <c r="D1574" i="11"/>
  <c r="D1573" i="11"/>
  <c r="D1572" i="11"/>
  <c r="D1571" i="11"/>
  <c r="D1570" i="11"/>
  <c r="D1569" i="11"/>
  <c r="D1568" i="11"/>
  <c r="D1567" i="11"/>
  <c r="D1566" i="11"/>
  <c r="D1565" i="11"/>
  <c r="D1564" i="11"/>
  <c r="D1563" i="11"/>
  <c r="D1562" i="11"/>
  <c r="D1561" i="11"/>
  <c r="D1560" i="11"/>
  <c r="D1559" i="11"/>
  <c r="D1558" i="11"/>
  <c r="D1557" i="11"/>
  <c r="D1556" i="11"/>
  <c r="D1555" i="11"/>
  <c r="D1554" i="11"/>
  <c r="D1553" i="11"/>
  <c r="D1552" i="11"/>
  <c r="D1551" i="11"/>
  <c r="D1550" i="11"/>
  <c r="D1549" i="11"/>
  <c r="D1548" i="11"/>
  <c r="D1547" i="11"/>
  <c r="D1546" i="11"/>
  <c r="D1545" i="11"/>
  <c r="D1544" i="11"/>
  <c r="D1543" i="11"/>
  <c r="D1542" i="11"/>
  <c r="D1541" i="11"/>
  <c r="D1540" i="11"/>
  <c r="D1539" i="11"/>
  <c r="D1538" i="11"/>
  <c r="D1537" i="11"/>
  <c r="D1536" i="11"/>
  <c r="D1535" i="11"/>
  <c r="D1534" i="11"/>
  <c r="D1533" i="11"/>
  <c r="D1532" i="11"/>
  <c r="D1531" i="11"/>
  <c r="D1530" i="11"/>
  <c r="D1529" i="11"/>
  <c r="D1528" i="11"/>
  <c r="D1527" i="11"/>
  <c r="D1526" i="11"/>
  <c r="D1525" i="11"/>
  <c r="D1524" i="11"/>
  <c r="D1523" i="11"/>
  <c r="D1522" i="11"/>
  <c r="D1521" i="11"/>
  <c r="D1520" i="11"/>
  <c r="D1519" i="11"/>
  <c r="D1518" i="11"/>
  <c r="D1517" i="11"/>
  <c r="D1516" i="11"/>
  <c r="D1515" i="11"/>
  <c r="D1514" i="11"/>
  <c r="D1513" i="11"/>
  <c r="D1512" i="11"/>
  <c r="D1511" i="11"/>
  <c r="D1510" i="11"/>
  <c r="D1509" i="11"/>
  <c r="D1508" i="11"/>
  <c r="D1507" i="11"/>
  <c r="D1506" i="11"/>
  <c r="D1505" i="11"/>
  <c r="D1504" i="11"/>
  <c r="D1503" i="11"/>
  <c r="D1502" i="11"/>
  <c r="D1501" i="11"/>
  <c r="D1500" i="11"/>
  <c r="D1499" i="11"/>
  <c r="D1498" i="11"/>
  <c r="D1497" i="11"/>
  <c r="D1496" i="11"/>
  <c r="D1495" i="11"/>
  <c r="D1494" i="11"/>
  <c r="D1493" i="11"/>
  <c r="D1492" i="11"/>
  <c r="D1491" i="11"/>
  <c r="D1490" i="11"/>
  <c r="D1489" i="11"/>
  <c r="D1488" i="11"/>
  <c r="D1487" i="11"/>
  <c r="D1486" i="11"/>
  <c r="D1485" i="11"/>
  <c r="D1484" i="11"/>
  <c r="D1483" i="11"/>
  <c r="D1482" i="11"/>
  <c r="D1481" i="11"/>
  <c r="D1480" i="11"/>
  <c r="D1479" i="11"/>
  <c r="D1478" i="11"/>
  <c r="D1477" i="11"/>
  <c r="D1476" i="11"/>
  <c r="D1475" i="11"/>
  <c r="D1474" i="11"/>
  <c r="D1473" i="11"/>
  <c r="D1472" i="11"/>
  <c r="D1471" i="11"/>
  <c r="D1470" i="11"/>
  <c r="D1469" i="11"/>
  <c r="D1468" i="11"/>
  <c r="D1467" i="11"/>
  <c r="D1466" i="11"/>
  <c r="D1465" i="11"/>
  <c r="D1464" i="11"/>
  <c r="D1463" i="11"/>
  <c r="D1462" i="11"/>
  <c r="D1461" i="11"/>
  <c r="D1460" i="11"/>
  <c r="D1459" i="11"/>
  <c r="D1458" i="11"/>
  <c r="D1457" i="11"/>
  <c r="D1456" i="11"/>
  <c r="D1455" i="11"/>
  <c r="D1454" i="11"/>
  <c r="D1453" i="11"/>
  <c r="D1452" i="11"/>
  <c r="D1451" i="11"/>
  <c r="D1450" i="11"/>
  <c r="D1449" i="11"/>
  <c r="D1448" i="11"/>
  <c r="D1447" i="11"/>
  <c r="D1446" i="11"/>
  <c r="D1445" i="11"/>
  <c r="D1444" i="11"/>
  <c r="D1443" i="11"/>
  <c r="D1442" i="11"/>
  <c r="D1441" i="11"/>
  <c r="D1440" i="11"/>
  <c r="D1439" i="11"/>
  <c r="D1438" i="11"/>
  <c r="D1437" i="11"/>
  <c r="D1436" i="11"/>
  <c r="D1435" i="11"/>
  <c r="D1434" i="11"/>
  <c r="D1433" i="11"/>
  <c r="D1432" i="11"/>
  <c r="D1431" i="11"/>
  <c r="D1430" i="11"/>
  <c r="D1429" i="11"/>
  <c r="D1428" i="11"/>
  <c r="D1427" i="11"/>
  <c r="D1426" i="11"/>
  <c r="D1425" i="11"/>
  <c r="D1424" i="11"/>
  <c r="D1423" i="11"/>
  <c r="D1422" i="11"/>
  <c r="D1421" i="11"/>
  <c r="D1420" i="11"/>
  <c r="D1419" i="11"/>
  <c r="D1418" i="11"/>
  <c r="D1417" i="11"/>
  <c r="D1416" i="11"/>
  <c r="D1415" i="11"/>
  <c r="D1414" i="11"/>
  <c r="D1413" i="11"/>
  <c r="D1412" i="11"/>
  <c r="D1411" i="11"/>
  <c r="D1410" i="11"/>
  <c r="D1409" i="11"/>
  <c r="D1408" i="11"/>
  <c r="D1407" i="11"/>
  <c r="D1406" i="11"/>
  <c r="D1405" i="11"/>
  <c r="D1404" i="11"/>
  <c r="D1403" i="11"/>
  <c r="D1402" i="11"/>
  <c r="D1401" i="11"/>
  <c r="D1400" i="11"/>
  <c r="D1399" i="11"/>
  <c r="D1398" i="11"/>
  <c r="D1397" i="11"/>
  <c r="D1396" i="11"/>
  <c r="D1395" i="11"/>
  <c r="D1394" i="11"/>
  <c r="D1393" i="11"/>
  <c r="D1392" i="11"/>
  <c r="D1391" i="11"/>
  <c r="D1390" i="11"/>
  <c r="D1389" i="11"/>
  <c r="D1388" i="11"/>
  <c r="D1387" i="11"/>
  <c r="D1386" i="11"/>
  <c r="D1385" i="11"/>
  <c r="D1384" i="11"/>
  <c r="D1383" i="11"/>
  <c r="D1382" i="11"/>
  <c r="D1381" i="11"/>
  <c r="D1380" i="11"/>
  <c r="D1379" i="11"/>
  <c r="D1378" i="11"/>
  <c r="D1377" i="11"/>
  <c r="D1376" i="11"/>
  <c r="D1375" i="11"/>
  <c r="D1374" i="11"/>
  <c r="D1373" i="11"/>
  <c r="D1372" i="11"/>
  <c r="D1371" i="11"/>
  <c r="D1370" i="11"/>
  <c r="D1369" i="11"/>
  <c r="D1368" i="11"/>
  <c r="D1367" i="11"/>
  <c r="D1366" i="11"/>
  <c r="D1365" i="11"/>
  <c r="D1364" i="11"/>
  <c r="D1363" i="11"/>
  <c r="D1362" i="11"/>
  <c r="D1361" i="11"/>
  <c r="D1360" i="11"/>
  <c r="D1359" i="11"/>
  <c r="D1358" i="11"/>
  <c r="D1357" i="11"/>
  <c r="D1356" i="11"/>
  <c r="D1355" i="11"/>
  <c r="D1354" i="11"/>
  <c r="D1353" i="11"/>
  <c r="D1352" i="11"/>
  <c r="D1351" i="11"/>
  <c r="D1350" i="11"/>
  <c r="D1349" i="11"/>
  <c r="D1348" i="11"/>
  <c r="D1347" i="11"/>
  <c r="D1346" i="11"/>
  <c r="D1345" i="11"/>
  <c r="D1344" i="11"/>
  <c r="D1343" i="11"/>
  <c r="D1342" i="11"/>
  <c r="D1341" i="11"/>
  <c r="D1340" i="11"/>
  <c r="D1339" i="11"/>
  <c r="D1338" i="11"/>
  <c r="D1337" i="11"/>
  <c r="D1336" i="11"/>
  <c r="D1335" i="11"/>
  <c r="D1334" i="11"/>
  <c r="D1333" i="11"/>
  <c r="D1332" i="11"/>
  <c r="D1331" i="11"/>
  <c r="D1330" i="11"/>
  <c r="D1329" i="11"/>
  <c r="D1328" i="11"/>
  <c r="D1327" i="11"/>
  <c r="D1326" i="11"/>
  <c r="D1325" i="11"/>
  <c r="D1324" i="11"/>
  <c r="D1323" i="11"/>
  <c r="D1322" i="11"/>
  <c r="D1321" i="11"/>
  <c r="D1320" i="11"/>
  <c r="D1319" i="11"/>
  <c r="D1318" i="11"/>
  <c r="D1317" i="11"/>
  <c r="D1316" i="11"/>
  <c r="D1315" i="11"/>
  <c r="D1314" i="11"/>
  <c r="D1313" i="11"/>
  <c r="D1312" i="11"/>
  <c r="D1311" i="11"/>
  <c r="D1310" i="11"/>
  <c r="D1309" i="11"/>
  <c r="D1308" i="11"/>
  <c r="D1307" i="11"/>
  <c r="D1306" i="11"/>
  <c r="D1305" i="11"/>
  <c r="D1304" i="11"/>
  <c r="D1303" i="11"/>
  <c r="D1302" i="11"/>
  <c r="D1301" i="11"/>
  <c r="D1300" i="11"/>
  <c r="D1299" i="11"/>
  <c r="D1298" i="11"/>
  <c r="D1297" i="11"/>
  <c r="D1296" i="11"/>
  <c r="D1295" i="11"/>
  <c r="D1294" i="11"/>
  <c r="D1293" i="11"/>
  <c r="D1292" i="11"/>
  <c r="D1291" i="11"/>
  <c r="D1290" i="11"/>
  <c r="D1289" i="11"/>
  <c r="D1288" i="11"/>
  <c r="D1287" i="11"/>
  <c r="D1286" i="11"/>
  <c r="D1285" i="11"/>
  <c r="D1284" i="11"/>
  <c r="D1283" i="11"/>
  <c r="D1282" i="11"/>
  <c r="D1281" i="11"/>
  <c r="D1280" i="11"/>
  <c r="D1279" i="11"/>
  <c r="D1278" i="11"/>
  <c r="D1277" i="11"/>
  <c r="D1276" i="11"/>
  <c r="D1275" i="11"/>
  <c r="D1274" i="11"/>
  <c r="D1273" i="11"/>
  <c r="D1272" i="11"/>
  <c r="D1271" i="11"/>
  <c r="D1270" i="11"/>
  <c r="D1269" i="11"/>
  <c r="D1268" i="11"/>
  <c r="D1267" i="11"/>
  <c r="D1266" i="11"/>
  <c r="D1265" i="11"/>
  <c r="D1264" i="11"/>
  <c r="D1263" i="11"/>
  <c r="D1262" i="11"/>
  <c r="D1261" i="11"/>
  <c r="D1260" i="11"/>
  <c r="D1259" i="11"/>
  <c r="D1258" i="11"/>
  <c r="D1257" i="11"/>
  <c r="D1256" i="11"/>
  <c r="D1255" i="11"/>
  <c r="D1254" i="11"/>
  <c r="D1253" i="11"/>
  <c r="D1252" i="11"/>
  <c r="D1251" i="11"/>
  <c r="D1250" i="11"/>
  <c r="D1249" i="11"/>
  <c r="D1248" i="11"/>
  <c r="D1247" i="11"/>
  <c r="D1246" i="11"/>
  <c r="D1245" i="11"/>
  <c r="D1244" i="11"/>
  <c r="D1243" i="11"/>
  <c r="D1242" i="11"/>
  <c r="D1241" i="11"/>
  <c r="D1240" i="11"/>
  <c r="D1239" i="11"/>
  <c r="D1238" i="11"/>
  <c r="D1237" i="11"/>
  <c r="D1236" i="11"/>
  <c r="D1235" i="11"/>
  <c r="D1234" i="11"/>
  <c r="D1233" i="11"/>
  <c r="D1232" i="11"/>
  <c r="D1231" i="11"/>
  <c r="D1230" i="11"/>
  <c r="D1229" i="11"/>
  <c r="D1228" i="11"/>
  <c r="D1227" i="11"/>
  <c r="D1226" i="11"/>
  <c r="D1225" i="11"/>
  <c r="D1224" i="11"/>
  <c r="D1223" i="11"/>
  <c r="D1222" i="11"/>
  <c r="D1221" i="11"/>
  <c r="D1220" i="11"/>
  <c r="D1219" i="11"/>
  <c r="D1218" i="11"/>
  <c r="D1217" i="11"/>
  <c r="D1216" i="11"/>
  <c r="D1215" i="11"/>
  <c r="D1214" i="11"/>
  <c r="D1213" i="11"/>
  <c r="D1212" i="11"/>
  <c r="D1211" i="11"/>
  <c r="D1210" i="11"/>
  <c r="D1209" i="11"/>
  <c r="D1208" i="11"/>
  <c r="D1207" i="11"/>
  <c r="D1206" i="11"/>
  <c r="D1205" i="11"/>
  <c r="D1204" i="11"/>
  <c r="D1203" i="11"/>
  <c r="D1202" i="11"/>
  <c r="D1201" i="11"/>
  <c r="D1200" i="11"/>
  <c r="D1199" i="11"/>
  <c r="D1198" i="11"/>
  <c r="D1197" i="11"/>
  <c r="D1196" i="11"/>
  <c r="D1195" i="11"/>
  <c r="D1194" i="11"/>
  <c r="D1193" i="11"/>
  <c r="D1192" i="11"/>
  <c r="D1191" i="11"/>
  <c r="D1190" i="11"/>
  <c r="D1189" i="11"/>
  <c r="D1188" i="11"/>
  <c r="D1187" i="11"/>
  <c r="D1186" i="11"/>
  <c r="D1185" i="11"/>
  <c r="D1184" i="11"/>
  <c r="D1183" i="11"/>
  <c r="D1182" i="11"/>
  <c r="D1181" i="11"/>
  <c r="D1180" i="11"/>
  <c r="D1179" i="11"/>
  <c r="D1178" i="11"/>
  <c r="D1177" i="11"/>
  <c r="D1176" i="11"/>
  <c r="D1175" i="11"/>
  <c r="D1174" i="11"/>
  <c r="D1173" i="11"/>
  <c r="D1172" i="11"/>
  <c r="D1171" i="11"/>
  <c r="D1170" i="11"/>
  <c r="D1169" i="11"/>
  <c r="D1168" i="11"/>
  <c r="D1167" i="11"/>
  <c r="D1166" i="11"/>
  <c r="D1165" i="11"/>
  <c r="D1164" i="11"/>
  <c r="D1163" i="11"/>
  <c r="D1162" i="11"/>
  <c r="D1161" i="11"/>
  <c r="D1160" i="11"/>
  <c r="D1159" i="11"/>
  <c r="D1158" i="11"/>
  <c r="D1157" i="11"/>
  <c r="D1156" i="11"/>
  <c r="D1155" i="11"/>
  <c r="D1154" i="11"/>
  <c r="D1153" i="11"/>
  <c r="D1152" i="11"/>
  <c r="D1151" i="11"/>
  <c r="D1150" i="11"/>
  <c r="D1149" i="11"/>
  <c r="D1148" i="11"/>
  <c r="D1147" i="11"/>
  <c r="D1146" i="11"/>
  <c r="D1145" i="11"/>
  <c r="D1144" i="11"/>
  <c r="D1143" i="11"/>
  <c r="D1142" i="11"/>
  <c r="D1141" i="11"/>
  <c r="D1140" i="11"/>
  <c r="D1139" i="11"/>
  <c r="D1138" i="11"/>
  <c r="D1137" i="11"/>
  <c r="D1136" i="11"/>
  <c r="D1135" i="11"/>
  <c r="D1134" i="11"/>
  <c r="D1133" i="11"/>
  <c r="D1132" i="11"/>
  <c r="D1131" i="11"/>
  <c r="D1130" i="11"/>
  <c r="D1129" i="11"/>
  <c r="D1128" i="11"/>
  <c r="D1127" i="11"/>
  <c r="D1126" i="11"/>
  <c r="D1125" i="11"/>
  <c r="D1124" i="11"/>
  <c r="D1123" i="11"/>
  <c r="D1122" i="11"/>
  <c r="D1121" i="11"/>
  <c r="D1120" i="11"/>
  <c r="D1119" i="11"/>
  <c r="D1118" i="11"/>
  <c r="D1117" i="11"/>
  <c r="D1116" i="11"/>
  <c r="D1115" i="11"/>
  <c r="D1114" i="11"/>
  <c r="D1113" i="11"/>
  <c r="D1112" i="11"/>
  <c r="D1111" i="11"/>
  <c r="D1110" i="11"/>
  <c r="D1109" i="11"/>
  <c r="D1108" i="11"/>
  <c r="D1107" i="11"/>
  <c r="D1106" i="11"/>
  <c r="D1105" i="11"/>
  <c r="D1104" i="11"/>
  <c r="D1103" i="11"/>
  <c r="D1102" i="11"/>
  <c r="D1101" i="11"/>
  <c r="D1100" i="11"/>
  <c r="D1099" i="11"/>
  <c r="D1098" i="11"/>
  <c r="D1097" i="11"/>
  <c r="D1096" i="11"/>
  <c r="D1095" i="11"/>
  <c r="D1094" i="11"/>
  <c r="D1093" i="11"/>
  <c r="D1092" i="11"/>
  <c r="D1091" i="11"/>
  <c r="D1090" i="11"/>
  <c r="D1089" i="11"/>
  <c r="D1088" i="11"/>
  <c r="D1087" i="11"/>
  <c r="D1086" i="11"/>
  <c r="D1085" i="11"/>
  <c r="D1084" i="11"/>
  <c r="D1083" i="11"/>
  <c r="D1082" i="11"/>
  <c r="D1081" i="11"/>
  <c r="D1080" i="11"/>
  <c r="D1079" i="11"/>
  <c r="D1078" i="11"/>
  <c r="D1077" i="11"/>
  <c r="D1076" i="11"/>
  <c r="D1075" i="11"/>
  <c r="D1074" i="11"/>
  <c r="D1073" i="11"/>
  <c r="D1072" i="11"/>
  <c r="D1071" i="11"/>
  <c r="D1070" i="11"/>
  <c r="D1069" i="11"/>
  <c r="D1068" i="11"/>
  <c r="D1067" i="11"/>
  <c r="D1066" i="11"/>
  <c r="D1065" i="11"/>
  <c r="D1064" i="11"/>
  <c r="D1063" i="11"/>
  <c r="D1062" i="11"/>
  <c r="D1061" i="11"/>
  <c r="D1060" i="11"/>
  <c r="D1059" i="11"/>
  <c r="D1058" i="11"/>
  <c r="D1057" i="11"/>
  <c r="D1056" i="11"/>
  <c r="D1055" i="11"/>
  <c r="D1054" i="11"/>
  <c r="D1053" i="11"/>
  <c r="D1052" i="11"/>
  <c r="D1051" i="11"/>
  <c r="D1050" i="11"/>
  <c r="D1049" i="11"/>
  <c r="D1048" i="11"/>
  <c r="D1047" i="11"/>
  <c r="D1046" i="11"/>
  <c r="D1045" i="11"/>
  <c r="D1044" i="11"/>
  <c r="D1043" i="11"/>
  <c r="D1042" i="11"/>
  <c r="D1041" i="11"/>
  <c r="D1040" i="11"/>
  <c r="D1039" i="11"/>
  <c r="D1038" i="11"/>
  <c r="D1037" i="11"/>
  <c r="D1036" i="11"/>
  <c r="D1035" i="11"/>
  <c r="D1034" i="11"/>
  <c r="D1033" i="11"/>
  <c r="D1032" i="11"/>
  <c r="D1031" i="11"/>
  <c r="D1030" i="11"/>
  <c r="D1029" i="11"/>
  <c r="D1028" i="11"/>
  <c r="D1027" i="11"/>
  <c r="D1026" i="11"/>
  <c r="D1025" i="11"/>
  <c r="D1024" i="11"/>
  <c r="D1023" i="11"/>
  <c r="D1022" i="11"/>
  <c r="D1021" i="11"/>
  <c r="D1020" i="11"/>
  <c r="D1019" i="11"/>
  <c r="D1018" i="11"/>
  <c r="D1017" i="11"/>
  <c r="D1016" i="11"/>
  <c r="D1015" i="11"/>
  <c r="D1014" i="11"/>
  <c r="D1013" i="11"/>
  <c r="D1012" i="11"/>
  <c r="D1011" i="11"/>
  <c r="D1010" i="11"/>
  <c r="D1009" i="11"/>
  <c r="D1008" i="11"/>
  <c r="D1007" i="11"/>
  <c r="D1006" i="11"/>
  <c r="D1005" i="11"/>
  <c r="D1004" i="11"/>
  <c r="D1003" i="11"/>
  <c r="D1002" i="11"/>
  <c r="D1001" i="11"/>
  <c r="D1000" i="11"/>
  <c r="D999" i="11"/>
  <c r="D998" i="11"/>
  <c r="D997" i="11"/>
  <c r="D996" i="11"/>
  <c r="D995" i="11"/>
  <c r="D994" i="11"/>
  <c r="D993" i="11"/>
  <c r="D992" i="11"/>
  <c r="D991" i="11"/>
  <c r="D990" i="11"/>
  <c r="D989" i="11"/>
  <c r="D988" i="11"/>
  <c r="D987" i="11"/>
  <c r="D986" i="11"/>
  <c r="D985" i="11"/>
  <c r="D984" i="11"/>
  <c r="D983" i="11"/>
  <c r="D982" i="11"/>
  <c r="D981" i="11"/>
  <c r="D980" i="11"/>
  <c r="D979" i="11"/>
  <c r="D978" i="11"/>
  <c r="D977" i="11"/>
  <c r="D976" i="11"/>
  <c r="D975" i="11"/>
  <c r="D974" i="11"/>
  <c r="D973" i="11"/>
  <c r="D972" i="11"/>
  <c r="D971" i="11"/>
  <c r="D970" i="11"/>
  <c r="D969" i="11"/>
  <c r="D968" i="11"/>
  <c r="D967" i="11"/>
  <c r="D966" i="11"/>
  <c r="D965" i="11"/>
  <c r="D964" i="11"/>
  <c r="D963" i="11"/>
  <c r="D962" i="11"/>
  <c r="D961" i="11"/>
  <c r="D960" i="11"/>
  <c r="D959" i="11"/>
  <c r="D958" i="11"/>
  <c r="D957" i="11"/>
  <c r="D956" i="11"/>
  <c r="D955" i="11"/>
  <c r="D954" i="11"/>
  <c r="D953" i="11"/>
  <c r="D952" i="11"/>
  <c r="D951" i="11"/>
  <c r="D950" i="11"/>
  <c r="D949" i="11"/>
  <c r="D948" i="11"/>
  <c r="D947" i="11"/>
  <c r="D946" i="11"/>
  <c r="D945" i="11"/>
  <c r="D944" i="11"/>
  <c r="D943" i="11"/>
  <c r="D942" i="11"/>
  <c r="D941" i="11"/>
  <c r="D940" i="11"/>
  <c r="D939" i="11"/>
  <c r="D938" i="11"/>
  <c r="D937" i="11"/>
  <c r="D936" i="11"/>
  <c r="D935" i="11"/>
  <c r="D934" i="11"/>
  <c r="D933" i="11"/>
  <c r="D932" i="11"/>
  <c r="D931" i="11"/>
  <c r="D930" i="11"/>
  <c r="D929" i="11"/>
  <c r="D928" i="11"/>
  <c r="D927" i="11"/>
  <c r="D926" i="11"/>
  <c r="D925" i="11"/>
  <c r="D924" i="11"/>
  <c r="D923" i="11"/>
  <c r="D922" i="11"/>
  <c r="D921" i="11"/>
  <c r="D920" i="11"/>
  <c r="D919" i="11"/>
  <c r="D918" i="11"/>
  <c r="D917" i="11"/>
  <c r="D916" i="11"/>
  <c r="D915" i="11"/>
  <c r="D914" i="11"/>
  <c r="D913" i="11"/>
  <c r="D912" i="11"/>
  <c r="D911" i="11"/>
  <c r="D910" i="11"/>
  <c r="D909" i="11"/>
  <c r="D908" i="11"/>
  <c r="D907" i="11"/>
  <c r="D906" i="11"/>
  <c r="D905" i="11"/>
  <c r="D904" i="11"/>
  <c r="D903" i="11"/>
  <c r="D902" i="11"/>
  <c r="D901" i="11"/>
  <c r="D900" i="11"/>
  <c r="D899" i="11"/>
  <c r="D898" i="11"/>
  <c r="D897" i="11"/>
  <c r="D896" i="11"/>
  <c r="D895" i="11"/>
  <c r="D894" i="11"/>
  <c r="D893" i="11"/>
  <c r="D892" i="11"/>
  <c r="D891" i="11"/>
  <c r="D890" i="11"/>
  <c r="D889" i="11"/>
  <c r="D888" i="11"/>
  <c r="D887" i="11"/>
  <c r="D886" i="11"/>
  <c r="D885" i="11"/>
  <c r="D884" i="11"/>
  <c r="D883" i="11"/>
  <c r="D882" i="11"/>
  <c r="D881" i="11"/>
  <c r="D880" i="11"/>
  <c r="D879" i="11"/>
  <c r="D878" i="11"/>
  <c r="D877" i="11"/>
  <c r="D876" i="11"/>
  <c r="D875" i="11"/>
  <c r="D874" i="11"/>
  <c r="D873" i="11"/>
  <c r="D872" i="11"/>
  <c r="D871" i="11"/>
  <c r="D870" i="11"/>
  <c r="D869" i="11"/>
  <c r="D868" i="11"/>
  <c r="D867" i="11"/>
  <c r="D866" i="11"/>
  <c r="D865" i="11"/>
  <c r="D864" i="11"/>
  <c r="D863" i="11"/>
  <c r="D862" i="11"/>
  <c r="D861" i="11"/>
  <c r="D860" i="11"/>
  <c r="D859" i="11"/>
  <c r="D858" i="11"/>
  <c r="D857" i="11"/>
  <c r="D856" i="11"/>
  <c r="D855" i="11"/>
  <c r="D854" i="11"/>
  <c r="D853" i="11"/>
  <c r="D852" i="11"/>
  <c r="D851" i="11"/>
  <c r="D850" i="11"/>
  <c r="D849" i="11"/>
  <c r="D848" i="11"/>
  <c r="D847" i="11"/>
  <c r="D846" i="11"/>
  <c r="D845" i="11"/>
  <c r="D844" i="11"/>
  <c r="D843" i="11"/>
  <c r="D842" i="11"/>
  <c r="D841" i="11"/>
  <c r="D840" i="11"/>
  <c r="D839" i="11"/>
  <c r="D838" i="11"/>
  <c r="D837" i="11"/>
  <c r="D836" i="11"/>
  <c r="D835" i="11"/>
  <c r="D834" i="11"/>
  <c r="D833" i="11"/>
  <c r="D832" i="11"/>
  <c r="D831" i="11"/>
  <c r="D830" i="11"/>
  <c r="D829" i="11"/>
  <c r="D828" i="11"/>
  <c r="D827" i="11"/>
  <c r="D826" i="11"/>
  <c r="D825" i="11"/>
  <c r="D824" i="11"/>
  <c r="D823" i="11"/>
  <c r="D822" i="11"/>
  <c r="D821" i="11"/>
  <c r="D820" i="11"/>
  <c r="D819" i="11"/>
  <c r="D818" i="11"/>
  <c r="D817" i="11"/>
  <c r="D816" i="11"/>
  <c r="D815" i="11"/>
  <c r="D814" i="11"/>
  <c r="D813" i="11"/>
  <c r="D812" i="11"/>
  <c r="D811" i="11"/>
  <c r="D810" i="11"/>
  <c r="D809" i="11"/>
  <c r="D808" i="11"/>
  <c r="D807" i="11"/>
  <c r="D806" i="11"/>
  <c r="D805" i="11"/>
  <c r="D804" i="11"/>
  <c r="D803" i="11"/>
  <c r="D802" i="11"/>
  <c r="D801" i="11"/>
  <c r="D800" i="11"/>
  <c r="D799" i="11"/>
  <c r="D798" i="11"/>
  <c r="D797" i="11"/>
  <c r="D796" i="11"/>
  <c r="D795" i="11"/>
  <c r="D794" i="11"/>
  <c r="D793" i="11"/>
  <c r="D792" i="11"/>
  <c r="D791" i="11"/>
  <c r="D790" i="11"/>
  <c r="D789" i="11"/>
  <c r="D788" i="11"/>
  <c r="D787" i="11"/>
  <c r="D786" i="11"/>
  <c r="D785" i="11"/>
  <c r="D784" i="11"/>
  <c r="D783" i="11"/>
  <c r="D782" i="11"/>
  <c r="D781" i="11"/>
  <c r="D780" i="11"/>
  <c r="D779" i="11"/>
  <c r="D778" i="11"/>
  <c r="D777" i="11"/>
  <c r="D776" i="11"/>
  <c r="D775" i="11"/>
  <c r="D774" i="11"/>
  <c r="D773" i="11"/>
  <c r="D772" i="11"/>
  <c r="D771" i="11"/>
  <c r="D770" i="11"/>
  <c r="D769" i="11"/>
  <c r="D768" i="11"/>
  <c r="D767" i="11"/>
  <c r="D766" i="11"/>
  <c r="D765" i="11"/>
  <c r="D764" i="11"/>
  <c r="D763" i="11"/>
  <c r="D762" i="11"/>
  <c r="D761" i="11"/>
  <c r="D760" i="11"/>
  <c r="D759" i="11"/>
  <c r="D758" i="11"/>
  <c r="D757" i="11"/>
  <c r="D756" i="11"/>
  <c r="D755" i="11"/>
  <c r="D754" i="11"/>
  <c r="D753" i="11"/>
  <c r="D752" i="11"/>
  <c r="D751" i="11"/>
  <c r="D750" i="11"/>
  <c r="D749" i="11"/>
  <c r="D748" i="11"/>
  <c r="D747" i="11"/>
  <c r="D746" i="11"/>
  <c r="D745" i="11"/>
  <c r="D744" i="11"/>
  <c r="D743" i="11"/>
  <c r="D742" i="11"/>
  <c r="D741" i="11"/>
  <c r="D740" i="11"/>
  <c r="D739" i="11"/>
  <c r="D738" i="11"/>
  <c r="D737" i="11"/>
  <c r="D736" i="11"/>
  <c r="D735" i="11"/>
  <c r="D734" i="11"/>
  <c r="D733" i="11"/>
  <c r="D732" i="11"/>
  <c r="D731" i="11"/>
  <c r="D730" i="11"/>
  <c r="D729" i="11"/>
  <c r="D728" i="11"/>
  <c r="D727" i="11"/>
  <c r="D726" i="11"/>
  <c r="D725" i="11"/>
  <c r="D724" i="11"/>
  <c r="D723" i="11"/>
  <c r="D722" i="11"/>
  <c r="D721" i="11"/>
  <c r="D720" i="11"/>
  <c r="D719" i="11"/>
  <c r="D718" i="11"/>
  <c r="D717" i="11"/>
  <c r="D716" i="11"/>
  <c r="D715" i="11"/>
  <c r="D714" i="11"/>
  <c r="D713" i="11"/>
  <c r="D712" i="11"/>
  <c r="D711" i="11"/>
  <c r="D710" i="11"/>
  <c r="D709" i="11"/>
  <c r="D708" i="11"/>
  <c r="D707" i="11"/>
  <c r="D706" i="11"/>
  <c r="D705" i="11"/>
  <c r="D704" i="11"/>
  <c r="D703" i="11"/>
  <c r="D702" i="11"/>
  <c r="D701" i="11"/>
  <c r="D700" i="11"/>
  <c r="D699" i="11"/>
  <c r="D698" i="11"/>
  <c r="D697" i="11"/>
  <c r="D696" i="11"/>
  <c r="D695" i="11"/>
  <c r="D694" i="11"/>
  <c r="D693" i="11"/>
  <c r="D692" i="11"/>
  <c r="D691" i="11"/>
  <c r="D690" i="11"/>
  <c r="D689" i="11"/>
  <c r="D688" i="11"/>
  <c r="D687" i="11"/>
  <c r="D686" i="11"/>
  <c r="D685" i="11"/>
  <c r="D684" i="11"/>
  <c r="D683" i="11"/>
  <c r="D682" i="11"/>
  <c r="D681" i="11"/>
  <c r="D680" i="11"/>
  <c r="D679" i="11"/>
  <c r="D678" i="11"/>
  <c r="D677" i="11"/>
  <c r="D676" i="11"/>
  <c r="D675" i="11"/>
  <c r="D674" i="11"/>
  <c r="D673" i="11"/>
  <c r="D672" i="11"/>
  <c r="D671" i="11"/>
  <c r="D670" i="11"/>
  <c r="D669" i="11"/>
  <c r="D668" i="11"/>
  <c r="D667" i="11"/>
  <c r="D666" i="11"/>
  <c r="D665" i="11"/>
  <c r="D664" i="11"/>
  <c r="D663" i="11"/>
  <c r="D662" i="11"/>
  <c r="D661" i="11"/>
  <c r="D660" i="11"/>
  <c r="D659" i="11"/>
  <c r="D658" i="11"/>
  <c r="D657" i="11"/>
  <c r="D656" i="11"/>
  <c r="D655" i="11"/>
  <c r="D654" i="11"/>
  <c r="D653" i="11"/>
  <c r="D652" i="11"/>
  <c r="D651" i="11"/>
  <c r="D650" i="11"/>
  <c r="D649" i="11"/>
  <c r="D648" i="11"/>
  <c r="D647" i="11"/>
  <c r="D646" i="11"/>
  <c r="D645" i="11"/>
  <c r="D644" i="11"/>
  <c r="D643" i="11"/>
  <c r="D642" i="11"/>
  <c r="D641" i="11"/>
  <c r="D640" i="11"/>
  <c r="D639" i="11"/>
  <c r="D638" i="11"/>
  <c r="D637" i="11"/>
  <c r="D636" i="11"/>
  <c r="D635" i="11"/>
  <c r="D634" i="11"/>
  <c r="D633" i="11"/>
  <c r="D632" i="11"/>
  <c r="D631" i="11"/>
  <c r="D630" i="11"/>
  <c r="D629" i="11"/>
  <c r="D628" i="11"/>
  <c r="D627" i="11"/>
  <c r="D626" i="11"/>
  <c r="D625" i="11"/>
  <c r="D624" i="11"/>
  <c r="D623" i="11"/>
  <c r="D622" i="11"/>
  <c r="D621" i="11"/>
  <c r="D620" i="11"/>
  <c r="D619" i="11"/>
  <c r="D618" i="11"/>
  <c r="D617" i="11"/>
  <c r="D616" i="11"/>
  <c r="D615" i="11"/>
  <c r="D614" i="11"/>
  <c r="D613" i="11"/>
  <c r="D612" i="11"/>
  <c r="D611" i="11"/>
  <c r="D610" i="11"/>
  <c r="D609" i="11"/>
  <c r="D608" i="11"/>
  <c r="D607" i="11"/>
  <c r="D606" i="11"/>
  <c r="D605" i="11"/>
  <c r="D604" i="11"/>
  <c r="D603" i="11"/>
  <c r="D602" i="11"/>
  <c r="D601" i="11"/>
  <c r="D600" i="11"/>
  <c r="D599" i="11"/>
  <c r="D598" i="11"/>
  <c r="D597" i="11"/>
  <c r="D596" i="11"/>
  <c r="D595" i="11"/>
  <c r="D594" i="11"/>
  <c r="D593" i="11"/>
  <c r="D592" i="11"/>
  <c r="D591" i="11"/>
  <c r="D590" i="11"/>
  <c r="D589" i="11"/>
  <c r="D588" i="11"/>
  <c r="D587" i="11"/>
  <c r="D586" i="11"/>
  <c r="D585" i="11"/>
  <c r="D584" i="11"/>
  <c r="D583" i="11"/>
  <c r="D582" i="11"/>
  <c r="D581" i="11"/>
  <c r="D580" i="11"/>
  <c r="D579" i="11"/>
  <c r="D578" i="11"/>
  <c r="D577" i="11"/>
  <c r="D576" i="11"/>
  <c r="D575" i="11"/>
  <c r="D574" i="11"/>
  <c r="D573" i="11"/>
  <c r="D572" i="11"/>
  <c r="D571" i="11"/>
  <c r="D570" i="11"/>
  <c r="D569" i="11"/>
  <c r="D568" i="11"/>
  <c r="D567" i="11"/>
  <c r="D566" i="11"/>
  <c r="D565" i="11"/>
  <c r="D564" i="11"/>
  <c r="D563" i="11"/>
  <c r="D562" i="11"/>
  <c r="D561" i="11"/>
  <c r="D560" i="11"/>
  <c r="D559" i="11"/>
  <c r="D558" i="11"/>
  <c r="D557" i="11"/>
  <c r="D556" i="11"/>
  <c r="D555" i="11"/>
  <c r="D554" i="11"/>
  <c r="D553" i="11"/>
  <c r="D552" i="11"/>
  <c r="D551" i="11"/>
  <c r="D550" i="11"/>
  <c r="D549" i="11"/>
  <c r="D548" i="11"/>
  <c r="D547" i="11"/>
  <c r="D546" i="11"/>
  <c r="D545" i="11"/>
  <c r="D544" i="11"/>
  <c r="D543" i="11"/>
  <c r="D542" i="11"/>
  <c r="D541" i="11"/>
  <c r="D540" i="11"/>
  <c r="D539" i="11"/>
  <c r="D538" i="11"/>
  <c r="D537" i="11"/>
  <c r="D536" i="11"/>
  <c r="D535" i="11"/>
  <c r="D534" i="11"/>
  <c r="D533" i="11"/>
  <c r="D532" i="11"/>
  <c r="D531" i="11"/>
  <c r="D530" i="11"/>
  <c r="D529" i="11"/>
  <c r="D528" i="11"/>
  <c r="D527" i="11"/>
  <c r="D526" i="11"/>
  <c r="D525" i="11"/>
  <c r="D524" i="11"/>
  <c r="D523" i="11"/>
  <c r="D522" i="11"/>
  <c r="D521" i="11"/>
  <c r="D520" i="11"/>
  <c r="D519" i="11"/>
  <c r="D518" i="11"/>
  <c r="D517" i="11"/>
  <c r="D516" i="11"/>
  <c r="D515" i="11"/>
  <c r="D514" i="11"/>
  <c r="D513" i="11"/>
  <c r="D512" i="11"/>
  <c r="D511" i="11"/>
  <c r="D510" i="11"/>
  <c r="D509" i="11"/>
  <c r="D508" i="11"/>
  <c r="D507" i="11"/>
  <c r="D506" i="11"/>
  <c r="D505" i="11"/>
  <c r="D504" i="11"/>
  <c r="D503" i="11"/>
  <c r="D502" i="11"/>
  <c r="D501" i="11"/>
  <c r="D500" i="11"/>
  <c r="D499" i="11"/>
  <c r="D498" i="11"/>
  <c r="D497" i="11"/>
  <c r="D496" i="11"/>
  <c r="D495" i="11"/>
  <c r="D494" i="11"/>
  <c r="D493" i="11"/>
  <c r="D492" i="11"/>
  <c r="D491" i="11"/>
  <c r="D490" i="11"/>
  <c r="D489" i="11"/>
  <c r="D488" i="11"/>
  <c r="D487" i="11"/>
  <c r="D486" i="11"/>
  <c r="D485" i="11"/>
  <c r="D484" i="11"/>
  <c r="D483" i="11"/>
  <c r="D482" i="11"/>
  <c r="D481" i="11"/>
  <c r="D480" i="11"/>
  <c r="D479" i="11"/>
  <c r="D478" i="11"/>
  <c r="D477" i="11"/>
  <c r="D476" i="11"/>
  <c r="D475" i="11"/>
  <c r="D474" i="11"/>
  <c r="D473" i="11"/>
  <c r="D472" i="11"/>
  <c r="D471" i="11"/>
  <c r="D470" i="11"/>
  <c r="D469" i="11"/>
  <c r="D468" i="11"/>
  <c r="D467" i="11"/>
  <c r="D466" i="11"/>
  <c r="D465" i="11"/>
  <c r="D464" i="11"/>
  <c r="D463" i="11"/>
  <c r="D462" i="11"/>
  <c r="D461" i="11"/>
  <c r="D460" i="11"/>
  <c r="D459" i="11"/>
  <c r="D458" i="11"/>
  <c r="D457" i="11"/>
  <c r="D456" i="11"/>
  <c r="D455" i="11"/>
  <c r="D454" i="11"/>
  <c r="D453" i="11"/>
  <c r="D452" i="11"/>
  <c r="D451" i="11"/>
  <c r="D450" i="11"/>
  <c r="D449" i="11"/>
  <c r="D448" i="11"/>
  <c r="D447" i="11"/>
  <c r="D446" i="11"/>
  <c r="D445" i="11"/>
  <c r="D444" i="11"/>
  <c r="D443" i="11"/>
  <c r="D442" i="11"/>
  <c r="D441" i="11"/>
  <c r="D440" i="11"/>
  <c r="D439" i="11"/>
  <c r="D438" i="11"/>
  <c r="D437" i="11"/>
  <c r="D436" i="11"/>
  <c r="D435" i="11"/>
  <c r="D434" i="11"/>
  <c r="D433" i="11"/>
  <c r="D432" i="11"/>
  <c r="D431" i="11"/>
  <c r="D430" i="11"/>
  <c r="D429" i="11"/>
  <c r="D428" i="11"/>
  <c r="D427" i="11"/>
  <c r="D426" i="11"/>
  <c r="D425" i="11"/>
  <c r="D424" i="11"/>
  <c r="D423" i="11"/>
  <c r="D422" i="11"/>
  <c r="D421" i="11"/>
  <c r="D420" i="11"/>
  <c r="D419" i="11"/>
  <c r="D418" i="11"/>
  <c r="D417" i="11"/>
  <c r="D416" i="11"/>
  <c r="D415" i="11"/>
  <c r="D414" i="11"/>
  <c r="D413" i="11"/>
  <c r="D412" i="11"/>
  <c r="D411" i="11"/>
  <c r="D410" i="11"/>
  <c r="D409" i="11"/>
  <c r="D408" i="11"/>
  <c r="D407" i="11"/>
  <c r="D406" i="11"/>
  <c r="D405" i="11"/>
  <c r="D404" i="11"/>
  <c r="D403" i="11"/>
  <c r="D402" i="11"/>
  <c r="D401" i="11"/>
  <c r="D400" i="11"/>
  <c r="D399" i="11"/>
  <c r="D398" i="11"/>
  <c r="D397" i="11"/>
  <c r="D396" i="11"/>
  <c r="D395" i="11"/>
  <c r="D394" i="11"/>
  <c r="D393" i="11"/>
  <c r="D392" i="11"/>
  <c r="D391" i="11"/>
  <c r="D390" i="11"/>
  <c r="D389" i="11"/>
  <c r="D388" i="11"/>
  <c r="D387" i="11"/>
  <c r="D386" i="11"/>
  <c r="D385" i="11"/>
  <c r="D384" i="11"/>
  <c r="D383" i="11"/>
  <c r="D382" i="11"/>
  <c r="D381" i="11"/>
  <c r="D380" i="11"/>
  <c r="D379" i="11"/>
  <c r="D378" i="11"/>
  <c r="D377" i="11"/>
  <c r="D376" i="11"/>
  <c r="D375" i="11"/>
  <c r="D374" i="11"/>
  <c r="D373" i="11"/>
  <c r="D372" i="11"/>
  <c r="D371" i="11"/>
  <c r="D370" i="11"/>
  <c r="D369" i="11"/>
  <c r="D368" i="11"/>
  <c r="D367" i="11"/>
  <c r="D366" i="11"/>
  <c r="D365" i="11"/>
  <c r="D364" i="11"/>
  <c r="D363" i="11"/>
  <c r="D362" i="11"/>
  <c r="D361" i="11"/>
  <c r="D360" i="11"/>
  <c r="D359" i="11"/>
  <c r="D358" i="11"/>
  <c r="D357" i="11"/>
  <c r="D356" i="11"/>
  <c r="D355" i="11"/>
  <c r="D354" i="11"/>
  <c r="D353" i="11"/>
  <c r="D352" i="11"/>
  <c r="D351" i="11"/>
  <c r="D350" i="11"/>
  <c r="D349" i="11"/>
  <c r="D348" i="11"/>
  <c r="D347" i="11"/>
  <c r="D346" i="11"/>
  <c r="D345" i="11"/>
  <c r="D344" i="11"/>
  <c r="D343" i="11"/>
  <c r="D342" i="11"/>
  <c r="D341" i="11"/>
  <c r="D340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D322" i="11"/>
  <c r="D321" i="11"/>
  <c r="D320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302" i="11"/>
  <c r="D301" i="11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D284" i="11"/>
  <c r="D283" i="11"/>
  <c r="D282" i="11"/>
  <c r="D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K12" i="11"/>
  <c r="K10" i="11"/>
  <c r="K8" i="11"/>
  <c r="K6" i="11"/>
  <c r="G4" i="11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J5" i="9"/>
  <c r="J7" i="9" s="1"/>
  <c r="J9" i="9" s="1"/>
  <c r="J11" i="9" s="1"/>
  <c r="J13" i="9" s="1"/>
  <c r="F11" i="5"/>
  <c r="F9" i="5"/>
  <c r="F7" i="5"/>
  <c r="F5" i="5"/>
  <c r="S5" i="6"/>
  <c r="S4" i="6"/>
  <c r="J4" i="6"/>
  <c r="G20" i="7"/>
  <c r="G18" i="7"/>
  <c r="G16" i="7"/>
  <c r="G14" i="7"/>
  <c r="G12" i="7"/>
  <c r="G10" i="7"/>
  <c r="O16" i="10"/>
  <c r="N117" i="10"/>
  <c r="N113" i="10"/>
  <c r="N107" i="10"/>
  <c r="N48" i="10"/>
  <c r="N34" i="10"/>
  <c r="N31" i="10"/>
  <c r="N28" i="10"/>
  <c r="O117" i="10"/>
  <c r="O113" i="10"/>
  <c r="O107" i="10"/>
  <c r="O48" i="10"/>
  <c r="O34" i="10"/>
  <c r="O31" i="10"/>
  <c r="O28" i="10"/>
  <c r="M118" i="10" a="1"/>
  <c r="M117" i="10" a="1"/>
  <c r="M113" i="10" a="1"/>
  <c r="M112" i="10" a="1"/>
  <c r="M111" i="10" a="1"/>
  <c r="M110" i="10" a="1"/>
  <c r="M109" i="10" a="1"/>
  <c r="M108" i="10" a="1"/>
  <c r="M107" i="10" a="1"/>
  <c r="M73" i="10" a="1"/>
  <c r="M72" i="10" a="1"/>
  <c r="M71" i="10" a="1"/>
  <c r="M70" i="10" a="1"/>
  <c r="M69" i="10" a="1"/>
  <c r="M68" i="10" a="1"/>
  <c r="M67" i="10" a="1"/>
  <c r="M66" i="10" a="1"/>
  <c r="M65" i="10" a="1"/>
  <c r="M64" i="10" a="1"/>
  <c r="M63" i="10" a="1"/>
  <c r="M62" i="10" a="1"/>
  <c r="M61" i="10" a="1"/>
  <c r="M60" i="10" a="1"/>
  <c r="M59" i="10" a="1"/>
  <c r="M58" i="10" a="1"/>
  <c r="M57" i="10" a="1"/>
  <c r="M56" i="10" a="1"/>
  <c r="M55" i="10" a="1"/>
  <c r="M46" i="10" a="1"/>
  <c r="M45" i="10" a="1"/>
  <c r="M44" i="10" a="1"/>
  <c r="M43" i="10" a="1"/>
  <c r="M38" i="10" a="1"/>
  <c r="M37" i="10" a="1"/>
  <c r="M36" i="10" a="1"/>
  <c r="M35" i="10" a="1"/>
  <c r="M33" i="10" a="1"/>
  <c r="M32" i="10" a="1"/>
  <c r="M31" i="10" a="1"/>
  <c r="M30" i="10" a="1"/>
  <c r="G98" i="10"/>
  <c r="G97" i="10"/>
  <c r="G96" i="10"/>
  <c r="M106" i="10" s="1" a="1"/>
  <c r="G95" i="10"/>
  <c r="M105" i="10" s="1" a="1"/>
  <c r="G94" i="10"/>
  <c r="M104" i="10" s="1" a="1"/>
  <c r="G93" i="10"/>
  <c r="M103" i="10" s="1" a="1"/>
  <c r="G92" i="10"/>
  <c r="M102" i="10" s="1" a="1"/>
  <c r="G91" i="10"/>
  <c r="M101" i="10" s="1" a="1"/>
  <c r="G90" i="10"/>
  <c r="M121" i="10" s="1" a="1"/>
  <c r="G89" i="10"/>
  <c r="M120" i="10" s="1" a="1"/>
  <c r="G88" i="10"/>
  <c r="M119" i="10" s="1" a="1"/>
  <c r="G87" i="10"/>
  <c r="M100" i="10" s="1" a="1"/>
  <c r="G86" i="10"/>
  <c r="M116" i="10" s="1" a="1"/>
  <c r="G85" i="10"/>
  <c r="M115" i="10" s="1" a="1"/>
  <c r="G84" i="10"/>
  <c r="M114" i="10" s="1" a="1"/>
  <c r="G83" i="10"/>
  <c r="M99" i="10" s="1" a="1"/>
  <c r="G82" i="10"/>
  <c r="M42" i="10" s="1" a="1"/>
  <c r="G81" i="10"/>
  <c r="M98" i="10" s="1" a="1"/>
  <c r="G80" i="10"/>
  <c r="M97" i="10" s="1" a="1"/>
  <c r="G79" i="10"/>
  <c r="G78" i="10"/>
  <c r="M96" i="10" s="1" a="1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G77" i="10" s="1"/>
  <c r="M95" i="10" s="1" a="1"/>
  <c r="F76" i="10"/>
  <c r="G76" i="10" s="1"/>
  <c r="M94" i="10" s="1" a="1"/>
  <c r="F75" i="10"/>
  <c r="G75" i="10" s="1"/>
  <c r="M93" i="10" s="1" a="1"/>
  <c r="F74" i="10"/>
  <c r="G74" i="10" s="1"/>
  <c r="M92" i="10" s="1" a="1"/>
  <c r="F73" i="10"/>
  <c r="G73" i="10" s="1"/>
  <c r="M91" i="10" s="1" a="1"/>
  <c r="F72" i="10"/>
  <c r="G72" i="10" s="1"/>
  <c r="M90" i="10" s="1" a="1"/>
  <c r="F71" i="10"/>
  <c r="G71" i="10" s="1"/>
  <c r="M89" i="10" s="1" a="1"/>
  <c r="F70" i="10"/>
  <c r="G70" i="10" s="1"/>
  <c r="M47" i="10" s="1" a="1"/>
  <c r="F69" i="10"/>
  <c r="G69" i="10" s="1"/>
  <c r="M88" i="10" s="1" a="1"/>
  <c r="F68" i="10"/>
  <c r="G68" i="10" s="1"/>
  <c r="M87" i="10" s="1" a="1"/>
  <c r="F67" i="10"/>
  <c r="G67" i="10" s="1"/>
  <c r="M86" i="10" s="1" a="1"/>
  <c r="F66" i="10"/>
  <c r="G66" i="10" s="1"/>
  <c r="M85" i="10" s="1" a="1"/>
  <c r="F65" i="10"/>
  <c r="G65" i="10" s="1"/>
  <c r="M84" i="10" s="1" a="1"/>
  <c r="F64" i="10"/>
  <c r="G64" i="10" s="1"/>
  <c r="M83" i="10" s="1" a="1"/>
  <c r="F63" i="10"/>
  <c r="G63" i="10" s="1"/>
  <c r="M82" i="10" s="1" a="1"/>
  <c r="F62" i="10"/>
  <c r="G62" i="10" s="1"/>
  <c r="M81" i="10" s="1" a="1"/>
  <c r="F61" i="10"/>
  <c r="G61" i="10" s="1"/>
  <c r="M41" i="10" s="1" a="1"/>
  <c r="F60" i="10"/>
  <c r="G60" i="10" s="1"/>
  <c r="M40" i="10" s="1" a="1"/>
  <c r="F59" i="10"/>
  <c r="G59" i="10" s="1"/>
  <c r="M80" i="10" s="1" a="1"/>
  <c r="F58" i="10"/>
  <c r="G58" i="10" s="1"/>
  <c r="M79" i="10" s="1" a="1"/>
  <c r="F57" i="10"/>
  <c r="G57" i="10" s="1"/>
  <c r="M78" i="10" s="1" a="1"/>
  <c r="F56" i="10"/>
  <c r="G56" i="10" s="1"/>
  <c r="M77" i="10" s="1" a="1"/>
  <c r="F55" i="10"/>
  <c r="G55" i="10" s="1"/>
  <c r="M76" i="10" s="1" a="1"/>
  <c r="F54" i="10"/>
  <c r="G54" i="10" s="1"/>
  <c r="M75" i="10" s="1" a="1"/>
  <c r="F53" i="10"/>
  <c r="G53" i="10" s="1"/>
  <c r="M39" i="10" s="1" a="1"/>
  <c r="F52" i="10"/>
  <c r="G52" i="10" s="1"/>
  <c r="M74" i="10" s="1" a="1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G12" i="10" s="1"/>
  <c r="M54" i="10" s="1" a="1"/>
  <c r="F11" i="10"/>
  <c r="G11" i="10" s="1"/>
  <c r="M53" i="10" s="1" a="1"/>
  <c r="F10" i="10"/>
  <c r="G10" i="10" s="1"/>
  <c r="M52" i="10" s="1" a="1"/>
  <c r="F9" i="10"/>
  <c r="G9" i="10" s="1"/>
  <c r="M51" i="10" s="1" a="1"/>
  <c r="F8" i="10"/>
  <c r="G8" i="10" s="1"/>
  <c r="M29" i="10" s="1" a="1"/>
  <c r="F7" i="10"/>
  <c r="G7" i="10" s="1"/>
  <c r="M28" i="10" s="1" a="1"/>
  <c r="F6" i="10"/>
  <c r="G6" i="10" s="1"/>
  <c r="M50" i="10" s="1" a="1"/>
  <c r="F5" i="10"/>
  <c r="G5" i="10" s="1"/>
  <c r="M49" i="10" s="1" a="1"/>
  <c r="F4" i="10"/>
  <c r="G4" i="10" s="1"/>
  <c r="M34" i="10" s="1" a="1"/>
  <c r="F3" i="10"/>
  <c r="G3" i="10" s="1"/>
  <c r="M48" i="10" s="1" a="1"/>
  <c r="D6" i="2"/>
  <c r="B14" i="2"/>
  <c r="B15" i="2" s="1"/>
  <c r="B16" i="2" s="1"/>
  <c r="B17" i="2" s="1"/>
  <c r="B18" i="2" s="1"/>
  <c r="B19" i="2" s="1"/>
  <c r="B20" i="2" s="1"/>
  <c r="B21" i="2" s="1"/>
  <c r="B22" i="2" s="1"/>
  <c r="B23" i="2" s="1"/>
  <c r="D10" i="2"/>
  <c r="C5" i="2"/>
  <c r="I5" i="6"/>
  <c r="J5" i="6" s="1"/>
  <c r="T6" i="4" l="1"/>
  <c r="D5" i="4" s="1"/>
  <c r="S7" i="4"/>
  <c r="E30" i="4"/>
  <c r="G5" i="11"/>
  <c r="I4" i="11"/>
  <c r="D3" i="9" s="1"/>
  <c r="I6" i="6"/>
  <c r="J6" i="6" s="1"/>
  <c r="S6" i="6"/>
  <c r="N15" i="6" s="1"/>
  <c r="D9" i="2" s="1"/>
  <c r="D11" i="2" s="1"/>
  <c r="S8" i="4" l="1"/>
  <c r="T7" i="4"/>
  <c r="D6" i="4" s="1"/>
  <c r="C5" i="4"/>
  <c r="G6" i="11"/>
  <c r="I5" i="11"/>
  <c r="D4" i="9" s="1"/>
  <c r="I7" i="6"/>
  <c r="J7" i="6" s="1"/>
  <c r="D13" i="2"/>
  <c r="D19" i="2"/>
  <c r="D17" i="2"/>
  <c r="D15" i="2"/>
  <c r="D22" i="2"/>
  <c r="D20" i="2"/>
  <c r="D18" i="2"/>
  <c r="D16" i="2"/>
  <c r="D14" i="2"/>
  <c r="D21" i="2"/>
  <c r="D23" i="2"/>
  <c r="S9" i="4" l="1"/>
  <c r="T8" i="4"/>
  <c r="D7" i="4" s="1"/>
  <c r="E5" i="4"/>
  <c r="D5" i="5"/>
  <c r="C6" i="4"/>
  <c r="C3" i="9"/>
  <c r="F3" i="9" s="1"/>
  <c r="G3" i="9" s="1"/>
  <c r="H3" i="9" s="1"/>
  <c r="I6" i="11"/>
  <c r="D5" i="9" s="1"/>
  <c r="G7" i="11"/>
  <c r="I8" i="6"/>
  <c r="J8" i="6" s="1"/>
  <c r="S10" i="4" l="1"/>
  <c r="T9" i="4"/>
  <c r="D8" i="4" s="1"/>
  <c r="E6" i="4"/>
  <c r="D6" i="5"/>
  <c r="C4" i="9"/>
  <c r="F4" i="9" s="1"/>
  <c r="G4" i="9" s="1"/>
  <c r="H4" i="9" s="1"/>
  <c r="C7" i="4"/>
  <c r="G8" i="11"/>
  <c r="I7" i="11"/>
  <c r="D6" i="9" s="1"/>
  <c r="I9" i="6"/>
  <c r="J9" i="6" s="1"/>
  <c r="S11" i="4" l="1"/>
  <c r="T10" i="4"/>
  <c r="D9" i="4" s="1"/>
  <c r="E7" i="4"/>
  <c r="F7" i="4" s="1"/>
  <c r="D7" i="5"/>
  <c r="C8" i="4"/>
  <c r="C5" i="9"/>
  <c r="F5" i="9" s="1"/>
  <c r="G5" i="9" s="1"/>
  <c r="H5" i="9" s="1"/>
  <c r="I8" i="11"/>
  <c r="D7" i="9" s="1"/>
  <c r="G9" i="11"/>
  <c r="I10" i="6"/>
  <c r="J10" i="6" s="1"/>
  <c r="S12" i="4" l="1"/>
  <c r="T11" i="4"/>
  <c r="D10" i="4" s="1"/>
  <c r="E8" i="4"/>
  <c r="D8" i="5"/>
  <c r="C6" i="9"/>
  <c r="C9" i="4"/>
  <c r="G10" i="11"/>
  <c r="I11" i="6"/>
  <c r="J11" i="6" s="1"/>
  <c r="S13" i="4" l="1"/>
  <c r="T12" i="4"/>
  <c r="D11" i="4" s="1"/>
  <c r="F6" i="9"/>
  <c r="G6" i="9" s="1"/>
  <c r="H6" i="9" s="1"/>
  <c r="E9" i="4"/>
  <c r="F8" i="4"/>
  <c r="D9" i="5"/>
  <c r="C10" i="4"/>
  <c r="C7" i="9"/>
  <c r="F7" i="9" s="1"/>
  <c r="G7" i="9" s="1"/>
  <c r="H7" i="9" s="1"/>
  <c r="I9" i="11"/>
  <c r="D8" i="9" s="1"/>
  <c r="I10" i="11"/>
  <c r="D9" i="9" s="1"/>
  <c r="G11" i="11"/>
  <c r="I12" i="6"/>
  <c r="J12" i="6" s="1"/>
  <c r="S14" i="4" l="1"/>
  <c r="T13" i="4"/>
  <c r="D12" i="4" s="1"/>
  <c r="E10" i="4"/>
  <c r="F9" i="4"/>
  <c r="G9" i="4"/>
  <c r="C8" i="9"/>
  <c r="F8" i="9" s="1"/>
  <c r="G8" i="9" s="1"/>
  <c r="H8" i="9" s="1"/>
  <c r="C11" i="4"/>
  <c r="I11" i="11"/>
  <c r="D10" i="9" s="1"/>
  <c r="G12" i="11"/>
  <c r="D10" i="5"/>
  <c r="I13" i="6"/>
  <c r="J13" i="6" s="1"/>
  <c r="S15" i="4" l="1"/>
  <c r="T14" i="4"/>
  <c r="D13" i="4" s="1"/>
  <c r="E11" i="4"/>
  <c r="F10" i="4"/>
  <c r="G10" i="4"/>
  <c r="D11" i="5"/>
  <c r="C9" i="9"/>
  <c r="F9" i="9" s="1"/>
  <c r="G9" i="9" s="1"/>
  <c r="H9" i="9" s="1"/>
  <c r="C12" i="4"/>
  <c r="I12" i="11"/>
  <c r="D11" i="9" s="1"/>
  <c r="G13" i="11"/>
  <c r="I14" i="6"/>
  <c r="J14" i="6" s="1"/>
  <c r="S16" i="4" l="1"/>
  <c r="T15" i="4"/>
  <c r="D14" i="4" s="1"/>
  <c r="F11" i="4"/>
  <c r="G11" i="4"/>
  <c r="H11" i="4"/>
  <c r="E12" i="4"/>
  <c r="D12" i="5"/>
  <c r="C13" i="4"/>
  <c r="C10" i="9"/>
  <c r="F10" i="9" s="1"/>
  <c r="G10" i="9" s="1"/>
  <c r="H10" i="9" s="1"/>
  <c r="G14" i="11"/>
  <c r="I13" i="11"/>
  <c r="D12" i="9" s="1"/>
  <c r="I15" i="6"/>
  <c r="J15" i="6" s="1"/>
  <c r="S17" i="4" l="1"/>
  <c r="T16" i="4"/>
  <c r="D15" i="4" s="1"/>
  <c r="F12" i="4"/>
  <c r="G12" i="4"/>
  <c r="H12" i="4"/>
  <c r="E13" i="4"/>
  <c r="D13" i="5"/>
  <c r="C11" i="9"/>
  <c r="F11" i="9" s="1"/>
  <c r="G11" i="9" s="1"/>
  <c r="H11" i="9" s="1"/>
  <c r="C14" i="4"/>
  <c r="G15" i="11"/>
  <c r="I16" i="6"/>
  <c r="J16" i="6" s="1"/>
  <c r="S18" i="4" l="1"/>
  <c r="T17" i="4"/>
  <c r="D16" i="4" s="1"/>
  <c r="E14" i="4"/>
  <c r="F13" i="4"/>
  <c r="G13" i="4"/>
  <c r="H13" i="4"/>
  <c r="D14" i="5"/>
  <c r="C12" i="9"/>
  <c r="F12" i="9" s="1"/>
  <c r="G12" i="9" s="1"/>
  <c r="H12" i="9" s="1"/>
  <c r="C15" i="4"/>
  <c r="I15" i="11"/>
  <c r="D14" i="9" s="1"/>
  <c r="G16" i="11"/>
  <c r="I14" i="11"/>
  <c r="D13" i="9" s="1"/>
  <c r="I17" i="6"/>
  <c r="J17" i="6" s="1"/>
  <c r="S19" i="4" l="1"/>
  <c r="T18" i="4"/>
  <c r="D17" i="4" s="1"/>
  <c r="E15" i="4"/>
  <c r="F14" i="4"/>
  <c r="I14" i="4"/>
  <c r="G14" i="4"/>
  <c r="H14" i="4"/>
  <c r="C16" i="4"/>
  <c r="C13" i="9"/>
  <c r="F13" i="9" s="1"/>
  <c r="G13" i="9" s="1"/>
  <c r="H13" i="9" s="1"/>
  <c r="I16" i="11"/>
  <c r="D15" i="9" s="1"/>
  <c r="G17" i="11"/>
  <c r="D15" i="5"/>
  <c r="I18" i="6"/>
  <c r="J18" i="6" s="1"/>
  <c r="S20" i="4" l="1"/>
  <c r="T19" i="4"/>
  <c r="D18" i="4" s="1"/>
  <c r="F15" i="4"/>
  <c r="H15" i="4"/>
  <c r="I15" i="4"/>
  <c r="G15" i="4"/>
  <c r="E16" i="4"/>
  <c r="D16" i="5"/>
  <c r="C14" i="9"/>
  <c r="F14" i="9" s="1"/>
  <c r="G14" i="9" s="1"/>
  <c r="H14" i="9" s="1"/>
  <c r="C17" i="4"/>
  <c r="I17" i="11"/>
  <c r="D16" i="9" s="1"/>
  <c r="G18" i="11"/>
  <c r="I19" i="6"/>
  <c r="J19" i="6" s="1"/>
  <c r="S21" i="4" l="1"/>
  <c r="T20" i="4"/>
  <c r="D19" i="4" s="1"/>
  <c r="E17" i="4"/>
  <c r="F16" i="4"/>
  <c r="G16" i="4"/>
  <c r="H16" i="4"/>
  <c r="I16" i="4"/>
  <c r="D17" i="5"/>
  <c r="C15" i="9"/>
  <c r="F15" i="9" s="1"/>
  <c r="G15" i="9" s="1"/>
  <c r="H15" i="9" s="1"/>
  <c r="C18" i="4"/>
  <c r="I18" i="11"/>
  <c r="D17" i="9" s="1"/>
  <c r="G19" i="11"/>
  <c r="I20" i="6"/>
  <c r="J20" i="6" s="1"/>
  <c r="S22" i="4" l="1"/>
  <c r="T21" i="4"/>
  <c r="D20" i="4" s="1"/>
  <c r="F17" i="4"/>
  <c r="H17" i="4"/>
  <c r="I17" i="4"/>
  <c r="G17" i="4"/>
  <c r="E18" i="4"/>
  <c r="D18" i="5"/>
  <c r="C16" i="9"/>
  <c r="F16" i="9" s="1"/>
  <c r="G16" i="9" s="1"/>
  <c r="H16" i="9" s="1"/>
  <c r="C19" i="4"/>
  <c r="G20" i="11"/>
  <c r="I21" i="6"/>
  <c r="J21" i="6" s="1"/>
  <c r="S23" i="4" l="1"/>
  <c r="T22" i="4"/>
  <c r="D21" i="4" s="1"/>
  <c r="E19" i="4"/>
  <c r="F18" i="4"/>
  <c r="G18" i="4"/>
  <c r="H18" i="4"/>
  <c r="I18" i="4"/>
  <c r="D19" i="5"/>
  <c r="C17" i="9"/>
  <c r="F17" i="9" s="1"/>
  <c r="G17" i="9" s="1"/>
  <c r="H17" i="9" s="1"/>
  <c r="C20" i="4"/>
  <c r="I20" i="11"/>
  <c r="D19" i="9" s="1"/>
  <c r="G21" i="11"/>
  <c r="I19" i="11"/>
  <c r="D18" i="9" s="1"/>
  <c r="I22" i="6"/>
  <c r="J22" i="6" s="1"/>
  <c r="S24" i="4" l="1"/>
  <c r="T23" i="4"/>
  <c r="D22" i="4" s="1"/>
  <c r="F19" i="4"/>
  <c r="E20" i="4"/>
  <c r="I30" i="4" s="1"/>
  <c r="G19" i="4"/>
  <c r="H19" i="4"/>
  <c r="I19" i="4"/>
  <c r="C21" i="4"/>
  <c r="C18" i="9"/>
  <c r="F18" i="9" s="1"/>
  <c r="G18" i="9" s="1"/>
  <c r="H18" i="9" s="1"/>
  <c r="I21" i="11"/>
  <c r="D20" i="9" s="1"/>
  <c r="G22" i="11"/>
  <c r="D20" i="5"/>
  <c r="I23" i="6"/>
  <c r="J23" i="6" s="1"/>
  <c r="S25" i="4" l="1"/>
  <c r="T24" i="4"/>
  <c r="D23" i="4" s="1"/>
  <c r="E21" i="4"/>
  <c r="H20" i="4"/>
  <c r="F20" i="4"/>
  <c r="G20" i="4"/>
  <c r="I20" i="4"/>
  <c r="D21" i="5"/>
  <c r="C22" i="4"/>
  <c r="C19" i="9"/>
  <c r="F19" i="9" s="1"/>
  <c r="G19" i="9" s="1"/>
  <c r="H19" i="9" s="1"/>
  <c r="G23" i="11"/>
  <c r="I24" i="6"/>
  <c r="J24" i="6" s="1"/>
  <c r="S26" i="4" l="1"/>
  <c r="T25" i="4"/>
  <c r="D24" i="4" s="1"/>
  <c r="E22" i="4"/>
  <c r="F21" i="4"/>
  <c r="G21" i="4"/>
  <c r="H21" i="4"/>
  <c r="I21" i="4"/>
  <c r="D22" i="5"/>
  <c r="C23" i="4"/>
  <c r="C20" i="9"/>
  <c r="F20" i="9" s="1"/>
  <c r="G20" i="9" s="1"/>
  <c r="H20" i="9" s="1"/>
  <c r="I22" i="11"/>
  <c r="D21" i="9" s="1"/>
  <c r="I23" i="11"/>
  <c r="D22" i="9" s="1"/>
  <c r="G24" i="11"/>
  <c r="I25" i="6"/>
  <c r="J25" i="6" s="1"/>
  <c r="S27" i="4" l="1"/>
  <c r="T26" i="4"/>
  <c r="D25" i="4" s="1"/>
  <c r="E23" i="4"/>
  <c r="H30" i="4" s="1"/>
  <c r="G22" i="4"/>
  <c r="H22" i="4"/>
  <c r="F22" i="4"/>
  <c r="I22" i="4"/>
  <c r="C21" i="9"/>
  <c r="F21" i="9" s="1"/>
  <c r="G21" i="9" s="1"/>
  <c r="H21" i="9" s="1"/>
  <c r="C24" i="4"/>
  <c r="G25" i="11"/>
  <c r="D23" i="5"/>
  <c r="I26" i="6"/>
  <c r="J26" i="6" s="1"/>
  <c r="S28" i="4" l="1"/>
  <c r="T27" i="4"/>
  <c r="D26" i="4" s="1"/>
  <c r="E24" i="4"/>
  <c r="H23" i="4"/>
  <c r="G23" i="4"/>
  <c r="I23" i="4"/>
  <c r="F23" i="4"/>
  <c r="D24" i="5"/>
  <c r="C22" i="9"/>
  <c r="F22" i="9" s="1"/>
  <c r="G22" i="9" s="1"/>
  <c r="H22" i="9" s="1"/>
  <c r="C25" i="4"/>
  <c r="I24" i="11"/>
  <c r="D23" i="9" s="1"/>
  <c r="G26" i="11"/>
  <c r="I25" i="11"/>
  <c r="D24" i="9" s="1"/>
  <c r="I27" i="6"/>
  <c r="J27" i="6" s="1"/>
  <c r="S29" i="4" l="1"/>
  <c r="T28" i="4"/>
  <c r="D27" i="4" s="1"/>
  <c r="F24" i="4"/>
  <c r="G24" i="4"/>
  <c r="H24" i="4"/>
  <c r="I24" i="4"/>
  <c r="E25" i="4"/>
  <c r="G30" i="4" s="1"/>
  <c r="C26" i="4"/>
  <c r="C23" i="9"/>
  <c r="F23" i="9" s="1"/>
  <c r="G23" i="9" s="1"/>
  <c r="H23" i="9" s="1"/>
  <c r="G27" i="11"/>
  <c r="I26" i="11"/>
  <c r="D25" i="9" s="1"/>
  <c r="D25" i="5"/>
  <c r="I28" i="6"/>
  <c r="J28" i="6" s="1"/>
  <c r="S30" i="4" l="1"/>
  <c r="T30" i="4" s="1"/>
  <c r="D29" i="4" s="1"/>
  <c r="E29" i="4" s="1"/>
  <c r="T29" i="4"/>
  <c r="D28" i="4" s="1"/>
  <c r="E26" i="4"/>
  <c r="F25" i="4"/>
  <c r="G25" i="4"/>
  <c r="H25" i="4"/>
  <c r="I25" i="4"/>
  <c r="D26" i="5"/>
  <c r="C24" i="9"/>
  <c r="F24" i="9" s="1"/>
  <c r="G24" i="9" s="1"/>
  <c r="H24" i="9" s="1"/>
  <c r="C27" i="4"/>
  <c r="I27" i="11"/>
  <c r="D26" i="9" s="1"/>
  <c r="I29" i="6"/>
  <c r="J29" i="6" s="1"/>
  <c r="G29" i="4" l="1"/>
  <c r="H29" i="4"/>
  <c r="I29" i="4"/>
  <c r="F29" i="4"/>
  <c r="D7" i="2"/>
  <c r="E27" i="4"/>
  <c r="F30" i="4" s="1"/>
  <c r="F26" i="4"/>
  <c r="G26" i="4"/>
  <c r="H26" i="4"/>
  <c r="I26" i="4"/>
  <c r="D27" i="5"/>
  <c r="C28" i="4"/>
  <c r="H3" i="5"/>
  <c r="H5" i="5"/>
  <c r="H7" i="5"/>
  <c r="H9" i="5"/>
  <c r="H11" i="5"/>
  <c r="I30" i="6"/>
  <c r="J30" i="6" s="1"/>
  <c r="E28" i="4" l="1"/>
  <c r="H28" i="4" s="1"/>
  <c r="F27" i="4"/>
  <c r="G27" i="4"/>
  <c r="H27" i="4"/>
  <c r="I27" i="4"/>
  <c r="I31" i="6"/>
  <c r="J31" i="6" s="1"/>
  <c r="F28" i="4" l="1"/>
  <c r="D8" i="2" s="1"/>
  <c r="C13" i="2" s="1"/>
  <c r="I28" i="4"/>
  <c r="G28" i="4"/>
  <c r="N11" i="6"/>
  <c r="N9" i="6"/>
  <c r="N7" i="6"/>
  <c r="N5" i="6"/>
  <c r="N3" i="6"/>
  <c r="N13" i="6"/>
  <c r="C18" i="2" l="1"/>
  <c r="E18" i="2" s="1"/>
  <c r="C22" i="2"/>
  <c r="C17" i="2"/>
  <c r="E17" i="2" s="1"/>
  <c r="C16" i="2"/>
  <c r="E16" i="2" s="1"/>
  <c r="C15" i="2"/>
  <c r="E15" i="2" s="1"/>
  <c r="C21" i="2"/>
  <c r="E21" i="2" s="1"/>
  <c r="C20" i="2"/>
  <c r="E20" i="2" s="1"/>
  <c r="E13" i="2"/>
  <c r="C19" i="2"/>
  <c r="E19" i="2" s="1"/>
  <c r="C14" i="2"/>
  <c r="E14" i="2" s="1"/>
  <c r="C23" i="2" l="1"/>
  <c r="E23" i="2" s="1"/>
  <c r="E22" i="2"/>
  <c r="E3" i="2" l="1"/>
  <c r="E4" i="2" s="1"/>
  <c r="E6" i="2" s="1"/>
  <c r="M121" i="10"/>
  <c r="M120" i="10"/>
  <c r="M119" i="10"/>
  <c r="M118" i="10"/>
  <c r="M117" i="10"/>
  <c r="M116" i="10"/>
  <c r="M115" i="10"/>
  <c r="M114" i="10"/>
  <c r="M113" i="10"/>
  <c r="M112" i="10"/>
  <c r="M111" i="10"/>
  <c r="M110" i="10"/>
  <c r="M109" i="10"/>
  <c r="M108" i="10"/>
  <c r="M107" i="10"/>
  <c r="M106" i="10"/>
  <c r="M105" i="10"/>
  <c r="M104" i="10"/>
  <c r="M103" i="10"/>
  <c r="M102" i="10"/>
  <c r="M101" i="10"/>
  <c r="M100" i="10"/>
  <c r="M99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ANU YESH SINHA</author>
  </authors>
  <commentList>
    <comment ref="C23" authorId="0" shapeId="0" xr:uid="{EF74E70C-85CE-DA40-91C2-32F1E035CC6E}">
      <text>
        <r>
          <rPr>
            <b/>
            <sz val="10"/>
            <color rgb="FF000000"/>
            <rFont val="Tahoma"/>
            <family val="2"/>
          </rPr>
          <t>ANU YESH SINHA: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Here we are considering terminal growth to be equal to risk free rate . Hence Ke-g is coming out ot be equal to ERP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<sst xmlns="http://schemas.openxmlformats.org/spreadsheetml/2006/main" count="394" uniqueCount="198">
  <si>
    <t>#</t>
  </si>
  <si>
    <t>Year</t>
  </si>
  <si>
    <t>High</t>
  </si>
  <si>
    <t>Low</t>
  </si>
  <si>
    <t>PE Ratios</t>
  </si>
  <si>
    <t>Dividend Yield</t>
  </si>
  <si>
    <t>Date</t>
  </si>
  <si>
    <t>Price</t>
  </si>
  <si>
    <t>Open</t>
  </si>
  <si>
    <t>Change %</t>
  </si>
  <si>
    <t>MSFT</t>
  </si>
  <si>
    <t>20 years</t>
  </si>
  <si>
    <t>7 years</t>
  </si>
  <si>
    <t>5 years</t>
  </si>
  <si>
    <t>Latest</t>
  </si>
  <si>
    <t>Yield</t>
  </si>
  <si>
    <t>10Y Bond Average Range</t>
  </si>
  <si>
    <t>Average Rate</t>
  </si>
  <si>
    <t>15 years</t>
  </si>
  <si>
    <t>10 years</t>
  </si>
  <si>
    <t>Average Return</t>
  </si>
  <si>
    <t xml:space="preserve">Source: </t>
  </si>
  <si>
    <t xml:space="preserve"> </t>
  </si>
  <si>
    <t>EPS</t>
  </si>
  <si>
    <t>EPS CAGR 3 Yr</t>
  </si>
  <si>
    <t>EPS CAGR 5 Yr</t>
  </si>
  <si>
    <t>EPS CAGR 7 Yr</t>
  </si>
  <si>
    <t>EPS CAGR 10 Yr</t>
  </si>
  <si>
    <t>-</t>
  </si>
  <si>
    <t>Average EPS CAGR</t>
  </si>
  <si>
    <t>Dividend Amount</t>
  </si>
  <si>
    <t>BuyBack Amount</t>
  </si>
  <si>
    <t>Total Yield</t>
  </si>
  <si>
    <t>Total Earnings</t>
  </si>
  <si>
    <t>Total Earning Yield</t>
  </si>
  <si>
    <t>Key Inputs</t>
  </si>
  <si>
    <t>Assumptions</t>
  </si>
  <si>
    <t>Data</t>
  </si>
  <si>
    <t>Expected Growth</t>
  </si>
  <si>
    <t>Risk Free Rate</t>
  </si>
  <si>
    <t>Equity Risk Premium</t>
  </si>
  <si>
    <t>Cost of Equity</t>
  </si>
  <si>
    <t>Expected Dividends and BuyBacks</t>
  </si>
  <si>
    <t>Cummulative PV Factor ( Risk Free Rate +Equity Risk Premium)</t>
  </si>
  <si>
    <t>Present Value of Expected Dividends and Buybacks</t>
  </si>
  <si>
    <t>10 Years</t>
  </si>
  <si>
    <t>15 Years</t>
  </si>
  <si>
    <t>7 Years</t>
  </si>
  <si>
    <t>5 Years</t>
  </si>
  <si>
    <t>3 Years</t>
  </si>
  <si>
    <t>20 Years</t>
  </si>
  <si>
    <t>Risk Free Rate using CDS Approach</t>
  </si>
  <si>
    <t>Government Bond Rate</t>
  </si>
  <si>
    <t>Country Default Swap Rate</t>
  </si>
  <si>
    <t>Risk free rate using CDS Approach</t>
  </si>
  <si>
    <t xml:space="preserve"> Dynamic Rate</t>
  </si>
  <si>
    <t>Equity Risk Premium (%)</t>
  </si>
  <si>
    <t xml:space="preserve">Average  ERP </t>
  </si>
  <si>
    <t>Industry name</t>
  </si>
  <si>
    <t>Number of firms</t>
  </si>
  <si>
    <t xml:space="preserve">  Dividends </t>
  </si>
  <si>
    <t>Dividends + Buybacks</t>
  </si>
  <si>
    <t>Advertising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</si>
  <si>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</si>
  <si>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</si>
  <si>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</si>
  <si>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</si>
  <si>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</si>
  <si>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</si>
  <si>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</si>
  <si>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</si>
  <si>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</si>
  <si>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</si>
  <si>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</si>
  <si>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</si>
  <si>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</si>
  <si>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</si>
  <si>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</si>
  <si>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</si>
  <si>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</si>
  <si>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</si>
  <si>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</si>
  <si>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</si>
  <si>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</si>
  <si>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</si>
  <si>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</si>
  <si>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</si>
  <si>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</si>
  <si>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</si>
  <si>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</si>
  <si>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</si>
  <si>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</si>
  <si>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</si>
  <si>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</si>
  <si>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</si>
  <si>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</si>
  <si>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</si>
  <si>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</si>
  <si>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</si>
  <si>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</si>
  <si>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</si>
  <si>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</si>
  <si>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</si>
  <si>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</si>
  <si>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</si>
  <si>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</si>
  <si>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</si>
  <si>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</si>
  <si>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</si>
  <si>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</si>
  <si>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</si>
  <si>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</si>
  <si>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</si>
  <si>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</si>
  <si>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</si>
  <si>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</si>
  <si>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</si>
  <si>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</si>
  <si>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</si>
  <si>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</si>
  <si>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</si>
  <si>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</si>
  <si>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</si>
  <si>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</si>
  <si>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</si>
  <si>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</si>
  <si>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</si>
  <si>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</si>
  <si>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</si>
  <si>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</si>
  <si>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</si>
  <si>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</si>
  <si>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</si>
  <si>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</si>
  <si>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</si>
  <si>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</si>
  <si>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(REITs)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</si>
  <si>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</si>
  <si>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</si>
  <si>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</si>
  <si>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</si>
  <si>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</si>
  <si>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</si>
  <si>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</si>
  <si>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</si>
  <si>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</si>
  <si>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</si>
  <si>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</si>
  <si>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</si>
  <si>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</si>
  <si>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</si>
  <si>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</si>
  <si>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</si>
  <si>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</si>
  <si>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</si>
  <si>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</si>
  <si>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>Total Market</t>
  </si>
  <si>
    <t>Total Market (without financials)</t>
  </si>
  <si>
    <t>BuyBacks</t>
  </si>
  <si>
    <t>Buyback as % of Dividend</t>
  </si>
  <si>
    <t>Sector</t>
  </si>
  <si>
    <t>Chemicals</t>
  </si>
  <si>
    <t>Industrial</t>
  </si>
  <si>
    <t>Insurance</t>
  </si>
  <si>
    <t>Automobile</t>
  </si>
  <si>
    <t>Software</t>
  </si>
  <si>
    <t>Telecommunication</t>
  </si>
  <si>
    <t>Others</t>
  </si>
  <si>
    <t>Weights</t>
  </si>
  <si>
    <t>Pharma &amp; Healthcare</t>
  </si>
  <si>
    <t>Industry</t>
  </si>
  <si>
    <t>Buyback as % of dividend</t>
  </si>
  <si>
    <t>Average buyback as a % of Dividend</t>
  </si>
  <si>
    <t>Trimmed Mean Buyback as % of Dividend</t>
  </si>
  <si>
    <t>Sector Under DE40</t>
  </si>
  <si>
    <t>Weight under DE40</t>
  </si>
  <si>
    <t>Sector Wise Weights under DE 40</t>
  </si>
  <si>
    <t>https://www.market-risk-premia.com/de.html</t>
  </si>
  <si>
    <t>as on 01-04-2026</t>
  </si>
  <si>
    <t>10Y Germany Bond Historical Data</t>
  </si>
  <si>
    <t>Source: Investing.com</t>
  </si>
  <si>
    <t>DE 40 Average Range</t>
  </si>
  <si>
    <t>P/E</t>
  </si>
  <si>
    <t>DE 40 P/E</t>
  </si>
  <si>
    <t>Year Wise Average P/E</t>
  </si>
  <si>
    <t>Source</t>
  </si>
  <si>
    <t>Current DE40 Level</t>
  </si>
  <si>
    <t>DE40  Average Range</t>
  </si>
  <si>
    <t>Average DE 40 Earning Yield</t>
  </si>
  <si>
    <t>DE 40 Kursi Index Average Range</t>
  </si>
  <si>
    <t>DE 40 Performance  Index Average Range</t>
  </si>
  <si>
    <t>https://www.boerse.de/historische-kurse-jahre/DAX-Kursindex/DE0008467440</t>
  </si>
  <si>
    <t>Need to update from this column</t>
  </si>
  <si>
    <t>Valuation of  DE 40 Price Kursindex</t>
  </si>
  <si>
    <t>https://en.macromicro.me/series/20704/msci-germany-index-pe-ratio</t>
  </si>
  <si>
    <t>CAGR DE 40 Performance Returns -</t>
  </si>
  <si>
    <t>CAGR DE 40 Kursindex Returns -</t>
  </si>
  <si>
    <t xml:space="preserve">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</si>
</sst>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-yyyy"/>
    <numFmt numFmtId="165" formatCode="&quot;₹&quot;#,##0.00"/>
    <numFmt numFmtId="166" formatCode="dd/mm/yyyy;@"/>
    <numFmt numFmtId="167" formatCode="[$EUR]\ #,##0.00"/>
  </numFmts>
  <fonts count="1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6"/>
      <color theme="0"/>
      <name val="Calibri"/>
      <family val="2"/>
    </font>
    <font>
      <sz val="11"/>
      <color theme="0" tint="-4.9989318521683403E-2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dotted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1" xfId="0" applyBorder="1"/>
    <xf numFmtId="14" fontId="0" fillId="0" borderId="1" xfId="0" applyNumberFormat="1" applyBorder="1"/>
    <xf numFmtId="10" fontId="0" fillId="0" borderId="1" xfId="0" applyNumberFormat="1" applyBorder="1"/>
    <xf numFmtId="0" fontId="2" fillId="2" borderId="1" xfId="0" applyFont="1" applyFill="1" applyBorder="1"/>
    <xf numFmtId="10" fontId="0" fillId="0" borderId="0" xfId="1" applyNumberFormat="1" applyFont="1"/>
    <xf numFmtId="0" fontId="4" fillId="0" borderId="1" xfId="0" applyFont="1" applyBorder="1"/>
    <xf numFmtId="10" fontId="0" fillId="0" borderId="1" xfId="1" applyNumberFormat="1" applyFont="1" applyBorder="1"/>
    <xf numFmtId="164" fontId="5" fillId="0" borderId="1" xfId="0" applyNumberFormat="1" applyFont="1" applyBorder="1" applyAlignment="1">
      <alignment horizontal="left"/>
    </xf>
    <xf numFmtId="0" fontId="2" fillId="2" borderId="0" xfId="0" applyFont="1" applyFill="1"/>
    <xf numFmtId="0" fontId="0" fillId="0" borderId="0" xfId="0" applyAlignment="1">
      <alignment horizontal="left"/>
    </xf>
    <xf numFmtId="10" fontId="0" fillId="3" borderId="0" xfId="0" applyNumberFormat="1" applyFill="1"/>
    <xf numFmtId="0" fontId="2" fillId="2" borderId="1" xfId="0" applyFont="1" applyFill="1" applyBorder="1" applyAlignment="1">
      <alignment horizontal="left"/>
    </xf>
    <xf numFmtId="10" fontId="0" fillId="3" borderId="0" xfId="1" applyNumberFormat="1" applyFont="1" applyFill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right"/>
    </xf>
    <xf numFmtId="0" fontId="6" fillId="2" borderId="1" xfId="0" applyFont="1" applyFill="1" applyBorder="1"/>
    <xf numFmtId="165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left"/>
    </xf>
    <xf numFmtId="165" fontId="0" fillId="0" borderId="1" xfId="0" applyNumberFormat="1" applyBorder="1" applyAlignment="1">
      <alignment horizontal="right"/>
    </xf>
    <xf numFmtId="14" fontId="0" fillId="0" borderId="0" xfId="0" applyNumberFormat="1"/>
    <xf numFmtId="0" fontId="0" fillId="0" borderId="4" xfId="0" applyBorder="1" applyAlignment="1">
      <alignment horizontal="center"/>
    </xf>
    <xf numFmtId="0" fontId="0" fillId="0" borderId="4" xfId="0" applyBorder="1"/>
    <xf numFmtId="14" fontId="0" fillId="0" borderId="4" xfId="0" applyNumberFormat="1" applyBorder="1" applyAlignment="1">
      <alignment horizontal="center"/>
    </xf>
    <xf numFmtId="14" fontId="0" fillId="0" borderId="4" xfId="0" applyNumberFormat="1" applyBorder="1"/>
    <xf numFmtId="10" fontId="0" fillId="0" borderId="4" xfId="1" applyNumberFormat="1" applyFont="1" applyBorder="1"/>
    <xf numFmtId="0" fontId="0" fillId="0" borderId="5" xfId="0" applyBorder="1" applyAlignment="1">
      <alignment horizontal="center"/>
    </xf>
    <xf numFmtId="0" fontId="2" fillId="2" borderId="4" xfId="0" applyFont="1" applyFill="1" applyBorder="1"/>
    <xf numFmtId="2" fontId="7" fillId="0" borderId="3" xfId="0" applyNumberFormat="1" applyFont="1" applyBorder="1" applyAlignment="1">
      <alignment horizontal="center"/>
    </xf>
    <xf numFmtId="0" fontId="0" fillId="0" borderId="5" xfId="0" applyBorder="1"/>
    <xf numFmtId="10" fontId="0" fillId="0" borderId="5" xfId="0" applyNumberFormat="1" applyBorder="1"/>
    <xf numFmtId="0" fontId="2" fillId="2" borderId="2" xfId="0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9" fillId="0" borderId="0" xfId="0" applyFont="1"/>
    <xf numFmtId="10" fontId="0" fillId="0" borderId="0" xfId="0" applyNumberFormat="1"/>
    <xf numFmtId="0" fontId="2" fillId="2" borderId="0" xfId="0" applyFont="1" applyFill="1" applyAlignment="1">
      <alignment wrapText="1"/>
    </xf>
    <xf numFmtId="0" fontId="0" fillId="0" borderId="1" xfId="0" applyBorder="1" applyAlignment="1">
      <alignment horizontal="center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 indent="1"/>
    </xf>
    <xf numFmtId="10" fontId="0" fillId="0" borderId="2" xfId="1" applyNumberFormat="1" applyFont="1" applyFill="1" applyBorder="1"/>
    <xf numFmtId="0" fontId="12" fillId="6" borderId="2" xfId="0" applyFont="1" applyFill="1" applyBorder="1" applyAlignment="1">
      <alignment horizontal="left" vertical="center" indent="1"/>
    </xf>
    <xf numFmtId="10" fontId="0" fillId="0" borderId="2" xfId="1" applyNumberFormat="1" applyFont="1" applyBorder="1"/>
    <xf numFmtId="0" fontId="12" fillId="5" borderId="2" xfId="0" applyFont="1" applyFill="1" applyBorder="1" applyAlignment="1">
      <alignment horizontal="left" vertical="center" indent="1"/>
    </xf>
    <xf numFmtId="0" fontId="12" fillId="6" borderId="12" xfId="0" applyFont="1" applyFill="1" applyBorder="1" applyAlignment="1">
      <alignment horizontal="left" vertical="center" indent="1"/>
    </xf>
    <xf numFmtId="10" fontId="0" fillId="0" borderId="12" xfId="1" applyNumberFormat="1" applyFont="1" applyBorder="1"/>
    <xf numFmtId="0" fontId="2" fillId="7" borderId="0" xfId="0" applyFont="1" applyFill="1"/>
    <xf numFmtId="0" fontId="13" fillId="0" borderId="0" xfId="2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10" fontId="3" fillId="0" borderId="1" xfId="1" applyNumberFormat="1" applyFont="1" applyBorder="1" applyAlignment="1">
      <alignment horizontal="right"/>
    </xf>
    <xf numFmtId="14" fontId="2" fillId="2" borderId="1" xfId="0" applyNumberFormat="1" applyFont="1" applyFill="1" applyBorder="1"/>
    <xf numFmtId="0" fontId="0" fillId="0" borderId="14" xfId="0" applyBorder="1"/>
    <xf numFmtId="10" fontId="0" fillId="0" borderId="14" xfId="1" applyNumberFormat="1" applyFont="1" applyBorder="1"/>
    <xf numFmtId="2" fontId="0" fillId="0" borderId="0" xfId="1" applyNumberFormat="1" applyFont="1" applyBorder="1"/>
    <xf numFmtId="10" fontId="0" fillId="0" borderId="0" xfId="1" applyNumberFormat="1" applyFont="1" applyBorder="1"/>
    <xf numFmtId="4" fontId="0" fillId="0" borderId="0" xfId="0" applyNumberFormat="1"/>
    <xf numFmtId="0" fontId="2" fillId="0" borderId="0" xfId="0" applyFont="1"/>
    <xf numFmtId="166" fontId="0" fillId="0" borderId="1" xfId="0" applyNumberFormat="1" applyBorder="1"/>
    <xf numFmtId="167" fontId="0" fillId="0" borderId="1" xfId="0" applyNumberFormat="1" applyBorder="1"/>
    <xf numFmtId="0" fontId="2" fillId="2" borderId="15" xfId="1" applyNumberFormat="1" applyFont="1" applyFill="1" applyBorder="1"/>
    <xf numFmtId="0" fontId="2" fillId="2" borderId="15" xfId="1" applyNumberFormat="1" applyFont="1" applyFill="1" applyBorder="1" applyAlignment="1">
      <alignment horizontal="right"/>
    </xf>
    <xf numFmtId="166" fontId="3" fillId="0" borderId="1" xfId="0" applyNumberFormat="1" applyFont="1" applyBorder="1" applyAlignment="1">
      <alignment horizontal="left"/>
    </xf>
    <xf numFmtId="2" fontId="2" fillId="2" borderId="1" xfId="0" applyNumberFormat="1" applyFont="1" applyFill="1" applyBorder="1" applyAlignment="1">
      <alignment horizontal="right"/>
    </xf>
    <xf numFmtId="167" fontId="0" fillId="0" borderId="1" xfId="0" applyNumberFormat="1" applyBorder="1" applyAlignment="1">
      <alignment horizontal="center"/>
    </xf>
    <xf numFmtId="0" fontId="14" fillId="0" borderId="0" xfId="0" applyFont="1"/>
    <xf numFmtId="0" fontId="16" fillId="0" borderId="0" xfId="0" applyFont="1"/>
    <xf numFmtId="10" fontId="16" fillId="0" borderId="0" xfId="0" applyNumberFormat="1" applyFont="1"/>
    <xf numFmtId="0" fontId="15" fillId="0" borderId="0" xfId="0" applyFont="1"/>
    <xf numFmtId="167" fontId="0" fillId="0" borderId="4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6" fontId="0" fillId="0" borderId="0" xfId="0" applyNumberFormat="1"/>
    <xf numFmtId="2" fontId="0" fillId="0" borderId="1" xfId="0" applyNumberFormat="1" applyBorder="1"/>
    <xf numFmtId="166" fontId="0" fillId="0" borderId="14" xfId="0" applyNumberFormat="1" applyBorder="1"/>
    <xf numFmtId="10" fontId="0" fillId="0" borderId="0" xfId="1" applyNumberFormat="1" applyFont="1" applyFill="1" applyBorder="1"/>
    <xf numFmtId="2" fontId="0" fillId="0" borderId="0" xfId="0" applyNumberFormat="1"/>
    <xf numFmtId="0" fontId="0" fillId="0" borderId="14" xfId="0" applyBorder="1" applyAlignment="1">
      <alignment horizontal="left"/>
    </xf>
    <xf numFmtId="167" fontId="0" fillId="0" borderId="14" xfId="0" applyNumberForma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0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0" fontId="12" fillId="0" borderId="2" xfId="1" applyNumberFormat="1" applyFont="1" applyBorder="1" applyAlignment="1">
      <alignment horizontal="center" vertical="center"/>
    </xf>
    <xf numFmtId="10" fontId="12" fillId="6" borderId="2" xfId="1" applyNumberFormat="1" applyFont="1" applyFill="1" applyBorder="1" applyAlignment="1">
      <alignment horizontal="center" vertical="center"/>
    </xf>
    <xf numFmtId="10" fontId="12" fillId="6" borderId="12" xfId="1" applyNumberFormat="1" applyFont="1" applyFill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2" fillId="0" borderId="9" xfId="0" applyFont="1" applyBorder="1" applyAlignment="1">
      <alignment horizontal="center" vertical="center"/>
    </xf>
    <xf numFmtId="10" fontId="0" fillId="0" borderId="10" xfId="1" applyNumberFormat="1" applyFon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7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 cent" xfId="1" builtinId="5"/>
  </cellStyles>
  <dxfs count="3">
    <dxf>
      <fill>
        <patternFill>
          <bgColor theme="9"/>
        </patternFill>
      </fill>
    </dxf>
    <dxf>
      <fill>
        <patternFill>
          <bgColor rgb="FFC00000"/>
        </patternFill>
      </fill>
    </dxf>
    <dxf>
      <font>
        <color theme="9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latin typeface="Calibri" panose="020F0502020204030204" pitchFamily="34" charset="0"/>
                <a:cs typeface="Calibri" panose="020F0502020204030204" pitchFamily="34" charset="0"/>
              </a:rPr>
              <a:t>Historical</a:t>
            </a:r>
            <a:r>
              <a:rPr lang="en-GB" baseline="0">
                <a:latin typeface="Calibri" panose="020F0502020204030204" pitchFamily="34" charset="0"/>
                <a:cs typeface="Calibri" panose="020F0502020204030204" pitchFamily="34" charset="0"/>
              </a:rPr>
              <a:t> Dividends And Buybacks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'Expected Dividend &amp; BuyBack'!$E$2</c:f>
              <c:strCache>
                <c:ptCount val="1"/>
                <c:pt idx="0">
                  <c:v>Dividend Amount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'Expected Dividend &amp; BuyBack'!$B$3:$B$26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xVal>
          <c:yVal>
            <c:numRef>
              <c:f>'Expected Dividend &amp; BuyBack'!$E$3:$E$26</c:f>
              <c:numCache>
                <c:formatCode>[$EUR]\ #,##0.00</c:formatCode>
                <c:ptCount val="24"/>
                <c:pt idx="0">
                  <c:v>37.449331292028923</c:v>
                </c:pt>
                <c:pt idx="1">
                  <c:v>78.069668640648644</c:v>
                </c:pt>
                <c:pt idx="2">
                  <c:v>66.982401618092936</c:v>
                </c:pt>
                <c:pt idx="3">
                  <c:v>128.62167607976923</c:v>
                </c:pt>
                <c:pt idx="4">
                  <c:v>76.657173495671046</c:v>
                </c:pt>
                <c:pt idx="5">
                  <c:v>126.77298151338253</c:v>
                </c:pt>
                <c:pt idx="6">
                  <c:v>104.98793081221483</c:v>
                </c:pt>
                <c:pt idx="7">
                  <c:v>197.22121242360041</c:v>
                </c:pt>
                <c:pt idx="8">
                  <c:v>140.18571564737894</c:v>
                </c:pt>
                <c:pt idx="9">
                  <c:v>71.894816259665419</c:v>
                </c:pt>
                <c:pt idx="10">
                  <c:v>157.11340093415919</c:v>
                </c:pt>
                <c:pt idx="11">
                  <c:v>169.78195952913654</c:v>
                </c:pt>
                <c:pt idx="12">
                  <c:v>205.49192037193683</c:v>
                </c:pt>
                <c:pt idx="13">
                  <c:v>128.53148383268879</c:v>
                </c:pt>
                <c:pt idx="14">
                  <c:v>110.22675313577955</c:v>
                </c:pt>
                <c:pt idx="15">
                  <c:v>195.57209074771978</c:v>
                </c:pt>
                <c:pt idx="16">
                  <c:v>117.6141811133171</c:v>
                </c:pt>
                <c:pt idx="17">
                  <c:v>191.93436984324313</c:v>
                </c:pt>
                <c:pt idx="18">
                  <c:v>215.87545553969696</c:v>
                </c:pt>
                <c:pt idx="19">
                  <c:v>160.97662287015061</c:v>
                </c:pt>
                <c:pt idx="20">
                  <c:v>222.4169524734229</c:v>
                </c:pt>
                <c:pt idx="21">
                  <c:v>147.2113080135189</c:v>
                </c:pt>
                <c:pt idx="22">
                  <c:v>229.76535831715523</c:v>
                </c:pt>
                <c:pt idx="23">
                  <c:v>233.41930978937469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A-CE45-8AD6-1A8ED2BD7ABE}"/>
            </c:ext>
          </c:extLst>
        </c:ser>
        <c:ser>
          <c:idx val="1"/>
          <c:order val="1"/>
          <c:tx>
            <c:strRef>
              <c:f>'Expected Dividend &amp; BuyBack'!$F$2</c:f>
              <c:strCache>
                <c:ptCount val="1"/>
                <c:pt idx="0">
                  <c:v>BuyBack Amount</c:v>
                </c:pt>
              </c:strCache>
            </c:strRef>
          </c:tx>
          <c:spPr>
            <a:ln w="19050" cap="flat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'Expected Dividend &amp; BuyBack'!$B$3:$B$26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xVal>
          <c:yVal>
            <c:numRef>
              <c:f>'Expected Dividend &amp; BuyBack'!$F$3:$F$26</c:f>
              <c:numCache>
                <c:formatCode>[$EUR]\ #,##0.00</c:formatCode>
                <c:ptCount val="24"/>
                <c:pt idx="0">
                  <c:v>27.314104282756212</c:v>
                </c:pt>
                <c:pt idx="1">
                  <c:v>56.941018624404137</c:v>
                </c:pt>
                <c:pt idx="2">
                  <c:v>48.854391781769174</c:v>
                </c:pt>
                <c:pt idx="3">
                  <c:v>93.81171177850878</c:v>
                </c:pt>
                <c:pt idx="4">
                  <c:v>55.910798901975689</c:v>
                </c:pt>
                <c:pt idx="5">
                  <c:v>92.463344947082902</c:v>
                </c:pt>
                <c:pt idx="6">
                  <c:v>76.57416545768892</c:v>
                </c:pt>
                <c:pt idx="7">
                  <c:v>143.8455795352597</c:v>
                </c:pt>
                <c:pt idx="8">
                  <c:v>102.24607820862022</c:v>
                </c:pt>
                <c:pt idx="9">
                  <c:v>52.437318396766138</c:v>
                </c:pt>
                <c:pt idx="10">
                  <c:v>114.59248187557188</c:v>
                </c:pt>
                <c:pt idx="11">
                  <c:v>123.83244207344787</c:v>
                </c:pt>
                <c:pt idx="12">
                  <c:v>149.87791633805773</c:v>
                </c:pt>
                <c:pt idx="13">
                  <c:v>93.745929016647395</c:v>
                </c:pt>
                <c:pt idx="14">
                  <c:v>80.395161302683761</c:v>
                </c:pt>
                <c:pt idx="15">
                  <c:v>142.64277350706382</c:v>
                </c:pt>
                <c:pt idx="16">
                  <c:v>85.783267610546204</c:v>
                </c:pt>
                <c:pt idx="17">
                  <c:v>139.98955955881939</c:v>
                </c:pt>
                <c:pt idx="18">
                  <c:v>157.45126818736657</c:v>
                </c:pt>
                <c:pt idx="19">
                  <c:v>117.41016761752159</c:v>
                </c:pt>
                <c:pt idx="20">
                  <c:v>162.22238487353155</c:v>
                </c:pt>
                <c:pt idx="21">
                  <c:v>107.37027551512134</c:v>
                </c:pt>
                <c:pt idx="22">
                  <c:v>167.58202993534985</c:v>
                </c:pt>
                <c:pt idx="23">
                  <c:v>170.24708183649224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7A-CE45-8AD6-1A8ED2BD7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750144"/>
        <c:axId val="356748352"/>
      </c:scatterChart>
      <c:valAx>
        <c:axId val="356750144"/>
        <c:scaling>
          <c:orientation val="minMax"/>
          <c:max val="2026"/>
          <c:min val="1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48352"/>
        <c:crosses val="autoZero"/>
        <c:crossBetween val="midCat"/>
        <c:majorUnit val="2"/>
      </c:valAx>
      <c:valAx>
        <c:axId val="3567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EUR]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0144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Sensex 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 40 EPSGrowth'!$E$3</c:f>
              <c:strCache>
                <c:ptCount val="1"/>
                <c:pt idx="0">
                  <c:v>EPS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 40 EPSGrowth'!$B$4:$B$30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xVal>
          <c:yVal>
            <c:numRef>
              <c:f>'DE 40 EPSGrowth'!$E$4:$E$30</c:f>
              <c:numCache>
                <c:formatCode>[$EUR]\ #,##0.00</c:formatCode>
                <c:ptCount val="27"/>
                <c:pt idx="0">
                  <c:v>274.66340882400419</c:v>
                </c:pt>
                <c:pt idx="1">
                  <c:v>86.230642368909344</c:v>
                </c:pt>
                <c:pt idx="2">
                  <c:v>36.893401225083203</c:v>
                </c:pt>
                <c:pt idx="3">
                  <c:v>125.74536238515964</c:v>
                </c:pt>
                <c:pt idx="4">
                  <c:v>213.14940995782626</c:v>
                </c:pt>
                <c:pt idx="5">
                  <c:v>299.22414521234452</c:v>
                </c:pt>
                <c:pt idx="6">
                  <c:v>336.55346925128612</c:v>
                </c:pt>
                <c:pt idx="7">
                  <c:v>510.43951792312305</c:v>
                </c:pt>
                <c:pt idx="8">
                  <c:v>114.4756180407492</c:v>
                </c:pt>
                <c:pt idx="9">
                  <c:v>251.44910346752249</c:v>
                </c:pt>
                <c:pt idx="10">
                  <c:v>373.62415550660393</c:v>
                </c:pt>
                <c:pt idx="11">
                  <c:v>317.76297358512068</c:v>
                </c:pt>
                <c:pt idx="12">
                  <c:v>316.03649992595211</c:v>
                </c:pt>
                <c:pt idx="13">
                  <c:v>342.09629963196085</c:v>
                </c:pt>
                <c:pt idx="14">
                  <c:v>327.27573511523428</c:v>
                </c:pt>
                <c:pt idx="15">
                  <c:v>374.13222280062467</c:v>
                </c:pt>
                <c:pt idx="16">
                  <c:v>351.91835989281748</c:v>
                </c:pt>
                <c:pt idx="17">
                  <c:v>423.66528957074746</c:v>
                </c:pt>
                <c:pt idx="18">
                  <c:v>288.38025767617012</c:v>
                </c:pt>
                <c:pt idx="19">
                  <c:v>291.91506808038747</c:v>
                </c:pt>
                <c:pt idx="20">
                  <c:v>340.87636725985192</c:v>
                </c:pt>
                <c:pt idx="21">
                  <c:v>591.82951623644396</c:v>
                </c:pt>
                <c:pt idx="22">
                  <c:v>440.7574607796069</c:v>
                </c:pt>
                <c:pt idx="23">
                  <c:v>426.18160543395453</c:v>
                </c:pt>
                <c:pt idx="24">
                  <c:v>406.19498400138082</c:v>
                </c:pt>
                <c:pt idx="25">
                  <c:v>568.29720748593206</c:v>
                </c:pt>
                <c:pt idx="26">
                  <c:v>578.32325278182952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5-D14C-87CB-116C0B8F1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458112"/>
        <c:axId val="378954496"/>
      </c:scatterChart>
      <c:valAx>
        <c:axId val="404458112"/>
        <c:scaling>
          <c:orientation val="minMax"/>
          <c:max val="20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954496"/>
        <c:crosses val="autoZero"/>
        <c:crossBetween val="midCat"/>
        <c:majorUnit val="2"/>
      </c:valAx>
      <c:valAx>
        <c:axId val="3789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EUR]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45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Calibri" panose="020F0502020204030204" pitchFamily="34" charset="0"/>
                <a:cs typeface="Calibri" panose="020F0502020204030204" pitchFamily="34" charset="0"/>
              </a:rPr>
              <a:t>DE40 Kursi Index Historical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 40 Historical Data'!$C$2</c:f>
              <c:strCache>
                <c:ptCount val="1"/>
                <c:pt idx="0">
                  <c:v>DE 40 Kursi Index Average Range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 40 Historical Data'!$B$3:$B$29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xVal>
          <c:yVal>
            <c:numRef>
              <c:f>'DE 40 Historical Data'!$C$3:$C$29</c:f>
              <c:numCache>
                <c:formatCode>[$EUR]\ #,##0.00</c:formatCode>
                <c:ptCount val="27"/>
                <c:pt idx="0">
                  <c:v>4934.8500000000004</c:v>
                </c:pt>
                <c:pt idx="1">
                  <c:v>3887.48</c:v>
                </c:pt>
                <c:pt idx="2">
                  <c:v>2141.7800000000002</c:v>
                </c:pt>
                <c:pt idx="3">
                  <c:v>2857.84</c:v>
                </c:pt>
                <c:pt idx="4">
                  <c:v>3004.65</c:v>
                </c:pt>
                <c:pt idx="5">
                  <c:v>3719.79</c:v>
                </c:pt>
                <c:pt idx="6">
                  <c:v>4429.01</c:v>
                </c:pt>
                <c:pt idx="7">
                  <c:v>5277.23</c:v>
                </c:pt>
                <c:pt idx="8">
                  <c:v>3041.6</c:v>
                </c:pt>
                <c:pt idx="9">
                  <c:v>3604.02</c:v>
                </c:pt>
                <c:pt idx="10">
                  <c:v>4053.71</c:v>
                </c:pt>
                <c:pt idx="11">
                  <c:v>3346.06</c:v>
                </c:pt>
                <c:pt idx="12">
                  <c:v>4161.3</c:v>
                </c:pt>
                <c:pt idx="13">
                  <c:v>5051.8900000000003</c:v>
                </c:pt>
                <c:pt idx="14">
                  <c:v>5044.71</c:v>
                </c:pt>
                <c:pt idx="15">
                  <c:v>5390.31</c:v>
                </c:pt>
                <c:pt idx="16">
                  <c:v>5588.27</c:v>
                </c:pt>
                <c:pt idx="17">
                  <c:v>6122.26</c:v>
                </c:pt>
                <c:pt idx="18">
                  <c:v>4862.74</c:v>
                </c:pt>
                <c:pt idx="19">
                  <c:v>5909.66</c:v>
                </c:pt>
                <c:pt idx="20">
                  <c:v>5935.22</c:v>
                </c:pt>
                <c:pt idx="21">
                  <c:v>6709.66</c:v>
                </c:pt>
                <c:pt idx="22">
                  <c:v>5692.03</c:v>
                </c:pt>
                <c:pt idx="23">
                  <c:v>6628.85</c:v>
                </c:pt>
                <c:pt idx="24">
                  <c:v>7648.55</c:v>
                </c:pt>
                <c:pt idx="25">
                  <c:v>9175.1299999999992</c:v>
                </c:pt>
                <c:pt idx="26">
                  <c:v>9337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D6-DF43-8E1C-25DFB62F9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679680"/>
        <c:axId val="619677888"/>
      </c:scatterChart>
      <c:valAx>
        <c:axId val="619679680"/>
        <c:scaling>
          <c:orientation val="minMax"/>
          <c:max val="20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77888"/>
        <c:crosses val="autoZero"/>
        <c:crossBetween val="midCat"/>
        <c:majorUnit val="2"/>
      </c:valAx>
      <c:valAx>
        <c:axId val="6196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EUR]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7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Calibri" panose="020F0502020204030204" pitchFamily="34" charset="0"/>
                <a:cs typeface="Calibri" panose="020F0502020204030204" pitchFamily="34" charset="0"/>
              </a:rPr>
              <a:t>DE40 Performance</a:t>
            </a:r>
            <a:r>
              <a:rPr lang="en-US" baseline="0">
                <a:latin typeface="Calibri" panose="020F0502020204030204" pitchFamily="34" charset="0"/>
                <a:cs typeface="Calibri" panose="020F0502020204030204" pitchFamily="34" charset="0"/>
              </a:rPr>
              <a:t> Index</a:t>
            </a:r>
            <a:r>
              <a:rPr lang="en-US">
                <a:latin typeface="Calibri" panose="020F0502020204030204" pitchFamily="34" charset="0"/>
                <a:cs typeface="Calibri" panose="020F0502020204030204" pitchFamily="34" charset="0"/>
              </a:rPr>
              <a:t> Historical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 40 Perf Historical Data'!$H$2</c:f>
              <c:strCache>
                <c:ptCount val="1"/>
                <c:pt idx="0">
                  <c:v>DE 40 Performance  Index Average Range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 40 Perf Historical Data'!$G$3:$G$28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xVal>
          <c:yVal>
            <c:numRef>
              <c:f>'DE 40 Perf Historical Data'!$H$3:$H$28</c:f>
              <c:numCache>
                <c:formatCode>[$EUR]\ #,##0.00</c:formatCode>
                <c:ptCount val="26"/>
                <c:pt idx="0">
                  <c:v>5160.1000000000004</c:v>
                </c:pt>
                <c:pt idx="1">
                  <c:v>2892.63</c:v>
                </c:pt>
                <c:pt idx="2">
                  <c:v>3965.16</c:v>
                </c:pt>
                <c:pt idx="3">
                  <c:v>4261.79</c:v>
                </c:pt>
                <c:pt idx="4">
                  <c:v>5458.58</c:v>
                </c:pt>
                <c:pt idx="5">
                  <c:v>6611.81</c:v>
                </c:pt>
                <c:pt idx="6">
                  <c:v>8067.32</c:v>
                </c:pt>
                <c:pt idx="7">
                  <c:v>4810.2</c:v>
                </c:pt>
                <c:pt idx="8">
                  <c:v>6011.55</c:v>
                </c:pt>
                <c:pt idx="9">
                  <c:v>6995.47</c:v>
                </c:pt>
                <c:pt idx="10">
                  <c:v>5898.35</c:v>
                </c:pt>
                <c:pt idx="11">
                  <c:v>7612.39</c:v>
                </c:pt>
                <c:pt idx="12">
                  <c:v>9552.16</c:v>
                </c:pt>
                <c:pt idx="13">
                  <c:v>9927.1299999999992</c:v>
                </c:pt>
                <c:pt idx="14">
                  <c:v>10860.14</c:v>
                </c:pt>
                <c:pt idx="15">
                  <c:v>11481.06</c:v>
                </c:pt>
                <c:pt idx="16">
                  <c:v>12979.94</c:v>
                </c:pt>
                <c:pt idx="17">
                  <c:v>10558.96</c:v>
                </c:pt>
                <c:pt idx="18">
                  <c:v>13249.01</c:v>
                </c:pt>
                <c:pt idx="19">
                  <c:v>13790.29</c:v>
                </c:pt>
                <c:pt idx="20">
                  <c:v>15963.7</c:v>
                </c:pt>
                <c:pt idx="21">
                  <c:v>14071.72</c:v>
                </c:pt>
                <c:pt idx="22">
                  <c:v>16751.64</c:v>
                </c:pt>
                <c:pt idx="23">
                  <c:v>19909.14</c:v>
                </c:pt>
                <c:pt idx="24">
                  <c:v>24490.41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25-8D49-A33B-B6C8111EB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679680"/>
        <c:axId val="619677888"/>
      </c:scatterChart>
      <c:valAx>
        <c:axId val="619679680"/>
        <c:scaling>
          <c:orientation val="minMax"/>
          <c:max val="20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77888"/>
        <c:crosses val="autoZero"/>
        <c:crossBetween val="midCat"/>
        <c:majorUnit val="2"/>
      </c:valAx>
      <c:valAx>
        <c:axId val="6196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EUR]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7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Calibri" panose="020F0502020204030204" pitchFamily="34" charset="0"/>
                <a:cs typeface="Calibri" panose="020F0502020204030204" pitchFamily="34" charset="0"/>
              </a:rPr>
              <a:t>10Y Germany Bond Average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'Risk Free Rate Calculation'!$J$3</c:f>
              <c:strCache>
                <c:ptCount val="1"/>
                <c:pt idx="0">
                  <c:v>10Y Bond Average 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'Risk Free Rate Calculation'!$I$4:$I$32</c:f>
              <c:numCache>
                <c:formatCode>General</c:formatCode>
                <c:ptCount val="29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numCache>
            </c:numRef>
          </c:cat>
          <c:val>
            <c:numRef>
              <c:f>'Risk Free Rate Calculation'!$J$4:$J$32</c:f>
              <c:numCache>
                <c:formatCode>0.00%</c:formatCode>
                <c:ptCount val="29"/>
                <c:pt idx="0">
                  <c:v>4.518511904761905E-2</c:v>
                </c:pt>
                <c:pt idx="1">
                  <c:v>5.2646360759493672E-2</c:v>
                </c:pt>
                <c:pt idx="2">
                  <c:v>4.8165078369905988E-2</c:v>
                </c:pt>
                <c:pt idx="3">
                  <c:v>4.7922653846153837E-2</c:v>
                </c:pt>
                <c:pt idx="4">
                  <c:v>4.0877704280155684E-2</c:v>
                </c:pt>
                <c:pt idx="5">
                  <c:v>4.0620965250965237E-2</c:v>
                </c:pt>
                <c:pt idx="6">
                  <c:v>3.3802393822393834E-2</c:v>
                </c:pt>
                <c:pt idx="7">
                  <c:v>3.7722235294117626E-2</c:v>
                </c:pt>
                <c:pt idx="8">
                  <c:v>4.2301666666666696E-2</c:v>
                </c:pt>
                <c:pt idx="9">
                  <c:v>4.0154881889763787E-2</c:v>
                </c:pt>
                <c:pt idx="10">
                  <c:v>3.2687244094488199E-2</c:v>
                </c:pt>
                <c:pt idx="11">
                  <c:v>2.7734296874999998E-2</c:v>
                </c:pt>
                <c:pt idx="12">
                  <c:v>2.6477198443579774E-2</c:v>
                </c:pt>
                <c:pt idx="13">
                  <c:v>1.5667559055118113E-2</c:v>
                </c:pt>
                <c:pt idx="14">
                  <c:v>1.6396446886446876E-2</c:v>
                </c:pt>
                <c:pt idx="15">
                  <c:v>1.2252214022140219E-2</c:v>
                </c:pt>
                <c:pt idx="16">
                  <c:v>5.3540034722222218E-3</c:v>
                </c:pt>
                <c:pt idx="17">
                  <c:v>1.3593763837638382E-3</c:v>
                </c:pt>
                <c:pt idx="18">
                  <c:v>3.7648736462093831E-3</c:v>
                </c:pt>
                <c:pt idx="19">
                  <c:v>4.6069708029197092E-3</c:v>
                </c:pt>
                <c:pt idx="20">
                  <c:v>-2.0892086330935255E-3</c:v>
                </c:pt>
                <c:pt idx="21">
                  <c:v>-4.7673872180451146E-3</c:v>
                </c:pt>
                <c:pt idx="22">
                  <c:v>-3.0495437956204372E-3</c:v>
                </c:pt>
                <c:pt idx="23">
                  <c:v>1.2038801498127341E-2</c:v>
                </c:pt>
                <c:pt idx="24">
                  <c:v>2.448792387543252E-2</c:v>
                </c:pt>
                <c:pt idx="25">
                  <c:v>2.3398288461538467E-2</c:v>
                </c:pt>
                <c:pt idx="26">
                  <c:v>2.635985214007781E-2</c:v>
                </c:pt>
                <c:pt idx="27">
                  <c:v>2.9300651785714279E-2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2-AB49-A16F-ED0283B2C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378304"/>
        <c:axId val="391003456"/>
      </c:lineChart>
      <c:catAx>
        <c:axId val="38937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03456"/>
        <c:crosses val="autoZero"/>
        <c:auto val="1"/>
        <c:lblAlgn val="ctr"/>
        <c:lblOffset val="100"/>
        <c:noMultiLvlLbl val="0"/>
      </c:catAx>
      <c:valAx>
        <c:axId val="39100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7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Implied</a:t>
            </a:r>
            <a:r>
              <a:rPr lang="en-GB" baseline="0"/>
              <a:t> ERP in Germany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'ERP Historical Data'!$B$3:$B$327</c:f>
              <c:numCache>
                <c:formatCode>mm\-yyyy</c:formatCode>
                <c:ptCount val="325"/>
                <c:pt idx="0">
                  <c:v>36237</c:v>
                </c:pt>
                <c:pt idx="1">
                  <c:v>36265</c:v>
                </c:pt>
                <c:pt idx="2">
                  <c:v>36300</c:v>
                </c:pt>
                <c:pt idx="3">
                  <c:v>36328</c:v>
                </c:pt>
                <c:pt idx="4">
                  <c:v>36356</c:v>
                </c:pt>
                <c:pt idx="5">
                  <c:v>36391</c:v>
                </c:pt>
                <c:pt idx="6">
                  <c:v>36419</c:v>
                </c:pt>
                <c:pt idx="7">
                  <c:v>36447</c:v>
                </c:pt>
                <c:pt idx="8">
                  <c:v>36482</c:v>
                </c:pt>
                <c:pt idx="9">
                  <c:v>36510</c:v>
                </c:pt>
                <c:pt idx="10">
                  <c:v>36545</c:v>
                </c:pt>
                <c:pt idx="11">
                  <c:v>36573</c:v>
                </c:pt>
                <c:pt idx="12">
                  <c:v>36601</c:v>
                </c:pt>
                <c:pt idx="13">
                  <c:v>36636</c:v>
                </c:pt>
                <c:pt idx="14">
                  <c:v>36664</c:v>
                </c:pt>
                <c:pt idx="15">
                  <c:v>36692</c:v>
                </c:pt>
                <c:pt idx="16">
                  <c:v>36727</c:v>
                </c:pt>
                <c:pt idx="17">
                  <c:v>36755</c:v>
                </c:pt>
                <c:pt idx="18">
                  <c:v>36783</c:v>
                </c:pt>
                <c:pt idx="19">
                  <c:v>36818</c:v>
                </c:pt>
                <c:pt idx="20">
                  <c:v>36846</c:v>
                </c:pt>
                <c:pt idx="21">
                  <c:v>36874</c:v>
                </c:pt>
                <c:pt idx="22">
                  <c:v>36909</c:v>
                </c:pt>
                <c:pt idx="23">
                  <c:v>36937</c:v>
                </c:pt>
                <c:pt idx="24">
                  <c:v>36965</c:v>
                </c:pt>
                <c:pt idx="25">
                  <c:v>37000</c:v>
                </c:pt>
                <c:pt idx="26">
                  <c:v>37028</c:v>
                </c:pt>
                <c:pt idx="27">
                  <c:v>37056</c:v>
                </c:pt>
                <c:pt idx="28">
                  <c:v>37091</c:v>
                </c:pt>
                <c:pt idx="29">
                  <c:v>37119</c:v>
                </c:pt>
                <c:pt idx="30">
                  <c:v>37154</c:v>
                </c:pt>
                <c:pt idx="31">
                  <c:v>37182</c:v>
                </c:pt>
                <c:pt idx="32">
                  <c:v>37210</c:v>
                </c:pt>
                <c:pt idx="33">
                  <c:v>37245</c:v>
                </c:pt>
                <c:pt idx="34">
                  <c:v>37273</c:v>
                </c:pt>
                <c:pt idx="35">
                  <c:v>37301</c:v>
                </c:pt>
                <c:pt idx="36">
                  <c:v>37329</c:v>
                </c:pt>
                <c:pt idx="37">
                  <c:v>37364</c:v>
                </c:pt>
                <c:pt idx="38">
                  <c:v>37392</c:v>
                </c:pt>
                <c:pt idx="39">
                  <c:v>37427</c:v>
                </c:pt>
                <c:pt idx="40">
                  <c:v>37455</c:v>
                </c:pt>
                <c:pt idx="41">
                  <c:v>37483</c:v>
                </c:pt>
                <c:pt idx="42">
                  <c:v>37518</c:v>
                </c:pt>
                <c:pt idx="43">
                  <c:v>37546</c:v>
                </c:pt>
                <c:pt idx="44">
                  <c:v>37574</c:v>
                </c:pt>
                <c:pt idx="45">
                  <c:v>37609</c:v>
                </c:pt>
                <c:pt idx="46">
                  <c:v>37637</c:v>
                </c:pt>
                <c:pt idx="47">
                  <c:v>37672</c:v>
                </c:pt>
                <c:pt idx="48">
                  <c:v>37700</c:v>
                </c:pt>
                <c:pt idx="49">
                  <c:v>37728</c:v>
                </c:pt>
                <c:pt idx="50">
                  <c:v>37756</c:v>
                </c:pt>
                <c:pt idx="51">
                  <c:v>37791</c:v>
                </c:pt>
                <c:pt idx="52">
                  <c:v>37819</c:v>
                </c:pt>
                <c:pt idx="53">
                  <c:v>37847</c:v>
                </c:pt>
                <c:pt idx="54">
                  <c:v>37882</c:v>
                </c:pt>
                <c:pt idx="55">
                  <c:v>37910</c:v>
                </c:pt>
                <c:pt idx="56">
                  <c:v>37945</c:v>
                </c:pt>
                <c:pt idx="57">
                  <c:v>37973</c:v>
                </c:pt>
                <c:pt idx="58">
                  <c:v>38001</c:v>
                </c:pt>
                <c:pt idx="59">
                  <c:v>38036</c:v>
                </c:pt>
                <c:pt idx="60">
                  <c:v>38064</c:v>
                </c:pt>
                <c:pt idx="61">
                  <c:v>38092</c:v>
                </c:pt>
                <c:pt idx="62">
                  <c:v>38127</c:v>
                </c:pt>
                <c:pt idx="63">
                  <c:v>38155</c:v>
                </c:pt>
                <c:pt idx="64">
                  <c:v>38183</c:v>
                </c:pt>
                <c:pt idx="65">
                  <c:v>38218</c:v>
                </c:pt>
                <c:pt idx="66">
                  <c:v>38246</c:v>
                </c:pt>
                <c:pt idx="67">
                  <c:v>38274</c:v>
                </c:pt>
                <c:pt idx="68">
                  <c:v>38309</c:v>
                </c:pt>
                <c:pt idx="69">
                  <c:v>38337</c:v>
                </c:pt>
                <c:pt idx="70">
                  <c:v>38372</c:v>
                </c:pt>
                <c:pt idx="71">
                  <c:v>38400</c:v>
                </c:pt>
                <c:pt idx="72">
                  <c:v>38428</c:v>
                </c:pt>
                <c:pt idx="73">
                  <c:v>38456</c:v>
                </c:pt>
                <c:pt idx="74">
                  <c:v>38491</c:v>
                </c:pt>
                <c:pt idx="75">
                  <c:v>38519</c:v>
                </c:pt>
                <c:pt idx="76">
                  <c:v>38547</c:v>
                </c:pt>
                <c:pt idx="77">
                  <c:v>38582</c:v>
                </c:pt>
                <c:pt idx="78">
                  <c:v>38610</c:v>
                </c:pt>
                <c:pt idx="79">
                  <c:v>38645</c:v>
                </c:pt>
                <c:pt idx="80">
                  <c:v>38673</c:v>
                </c:pt>
                <c:pt idx="81">
                  <c:v>38701</c:v>
                </c:pt>
                <c:pt idx="82">
                  <c:v>38736</c:v>
                </c:pt>
                <c:pt idx="83">
                  <c:v>38764</c:v>
                </c:pt>
                <c:pt idx="84">
                  <c:v>38792</c:v>
                </c:pt>
                <c:pt idx="85">
                  <c:v>38827</c:v>
                </c:pt>
                <c:pt idx="86">
                  <c:v>38855</c:v>
                </c:pt>
                <c:pt idx="87">
                  <c:v>38883</c:v>
                </c:pt>
                <c:pt idx="88">
                  <c:v>38918</c:v>
                </c:pt>
                <c:pt idx="89">
                  <c:v>38946</c:v>
                </c:pt>
                <c:pt idx="90">
                  <c:v>38974</c:v>
                </c:pt>
                <c:pt idx="91">
                  <c:v>39009</c:v>
                </c:pt>
                <c:pt idx="92">
                  <c:v>39037</c:v>
                </c:pt>
                <c:pt idx="93">
                  <c:v>39065</c:v>
                </c:pt>
                <c:pt idx="94">
                  <c:v>39100</c:v>
                </c:pt>
                <c:pt idx="95">
                  <c:v>39128</c:v>
                </c:pt>
                <c:pt idx="96">
                  <c:v>39156</c:v>
                </c:pt>
                <c:pt idx="97">
                  <c:v>39191</c:v>
                </c:pt>
                <c:pt idx="98">
                  <c:v>39219</c:v>
                </c:pt>
                <c:pt idx="99">
                  <c:v>39247</c:v>
                </c:pt>
                <c:pt idx="100">
                  <c:v>39282</c:v>
                </c:pt>
                <c:pt idx="101">
                  <c:v>39310</c:v>
                </c:pt>
                <c:pt idx="102">
                  <c:v>39345</c:v>
                </c:pt>
                <c:pt idx="103">
                  <c:v>39373</c:v>
                </c:pt>
                <c:pt idx="104">
                  <c:v>39401</c:v>
                </c:pt>
                <c:pt idx="105">
                  <c:v>39436</c:v>
                </c:pt>
                <c:pt idx="106">
                  <c:v>39464</c:v>
                </c:pt>
                <c:pt idx="107">
                  <c:v>39492</c:v>
                </c:pt>
                <c:pt idx="108">
                  <c:v>39527</c:v>
                </c:pt>
                <c:pt idx="109">
                  <c:v>39555</c:v>
                </c:pt>
                <c:pt idx="110">
                  <c:v>39583</c:v>
                </c:pt>
                <c:pt idx="111">
                  <c:v>39618</c:v>
                </c:pt>
                <c:pt idx="112">
                  <c:v>39646</c:v>
                </c:pt>
                <c:pt idx="113">
                  <c:v>39674</c:v>
                </c:pt>
                <c:pt idx="114">
                  <c:v>39709</c:v>
                </c:pt>
                <c:pt idx="115">
                  <c:v>39737</c:v>
                </c:pt>
                <c:pt idx="116">
                  <c:v>39772</c:v>
                </c:pt>
                <c:pt idx="117">
                  <c:v>39800</c:v>
                </c:pt>
                <c:pt idx="118">
                  <c:v>39828</c:v>
                </c:pt>
                <c:pt idx="119">
                  <c:v>39863</c:v>
                </c:pt>
                <c:pt idx="120">
                  <c:v>39891</c:v>
                </c:pt>
                <c:pt idx="121">
                  <c:v>39919</c:v>
                </c:pt>
                <c:pt idx="122">
                  <c:v>39947</c:v>
                </c:pt>
                <c:pt idx="123">
                  <c:v>39982</c:v>
                </c:pt>
                <c:pt idx="124">
                  <c:v>40010</c:v>
                </c:pt>
                <c:pt idx="125">
                  <c:v>40045</c:v>
                </c:pt>
                <c:pt idx="126">
                  <c:v>40073</c:v>
                </c:pt>
                <c:pt idx="127">
                  <c:v>40101</c:v>
                </c:pt>
                <c:pt idx="128">
                  <c:v>40136</c:v>
                </c:pt>
                <c:pt idx="129">
                  <c:v>40164</c:v>
                </c:pt>
                <c:pt idx="130">
                  <c:v>40192</c:v>
                </c:pt>
                <c:pt idx="131">
                  <c:v>40227</c:v>
                </c:pt>
                <c:pt idx="132">
                  <c:v>40255</c:v>
                </c:pt>
                <c:pt idx="133">
                  <c:v>40283</c:v>
                </c:pt>
                <c:pt idx="134">
                  <c:v>40318</c:v>
                </c:pt>
                <c:pt idx="135">
                  <c:v>40346</c:v>
                </c:pt>
                <c:pt idx="136">
                  <c:v>40374</c:v>
                </c:pt>
                <c:pt idx="137">
                  <c:v>40409</c:v>
                </c:pt>
                <c:pt idx="138">
                  <c:v>40437</c:v>
                </c:pt>
                <c:pt idx="139">
                  <c:v>40465</c:v>
                </c:pt>
                <c:pt idx="140">
                  <c:v>40500</c:v>
                </c:pt>
                <c:pt idx="141">
                  <c:v>40528</c:v>
                </c:pt>
                <c:pt idx="142">
                  <c:v>40563</c:v>
                </c:pt>
                <c:pt idx="143">
                  <c:v>40591</c:v>
                </c:pt>
                <c:pt idx="144">
                  <c:v>40619</c:v>
                </c:pt>
                <c:pt idx="145">
                  <c:v>40647</c:v>
                </c:pt>
                <c:pt idx="146">
                  <c:v>40682</c:v>
                </c:pt>
                <c:pt idx="147">
                  <c:v>40710</c:v>
                </c:pt>
                <c:pt idx="148">
                  <c:v>40738</c:v>
                </c:pt>
                <c:pt idx="149">
                  <c:v>40773</c:v>
                </c:pt>
                <c:pt idx="150">
                  <c:v>40801</c:v>
                </c:pt>
                <c:pt idx="151">
                  <c:v>40836</c:v>
                </c:pt>
                <c:pt idx="152">
                  <c:v>40864</c:v>
                </c:pt>
                <c:pt idx="153">
                  <c:v>40892</c:v>
                </c:pt>
                <c:pt idx="154">
                  <c:v>40927</c:v>
                </c:pt>
                <c:pt idx="155">
                  <c:v>40955</c:v>
                </c:pt>
                <c:pt idx="156">
                  <c:v>40983</c:v>
                </c:pt>
                <c:pt idx="157">
                  <c:v>41018</c:v>
                </c:pt>
                <c:pt idx="158">
                  <c:v>41046</c:v>
                </c:pt>
                <c:pt idx="159">
                  <c:v>41074</c:v>
                </c:pt>
                <c:pt idx="160">
                  <c:v>41109</c:v>
                </c:pt>
                <c:pt idx="161">
                  <c:v>41137</c:v>
                </c:pt>
                <c:pt idx="162">
                  <c:v>41172</c:v>
                </c:pt>
                <c:pt idx="163">
                  <c:v>41200</c:v>
                </c:pt>
                <c:pt idx="164">
                  <c:v>41228</c:v>
                </c:pt>
                <c:pt idx="165">
                  <c:v>41263</c:v>
                </c:pt>
                <c:pt idx="166">
                  <c:v>41305</c:v>
                </c:pt>
                <c:pt idx="167">
                  <c:v>41332</c:v>
                </c:pt>
                <c:pt idx="168">
                  <c:v>41361</c:v>
                </c:pt>
                <c:pt idx="169">
                  <c:v>41394</c:v>
                </c:pt>
                <c:pt idx="170">
                  <c:v>41425</c:v>
                </c:pt>
                <c:pt idx="171">
                  <c:v>41453</c:v>
                </c:pt>
                <c:pt idx="172">
                  <c:v>41486</c:v>
                </c:pt>
                <c:pt idx="173">
                  <c:v>41516</c:v>
                </c:pt>
                <c:pt idx="174">
                  <c:v>41547</c:v>
                </c:pt>
                <c:pt idx="175">
                  <c:v>41578</c:v>
                </c:pt>
                <c:pt idx="176">
                  <c:v>41607</c:v>
                </c:pt>
                <c:pt idx="177">
                  <c:v>41639</c:v>
                </c:pt>
                <c:pt idx="178">
                  <c:v>41670</c:v>
                </c:pt>
                <c:pt idx="179">
                  <c:v>41698</c:v>
                </c:pt>
                <c:pt idx="180">
                  <c:v>41729</c:v>
                </c:pt>
                <c:pt idx="181">
                  <c:v>41759</c:v>
                </c:pt>
                <c:pt idx="182">
                  <c:v>41789</c:v>
                </c:pt>
                <c:pt idx="183">
                  <c:v>41820</c:v>
                </c:pt>
                <c:pt idx="184">
                  <c:v>41851</c:v>
                </c:pt>
                <c:pt idx="185">
                  <c:v>41880</c:v>
                </c:pt>
                <c:pt idx="186">
                  <c:v>41912</c:v>
                </c:pt>
                <c:pt idx="187">
                  <c:v>41943</c:v>
                </c:pt>
                <c:pt idx="188">
                  <c:v>41971</c:v>
                </c:pt>
                <c:pt idx="189">
                  <c:v>42004</c:v>
                </c:pt>
                <c:pt idx="190">
                  <c:v>42034</c:v>
                </c:pt>
                <c:pt idx="191">
                  <c:v>42062</c:v>
                </c:pt>
                <c:pt idx="192">
                  <c:v>42094</c:v>
                </c:pt>
                <c:pt idx="193">
                  <c:v>42124</c:v>
                </c:pt>
                <c:pt idx="194">
                  <c:v>42153</c:v>
                </c:pt>
                <c:pt idx="195">
                  <c:v>42185</c:v>
                </c:pt>
                <c:pt idx="196">
                  <c:v>42216</c:v>
                </c:pt>
                <c:pt idx="197">
                  <c:v>42247</c:v>
                </c:pt>
                <c:pt idx="198">
                  <c:v>42277</c:v>
                </c:pt>
                <c:pt idx="199">
                  <c:v>42308</c:v>
                </c:pt>
                <c:pt idx="200">
                  <c:v>42338</c:v>
                </c:pt>
                <c:pt idx="201">
                  <c:v>42369</c:v>
                </c:pt>
                <c:pt idx="202">
                  <c:v>42400</c:v>
                </c:pt>
                <c:pt idx="203">
                  <c:v>42429</c:v>
                </c:pt>
                <c:pt idx="204">
                  <c:v>42460</c:v>
                </c:pt>
                <c:pt idx="205">
                  <c:v>42490</c:v>
                </c:pt>
                <c:pt idx="206">
                  <c:v>42521</c:v>
                </c:pt>
                <c:pt idx="207">
                  <c:v>42551</c:v>
                </c:pt>
                <c:pt idx="208">
                  <c:v>42582</c:v>
                </c:pt>
                <c:pt idx="209">
                  <c:v>42613</c:v>
                </c:pt>
                <c:pt idx="210">
                  <c:v>42643</c:v>
                </c:pt>
                <c:pt idx="211">
                  <c:v>42674</c:v>
                </c:pt>
                <c:pt idx="212">
                  <c:v>42704</c:v>
                </c:pt>
                <c:pt idx="213">
                  <c:v>42735</c:v>
                </c:pt>
                <c:pt idx="214">
                  <c:v>42766</c:v>
                </c:pt>
                <c:pt idx="215">
                  <c:v>42794</c:v>
                </c:pt>
                <c:pt idx="216">
                  <c:v>42825</c:v>
                </c:pt>
                <c:pt idx="217">
                  <c:v>42855</c:v>
                </c:pt>
                <c:pt idx="218">
                  <c:v>42886</c:v>
                </c:pt>
                <c:pt idx="219">
                  <c:v>42916</c:v>
                </c:pt>
                <c:pt idx="220">
                  <c:v>42947</c:v>
                </c:pt>
                <c:pt idx="221">
                  <c:v>42978</c:v>
                </c:pt>
                <c:pt idx="222">
                  <c:v>43008</c:v>
                </c:pt>
                <c:pt idx="223">
                  <c:v>43039</c:v>
                </c:pt>
                <c:pt idx="224">
                  <c:v>43069</c:v>
                </c:pt>
                <c:pt idx="225">
                  <c:v>43100</c:v>
                </c:pt>
                <c:pt idx="226">
                  <c:v>43131</c:v>
                </c:pt>
                <c:pt idx="227">
                  <c:v>43159</c:v>
                </c:pt>
                <c:pt idx="228">
                  <c:v>43190</c:v>
                </c:pt>
                <c:pt idx="229">
                  <c:v>43220</c:v>
                </c:pt>
                <c:pt idx="230">
                  <c:v>43251</c:v>
                </c:pt>
                <c:pt idx="231">
                  <c:v>43281</c:v>
                </c:pt>
                <c:pt idx="232">
                  <c:v>43312</c:v>
                </c:pt>
                <c:pt idx="233">
                  <c:v>43343</c:v>
                </c:pt>
                <c:pt idx="234">
                  <c:v>43373</c:v>
                </c:pt>
                <c:pt idx="235">
                  <c:v>43404</c:v>
                </c:pt>
                <c:pt idx="236">
                  <c:v>43434</c:v>
                </c:pt>
                <c:pt idx="237">
                  <c:v>43465</c:v>
                </c:pt>
                <c:pt idx="238">
                  <c:v>43496</c:v>
                </c:pt>
                <c:pt idx="239">
                  <c:v>43524</c:v>
                </c:pt>
                <c:pt idx="240">
                  <c:v>43555</c:v>
                </c:pt>
                <c:pt idx="241">
                  <c:v>43585</c:v>
                </c:pt>
                <c:pt idx="242">
                  <c:v>43616</c:v>
                </c:pt>
                <c:pt idx="243">
                  <c:v>43646</c:v>
                </c:pt>
                <c:pt idx="244">
                  <c:v>43677</c:v>
                </c:pt>
                <c:pt idx="245">
                  <c:v>43708</c:v>
                </c:pt>
                <c:pt idx="246">
                  <c:v>43738</c:v>
                </c:pt>
                <c:pt idx="247">
                  <c:v>43769</c:v>
                </c:pt>
                <c:pt idx="248">
                  <c:v>43799</c:v>
                </c:pt>
                <c:pt idx="249">
                  <c:v>43830</c:v>
                </c:pt>
                <c:pt idx="250">
                  <c:v>43861</c:v>
                </c:pt>
                <c:pt idx="251">
                  <c:v>43890</c:v>
                </c:pt>
                <c:pt idx="252">
                  <c:v>43921</c:v>
                </c:pt>
                <c:pt idx="253">
                  <c:v>43951</c:v>
                </c:pt>
                <c:pt idx="254">
                  <c:v>43982</c:v>
                </c:pt>
                <c:pt idx="255">
                  <c:v>44012</c:v>
                </c:pt>
                <c:pt idx="256">
                  <c:v>44043</c:v>
                </c:pt>
                <c:pt idx="257">
                  <c:v>44074</c:v>
                </c:pt>
                <c:pt idx="258">
                  <c:v>44104</c:v>
                </c:pt>
                <c:pt idx="259">
                  <c:v>44135</c:v>
                </c:pt>
                <c:pt idx="260">
                  <c:v>44165</c:v>
                </c:pt>
                <c:pt idx="261">
                  <c:v>44196</c:v>
                </c:pt>
                <c:pt idx="262">
                  <c:v>44227</c:v>
                </c:pt>
                <c:pt idx="263">
                  <c:v>44255</c:v>
                </c:pt>
                <c:pt idx="264">
                  <c:v>44286</c:v>
                </c:pt>
                <c:pt idx="265">
                  <c:v>44316</c:v>
                </c:pt>
                <c:pt idx="266">
                  <c:v>44347</c:v>
                </c:pt>
                <c:pt idx="267">
                  <c:v>44377</c:v>
                </c:pt>
                <c:pt idx="268">
                  <c:v>44408</c:v>
                </c:pt>
                <c:pt idx="269">
                  <c:v>44439</c:v>
                </c:pt>
                <c:pt idx="270">
                  <c:v>44469</c:v>
                </c:pt>
                <c:pt idx="271">
                  <c:v>44500</c:v>
                </c:pt>
                <c:pt idx="272">
                  <c:v>44530</c:v>
                </c:pt>
                <c:pt idx="273">
                  <c:v>44561</c:v>
                </c:pt>
                <c:pt idx="274">
                  <c:v>44592</c:v>
                </c:pt>
                <c:pt idx="275">
                  <c:v>44620</c:v>
                </c:pt>
                <c:pt idx="276">
                  <c:v>44651</c:v>
                </c:pt>
                <c:pt idx="277">
                  <c:v>44681</c:v>
                </c:pt>
                <c:pt idx="278">
                  <c:v>44712</c:v>
                </c:pt>
                <c:pt idx="279">
                  <c:v>44742</c:v>
                </c:pt>
                <c:pt idx="280">
                  <c:v>44773</c:v>
                </c:pt>
                <c:pt idx="281">
                  <c:v>44804</c:v>
                </c:pt>
                <c:pt idx="282">
                  <c:v>44834</c:v>
                </c:pt>
                <c:pt idx="283">
                  <c:v>44865</c:v>
                </c:pt>
                <c:pt idx="284">
                  <c:v>44895</c:v>
                </c:pt>
                <c:pt idx="285">
                  <c:v>44926</c:v>
                </c:pt>
                <c:pt idx="286">
                  <c:v>44957</c:v>
                </c:pt>
                <c:pt idx="287">
                  <c:v>44985</c:v>
                </c:pt>
                <c:pt idx="288">
                  <c:v>45016</c:v>
                </c:pt>
                <c:pt idx="289">
                  <c:v>45046</c:v>
                </c:pt>
                <c:pt idx="290">
                  <c:v>45077</c:v>
                </c:pt>
                <c:pt idx="291">
                  <c:v>45107</c:v>
                </c:pt>
                <c:pt idx="292">
                  <c:v>45138</c:v>
                </c:pt>
                <c:pt idx="293">
                  <c:v>45169</c:v>
                </c:pt>
                <c:pt idx="294">
                  <c:v>45199</c:v>
                </c:pt>
                <c:pt idx="295">
                  <c:v>45230</c:v>
                </c:pt>
                <c:pt idx="296">
                  <c:v>45260</c:v>
                </c:pt>
                <c:pt idx="297">
                  <c:v>45291</c:v>
                </c:pt>
                <c:pt idx="298">
                  <c:v>45322</c:v>
                </c:pt>
                <c:pt idx="299">
                  <c:v>45351</c:v>
                </c:pt>
                <c:pt idx="300">
                  <c:v>45382</c:v>
                </c:pt>
                <c:pt idx="301">
                  <c:v>45412</c:v>
                </c:pt>
                <c:pt idx="302">
                  <c:v>45443</c:v>
                </c:pt>
                <c:pt idx="303">
                  <c:v>45473</c:v>
                </c:pt>
                <c:pt idx="304">
                  <c:v>45504</c:v>
                </c:pt>
                <c:pt idx="305">
                  <c:v>45535</c:v>
                </c:pt>
                <c:pt idx="306">
                  <c:v>45565</c:v>
                </c:pt>
                <c:pt idx="307">
                  <c:v>45596</c:v>
                </c:pt>
                <c:pt idx="308">
                  <c:v>45626</c:v>
                </c:pt>
                <c:pt idx="309">
                  <c:v>45657</c:v>
                </c:pt>
                <c:pt idx="310">
                  <c:v>45688</c:v>
                </c:pt>
                <c:pt idx="311">
                  <c:v>45716</c:v>
                </c:pt>
                <c:pt idx="312">
                  <c:v>45747</c:v>
                </c:pt>
                <c:pt idx="313">
                  <c:v>45777</c:v>
                </c:pt>
                <c:pt idx="314">
                  <c:v>45808</c:v>
                </c:pt>
                <c:pt idx="315">
                  <c:v>45838</c:v>
                </c:pt>
                <c:pt idx="316">
                  <c:v>45869</c:v>
                </c:pt>
                <c:pt idx="317">
                  <c:v>45900</c:v>
                </c:pt>
                <c:pt idx="318">
                  <c:v>45930</c:v>
                </c:pt>
                <c:pt idx="319">
                  <c:v>45961</c:v>
                </c:pt>
                <c:pt idx="320">
                  <c:v>45991</c:v>
                </c:pt>
                <c:pt idx="321">
                  <c:v>46022</c:v>
                </c:pt>
                <c:pt idx="322">
                  <c:v>46053</c:v>
                </c:pt>
                <c:pt idx="323">
                  <c:v>46081</c:v>
                </c:pt>
                <c:pt idx="324">
                  <c:v>46112</c:v>
                </c:pt>
              </c:numCache>
            </c:numRef>
          </c:cat>
          <c:val>
            <c:numRef>
              <c:f>'ERP Historical Data'!$C$3:$C$327</c:f>
              <c:numCache>
                <c:formatCode>0.00%</c:formatCode>
                <c:ptCount val="325"/>
                <c:pt idx="0">
                  <c:v>4.3479999999999998E-2</c:v>
                </c:pt>
                <c:pt idx="1">
                  <c:v>4.0650000000000006E-2</c:v>
                </c:pt>
                <c:pt idx="2">
                  <c:v>3.2160000000000001E-2</c:v>
                </c:pt>
                <c:pt idx="3">
                  <c:v>2.7229999999999997E-2</c:v>
                </c:pt>
                <c:pt idx="4">
                  <c:v>2.1099999999999997E-2</c:v>
                </c:pt>
                <c:pt idx="5">
                  <c:v>2.3010000000000003E-2</c:v>
                </c:pt>
                <c:pt idx="6">
                  <c:v>1.9779999999999999E-2</c:v>
                </c:pt>
                <c:pt idx="7">
                  <c:v>1.9779999999999999E-2</c:v>
                </c:pt>
                <c:pt idx="8">
                  <c:v>1.8249999999999999E-2</c:v>
                </c:pt>
                <c:pt idx="9">
                  <c:v>1.5529999999999999E-2</c:v>
                </c:pt>
                <c:pt idx="10">
                  <c:v>9.5180000000000004E-3</c:v>
                </c:pt>
                <c:pt idx="11">
                  <c:v>8.9300000000000004E-3</c:v>
                </c:pt>
                <c:pt idx="12">
                  <c:v>9.7050000000000001E-3</c:v>
                </c:pt>
                <c:pt idx="13">
                  <c:v>1.2279999999999999E-2</c:v>
                </c:pt>
                <c:pt idx="14">
                  <c:v>1.091E-2</c:v>
                </c:pt>
                <c:pt idx="15">
                  <c:v>1.2150000000000001E-2</c:v>
                </c:pt>
                <c:pt idx="16">
                  <c:v>1.157E-2</c:v>
                </c:pt>
                <c:pt idx="17">
                  <c:v>1.363E-2</c:v>
                </c:pt>
                <c:pt idx="18">
                  <c:v>1.406E-2</c:v>
                </c:pt>
                <c:pt idx="19">
                  <c:v>1.66E-2</c:v>
                </c:pt>
                <c:pt idx="20">
                  <c:v>1.5769999999999999E-2</c:v>
                </c:pt>
                <c:pt idx="21">
                  <c:v>1.6399999999999998E-2</c:v>
                </c:pt>
                <c:pt idx="22">
                  <c:v>1.8189999999999998E-2</c:v>
                </c:pt>
                <c:pt idx="23">
                  <c:v>1.5780000000000002E-2</c:v>
                </c:pt>
                <c:pt idx="24">
                  <c:v>2.257E-2</c:v>
                </c:pt>
                <c:pt idx="25">
                  <c:v>2.9020000000000001E-2</c:v>
                </c:pt>
                <c:pt idx="26">
                  <c:v>2.7869999999999999E-2</c:v>
                </c:pt>
                <c:pt idx="27">
                  <c:v>2.8130000000000002E-2</c:v>
                </c:pt>
                <c:pt idx="28">
                  <c:v>3.0089999999999999E-2</c:v>
                </c:pt>
                <c:pt idx="29">
                  <c:v>3.0130000000000001E-2</c:v>
                </c:pt>
                <c:pt idx="30">
                  <c:v>4.487E-2</c:v>
                </c:pt>
                <c:pt idx="31">
                  <c:v>3.5799999999999998E-2</c:v>
                </c:pt>
                <c:pt idx="32">
                  <c:v>3.0360000000000002E-2</c:v>
                </c:pt>
                <c:pt idx="33">
                  <c:v>2.8809999999999999E-2</c:v>
                </c:pt>
                <c:pt idx="34">
                  <c:v>2.7109999999999999E-2</c:v>
                </c:pt>
                <c:pt idx="35">
                  <c:v>2.6680000000000002E-2</c:v>
                </c:pt>
                <c:pt idx="36">
                  <c:v>2.0539999999999999E-2</c:v>
                </c:pt>
                <c:pt idx="37">
                  <c:v>2.1090000000000001E-2</c:v>
                </c:pt>
                <c:pt idx="38">
                  <c:v>2.2400000000000003E-2</c:v>
                </c:pt>
                <c:pt idx="39">
                  <c:v>2.9600000000000001E-2</c:v>
                </c:pt>
                <c:pt idx="40">
                  <c:v>3.4259999999999999E-2</c:v>
                </c:pt>
                <c:pt idx="41">
                  <c:v>3.8960000000000002E-2</c:v>
                </c:pt>
                <c:pt idx="42">
                  <c:v>4.5490000000000003E-2</c:v>
                </c:pt>
                <c:pt idx="43">
                  <c:v>4.5190000000000001E-2</c:v>
                </c:pt>
                <c:pt idx="44">
                  <c:v>4.444E-2</c:v>
                </c:pt>
                <c:pt idx="45">
                  <c:v>4.4089999999999997E-2</c:v>
                </c:pt>
                <c:pt idx="46">
                  <c:v>4.5060000000000003E-2</c:v>
                </c:pt>
                <c:pt idx="47">
                  <c:v>5.9709999999999999E-2</c:v>
                </c:pt>
                <c:pt idx="48">
                  <c:v>6.5320000000000003E-2</c:v>
                </c:pt>
                <c:pt idx="49">
                  <c:v>5.5810000000000005E-2</c:v>
                </c:pt>
                <c:pt idx="50">
                  <c:v>5.4640000000000001E-2</c:v>
                </c:pt>
                <c:pt idx="51">
                  <c:v>4.8440000000000004E-2</c:v>
                </c:pt>
                <c:pt idx="52">
                  <c:v>4.3060000000000001E-2</c:v>
                </c:pt>
                <c:pt idx="53">
                  <c:v>4.1130000000000007E-2</c:v>
                </c:pt>
                <c:pt idx="54">
                  <c:v>3.9079999999999997E-2</c:v>
                </c:pt>
                <c:pt idx="55">
                  <c:v>3.866E-2</c:v>
                </c:pt>
                <c:pt idx="56">
                  <c:v>3.7309999999999996E-2</c:v>
                </c:pt>
                <c:pt idx="57">
                  <c:v>3.5979999999999998E-2</c:v>
                </c:pt>
                <c:pt idx="58">
                  <c:v>3.499E-2</c:v>
                </c:pt>
                <c:pt idx="59">
                  <c:v>3.3520000000000001E-2</c:v>
                </c:pt>
                <c:pt idx="60">
                  <c:v>4.3270000000000003E-2</c:v>
                </c:pt>
                <c:pt idx="61">
                  <c:v>3.8879999999999998E-2</c:v>
                </c:pt>
                <c:pt idx="62">
                  <c:v>4.3589999999999997E-2</c:v>
                </c:pt>
                <c:pt idx="63">
                  <c:v>4.1820000000000003E-2</c:v>
                </c:pt>
                <c:pt idx="64">
                  <c:v>4.3810000000000002E-2</c:v>
                </c:pt>
                <c:pt idx="65">
                  <c:v>4.8570000000000002E-2</c:v>
                </c:pt>
                <c:pt idx="66">
                  <c:v>4.5229999999999999E-2</c:v>
                </c:pt>
                <c:pt idx="67">
                  <c:v>4.6479999999999994E-2</c:v>
                </c:pt>
                <c:pt idx="68">
                  <c:v>4.6029999999999995E-2</c:v>
                </c:pt>
                <c:pt idx="69">
                  <c:v>4.6969999999999998E-2</c:v>
                </c:pt>
                <c:pt idx="70">
                  <c:v>4.6310000000000004E-2</c:v>
                </c:pt>
                <c:pt idx="71">
                  <c:v>4.7869999999999996E-2</c:v>
                </c:pt>
                <c:pt idx="72">
                  <c:v>4.8219999999999999E-2</c:v>
                </c:pt>
                <c:pt idx="73">
                  <c:v>5.459E-2</c:v>
                </c:pt>
                <c:pt idx="74">
                  <c:v>6.046E-2</c:v>
                </c:pt>
                <c:pt idx="75">
                  <c:v>5.4489999999999997E-2</c:v>
                </c:pt>
                <c:pt idx="76">
                  <c:v>5.305E-2</c:v>
                </c:pt>
                <c:pt idx="77">
                  <c:v>5.2049999999999999E-2</c:v>
                </c:pt>
                <c:pt idx="78">
                  <c:v>5.2430000000000004E-2</c:v>
                </c:pt>
                <c:pt idx="79">
                  <c:v>5.1959999999999999E-2</c:v>
                </c:pt>
                <c:pt idx="80">
                  <c:v>4.9149999999999999E-2</c:v>
                </c:pt>
                <c:pt idx="81">
                  <c:v>4.8070000000000002E-2</c:v>
                </c:pt>
                <c:pt idx="82">
                  <c:v>4.6769999999999999E-2</c:v>
                </c:pt>
                <c:pt idx="83">
                  <c:v>4.3970000000000002E-2</c:v>
                </c:pt>
                <c:pt idx="84">
                  <c:v>4.24E-2</c:v>
                </c:pt>
                <c:pt idx="85">
                  <c:v>4.3390000000000005E-2</c:v>
                </c:pt>
                <c:pt idx="86">
                  <c:v>4.58E-2</c:v>
                </c:pt>
                <c:pt idx="87">
                  <c:v>5.3970000000000004E-2</c:v>
                </c:pt>
                <c:pt idx="88">
                  <c:v>5.2789999999999997E-2</c:v>
                </c:pt>
                <c:pt idx="89">
                  <c:v>4.8320000000000002E-2</c:v>
                </c:pt>
                <c:pt idx="90">
                  <c:v>4.7840000000000001E-2</c:v>
                </c:pt>
                <c:pt idx="91">
                  <c:v>4.5229999999999999E-2</c:v>
                </c:pt>
                <c:pt idx="92">
                  <c:v>4.4359999999999997E-2</c:v>
                </c:pt>
                <c:pt idx="93">
                  <c:v>4.3959999999999999E-2</c:v>
                </c:pt>
                <c:pt idx="94">
                  <c:v>4.0340000000000001E-2</c:v>
                </c:pt>
                <c:pt idx="95">
                  <c:v>4.095E-2</c:v>
                </c:pt>
                <c:pt idx="96">
                  <c:v>4.7190000000000003E-2</c:v>
                </c:pt>
                <c:pt idx="97">
                  <c:v>4.2000000000000003E-2</c:v>
                </c:pt>
                <c:pt idx="98">
                  <c:v>4.3129999999999995E-2</c:v>
                </c:pt>
                <c:pt idx="99">
                  <c:v>4.0579999999999998E-2</c:v>
                </c:pt>
                <c:pt idx="100">
                  <c:v>3.9969999999999999E-2</c:v>
                </c:pt>
                <c:pt idx="101">
                  <c:v>4.7110000000000006E-2</c:v>
                </c:pt>
                <c:pt idx="102">
                  <c:v>4.598E-2</c:v>
                </c:pt>
                <c:pt idx="103">
                  <c:v>4.3289999999999995E-2</c:v>
                </c:pt>
                <c:pt idx="104">
                  <c:v>4.8010000000000004E-2</c:v>
                </c:pt>
                <c:pt idx="105">
                  <c:v>4.7419999999999997E-2</c:v>
                </c:pt>
                <c:pt idx="106">
                  <c:v>5.1889999999999999E-2</c:v>
                </c:pt>
                <c:pt idx="107">
                  <c:v>5.7200000000000001E-2</c:v>
                </c:pt>
                <c:pt idx="108">
                  <c:v>6.8610000000000004E-2</c:v>
                </c:pt>
                <c:pt idx="109">
                  <c:v>6.3170000000000004E-2</c:v>
                </c:pt>
                <c:pt idx="110">
                  <c:v>5.7229999999999996E-2</c:v>
                </c:pt>
                <c:pt idx="111">
                  <c:v>5.7820000000000003E-2</c:v>
                </c:pt>
                <c:pt idx="112">
                  <c:v>6.7030000000000006E-2</c:v>
                </c:pt>
                <c:pt idx="113">
                  <c:v>6.1810000000000004E-2</c:v>
                </c:pt>
                <c:pt idx="114">
                  <c:v>6.8870000000000001E-2</c:v>
                </c:pt>
                <c:pt idx="115">
                  <c:v>7.5369999999999993E-2</c:v>
                </c:pt>
                <c:pt idx="116">
                  <c:v>7.9070000000000001E-2</c:v>
                </c:pt>
                <c:pt idx="117">
                  <c:v>7.8329999999999997E-2</c:v>
                </c:pt>
                <c:pt idx="118">
                  <c:v>8.0310000000000006E-2</c:v>
                </c:pt>
                <c:pt idx="119">
                  <c:v>7.8799999999999995E-2</c:v>
                </c:pt>
                <c:pt idx="120">
                  <c:v>8.158E-2</c:v>
                </c:pt>
                <c:pt idx="121">
                  <c:v>6.9589999999999999E-2</c:v>
                </c:pt>
                <c:pt idx="122">
                  <c:v>7.0989999999999998E-2</c:v>
                </c:pt>
                <c:pt idx="123">
                  <c:v>6.7560000000000009E-2</c:v>
                </c:pt>
                <c:pt idx="124">
                  <c:v>6.9640000000000007E-2</c:v>
                </c:pt>
                <c:pt idx="125">
                  <c:v>6.1210000000000007E-2</c:v>
                </c:pt>
                <c:pt idx="126">
                  <c:v>5.4730000000000001E-2</c:v>
                </c:pt>
                <c:pt idx="127">
                  <c:v>5.466E-2</c:v>
                </c:pt>
                <c:pt idx="128">
                  <c:v>5.5559999999999998E-2</c:v>
                </c:pt>
                <c:pt idx="129">
                  <c:v>5.6289999999999993E-2</c:v>
                </c:pt>
                <c:pt idx="130">
                  <c:v>5.3800000000000001E-2</c:v>
                </c:pt>
                <c:pt idx="131">
                  <c:v>6.1650000000000003E-2</c:v>
                </c:pt>
                <c:pt idx="132">
                  <c:v>6.3070000000000001E-2</c:v>
                </c:pt>
                <c:pt idx="133">
                  <c:v>6.1429999999999998E-2</c:v>
                </c:pt>
                <c:pt idx="134">
                  <c:v>7.0029999999999995E-2</c:v>
                </c:pt>
                <c:pt idx="135">
                  <c:v>6.9560000000000011E-2</c:v>
                </c:pt>
                <c:pt idx="136">
                  <c:v>6.9210000000000008E-2</c:v>
                </c:pt>
                <c:pt idx="137">
                  <c:v>7.324E-2</c:v>
                </c:pt>
                <c:pt idx="138">
                  <c:v>7.0580000000000004E-2</c:v>
                </c:pt>
                <c:pt idx="139">
                  <c:v>7.1440000000000003E-2</c:v>
                </c:pt>
                <c:pt idx="140">
                  <c:v>6.7060000000000008E-2</c:v>
                </c:pt>
                <c:pt idx="141">
                  <c:v>6.0949999999999997E-2</c:v>
                </c:pt>
                <c:pt idx="142">
                  <c:v>5.9109999999999996E-2</c:v>
                </c:pt>
                <c:pt idx="143">
                  <c:v>5.9290000000000002E-2</c:v>
                </c:pt>
                <c:pt idx="144">
                  <c:v>7.1709999999999996E-2</c:v>
                </c:pt>
                <c:pt idx="145">
                  <c:v>6.5730000000000011E-2</c:v>
                </c:pt>
                <c:pt idx="146">
                  <c:v>6.9440000000000002E-2</c:v>
                </c:pt>
                <c:pt idx="147">
                  <c:v>7.2389999999999996E-2</c:v>
                </c:pt>
                <c:pt idx="148">
                  <c:v>7.392E-2</c:v>
                </c:pt>
                <c:pt idx="149">
                  <c:v>9.3420000000000003E-2</c:v>
                </c:pt>
                <c:pt idx="150">
                  <c:v>0.10460000000000001</c:v>
                </c:pt>
                <c:pt idx="151">
                  <c:v>8.8079999999999992E-2</c:v>
                </c:pt>
                <c:pt idx="152">
                  <c:v>8.6880000000000013E-2</c:v>
                </c:pt>
                <c:pt idx="153">
                  <c:v>8.8109999999999994E-2</c:v>
                </c:pt>
                <c:pt idx="154">
                  <c:v>8.029E-2</c:v>
                </c:pt>
                <c:pt idx="155">
                  <c:v>7.6960000000000001E-2</c:v>
                </c:pt>
                <c:pt idx="156">
                  <c:v>7.6789999999999997E-2</c:v>
                </c:pt>
                <c:pt idx="157">
                  <c:v>8.3640000000000006E-2</c:v>
                </c:pt>
                <c:pt idx="158">
                  <c:v>9.351000000000001E-2</c:v>
                </c:pt>
                <c:pt idx="159">
                  <c:v>9.5690000000000011E-2</c:v>
                </c:pt>
                <c:pt idx="160">
                  <c:v>9.2089999999999991E-2</c:v>
                </c:pt>
                <c:pt idx="161">
                  <c:v>8.3729999999999999E-2</c:v>
                </c:pt>
                <c:pt idx="162">
                  <c:v>7.9050000000000009E-2</c:v>
                </c:pt>
                <c:pt idx="163">
                  <c:v>7.7009999999999995E-2</c:v>
                </c:pt>
                <c:pt idx="164">
                  <c:v>8.1549999999999997E-2</c:v>
                </c:pt>
                <c:pt idx="165">
                  <c:v>7.51E-2</c:v>
                </c:pt>
                <c:pt idx="166">
                  <c:v>6.8409999999999999E-2</c:v>
                </c:pt>
                <c:pt idx="167">
                  <c:v>7.2000000000000008E-2</c:v>
                </c:pt>
                <c:pt idx="168">
                  <c:v>7.6999999999999999E-2</c:v>
                </c:pt>
                <c:pt idx="169">
                  <c:v>7.9369999999999996E-2</c:v>
                </c:pt>
                <c:pt idx="170">
                  <c:v>7.3660000000000003E-2</c:v>
                </c:pt>
                <c:pt idx="171">
                  <c:v>7.4889999999999998E-2</c:v>
                </c:pt>
                <c:pt idx="172">
                  <c:v>7.1480000000000002E-2</c:v>
                </c:pt>
                <c:pt idx="173">
                  <c:v>6.9839999999999999E-2</c:v>
                </c:pt>
                <c:pt idx="174">
                  <c:v>6.4560000000000006E-2</c:v>
                </c:pt>
                <c:pt idx="175">
                  <c:v>6.1829999999999996E-2</c:v>
                </c:pt>
                <c:pt idx="176">
                  <c:v>5.9299999999999999E-2</c:v>
                </c:pt>
                <c:pt idx="177">
                  <c:v>5.5549999999999995E-2</c:v>
                </c:pt>
                <c:pt idx="178">
                  <c:v>6.0490000000000002E-2</c:v>
                </c:pt>
                <c:pt idx="179">
                  <c:v>5.9400000000000001E-2</c:v>
                </c:pt>
                <c:pt idx="180">
                  <c:v>6.1790000000000005E-2</c:v>
                </c:pt>
                <c:pt idx="181">
                  <c:v>6.3149999999999998E-2</c:v>
                </c:pt>
                <c:pt idx="182">
                  <c:v>6.3579999999999998E-2</c:v>
                </c:pt>
                <c:pt idx="183">
                  <c:v>6.4699999999999994E-2</c:v>
                </c:pt>
                <c:pt idx="184">
                  <c:v>6.831000000000001E-2</c:v>
                </c:pt>
                <c:pt idx="185">
                  <c:v>7.084E-2</c:v>
                </c:pt>
                <c:pt idx="186">
                  <c:v>7.2270000000000001E-2</c:v>
                </c:pt>
                <c:pt idx="187">
                  <c:v>7.1650000000000005E-2</c:v>
                </c:pt>
                <c:pt idx="188">
                  <c:v>6.7479999999999998E-2</c:v>
                </c:pt>
                <c:pt idx="189">
                  <c:v>6.9980000000000001E-2</c:v>
                </c:pt>
                <c:pt idx="190">
                  <c:v>6.794E-2</c:v>
                </c:pt>
                <c:pt idx="191">
                  <c:v>6.4950000000000008E-2</c:v>
                </c:pt>
                <c:pt idx="192">
                  <c:v>6.6750000000000004E-2</c:v>
                </c:pt>
                <c:pt idx="193">
                  <c:v>6.8190000000000001E-2</c:v>
                </c:pt>
                <c:pt idx="194">
                  <c:v>6.6570000000000004E-2</c:v>
                </c:pt>
                <c:pt idx="195">
                  <c:v>6.6879999999999995E-2</c:v>
                </c:pt>
                <c:pt idx="196">
                  <c:v>6.9120000000000001E-2</c:v>
                </c:pt>
                <c:pt idx="197">
                  <c:v>6.8729999999999999E-2</c:v>
                </c:pt>
                <c:pt idx="198">
                  <c:v>7.9829999999999998E-2</c:v>
                </c:pt>
                <c:pt idx="199">
                  <c:v>6.8349999999999994E-2</c:v>
                </c:pt>
                <c:pt idx="200">
                  <c:v>6.5390000000000004E-2</c:v>
                </c:pt>
                <c:pt idx="201">
                  <c:v>6.633E-2</c:v>
                </c:pt>
                <c:pt idx="202">
                  <c:v>7.8120000000000009E-2</c:v>
                </c:pt>
                <c:pt idx="203">
                  <c:v>8.276E-2</c:v>
                </c:pt>
                <c:pt idx="204">
                  <c:v>7.8909999999999994E-2</c:v>
                </c:pt>
                <c:pt idx="205">
                  <c:v>7.6999999999999999E-2</c:v>
                </c:pt>
                <c:pt idx="206">
                  <c:v>7.9210000000000003E-2</c:v>
                </c:pt>
                <c:pt idx="207">
                  <c:v>8.5760000000000003E-2</c:v>
                </c:pt>
                <c:pt idx="208">
                  <c:v>8.1140000000000004E-2</c:v>
                </c:pt>
                <c:pt idx="209">
                  <c:v>7.8880000000000006E-2</c:v>
                </c:pt>
                <c:pt idx="210">
                  <c:v>7.9640000000000002E-2</c:v>
                </c:pt>
                <c:pt idx="211">
                  <c:v>7.5789999999999996E-2</c:v>
                </c:pt>
                <c:pt idx="212">
                  <c:v>7.551999999999999E-2</c:v>
                </c:pt>
                <c:pt idx="213">
                  <c:v>7.3319999999999996E-2</c:v>
                </c:pt>
                <c:pt idx="214">
                  <c:v>6.744E-2</c:v>
                </c:pt>
                <c:pt idx="215">
                  <c:v>6.6830000000000001E-2</c:v>
                </c:pt>
                <c:pt idx="216">
                  <c:v>7.0610000000000006E-2</c:v>
                </c:pt>
                <c:pt idx="217">
                  <c:v>6.9640000000000007E-2</c:v>
                </c:pt>
                <c:pt idx="218">
                  <c:v>6.8529999999999994E-2</c:v>
                </c:pt>
                <c:pt idx="219">
                  <c:v>6.7350000000000007E-2</c:v>
                </c:pt>
                <c:pt idx="220">
                  <c:v>6.8349999999999994E-2</c:v>
                </c:pt>
                <c:pt idx="221">
                  <c:v>7.1550000000000002E-2</c:v>
                </c:pt>
                <c:pt idx="222">
                  <c:v>6.4280000000000004E-2</c:v>
                </c:pt>
                <c:pt idx="223">
                  <c:v>6.3939999999999997E-2</c:v>
                </c:pt>
                <c:pt idx="224">
                  <c:v>6.447E-2</c:v>
                </c:pt>
                <c:pt idx="225">
                  <c:v>6.3299999999999995E-2</c:v>
                </c:pt>
                <c:pt idx="226">
                  <c:v>6.2220000000000004E-2</c:v>
                </c:pt>
                <c:pt idx="227">
                  <c:v>6.8430000000000005E-2</c:v>
                </c:pt>
                <c:pt idx="228">
                  <c:v>7.4450000000000002E-2</c:v>
                </c:pt>
                <c:pt idx="229">
                  <c:v>7.059E-2</c:v>
                </c:pt>
                <c:pt idx="230">
                  <c:v>7.3440000000000005E-2</c:v>
                </c:pt>
                <c:pt idx="231">
                  <c:v>7.2550000000000003E-2</c:v>
                </c:pt>
                <c:pt idx="232">
                  <c:v>7.3249999999999996E-2</c:v>
                </c:pt>
                <c:pt idx="233">
                  <c:v>7.4469999999999995E-2</c:v>
                </c:pt>
                <c:pt idx="234">
                  <c:v>7.3660000000000003E-2</c:v>
                </c:pt>
                <c:pt idx="235">
                  <c:v>7.7109999999999998E-2</c:v>
                </c:pt>
                <c:pt idx="236">
                  <c:v>7.8920000000000004E-2</c:v>
                </c:pt>
                <c:pt idx="237">
                  <c:v>8.3030000000000007E-2</c:v>
                </c:pt>
                <c:pt idx="238">
                  <c:v>8.3190000000000014E-2</c:v>
                </c:pt>
                <c:pt idx="239">
                  <c:v>7.4539999999999995E-2</c:v>
                </c:pt>
                <c:pt idx="240">
                  <c:v>8.5370000000000001E-2</c:v>
                </c:pt>
                <c:pt idx="241">
                  <c:v>7.9920000000000005E-2</c:v>
                </c:pt>
                <c:pt idx="242">
                  <c:v>8.2790000000000002E-2</c:v>
                </c:pt>
                <c:pt idx="243">
                  <c:v>8.3710000000000007E-2</c:v>
                </c:pt>
                <c:pt idx="244">
                  <c:v>8.3360000000000004E-2</c:v>
                </c:pt>
                <c:pt idx="245">
                  <c:v>8.4360000000000004E-2</c:v>
                </c:pt>
                <c:pt idx="246">
                  <c:v>8.2420000000000007E-2</c:v>
                </c:pt>
                <c:pt idx="247">
                  <c:v>7.918E-2</c:v>
                </c:pt>
                <c:pt idx="248">
                  <c:v>7.5310000000000002E-2</c:v>
                </c:pt>
                <c:pt idx="249">
                  <c:v>7.2349999999999998E-2</c:v>
                </c:pt>
                <c:pt idx="250">
                  <c:v>7.5060000000000002E-2</c:v>
                </c:pt>
                <c:pt idx="251">
                  <c:v>7.4039999999999995E-2</c:v>
                </c:pt>
                <c:pt idx="252">
                  <c:v>0.10730000000000001</c:v>
                </c:pt>
                <c:pt idx="253">
                  <c:v>9.1620000000000007E-2</c:v>
                </c:pt>
                <c:pt idx="254">
                  <c:v>8.5129999999999997E-2</c:v>
                </c:pt>
                <c:pt idx="255">
                  <c:v>7.8170000000000003E-2</c:v>
                </c:pt>
                <c:pt idx="256">
                  <c:v>7.7689999999999995E-2</c:v>
                </c:pt>
                <c:pt idx="257">
                  <c:v>7.5420000000000001E-2</c:v>
                </c:pt>
                <c:pt idx="258">
                  <c:v>7.5300000000000006E-2</c:v>
                </c:pt>
                <c:pt idx="259">
                  <c:v>7.707E-2</c:v>
                </c:pt>
                <c:pt idx="260">
                  <c:v>7.5990000000000002E-2</c:v>
                </c:pt>
                <c:pt idx="261">
                  <c:v>7.4189999999999992E-2</c:v>
                </c:pt>
                <c:pt idx="262">
                  <c:v>7.1639999999999995E-2</c:v>
                </c:pt>
                <c:pt idx="263">
                  <c:v>6.9109999999999991E-2</c:v>
                </c:pt>
                <c:pt idx="264">
                  <c:v>7.6359999999999997E-2</c:v>
                </c:pt>
                <c:pt idx="265">
                  <c:v>7.1870000000000003E-2</c:v>
                </c:pt>
                <c:pt idx="266">
                  <c:v>7.2870000000000004E-2</c:v>
                </c:pt>
                <c:pt idx="267">
                  <c:v>7.0830000000000004E-2</c:v>
                </c:pt>
                <c:pt idx="268">
                  <c:v>7.3270000000000002E-2</c:v>
                </c:pt>
                <c:pt idx="269">
                  <c:v>7.2160000000000002E-2</c:v>
                </c:pt>
                <c:pt idx="270">
                  <c:v>7.0239999999999997E-2</c:v>
                </c:pt>
                <c:pt idx="271">
                  <c:v>7.3040000000000008E-2</c:v>
                </c:pt>
                <c:pt idx="272">
                  <c:v>7.2520000000000001E-2</c:v>
                </c:pt>
                <c:pt idx="273">
                  <c:v>7.3569999999999997E-2</c:v>
                </c:pt>
                <c:pt idx="274">
                  <c:v>7.1500000000000008E-2</c:v>
                </c:pt>
                <c:pt idx="275">
                  <c:v>7.0499999999999993E-2</c:v>
                </c:pt>
                <c:pt idx="276">
                  <c:v>7.9452556949183406E-2</c:v>
                </c:pt>
                <c:pt idx="277">
                  <c:v>7.7464787114135999E-2</c:v>
                </c:pt>
                <c:pt idx="278">
                  <c:v>7.68026519697841E-2</c:v>
                </c:pt>
                <c:pt idx="279">
                  <c:v>8.4904042679271999E-2</c:v>
                </c:pt>
                <c:pt idx="280">
                  <c:v>9.2488809949290901E-2</c:v>
                </c:pt>
                <c:pt idx="281">
                  <c:v>7.8308472481194102E-2</c:v>
                </c:pt>
                <c:pt idx="282">
                  <c:v>7.7251328052792306E-2</c:v>
                </c:pt>
                <c:pt idx="283">
                  <c:v>7.8841687116426196E-2</c:v>
                </c:pt>
                <c:pt idx="284">
                  <c:v>7.1513546953717699E-2</c:v>
                </c:pt>
                <c:pt idx="285">
                  <c:v>6.5242762754699105E-2</c:v>
                </c:pt>
                <c:pt idx="286">
                  <c:v>6.3995081846655907E-2</c:v>
                </c:pt>
                <c:pt idx="287">
                  <c:v>5.7517617132492503E-2</c:v>
                </c:pt>
                <c:pt idx="288">
                  <c:v>6.5899840826764602E-2</c:v>
                </c:pt>
                <c:pt idx="289">
                  <c:v>6.5887000424103295E-2</c:v>
                </c:pt>
                <c:pt idx="290">
                  <c:v>6.96667607741739E-2</c:v>
                </c:pt>
                <c:pt idx="291">
                  <c:v>6.8106197927109993E-2</c:v>
                </c:pt>
                <c:pt idx="292">
                  <c:v>6.8820666683162501E-2</c:v>
                </c:pt>
                <c:pt idx="293">
                  <c:v>6.8378687949317105E-2</c:v>
                </c:pt>
                <c:pt idx="294">
                  <c:v>6.6875948203247701E-2</c:v>
                </c:pt>
                <c:pt idx="295">
                  <c:v>6.7975098324143404E-2</c:v>
                </c:pt>
                <c:pt idx="296">
                  <c:v>6.9518261366980499E-2</c:v>
                </c:pt>
                <c:pt idx="297">
                  <c:v>6.7200341775578001E-2</c:v>
                </c:pt>
                <c:pt idx="298">
                  <c:v>6.6659887046396096E-2</c:v>
                </c:pt>
                <c:pt idx="299">
                  <c:v>6.0384553157784904E-2</c:v>
                </c:pt>
                <c:pt idx="300">
                  <c:v>6.0419488618406098E-2</c:v>
                </c:pt>
                <c:pt idx="301">
                  <c:v>6.1182004602516098E-2</c:v>
                </c:pt>
                <c:pt idx="302">
                  <c:v>5.8242859626533201E-2</c:v>
                </c:pt>
                <c:pt idx="303">
                  <c:v>6.2162557718958705E-2</c:v>
                </c:pt>
                <c:pt idx="304">
                  <c:v>6.2021188664363E-2</c:v>
                </c:pt>
                <c:pt idx="305">
                  <c:v>6.8520147827824299E-2</c:v>
                </c:pt>
                <c:pt idx="306">
                  <c:v>6.629748640174489E-2</c:v>
                </c:pt>
                <c:pt idx="307">
                  <c:v>5.9407162283035907E-2</c:v>
                </c:pt>
                <c:pt idx="308">
                  <c:v>6.45395001974685E-2</c:v>
                </c:pt>
                <c:pt idx="309">
                  <c:v>5.7893442875148707E-2</c:v>
                </c:pt>
                <c:pt idx="310">
                  <c:v>5.5054461337976202E-2</c:v>
                </c:pt>
                <c:pt idx="311">
                  <c:v>4.8691672625856601E-2</c:v>
                </c:pt>
                <c:pt idx="312">
                  <c:v>5.2460313308982397E-2</c:v>
                </c:pt>
                <c:pt idx="313">
                  <c:v>5.8948690247480201E-2</c:v>
                </c:pt>
                <c:pt idx="314">
                  <c:v>5.1766028589203303E-2</c:v>
                </c:pt>
                <c:pt idx="315">
                  <c:v>5.2569533555098601E-2</c:v>
                </c:pt>
                <c:pt idx="316">
                  <c:v>5.0268613536306905E-2</c:v>
                </c:pt>
                <c:pt idx="317">
                  <c:v>4.8582058774747895E-2</c:v>
                </c:pt>
                <c:pt idx="318">
                  <c:v>5.0482068358095405E-2</c:v>
                </c:pt>
                <c:pt idx="319">
                  <c:v>4.8722725508267201E-2</c:v>
                </c:pt>
                <c:pt idx="320">
                  <c:v>5.1854741383359305E-2</c:v>
                </c:pt>
                <c:pt idx="321">
                  <c:v>4.7762072039821607E-2</c:v>
                </c:pt>
                <c:pt idx="322">
                  <c:v>4.5163510869022504E-2</c:v>
                </c:pt>
                <c:pt idx="323">
                  <c:v>4.7344608613039699E-2</c:v>
                </c:pt>
                <c:pt idx="324">
                  <c:v>5.4153610416551201E-2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F4-DD4F-BE91-84F916712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812992"/>
        <c:axId val="603804480"/>
      </c:lineChart>
      <c:dateAx>
        <c:axId val="603812992"/>
        <c:scaling>
          <c:orientation val="minMax"/>
          <c:max val="46387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04480"/>
        <c:crosses val="autoZero"/>
        <c:auto val="0"/>
        <c:lblOffset val="100"/>
        <c:baseTimeUnit val="days"/>
        <c:majorUnit val="1"/>
        <c:majorTimeUnit val="years"/>
      </c:dateAx>
      <c:valAx>
        <c:axId val="60380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1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439991</xdr:colOff>
      <xdr:row>14</xdr:row>
      <xdr:rowOff>137185</xdr:rowOff>
    </xdr:from>
    <xdr:to>
      <xdr:col>19</xdr:col>
      <xdr:colOff>362569</xdr:colOff>
      <xdr:row>38</xdr:row>
      <xdr:rowOff>82081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4FE11A-83E3-7950-3774-0AE578E7E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66040</xdr:colOff>
      <xdr:row>35</xdr:row>
      <xdr:rowOff>132080</xdr:rowOff>
    </xdr:from>
    <xdr:to>
      <xdr:col>11</xdr:col>
      <xdr:colOff>81280</xdr:colOff>
      <xdr:row>56</xdr:row>
      <xdr:rowOff>162560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A20494-9937-C98E-E086-B78F5DB25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605685</xdr:colOff>
      <xdr:row>12</xdr:row>
      <xdr:rowOff>48958</xdr:rowOff>
    </xdr:from>
    <xdr:to>
      <xdr:col>12</xdr:col>
      <xdr:colOff>279894</xdr:colOff>
      <xdr:row>26</xdr:row>
      <xdr:rowOff>125158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8AEC4-FEE6-0ABA-553E-C14D94352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717550</xdr:colOff>
      <xdr:row>15</xdr:row>
      <xdr:rowOff>101600</xdr:rowOff>
    </xdr:from>
    <xdr:to>
      <xdr:col>14</xdr:col>
      <xdr:colOff>628650</xdr:colOff>
      <xdr:row>29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A6572-B196-6B4E-8BA5-56172A634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541734</xdr:colOff>
      <xdr:row>18</xdr:row>
      <xdr:rowOff>61999</xdr:rowOff>
    </xdr:from>
    <xdr:to>
      <xdr:col>22</xdr:col>
      <xdr:colOff>610713</xdr:colOff>
      <xdr:row>39</xdr:row>
      <xdr:rowOff>65851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A7FDD-A23E-BB29-9E47-A919E09F5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24</xdr:row>
      <xdr:rowOff>0</xdr:rowOff>
    </xdr:from>
    <xdr:to>
      <xdr:col>15</xdr:col>
      <xdr:colOff>447040</xdr:colOff>
      <xdr:row>42</xdr:row>
      <xdr:rowOff>162560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59919F-6E1A-4D49-B760-4CC4DED38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uyeshsinha/Desktop/AVFM/Risk%20Free%20Rate/Risk%20Free%20Rate%20Calculation_V2.xlsx" TargetMode="External"/><Relationship Id="rId1" Type="http://schemas.openxmlformats.org/officeDocument/2006/relationships/externalLinkPath" Target="/Users/anuyeshsinha/Desktop/AVFM/Risk%20Free%20Rate/Risk%20Free%20Rate%20Calculation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sk Free Rate Calculation"/>
      <sheetName val="ERP"/>
      <sheetName val="Region Wise ERP"/>
      <sheetName val="Data&gt;"/>
      <sheetName val="Rating Based CDS"/>
      <sheetName val="10 YEAR Govt Bond Yield"/>
      <sheetName val="Sovereign Ratings "/>
      <sheetName val="DATA Region Wise ERP"/>
      <sheetName val="Damodaran ERP "/>
      <sheetName val="Investing.com"/>
    </sheetNames>
    <sheetDataSet>
      <sheetData sheetId="0">
        <row r="57">
          <cell r="G57">
            <v>2.0999999999999999E-3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market-risk-premia.com/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726D-7CDF-2043-894B-C68C0151B700}">
  <sheetPr>
    <tabColor theme="3"/>
  </sheetPr>
  <dimension ref="A1"/>
  <sheetViews>
    <sheetView showGridLines="0" workbookViewId="0">
      <selection activeCell="K45" sqref="K45"/>
    </sheetView>
  </sheetViews>
  <sheetFormatPr baseColWidth="10" defaultRowHeight="15" x14ac:dyDescent="0.2"/>
  <cols>
    <col min="1" max="1" width="2.33203125" customWidth="1"/>
  </cols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F86B-08C4-6949-8322-79DF0D6B3719}">
  <dimension ref="A1:K23"/>
  <sheetViews>
    <sheetView showGridLines="0" tabSelected="1" zoomScale="200" workbookViewId="0">
      <selection activeCell="E6" sqref="E6:E11"/>
    </sheetView>
  </sheetViews>
  <sheetFormatPr baseColWidth="10" defaultRowHeight="15" x14ac:dyDescent="0.2"/>
  <cols>
    <col min="1" max="1" width="2.33203125" customWidth="1"/>
    <col min="2" max="2" width="40.33203125" customWidth="1"/>
    <col min="3" max="3" width="26.33203125" bestFit="1" customWidth="1"/>
    <col min="4" max="4" width="17.83203125" customWidth="1"/>
    <col min="5" max="5" width="39.83203125" customWidth="1"/>
    <col min="7" max="7" width="15.5" customWidth="1"/>
  </cols>
  <sheetData>
    <row r="1" spans="1:11" x14ac:dyDescent="0.2">
      <c r="A1" t="s">
        <v>0</v>
      </c>
    </row>
    <row r="2" spans="1:11" x14ac:dyDescent="0.2">
      <c r="H2" s="34" t="s">
        <v>50</v>
      </c>
      <c r="I2" s="34" t="s">
        <v>45</v>
      </c>
      <c r="J2" s="34" t="s">
        <v>11</v>
      </c>
      <c r="K2" s="34" t="s">
        <v>11</v>
      </c>
    </row>
    <row r="3" spans="1:11" ht="21" x14ac:dyDescent="0.25">
      <c r="B3" s="82" t="s">
        <v>193</v>
      </c>
      <c r="C3" s="82"/>
      <c r="D3" s="82"/>
      <c r="E3" s="28">
        <f>IF(OR(C6="",C7="",C8="",C9="",C10=""),"Provide Correct Inputs",SUM(E13:E23))</f>
        <v>13960.103559772529</v>
      </c>
      <c r="H3" s="34" t="s">
        <v>46</v>
      </c>
      <c r="I3" s="34" t="s">
        <v>47</v>
      </c>
      <c r="J3" s="34" t="s">
        <v>18</v>
      </c>
      <c r="K3" s="34" t="s">
        <v>18</v>
      </c>
    </row>
    <row r="4" spans="1:11" x14ac:dyDescent="0.2">
      <c r="B4" s="83" t="s">
        <v>35</v>
      </c>
      <c r="C4" s="83"/>
      <c r="D4" s="27" t="s">
        <v>36</v>
      </c>
      <c r="E4" s="86" t="str">
        <f>IF(OR(C6="",C7="",C8="",C9="",C10=""),"Provide Correct Inputs",IF(E3&gt;1.05*(C6),"Undervalued",IF(E3&lt;0.95*C6,"Overvalued","Fairly Valued")))</f>
        <v>Undervalued</v>
      </c>
      <c r="H4" s="34" t="s">
        <v>45</v>
      </c>
      <c r="I4" s="34" t="s">
        <v>48</v>
      </c>
      <c r="J4" s="34" t="s">
        <v>19</v>
      </c>
      <c r="K4" s="34" t="s">
        <v>19</v>
      </c>
    </row>
    <row r="5" spans="1:11" x14ac:dyDescent="0.2">
      <c r="B5" s="21" t="s">
        <v>37</v>
      </c>
      <c r="C5" s="23">
        <f ca="1">TODAY()</f>
        <v>46270</v>
      </c>
      <c r="D5" s="24">
        <v>46207</v>
      </c>
      <c r="E5" s="86"/>
      <c r="H5" s="34" t="s">
        <v>47</v>
      </c>
      <c r="I5" s="34" t="s">
        <v>49</v>
      </c>
      <c r="J5" s="34" t="s">
        <v>12</v>
      </c>
      <c r="K5" s="34" t="s">
        <v>12</v>
      </c>
    </row>
    <row r="6" spans="1:11" x14ac:dyDescent="0.2">
      <c r="B6" s="21" t="s">
        <v>186</v>
      </c>
      <c r="C6" s="21">
        <v>9175</v>
      </c>
      <c r="D6" s="22">
        <f>C6</f>
        <v>9175</v>
      </c>
      <c r="E6" s="84" t="str">
        <f>IF(OR(C6="",C7="",C8="",C9="",C10=""),"Provide Correct Inputs","The Market implied fair value of DE40 is : "&amp;ROUNDUP(E3,0)&amp;". The DE40 is currently trading at: "&amp;ROUNDUP(C6,0)&amp;". A  "&amp;TEXT(ABS((D6-E3)/D6),"0.00%")&amp;" "&amp;IF(E4="Undervalued","appreciation",IF(E4="Overvalued","correction","adjustment"))&amp;" expected from this level")</f>
        <v>The Market implied fair value of DE40 is : 13961. The DE40 is currently trading at: 9175. A  52.15% appreciation expected from this level</v>
      </c>
      <c r="H6" s="34" t="s">
        <v>48</v>
      </c>
      <c r="I6" s="34"/>
      <c r="J6" s="34" t="s">
        <v>13</v>
      </c>
      <c r="K6" s="34" t="s">
        <v>13</v>
      </c>
    </row>
    <row r="7" spans="1:11" x14ac:dyDescent="0.2">
      <c r="B7" s="21" t="s">
        <v>32</v>
      </c>
      <c r="C7" s="21" t="s">
        <v>49</v>
      </c>
      <c r="D7" s="25">
        <f>VLOOKUP(C7,'Expected Dividend &amp; BuyBack'!K3:L13,2,FALSE)</f>
        <v>4.4783828640340723E-2</v>
      </c>
      <c r="E7" s="84"/>
      <c r="H7" s="34" t="s">
        <v>49</v>
      </c>
      <c r="I7" s="34"/>
      <c r="J7" s="34" t="s">
        <v>14</v>
      </c>
      <c r="K7" s="34" t="s">
        <v>14</v>
      </c>
    </row>
    <row r="8" spans="1:11" x14ac:dyDescent="0.2">
      <c r="B8" s="21" t="s">
        <v>38</v>
      </c>
      <c r="C8" s="21" t="s">
        <v>49</v>
      </c>
      <c r="D8" s="25">
        <f>VLOOKUP(C8,'DE 40 EPSGrowth'!L3:M9,2,FALSE)</f>
        <v>9.8959982614711617E-2</v>
      </c>
      <c r="E8" s="84"/>
      <c r="J8" s="34" t="s">
        <v>54</v>
      </c>
    </row>
    <row r="9" spans="1:11" x14ac:dyDescent="0.2">
      <c r="B9" s="21" t="s">
        <v>39</v>
      </c>
      <c r="C9" s="21" t="s">
        <v>54</v>
      </c>
      <c r="D9" s="25">
        <f>VLOOKUP(C9,'Risk Free Rate Calculation'!M3:N15,2,FALSE)</f>
        <v>2.8275999999999999E-2</v>
      </c>
      <c r="E9" s="84"/>
    </row>
    <row r="10" spans="1:11" x14ac:dyDescent="0.2">
      <c r="B10" s="21" t="s">
        <v>40</v>
      </c>
      <c r="C10" s="21" t="s">
        <v>14</v>
      </c>
      <c r="D10" s="25">
        <f>VLOOKUP(C10,'ERP Historical Data'!F10:G20,2,FALSE)</f>
        <v>5.4153610416551201E-2</v>
      </c>
      <c r="E10" s="84"/>
    </row>
    <row r="11" spans="1:11" x14ac:dyDescent="0.2">
      <c r="B11" s="26" t="s">
        <v>41</v>
      </c>
      <c r="C11" s="29"/>
      <c r="D11" s="30">
        <f>SUM(D9:D10)</f>
        <v>8.2429610416551197E-2</v>
      </c>
      <c r="E11" s="85"/>
    </row>
    <row r="12" spans="1:11" ht="75" customHeight="1" x14ac:dyDescent="0.2">
      <c r="B12" s="31" t="s">
        <v>1</v>
      </c>
      <c r="C12" s="31" t="s">
        <v>42</v>
      </c>
      <c r="D12" s="31" t="s">
        <v>43</v>
      </c>
      <c r="E12" s="31" t="s">
        <v>44</v>
      </c>
      <c r="G12" s="20"/>
    </row>
    <row r="13" spans="1:11" x14ac:dyDescent="0.2">
      <c r="B13" s="21">
        <v>2026</v>
      </c>
      <c r="C13" s="71">
        <f>$D$6*$D$7*((1+$D$8)^(B13-YEAR($D$5)))</f>
        <v>410.89162777512615</v>
      </c>
      <c r="D13" s="32">
        <f>1/((1+$D$11)^(B13-YEAR($D$5)))</f>
        <v>1</v>
      </c>
      <c r="E13" s="71">
        <f>C13*D13</f>
        <v>410.89162777512615</v>
      </c>
    </row>
    <row r="14" spans="1:11" x14ac:dyDescent="0.2">
      <c r="B14" s="21">
        <f>B13+1</f>
        <v>2027</v>
      </c>
      <c r="C14" s="71">
        <f t="shared" ref="C14:C22" si="0">$D$6*$D$7*((1+$D$8)^(B14-YEAR($D$5)))</f>
        <v>451.5534561162832</v>
      </c>
      <c r="D14" s="32">
        <f t="shared" ref="D14:D22" si="1">1/((1+$D$11)^(B14-YEAR($D$5)))</f>
        <v>0.9238476020765638</v>
      </c>
      <c r="E14" s="71">
        <f t="shared" ref="E14:E23" si="2">C14*D14</f>
        <v>417.16657764241313</v>
      </c>
    </row>
    <row r="15" spans="1:11" x14ac:dyDescent="0.2">
      <c r="B15" s="21">
        <f t="shared" ref="B15:B22" si="3">B14+1</f>
        <v>2028</v>
      </c>
      <c r="C15" s="71">
        <f t="shared" si="0"/>
        <v>496.23917828316354</v>
      </c>
      <c r="D15" s="32">
        <f t="shared" si="1"/>
        <v>0.853494391862617</v>
      </c>
      <c r="E15" s="71">
        <f t="shared" si="2"/>
        <v>423.53735568719344</v>
      </c>
    </row>
    <row r="16" spans="1:11" x14ac:dyDescent="0.2">
      <c r="B16" s="21">
        <f t="shared" si="3"/>
        <v>2029</v>
      </c>
      <c r="C16" s="71">
        <f t="shared" si="0"/>
        <v>545.34699873880425</v>
      </c>
      <c r="D16" s="32">
        <f t="shared" si="1"/>
        <v>0.78849874730807379</v>
      </c>
      <c r="E16" s="71">
        <f t="shared" si="2"/>
        <v>430.00542535376485</v>
      </c>
      <c r="I16" s="10"/>
    </row>
    <row r="17" spans="2:5" x14ac:dyDescent="0.2">
      <c r="B17" s="21">
        <f t="shared" si="3"/>
        <v>2030</v>
      </c>
      <c r="C17" s="71">
        <f t="shared" si="0"/>
        <v>599.3145282529814</v>
      </c>
      <c r="D17" s="32">
        <f t="shared" si="1"/>
        <v>0.7284526769409384</v>
      </c>
      <c r="E17" s="71">
        <f t="shared" si="2"/>
        <v>436.57227243547999</v>
      </c>
    </row>
    <row r="18" spans="2:5" x14ac:dyDescent="0.2">
      <c r="B18" s="21">
        <f t="shared" si="3"/>
        <v>2031</v>
      </c>
      <c r="C18" s="71">
        <f t="shared" si="0"/>
        <v>658.62268354964044</v>
      </c>
      <c r="D18" s="32">
        <f t="shared" si="1"/>
        <v>0.6729792588181398</v>
      </c>
      <c r="E18" s="71">
        <f t="shared" si="2"/>
        <v>443.23940541605128</v>
      </c>
    </row>
    <row r="19" spans="2:5" x14ac:dyDescent="0.2">
      <c r="B19" s="21">
        <f t="shared" si="3"/>
        <v>2032</v>
      </c>
      <c r="C19" s="71">
        <f t="shared" si="0"/>
        <v>723.79997286336754</v>
      </c>
      <c r="D19" s="32">
        <f t="shared" si="1"/>
        <v>0.62173027450640161</v>
      </c>
      <c r="E19" s="71">
        <f t="shared" si="2"/>
        <v>450.00835581606754</v>
      </c>
    </row>
    <row r="20" spans="2:5" x14ac:dyDescent="0.2">
      <c r="B20" s="21">
        <f t="shared" si="3"/>
        <v>2033</v>
      </c>
      <c r="C20" s="71">
        <f t="shared" si="0"/>
        <v>795.42720559445536</v>
      </c>
      <c r="D20" s="32">
        <f t="shared" si="1"/>
        <v>0.5743840232411429</v>
      </c>
      <c r="E20" s="71">
        <f t="shared" si="2"/>
        <v>456.880678544803</v>
      </c>
    </row>
    <row r="21" spans="2:5" x14ac:dyDescent="0.2">
      <c r="B21" s="21">
        <f t="shared" si="3"/>
        <v>2034</v>
      </c>
      <c r="C21" s="71">
        <f t="shared" si="0"/>
        <v>874.14266803135115</v>
      </c>
      <c r="D21" s="32">
        <f t="shared" si="1"/>
        <v>0.53064330254241909</v>
      </c>
      <c r="E21" s="71">
        <f t="shared" si="2"/>
        <v>463.8579522573977</v>
      </c>
    </row>
    <row r="22" spans="2:5" x14ac:dyDescent="0.2">
      <c r="B22" s="21">
        <f t="shared" si="3"/>
        <v>2035</v>
      </c>
      <c r="C22" s="71">
        <f t="shared" si="0"/>
        <v>960.64781126251114</v>
      </c>
      <c r="D22" s="32">
        <f t="shared" si="1"/>
        <v>0.49023354261180252</v>
      </c>
      <c r="E22" s="71">
        <f t="shared" si="2"/>
        <v>470.94177971749508</v>
      </c>
    </row>
    <row r="23" spans="2:5" x14ac:dyDescent="0.2">
      <c r="B23" s="26" t="str">
        <f>B22&amp;"- ∞"</f>
        <v>2035- ∞</v>
      </c>
      <c r="C23" s="72">
        <f>C22*(1+D8)/D10</f>
        <v>19494.794416167821</v>
      </c>
      <c r="D23" s="33">
        <f>1/((1+$D$11)^(B22-YEAR($D$5)))</f>
        <v>0.49023354261180252</v>
      </c>
      <c r="E23" s="72">
        <f t="shared" si="2"/>
        <v>9557.0021291267367</v>
      </c>
    </row>
  </sheetData>
  <mergeCells count="4">
    <mergeCell ref="B3:D3"/>
    <mergeCell ref="B4:C4"/>
    <mergeCell ref="E6:E11"/>
    <mergeCell ref="E4:E5"/>
  </mergeCells>
  <conditionalFormatting sqref="E4:E5">
    <cfRule type="cellIs" dxfId="2" priority="1" operator="equal">
      <formula>"Fairly Valued"</formula>
    </cfRule>
    <cfRule type="cellIs" dxfId="1" priority="3" operator="equal">
      <formula>"Overvalued"</formula>
    </cfRule>
    <cfRule type="cellIs" dxfId="0" priority="4" operator="equal">
      <formula>"Undervalued"</formula>
    </cfRule>
  </conditionalFormatting>
  <dataValidations count="4">
    <dataValidation type="list" allowBlank="1" showInputMessage="1" showErrorMessage="1" sqref="C7" xr:uid="{E3E380D2-A124-6D45-ADEE-D0D02140AB39}">
      <formula1>$H$2:$H$7</formula1>
    </dataValidation>
    <dataValidation type="list" allowBlank="1" showInputMessage="1" showErrorMessage="1" sqref="C8" xr:uid="{03B44F47-91D1-E34D-836B-F6FE7A6330CE}">
      <formula1>$I$2:$I$5</formula1>
    </dataValidation>
    <dataValidation type="list" allowBlank="1" showInputMessage="1" showErrorMessage="1" sqref="C9" xr:uid="{47BB022F-B6F9-AE4C-A3EC-82988E513102}">
      <formula1>$J$2:$J$8</formula1>
    </dataValidation>
    <dataValidation type="list" allowBlank="1" showInputMessage="1" showErrorMessage="1" sqref="C10" xr:uid="{F813A85B-FB72-D64B-BA30-6FB9C29338C2}">
      <formula1>$K$2:$K$7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DED6-BA59-FC4B-9A91-B35384280E6E}">
  <sheetPr>
    <tabColor theme="3"/>
  </sheetPr>
  <dimension ref="A1"/>
  <sheetViews>
    <sheetView showGridLines="0" workbookViewId="0">
      <selection activeCell="A2" sqref="A2"/>
    </sheetView>
  </sheetViews>
  <sheetFormatPr baseColWidth="10" defaultRowHeight="15" x14ac:dyDescent="0.2"/>
  <cols>
    <col min="1" max="1" width="2.33203125" customWidth="1"/>
  </cols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B626-626A-5E4A-9B1E-BBFE621F5AE6}">
  <dimension ref="A1:O62"/>
  <sheetViews>
    <sheetView showGridLines="0" zoomScale="150" zoomScaleNormal="117" workbookViewId="0">
      <selection activeCell="L8" sqref="L8"/>
    </sheetView>
  </sheetViews>
  <sheetFormatPr baseColWidth="10" defaultRowHeight="15" x14ac:dyDescent="0.2"/>
  <cols>
    <col min="1" max="1" width="2" customWidth="1"/>
    <col min="3" max="3" width="18.33203125" bestFit="1" customWidth="1"/>
    <col min="4" max="4" width="12" bestFit="1" customWidth="1"/>
    <col min="5" max="5" width="14.5" bestFit="1" customWidth="1"/>
    <col min="6" max="6" width="14" bestFit="1" customWidth="1"/>
    <col min="7" max="7" width="14" customWidth="1"/>
    <col min="8" max="8" width="14.6640625" bestFit="1" customWidth="1"/>
    <col min="10" max="10" width="23.1640625" bestFit="1" customWidth="1"/>
    <col min="15" max="15" width="12.83203125" customWidth="1"/>
  </cols>
  <sheetData>
    <row r="1" spans="1:15" x14ac:dyDescent="0.2">
      <c r="A1" t="s">
        <v>0</v>
      </c>
      <c r="D1" t="s">
        <v>192</v>
      </c>
    </row>
    <row r="2" spans="1:15" x14ac:dyDescent="0.2">
      <c r="B2" s="4" t="s">
        <v>1</v>
      </c>
      <c r="C2" s="4" t="s">
        <v>187</v>
      </c>
      <c r="D2" s="4" t="s">
        <v>5</v>
      </c>
      <c r="E2" s="4" t="s">
        <v>30</v>
      </c>
      <c r="F2" s="4" t="s">
        <v>31</v>
      </c>
      <c r="G2" s="4" t="s">
        <v>33</v>
      </c>
      <c r="H2" s="4" t="s">
        <v>34</v>
      </c>
    </row>
    <row r="3" spans="1:15" x14ac:dyDescent="0.2">
      <c r="B3" s="14">
        <f>'DE 40 Historical Data'!B5</f>
        <v>2002</v>
      </c>
      <c r="C3" s="66">
        <f>'DE 40 Historical Data'!C5</f>
        <v>2141.7800000000002</v>
      </c>
      <c r="D3" s="7">
        <f>((1+'DE 40 Perf Historical Data'!I4)/(1+'DE 40 Historical Data'!D5))-1</f>
        <v>1.7485143801897918E-2</v>
      </c>
      <c r="E3" s="66">
        <f>C3*D3</f>
        <v>37.449331292028923</v>
      </c>
      <c r="F3" s="66">
        <f>E3*'Dividend Payout Ratio 2025 - 26'!$O$16</f>
        <v>27.314104282756212</v>
      </c>
      <c r="G3" s="66">
        <f t="shared" ref="G3:G24" si="0">SUM(E3:F3)</f>
        <v>64.763435574785134</v>
      </c>
      <c r="H3" s="7">
        <f t="shared" ref="H3:H24" si="1">G3/C3</f>
        <v>3.0238136304748912E-2</v>
      </c>
      <c r="J3" s="17" t="s">
        <v>188</v>
      </c>
      <c r="K3" s="18" t="s">
        <v>50</v>
      </c>
      <c r="L3" s="11">
        <f>AVERAGE(H7:H26)</f>
        <v>5.2576296634417471E-2</v>
      </c>
      <c r="N3" s="59"/>
      <c r="O3" s="74"/>
    </row>
    <row r="4" spans="1:15" x14ac:dyDescent="0.2">
      <c r="B4" s="14">
        <f>'DE 40 Historical Data'!B6</f>
        <v>2003</v>
      </c>
      <c r="C4" s="66">
        <f>'DE 40 Historical Data'!C6</f>
        <v>2857.84</v>
      </c>
      <c r="D4" s="7">
        <f>((1+'DE 40 Perf Historical Data'!I5)/(1+'DE 40 Historical Data'!D6))-1</f>
        <v>2.7317718500912802E-2</v>
      </c>
      <c r="E4" s="66">
        <f t="shared" ref="E4:E26" si="2">C4*D4</f>
        <v>78.069668640648644</v>
      </c>
      <c r="F4" s="66">
        <f>E4*'Dividend Payout Ratio 2025 - 26'!$O$16</f>
        <v>56.941018624404137</v>
      </c>
      <c r="G4" s="66">
        <f t="shared" si="0"/>
        <v>135.01068726505278</v>
      </c>
      <c r="H4" s="7">
        <f t="shared" si="1"/>
        <v>4.7242213442688454E-2</v>
      </c>
      <c r="N4" s="50"/>
    </row>
    <row r="5" spans="1:15" x14ac:dyDescent="0.2">
      <c r="B5" s="14">
        <f>'DE 40 Historical Data'!B7</f>
        <v>2004</v>
      </c>
      <c r="C5" s="66">
        <f>'DE 40 Historical Data'!C7</f>
        <v>3004.65</v>
      </c>
      <c r="D5" s="7">
        <f>((1+'DE 40 Perf Historical Data'!I6)/(1+'DE 40 Historical Data'!D7))-1</f>
        <v>2.2292913190585573E-2</v>
      </c>
      <c r="E5" s="66">
        <f t="shared" si="2"/>
        <v>66.982401618092936</v>
      </c>
      <c r="F5" s="66">
        <f>E5*'Dividend Payout Ratio 2025 - 26'!$O$16</f>
        <v>48.854391781769174</v>
      </c>
      <c r="G5" s="66">
        <f t="shared" si="0"/>
        <v>115.8367933998621</v>
      </c>
      <c r="H5" s="7">
        <f t="shared" si="1"/>
        <v>3.8552508079098095E-2</v>
      </c>
      <c r="J5" s="17" t="str">
        <f>J3</f>
        <v>Average DE 40 Earning Yield</v>
      </c>
      <c r="K5" s="18" t="s">
        <v>46</v>
      </c>
      <c r="L5" s="11">
        <f>AVERAGE(H12:H26)</f>
        <v>5.1061159540899667E-2</v>
      </c>
      <c r="N5" s="50"/>
    </row>
    <row r="6" spans="1:15" x14ac:dyDescent="0.2">
      <c r="B6" s="14">
        <f>'DE 40 Historical Data'!B8</f>
        <v>2005</v>
      </c>
      <c r="C6" s="66">
        <f>'DE 40 Historical Data'!C8</f>
        <v>3719.79</v>
      </c>
      <c r="D6" s="7">
        <f>((1+'DE 40 Perf Historical Data'!I7)/(1+'DE 40 Historical Data'!D8))-1</f>
        <v>3.4577671341599725E-2</v>
      </c>
      <c r="E6" s="66">
        <f t="shared" si="2"/>
        <v>128.62167607976923</v>
      </c>
      <c r="F6" s="66">
        <f>E6*'Dividend Payout Ratio 2025 - 26'!$O$16</f>
        <v>93.81171177850878</v>
      </c>
      <c r="G6" s="66">
        <f t="shared" si="0"/>
        <v>222.43338785827802</v>
      </c>
      <c r="H6" s="7">
        <f t="shared" si="1"/>
        <v>5.9797297121148785E-2</v>
      </c>
      <c r="N6" s="50"/>
    </row>
    <row r="7" spans="1:15" x14ac:dyDescent="0.2">
      <c r="B7" s="14">
        <f>'DE 40 Historical Data'!B9</f>
        <v>2006</v>
      </c>
      <c r="C7" s="66">
        <f>'DE 40 Historical Data'!C9</f>
        <v>4429.01</v>
      </c>
      <c r="D7" s="7">
        <f>((1+'DE 40 Perf Historical Data'!I8)/(1+'DE 40 Historical Data'!D9))-1</f>
        <v>1.7307970290351804E-2</v>
      </c>
      <c r="E7" s="66">
        <f t="shared" si="2"/>
        <v>76.657173495671046</v>
      </c>
      <c r="F7" s="66">
        <f>E7*'Dividend Payout Ratio 2025 - 26'!$O$16</f>
        <v>55.910798901975689</v>
      </c>
      <c r="G7" s="66">
        <f t="shared" si="0"/>
        <v>132.56797239764674</v>
      </c>
      <c r="H7" s="7">
        <f t="shared" si="1"/>
        <v>2.993173923690548E-2</v>
      </c>
      <c r="J7" s="17" t="str">
        <f>J5</f>
        <v>Average DE 40 Earning Yield</v>
      </c>
      <c r="K7" s="18" t="s">
        <v>45</v>
      </c>
      <c r="L7" s="11">
        <f>AVERAGE(H15:H26)</f>
        <v>5.0445533103807207E-2</v>
      </c>
      <c r="N7" s="50"/>
    </row>
    <row r="8" spans="1:15" x14ac:dyDescent="0.2">
      <c r="B8" s="14">
        <f>'DE 40 Historical Data'!B10</f>
        <v>2007</v>
      </c>
      <c r="C8" s="66">
        <f>'DE 40 Historical Data'!C10</f>
        <v>5277.23</v>
      </c>
      <c r="D8" s="7">
        <f>((1+'DE 40 Perf Historical Data'!I9)/(1+'DE 40 Historical Data'!D10))-1</f>
        <v>2.4022637162561145E-2</v>
      </c>
      <c r="E8" s="66">
        <f t="shared" si="2"/>
        <v>126.77298151338253</v>
      </c>
      <c r="F8" s="66">
        <f>E8*'Dividend Payout Ratio 2025 - 26'!$O$16</f>
        <v>92.463344947082902</v>
      </c>
      <c r="G8" s="66">
        <f t="shared" si="0"/>
        <v>219.23632646046542</v>
      </c>
      <c r="H8" s="7">
        <f t="shared" si="1"/>
        <v>4.1543826299112498E-2</v>
      </c>
      <c r="N8" s="50"/>
    </row>
    <row r="9" spans="1:15" x14ac:dyDescent="0.2">
      <c r="B9" s="14">
        <f>'DE 40 Historical Data'!B11</f>
        <v>2008</v>
      </c>
      <c r="C9" s="66">
        <f>'DE 40 Historical Data'!C11</f>
        <v>3041.6</v>
      </c>
      <c r="D9" s="7">
        <f>((1+'DE 40 Perf Historical Data'!I10)/(1+'DE 40 Historical Data'!D11))-1</f>
        <v>3.4517336537419396E-2</v>
      </c>
      <c r="E9" s="66">
        <f t="shared" si="2"/>
        <v>104.98793081221483</v>
      </c>
      <c r="F9" s="66">
        <f>E9*'Dividend Payout Ratio 2025 - 26'!$O$16</f>
        <v>76.57416545768892</v>
      </c>
      <c r="G9" s="66">
        <f t="shared" si="0"/>
        <v>181.56209626990375</v>
      </c>
      <c r="H9" s="7">
        <f t="shared" si="1"/>
        <v>5.9692956427506494E-2</v>
      </c>
      <c r="J9" s="17" t="str">
        <f>J7</f>
        <v>Average DE 40 Earning Yield</v>
      </c>
      <c r="K9" s="18" t="s">
        <v>47</v>
      </c>
      <c r="L9" s="11">
        <f>AVERAGE(H18:H26)</f>
        <v>5.1061642457676422E-2</v>
      </c>
      <c r="N9" s="50"/>
    </row>
    <row r="10" spans="1:15" x14ac:dyDescent="0.2">
      <c r="B10" s="14">
        <f>'DE 40 Historical Data'!B12</f>
        <v>2009</v>
      </c>
      <c r="C10" s="66">
        <f>'DE 40 Historical Data'!C12</f>
        <v>3604.02</v>
      </c>
      <c r="D10" s="7">
        <f>((1+'DE 40 Perf Historical Data'!I11)/(1+'DE 40 Historical Data'!D12))-1</f>
        <v>5.4722563255364953E-2</v>
      </c>
      <c r="E10" s="66">
        <f t="shared" si="2"/>
        <v>197.22121242360041</v>
      </c>
      <c r="F10" s="66">
        <f>E10*'Dividend Payout Ratio 2025 - 26'!$O$16</f>
        <v>143.8455795352597</v>
      </c>
      <c r="G10" s="66">
        <f t="shared" si="0"/>
        <v>341.06679195886011</v>
      </c>
      <c r="H10" s="7">
        <f t="shared" si="1"/>
        <v>9.4635099682815332E-2</v>
      </c>
      <c r="N10" s="50"/>
    </row>
    <row r="11" spans="1:15" x14ac:dyDescent="0.2">
      <c r="B11" s="14">
        <f>'DE 40 Historical Data'!B13</f>
        <v>2010</v>
      </c>
      <c r="C11" s="66">
        <f>'DE 40 Historical Data'!C13</f>
        <v>4053.71</v>
      </c>
      <c r="D11" s="7">
        <f>((1+'DE 40 Perf Historical Data'!I12)/(1+'DE 40 Historical Data'!D13))-1</f>
        <v>3.4582078058711385E-2</v>
      </c>
      <c r="E11" s="66">
        <f t="shared" si="2"/>
        <v>140.18571564737894</v>
      </c>
      <c r="F11" s="66">
        <f>E11*'Dividend Payout Ratio 2025 - 26'!$O$16</f>
        <v>102.24607820862022</v>
      </c>
      <c r="G11" s="66">
        <f t="shared" si="0"/>
        <v>242.43179385599916</v>
      </c>
      <c r="H11" s="7">
        <f t="shared" si="1"/>
        <v>5.980491792851466E-2</v>
      </c>
      <c r="J11" s="17" t="str">
        <f>J9</f>
        <v>Average DE 40 Earning Yield</v>
      </c>
      <c r="K11" s="18" t="s">
        <v>48</v>
      </c>
      <c r="L11" s="11">
        <f>AVERAGE(H22:H26)</f>
        <v>4.8683400930218383E-2</v>
      </c>
      <c r="N11" s="50"/>
    </row>
    <row r="12" spans="1:15" x14ac:dyDescent="0.2">
      <c r="B12" s="14">
        <f>'DE 40 Historical Data'!B14</f>
        <v>2011</v>
      </c>
      <c r="C12" s="66">
        <f>'DE 40 Historical Data'!C14</f>
        <v>3346.06</v>
      </c>
      <c r="D12" s="7">
        <f>((1+'DE 40 Perf Historical Data'!I13)/(1+'DE 40 Historical Data'!D14))-1</f>
        <v>2.1486409765415271E-2</v>
      </c>
      <c r="E12" s="66">
        <f t="shared" si="2"/>
        <v>71.894816259665419</v>
      </c>
      <c r="F12" s="66">
        <f>E12*'Dividend Payout Ratio 2025 - 26'!$O$16</f>
        <v>52.437318396766138</v>
      </c>
      <c r="G12" s="66">
        <f t="shared" si="0"/>
        <v>124.33213465643155</v>
      </c>
      <c r="H12" s="7">
        <f t="shared" si="1"/>
        <v>3.7157772023344339E-2</v>
      </c>
      <c r="N12" s="50"/>
    </row>
    <row r="13" spans="1:15" x14ac:dyDescent="0.2">
      <c r="B13" s="14">
        <f>'DE 40 Historical Data'!B15</f>
        <v>2012</v>
      </c>
      <c r="C13" s="66">
        <f>'DE 40 Historical Data'!C15</f>
        <v>4161.3</v>
      </c>
      <c r="D13" s="7">
        <f>((1+'DE 40 Perf Historical Data'!I14)/(1+'DE 40 Historical Data'!D15))-1</f>
        <v>3.7755845753528749E-2</v>
      </c>
      <c r="E13" s="66">
        <f t="shared" si="2"/>
        <v>157.11340093415919</v>
      </c>
      <c r="F13" s="66">
        <f>E13*'Dividend Payout Ratio 2025 - 26'!$O$16</f>
        <v>114.59248187557188</v>
      </c>
      <c r="G13" s="66">
        <f t="shared" si="0"/>
        <v>271.70588280973107</v>
      </c>
      <c r="H13" s="7">
        <f t="shared" si="1"/>
        <v>6.5293509915106115E-2</v>
      </c>
      <c r="J13" s="17" t="str">
        <f>J11</f>
        <v>Average DE 40 Earning Yield</v>
      </c>
      <c r="K13" s="18" t="s">
        <v>49</v>
      </c>
      <c r="L13" s="11">
        <f>AVERAGE(H24:H26)</f>
        <v>4.4783828640340723E-2</v>
      </c>
      <c r="N13" s="50"/>
    </row>
    <row r="14" spans="1:15" x14ac:dyDescent="0.2">
      <c r="B14" s="14">
        <f>'DE 40 Historical Data'!B16</f>
        <v>2013</v>
      </c>
      <c r="C14" s="66">
        <f>'DE 40 Historical Data'!C16</f>
        <v>5051.8900000000003</v>
      </c>
      <c r="D14" s="7">
        <f>((1+'DE 40 Perf Historical Data'!I15)/(1+'DE 40 Historical Data'!D16))-1</f>
        <v>3.360761210737695E-2</v>
      </c>
      <c r="E14" s="66">
        <f t="shared" si="2"/>
        <v>169.78195952913654</v>
      </c>
      <c r="F14" s="66">
        <f>E14*'Dividend Payout Ratio 2025 - 26'!$O$16</f>
        <v>123.83244207344787</v>
      </c>
      <c r="G14" s="66">
        <f t="shared" si="0"/>
        <v>293.61440160258439</v>
      </c>
      <c r="H14" s="7">
        <f t="shared" si="1"/>
        <v>5.8119713929357997E-2</v>
      </c>
      <c r="N14" s="50"/>
    </row>
    <row r="15" spans="1:15" x14ac:dyDescent="0.2">
      <c r="B15" s="14">
        <f>'DE 40 Historical Data'!B17</f>
        <v>2014</v>
      </c>
      <c r="C15" s="66">
        <f>'DE 40 Historical Data'!C17</f>
        <v>5044.71</v>
      </c>
      <c r="D15" s="7">
        <f>((1+'DE 40 Perf Historical Data'!I16)/(1+'DE 40 Historical Data'!D17))-1</f>
        <v>4.0734139399873692E-2</v>
      </c>
      <c r="E15" s="66">
        <f t="shared" si="2"/>
        <v>205.49192037193683</v>
      </c>
      <c r="F15" s="66">
        <f>E15*'Dividend Payout Ratio 2025 - 26'!$O$16</f>
        <v>149.87791633805773</v>
      </c>
      <c r="G15" s="66">
        <f t="shared" si="0"/>
        <v>355.36983670999456</v>
      </c>
      <c r="H15" s="7">
        <f t="shared" si="1"/>
        <v>7.0444056587989107E-2</v>
      </c>
      <c r="N15" s="50"/>
    </row>
    <row r="16" spans="1:15" x14ac:dyDescent="0.2">
      <c r="B16" s="14">
        <f>'DE 40 Historical Data'!B18</f>
        <v>2015</v>
      </c>
      <c r="C16" s="66">
        <f>'DE 40 Historical Data'!C18</f>
        <v>5390.31</v>
      </c>
      <c r="D16" s="7">
        <f>((1+'DE 40 Perf Historical Data'!I17)/(1+'DE 40 Historical Data'!D18))-1</f>
        <v>2.3844915010952761E-2</v>
      </c>
      <c r="E16" s="66">
        <f t="shared" si="2"/>
        <v>128.53148383268879</v>
      </c>
      <c r="F16" s="66">
        <f>E16*'Dividend Payout Ratio 2025 - 26'!$O$16</f>
        <v>93.745929016647395</v>
      </c>
      <c r="G16" s="66">
        <f t="shared" si="0"/>
        <v>222.2774128493362</v>
      </c>
      <c r="H16" s="7">
        <f t="shared" si="1"/>
        <v>4.1236480434211797E-2</v>
      </c>
      <c r="N16" s="50"/>
    </row>
    <row r="17" spans="2:15" x14ac:dyDescent="0.2">
      <c r="B17" s="14">
        <f>'DE 40 Historical Data'!B19</f>
        <v>2016</v>
      </c>
      <c r="C17" s="66">
        <f>'DE 40 Historical Data'!C19</f>
        <v>5588.27</v>
      </c>
      <c r="D17" s="7">
        <f>((1+'DE 40 Perf Historical Data'!I18)/(1+'DE 40 Historical Data'!D19))-1</f>
        <v>1.9724664902694311E-2</v>
      </c>
      <c r="E17" s="66">
        <f t="shared" si="2"/>
        <v>110.22675313577955</v>
      </c>
      <c r="F17" s="66">
        <f>E17*'Dividend Payout Ratio 2025 - 26'!$O$16</f>
        <v>80.395161302683761</v>
      </c>
      <c r="G17" s="66">
        <f t="shared" si="0"/>
        <v>190.62191443846331</v>
      </c>
      <c r="H17" s="7">
        <f t="shared" si="1"/>
        <v>3.4111078104397834E-2</v>
      </c>
      <c r="N17" s="50"/>
    </row>
    <row r="18" spans="2:15" x14ac:dyDescent="0.2">
      <c r="B18" s="14">
        <f>'DE 40 Historical Data'!B20</f>
        <v>2017</v>
      </c>
      <c r="C18" s="66">
        <f>'DE 40 Historical Data'!C20</f>
        <v>6122.26</v>
      </c>
      <c r="D18" s="7">
        <f>((1+'DE 40 Perf Historical Data'!I19)/(1+'DE 40 Historical Data'!D20))-1</f>
        <v>3.1944427506789941E-2</v>
      </c>
      <c r="E18" s="66">
        <f t="shared" si="2"/>
        <v>195.57209074771978</v>
      </c>
      <c r="F18" s="66">
        <f>E18*'Dividend Payout Ratio 2025 - 26'!$O$16</f>
        <v>142.64277350706382</v>
      </c>
      <c r="G18" s="66">
        <f t="shared" si="0"/>
        <v>338.21486425478361</v>
      </c>
      <c r="H18" s="7">
        <f t="shared" si="1"/>
        <v>5.5243466343275781E-2</v>
      </c>
      <c r="N18" s="50"/>
    </row>
    <row r="19" spans="2:15" x14ac:dyDescent="0.2">
      <c r="B19" s="14">
        <f>'DE 40 Historical Data'!B21</f>
        <v>2018</v>
      </c>
      <c r="C19" s="66">
        <f>'DE 40 Historical Data'!C21</f>
        <v>4862.74</v>
      </c>
      <c r="D19" s="7">
        <f>((1+'DE 40 Perf Historical Data'!I20)/(1+'DE 40 Historical Data'!D21))-1</f>
        <v>2.4186812602219554E-2</v>
      </c>
      <c r="E19" s="66">
        <f t="shared" si="2"/>
        <v>117.6141811133171</v>
      </c>
      <c r="F19" s="66">
        <f>E19*'Dividend Payout Ratio 2025 - 26'!$O$16</f>
        <v>85.783267610546204</v>
      </c>
      <c r="G19" s="66">
        <f t="shared" si="0"/>
        <v>203.39744872386331</v>
      </c>
      <c r="H19" s="7">
        <f t="shared" si="1"/>
        <v>4.1827745000527133E-2</v>
      </c>
      <c r="N19" s="50"/>
    </row>
    <row r="20" spans="2:15" x14ac:dyDescent="0.2">
      <c r="B20" s="14">
        <f>'DE 40 Historical Data'!B22</f>
        <v>2019</v>
      </c>
      <c r="C20" s="66">
        <f>'DE 40 Historical Data'!C22</f>
        <v>5909.66</v>
      </c>
      <c r="D20" s="7">
        <f>((1+'DE 40 Perf Historical Data'!I21)/(1+'DE 40 Historical Data'!D22))-1</f>
        <v>3.2478073162118148E-2</v>
      </c>
      <c r="E20" s="66">
        <f t="shared" si="2"/>
        <v>191.93436984324313</v>
      </c>
      <c r="F20" s="66">
        <f>E20*'Dividend Payout Ratio 2025 - 26'!$O$16</f>
        <v>139.98955955881939</v>
      </c>
      <c r="G20" s="66">
        <f t="shared" si="0"/>
        <v>331.92392940206253</v>
      </c>
      <c r="H20" s="7">
        <f t="shared" si="1"/>
        <v>5.6166332648927779E-2</v>
      </c>
      <c r="N20" s="50"/>
    </row>
    <row r="21" spans="2:15" x14ac:dyDescent="0.2">
      <c r="B21" s="14">
        <f>'DE 40 Historical Data'!B23</f>
        <v>2020</v>
      </c>
      <c r="C21" s="66">
        <f>'DE 40 Historical Data'!C23</f>
        <v>5935.22</v>
      </c>
      <c r="D21" s="7">
        <f>((1+'DE 40 Perf Historical Data'!I22)/(1+'DE 40 Historical Data'!D23))-1</f>
        <v>3.6371938283618288E-2</v>
      </c>
      <c r="E21" s="66">
        <f t="shared" si="2"/>
        <v>215.87545553969696</v>
      </c>
      <c r="F21" s="66">
        <f>E21*'Dividend Payout Ratio 2025 - 26'!$O$16</f>
        <v>157.45126818736657</v>
      </c>
      <c r="G21" s="66">
        <f t="shared" si="0"/>
        <v>373.3267237270635</v>
      </c>
      <c r="H21" s="7">
        <f t="shared" si="1"/>
        <v>6.2900233475265188E-2</v>
      </c>
      <c r="N21" s="50"/>
    </row>
    <row r="22" spans="2:15" x14ac:dyDescent="0.2">
      <c r="B22" s="14">
        <f>'DE 40 Historical Data'!B24</f>
        <v>2021</v>
      </c>
      <c r="C22" s="66">
        <f>'DE 40 Historical Data'!C24</f>
        <v>6709.66</v>
      </c>
      <c r="D22" s="7">
        <f>((1+'DE 40 Perf Historical Data'!I23)/(1+'DE 40 Historical Data'!D24))-1</f>
        <v>2.3991770502551635E-2</v>
      </c>
      <c r="E22" s="66">
        <f t="shared" si="2"/>
        <v>160.97662287015061</v>
      </c>
      <c r="F22" s="66">
        <f>E22*'Dividend Payout Ratio 2025 - 26'!$O$16</f>
        <v>117.41016761752159</v>
      </c>
      <c r="G22" s="66">
        <f t="shared" si="0"/>
        <v>278.38679048767222</v>
      </c>
      <c r="H22" s="7">
        <f t="shared" si="1"/>
        <v>4.1490446682495422E-2</v>
      </c>
      <c r="N22" s="50"/>
    </row>
    <row r="23" spans="2:15" x14ac:dyDescent="0.2">
      <c r="B23" s="14">
        <f>'DE 40 Historical Data'!B25</f>
        <v>2022</v>
      </c>
      <c r="C23" s="66">
        <f>'DE 40 Historical Data'!C25</f>
        <v>5692.03</v>
      </c>
      <c r="D23" s="7">
        <f>((1+'DE 40 Perf Historical Data'!I24)/(1+'DE 40 Historical Data'!D25))-1</f>
        <v>3.9075154641388554E-2</v>
      </c>
      <c r="E23" s="66">
        <f t="shared" si="2"/>
        <v>222.4169524734229</v>
      </c>
      <c r="F23" s="66">
        <f>E23*'Dividend Payout Ratio 2025 - 26'!$O$16</f>
        <v>162.22238487353155</v>
      </c>
      <c r="G23" s="66">
        <f t="shared" si="0"/>
        <v>384.63933734695445</v>
      </c>
      <c r="H23" s="7">
        <f t="shared" si="1"/>
        <v>6.7575072047574319E-2</v>
      </c>
      <c r="N23" s="50"/>
    </row>
    <row r="24" spans="2:15" x14ac:dyDescent="0.2">
      <c r="B24" s="14">
        <f>'DE 40 Historical Data'!B26</f>
        <v>2023</v>
      </c>
      <c r="C24" s="66">
        <f>'DE 40 Historical Data'!C26</f>
        <v>6628.85</v>
      </c>
      <c r="D24" s="7">
        <f>((1+'DE 40 Perf Historical Data'!I25)/(1+'DE 40 Historical Data'!D26))-1</f>
        <v>2.2207669205596581E-2</v>
      </c>
      <c r="E24" s="66">
        <f t="shared" si="2"/>
        <v>147.2113080135189</v>
      </c>
      <c r="F24" s="66">
        <f>E24*'Dividend Payout Ratio 2025 - 26'!$O$16</f>
        <v>107.37027551512134</v>
      </c>
      <c r="G24" s="66">
        <f t="shared" si="0"/>
        <v>254.58158352864024</v>
      </c>
      <c r="H24" s="7">
        <f t="shared" si="1"/>
        <v>3.8405090404616218E-2</v>
      </c>
      <c r="N24" s="50"/>
    </row>
    <row r="25" spans="2:15" x14ac:dyDescent="0.2">
      <c r="B25" s="14">
        <v>2024</v>
      </c>
      <c r="C25" s="66">
        <f>'DE 40 Historical Data'!C27</f>
        <v>7648.55</v>
      </c>
      <c r="D25" s="7">
        <f>((1+'DE 40 Perf Historical Data'!I26)/(1+'DE 40 Historical Data'!D27))-1</f>
        <v>3.004038129019948E-2</v>
      </c>
      <c r="E25" s="66">
        <f t="shared" si="2"/>
        <v>229.76535831715523</v>
      </c>
      <c r="F25" s="66">
        <f>E25*'Dividend Payout Ratio 2025 - 26'!$O$16</f>
        <v>167.58202993534985</v>
      </c>
      <c r="G25" s="66">
        <f t="shared" ref="G25:G26" si="3">SUM(E25:F25)</f>
        <v>397.34738825250508</v>
      </c>
      <c r="H25" s="7">
        <f t="shared" ref="H25:H26" si="4">G25/C25</f>
        <v>5.195068192696721E-2</v>
      </c>
      <c r="N25" s="50"/>
    </row>
    <row r="26" spans="2:15" x14ac:dyDescent="0.2">
      <c r="B26" s="14">
        <v>2025</v>
      </c>
      <c r="C26" s="66">
        <f>'DE 40 Historical Data'!C28</f>
        <v>9175.1299999999992</v>
      </c>
      <c r="D26" s="7">
        <f>((1+'DE 40 Perf Historical Data'!I27)/(1+'DE 40 Historical Data'!D28))-1</f>
        <v>2.5440436243342024E-2</v>
      </c>
      <c r="E26" s="66">
        <f t="shared" si="2"/>
        <v>233.41930978937469</v>
      </c>
      <c r="F26" s="66">
        <f>E26*'Dividend Payout Ratio 2025 - 26'!$O$16</f>
        <v>170.24708183649224</v>
      </c>
      <c r="G26" s="66">
        <f t="shared" si="3"/>
        <v>403.66639162586694</v>
      </c>
      <c r="H26" s="7">
        <f t="shared" si="4"/>
        <v>4.3995713589438733E-2</v>
      </c>
      <c r="N26" s="50"/>
    </row>
    <row r="27" spans="2:15" x14ac:dyDescent="0.2">
      <c r="B27" s="80"/>
      <c r="C27" s="81"/>
      <c r="N27" s="50"/>
    </row>
    <row r="28" spans="2:15" x14ac:dyDescent="0.2">
      <c r="N28" s="50"/>
      <c r="O28" s="78"/>
    </row>
    <row r="29" spans="2:15" x14ac:dyDescent="0.2">
      <c r="N29" s="50"/>
      <c r="O29" s="79"/>
    </row>
    <row r="30" spans="2:15" x14ac:dyDescent="0.2">
      <c r="N30" s="50"/>
      <c r="O30" s="79"/>
    </row>
    <row r="36" spans="2:4" ht="18" x14ac:dyDescent="0.2">
      <c r="B36" s="67"/>
      <c r="C36" s="67"/>
      <c r="D36" s="67"/>
    </row>
    <row r="37" spans="2:4" ht="18" x14ac:dyDescent="0.2">
      <c r="B37" s="68"/>
      <c r="C37" s="69"/>
      <c r="D37" s="70"/>
    </row>
    <row r="38" spans="2:4" ht="18" x14ac:dyDescent="0.2">
      <c r="B38" s="68"/>
      <c r="C38" s="69"/>
      <c r="D38" s="70"/>
    </row>
    <row r="39" spans="2:4" ht="18" x14ac:dyDescent="0.2">
      <c r="B39" s="68"/>
      <c r="C39" s="69"/>
      <c r="D39" s="70"/>
    </row>
    <row r="40" spans="2:4" ht="18" x14ac:dyDescent="0.2">
      <c r="B40" s="68"/>
      <c r="C40" s="69"/>
      <c r="D40" s="70"/>
    </row>
    <row r="41" spans="2:4" ht="18" x14ac:dyDescent="0.2">
      <c r="B41" s="68"/>
      <c r="C41" s="69"/>
      <c r="D41" s="70"/>
    </row>
    <row r="42" spans="2:4" ht="18" x14ac:dyDescent="0.2">
      <c r="B42" s="68"/>
      <c r="C42" s="69"/>
      <c r="D42" s="70"/>
    </row>
    <row r="43" spans="2:4" ht="18" x14ac:dyDescent="0.2">
      <c r="B43" s="68"/>
      <c r="C43" s="69"/>
      <c r="D43" s="70"/>
    </row>
    <row r="44" spans="2:4" ht="18" x14ac:dyDescent="0.2">
      <c r="B44" s="68"/>
      <c r="C44" s="69"/>
      <c r="D44" s="70"/>
    </row>
    <row r="45" spans="2:4" ht="18" x14ac:dyDescent="0.2">
      <c r="B45" s="68"/>
      <c r="C45" s="69"/>
      <c r="D45" s="70"/>
    </row>
    <row r="46" spans="2:4" ht="18" x14ac:dyDescent="0.2">
      <c r="B46" s="68"/>
      <c r="C46" s="69"/>
      <c r="D46" s="70"/>
    </row>
    <row r="47" spans="2:4" ht="18" x14ac:dyDescent="0.2">
      <c r="B47" s="68"/>
      <c r="C47" s="69"/>
      <c r="D47" s="70"/>
    </row>
    <row r="48" spans="2:4" ht="18" x14ac:dyDescent="0.2">
      <c r="B48" s="68"/>
      <c r="C48" s="69"/>
      <c r="D48" s="70"/>
    </row>
    <row r="49" spans="2:4" ht="18" x14ac:dyDescent="0.2">
      <c r="B49" s="68"/>
      <c r="C49" s="69"/>
      <c r="D49" s="70"/>
    </row>
    <row r="50" spans="2:4" ht="18" x14ac:dyDescent="0.2">
      <c r="B50" s="68"/>
      <c r="C50" s="69"/>
      <c r="D50" s="70"/>
    </row>
    <row r="51" spans="2:4" ht="18" x14ac:dyDescent="0.2">
      <c r="B51" s="68"/>
      <c r="C51" s="69"/>
      <c r="D51" s="70"/>
    </row>
    <row r="52" spans="2:4" ht="18" x14ac:dyDescent="0.2">
      <c r="B52" s="68"/>
      <c r="C52" s="69"/>
      <c r="D52" s="70"/>
    </row>
    <row r="53" spans="2:4" ht="18" x14ac:dyDescent="0.2">
      <c r="B53" s="68"/>
      <c r="C53" s="69"/>
      <c r="D53" s="70"/>
    </row>
    <row r="54" spans="2:4" ht="18" x14ac:dyDescent="0.2">
      <c r="B54" s="68"/>
      <c r="C54" s="69"/>
      <c r="D54" s="70"/>
    </row>
    <row r="55" spans="2:4" ht="18" x14ac:dyDescent="0.2">
      <c r="B55" s="68"/>
      <c r="C55" s="69"/>
      <c r="D55" s="70"/>
    </row>
    <row r="56" spans="2:4" ht="18" x14ac:dyDescent="0.2">
      <c r="B56" s="68"/>
      <c r="C56" s="69"/>
      <c r="D56" s="70"/>
    </row>
    <row r="57" spans="2:4" ht="18" x14ac:dyDescent="0.2">
      <c r="B57" s="68"/>
      <c r="C57" s="69"/>
      <c r="D57" s="70"/>
    </row>
    <row r="58" spans="2:4" ht="18" x14ac:dyDescent="0.2">
      <c r="B58" s="68"/>
      <c r="C58" s="69"/>
      <c r="D58" s="70"/>
    </row>
    <row r="59" spans="2:4" ht="18" x14ac:dyDescent="0.2">
      <c r="B59" s="68"/>
      <c r="C59" s="69"/>
      <c r="D59" s="70"/>
    </row>
    <row r="60" spans="2:4" ht="18" x14ac:dyDescent="0.2">
      <c r="B60" s="68"/>
      <c r="C60" s="69"/>
      <c r="D60" s="70"/>
    </row>
    <row r="61" spans="2:4" ht="18" x14ac:dyDescent="0.2">
      <c r="B61" s="68"/>
      <c r="C61" s="69"/>
      <c r="D61" s="70"/>
    </row>
    <row r="62" spans="2:4" ht="18" x14ac:dyDescent="0.2">
      <c r="B62" s="68"/>
      <c r="C62" s="69"/>
      <c r="D62" s="7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9C0C-A180-D74B-B53B-41EB86A86452}">
  <dimension ref="A1:Y382"/>
  <sheetViews>
    <sheetView showGridLines="0" zoomScale="197" zoomScaleNormal="197" workbookViewId="0">
      <selection activeCell="L20" sqref="L20"/>
    </sheetView>
  </sheetViews>
  <sheetFormatPr baseColWidth="10" defaultRowHeight="15" x14ac:dyDescent="0.2"/>
  <cols>
    <col min="1" max="1" width="2" bestFit="1" customWidth="1"/>
    <col min="2" max="2" width="5.1640625" bestFit="1" customWidth="1"/>
    <col min="3" max="3" width="17.33203125" bestFit="1" customWidth="1"/>
    <col min="4" max="4" width="9.1640625" customWidth="1"/>
    <col min="5" max="7" width="11.5" bestFit="1" customWidth="1"/>
    <col min="8" max="8" width="11.5" customWidth="1"/>
    <col min="9" max="9" width="12.5" bestFit="1" customWidth="1"/>
    <col min="10" max="10" width="9.1640625" customWidth="1"/>
    <col min="11" max="11" width="14.5" bestFit="1" customWidth="1"/>
    <col min="12" max="15" width="9.1640625" customWidth="1"/>
    <col min="16" max="16" width="12.33203125" customWidth="1"/>
    <col min="17" max="18" width="9.1640625" customWidth="1"/>
    <col min="19" max="19" width="16.33203125" bestFit="1" customWidth="1"/>
    <col min="20" max="22" width="9.1640625" bestFit="1" customWidth="1"/>
    <col min="23" max="23" width="10.33203125" bestFit="1" customWidth="1"/>
    <col min="24" max="24" width="10.5" bestFit="1" customWidth="1"/>
    <col min="25" max="25" width="14.33203125" bestFit="1" customWidth="1"/>
  </cols>
  <sheetData>
    <row r="1" spans="1:25" x14ac:dyDescent="0.2">
      <c r="A1" t="s">
        <v>0</v>
      </c>
    </row>
    <row r="3" spans="1:25" x14ac:dyDescent="0.2">
      <c r="A3" t="s">
        <v>0</v>
      </c>
      <c r="B3" s="4" t="s">
        <v>1</v>
      </c>
      <c r="C3" s="4" t="s">
        <v>181</v>
      </c>
      <c r="D3" s="4" t="s">
        <v>4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K3" s="17" t="s">
        <v>29</v>
      </c>
      <c r="L3" s="18" t="s">
        <v>45</v>
      </c>
      <c r="M3" s="11">
        <f>AVERAGE(I14:I30)</f>
        <v>5.3306061111281659E-2</v>
      </c>
      <c r="S3" s="87" t="s">
        <v>184</v>
      </c>
      <c r="T3" s="87"/>
      <c r="U3" s="59"/>
      <c r="V3" s="59"/>
      <c r="W3" s="59"/>
      <c r="X3" s="59"/>
      <c r="Y3" s="59"/>
    </row>
    <row r="4" spans="1:25" x14ac:dyDescent="0.2">
      <c r="B4" s="14">
        <f>'DE 40 Historical Data'!B3</f>
        <v>2000</v>
      </c>
      <c r="C4" s="61">
        <f>'DE 40 Historical Data'!C3</f>
        <v>4934.8500000000004</v>
      </c>
      <c r="D4" s="76">
        <f>T5</f>
        <v>17.966899999999999</v>
      </c>
      <c r="E4" s="61">
        <f t="shared" ref="E4:E30" si="0">C4/D4</f>
        <v>274.66340882400419</v>
      </c>
      <c r="F4" s="19" t="s">
        <v>28</v>
      </c>
      <c r="G4" s="19" t="s">
        <v>28</v>
      </c>
      <c r="H4" s="19" t="s">
        <v>28</v>
      </c>
      <c r="I4" s="19" t="s">
        <v>28</v>
      </c>
      <c r="P4" s="4" t="s">
        <v>6</v>
      </c>
      <c r="Q4" s="4" t="s">
        <v>183</v>
      </c>
      <c r="S4" s="4" t="s">
        <v>1</v>
      </c>
      <c r="T4" s="51" t="s">
        <v>182</v>
      </c>
      <c r="U4" s="58"/>
      <c r="V4" s="59"/>
      <c r="W4" s="59"/>
    </row>
    <row r="5" spans="1:25" x14ac:dyDescent="0.2">
      <c r="B5" s="14">
        <f>'DE 40 Historical Data'!B4</f>
        <v>2001</v>
      </c>
      <c r="C5" s="61">
        <f>'DE 40 Historical Data'!C4</f>
        <v>3887.48</v>
      </c>
      <c r="D5" s="76">
        <f t="shared" ref="D5:D29" si="1">T6</f>
        <v>45.082349999999998</v>
      </c>
      <c r="E5" s="61">
        <f t="shared" si="0"/>
        <v>86.230642368909344</v>
      </c>
      <c r="F5" s="19" t="s">
        <v>28</v>
      </c>
      <c r="G5" s="19" t="s">
        <v>28</v>
      </c>
      <c r="H5" s="19" t="s">
        <v>28</v>
      </c>
      <c r="I5" s="19" t="s">
        <v>28</v>
      </c>
      <c r="K5" s="17" t="s">
        <v>29</v>
      </c>
      <c r="L5" s="18" t="s">
        <v>47</v>
      </c>
      <c r="M5" s="11">
        <f>AVERAGE(H11:H30)</f>
        <v>5.9459098850493039E-2</v>
      </c>
      <c r="P5" s="60">
        <v>34700</v>
      </c>
      <c r="Q5" s="1">
        <v>25.416899999999998</v>
      </c>
      <c r="S5" s="37">
        <v>2001</v>
      </c>
      <c r="T5" s="76">
        <f t="shared" ref="T5:T30" si="2">AVERAGEIFS($Q$5:$Q$382,$P$5:$P$382,"&gt;="&amp;DATE(S5,1,1),$P$5:$P$382,"&lt;="&amp;DATE(S5,12,31))</f>
        <v>17.966899999999999</v>
      </c>
      <c r="U5" s="58"/>
    </row>
    <row r="6" spans="1:25" x14ac:dyDescent="0.2">
      <c r="B6" s="14">
        <f>'DE 40 Historical Data'!B5</f>
        <v>2002</v>
      </c>
      <c r="C6" s="61">
        <f>'DE 40 Historical Data'!C5</f>
        <v>2141.7800000000002</v>
      </c>
      <c r="D6" s="76">
        <f t="shared" si="1"/>
        <v>58.053199999999997</v>
      </c>
      <c r="E6" s="61">
        <f t="shared" si="0"/>
        <v>36.893401225083203</v>
      </c>
      <c r="F6" s="7"/>
      <c r="G6" s="19" t="s">
        <v>28</v>
      </c>
      <c r="H6" s="19" t="s">
        <v>28</v>
      </c>
      <c r="I6" s="19" t="s">
        <v>28</v>
      </c>
      <c r="P6" s="60">
        <v>34881</v>
      </c>
      <c r="Q6" s="1">
        <v>28.001300000000001</v>
      </c>
      <c r="S6" s="37">
        <f t="shared" ref="S6:S30" si="3">S5+1</f>
        <v>2002</v>
      </c>
      <c r="T6" s="76">
        <f t="shared" si="2"/>
        <v>45.082349999999998</v>
      </c>
      <c r="U6" s="58"/>
    </row>
    <row r="7" spans="1:25" x14ac:dyDescent="0.2">
      <c r="B7" s="14">
        <f>'DE 40 Historical Data'!B6</f>
        <v>2003</v>
      </c>
      <c r="C7" s="61">
        <f>'DE 40 Historical Data'!C6</f>
        <v>2857.84</v>
      </c>
      <c r="D7" s="76">
        <f t="shared" si="1"/>
        <v>22.7272</v>
      </c>
      <c r="E7" s="61">
        <f t="shared" si="0"/>
        <v>125.74536238515964</v>
      </c>
      <c r="F7" s="7">
        <f t="shared" ref="F7:F30" si="4">_xlfn.RRI(3,E4,E7)</f>
        <v>-0.22927924036098246</v>
      </c>
      <c r="G7" s="19" t="s">
        <v>28</v>
      </c>
      <c r="H7" s="19" t="s">
        <v>28</v>
      </c>
      <c r="I7" s="19" t="s">
        <v>28</v>
      </c>
      <c r="K7" s="17" t="s">
        <v>29</v>
      </c>
      <c r="L7" s="18" t="s">
        <v>48</v>
      </c>
      <c r="M7" s="11">
        <f>AVERAGE(G9:G30)</f>
        <v>7.5213377214509561E-2</v>
      </c>
      <c r="P7" s="60">
        <v>35065</v>
      </c>
      <c r="Q7" s="1">
        <v>27.363499999999998</v>
      </c>
      <c r="S7" s="37">
        <f t="shared" si="3"/>
        <v>2003</v>
      </c>
      <c r="T7" s="76">
        <f t="shared" si="2"/>
        <v>58.053199999999997</v>
      </c>
      <c r="U7" s="58"/>
    </row>
    <row r="8" spans="1:25" x14ac:dyDescent="0.2">
      <c r="B8" s="14">
        <f>'DE 40 Historical Data'!B7</f>
        <v>2004</v>
      </c>
      <c r="C8" s="61">
        <f>'DE 40 Historical Data'!C7</f>
        <v>3004.65</v>
      </c>
      <c r="D8" s="76">
        <f t="shared" si="1"/>
        <v>14.096450000000001</v>
      </c>
      <c r="E8" s="61">
        <f t="shared" si="0"/>
        <v>213.14940995782626</v>
      </c>
      <c r="F8" s="7">
        <f t="shared" si="4"/>
        <v>0.35209592677724699</v>
      </c>
      <c r="G8" s="7"/>
      <c r="H8" s="19" t="s">
        <v>28</v>
      </c>
      <c r="I8" s="19" t="s">
        <v>28</v>
      </c>
      <c r="P8" s="60">
        <v>35247</v>
      </c>
      <c r="Q8" s="1">
        <v>25.970199999999998</v>
      </c>
      <c r="S8" s="37">
        <f t="shared" si="3"/>
        <v>2004</v>
      </c>
      <c r="T8" s="76">
        <f t="shared" si="2"/>
        <v>22.7272</v>
      </c>
      <c r="U8" s="58"/>
    </row>
    <row r="9" spans="1:25" x14ac:dyDescent="0.2">
      <c r="B9" s="14">
        <f>'DE 40 Historical Data'!B8</f>
        <v>2005</v>
      </c>
      <c r="C9" s="61">
        <f>'DE 40 Historical Data'!C8</f>
        <v>3719.79</v>
      </c>
      <c r="D9" s="76">
        <f t="shared" si="1"/>
        <v>12.43145</v>
      </c>
      <c r="E9" s="61">
        <f t="shared" si="0"/>
        <v>299.22414521234452</v>
      </c>
      <c r="F9" s="7">
        <f t="shared" si="4"/>
        <v>1.009166739265885</v>
      </c>
      <c r="G9" s="7">
        <f t="shared" ref="G9:G30" si="5">_xlfn.RRI(5,E4,E9)</f>
        <v>1.7276860330563304E-2</v>
      </c>
      <c r="H9" s="19" t="s">
        <v>28</v>
      </c>
      <c r="I9" s="19" t="s">
        <v>28</v>
      </c>
      <c r="K9" s="17" t="s">
        <v>29</v>
      </c>
      <c r="L9" s="18" t="s">
        <v>49</v>
      </c>
      <c r="M9" s="11">
        <f>AVERAGE(F7:F30)</f>
        <v>9.8959982614711617E-2</v>
      </c>
      <c r="P9" s="60">
        <v>35431</v>
      </c>
      <c r="Q9" s="1">
        <v>23.154399999999999</v>
      </c>
      <c r="S9" s="37">
        <f t="shared" si="3"/>
        <v>2005</v>
      </c>
      <c r="T9" s="76">
        <f t="shared" si="2"/>
        <v>14.096450000000001</v>
      </c>
      <c r="U9" s="58"/>
    </row>
    <row r="10" spans="1:25" x14ac:dyDescent="0.2">
      <c r="B10" s="14">
        <f>'DE 40 Historical Data'!B9</f>
        <v>2006</v>
      </c>
      <c r="C10" s="61">
        <f>'DE 40 Historical Data'!C9</f>
        <v>4429.01</v>
      </c>
      <c r="D10" s="76">
        <f t="shared" si="1"/>
        <v>13.1599</v>
      </c>
      <c r="E10" s="61">
        <f t="shared" si="0"/>
        <v>336.55346925128612</v>
      </c>
      <c r="F10" s="7">
        <f t="shared" si="4"/>
        <v>0.3884194798547751</v>
      </c>
      <c r="G10" s="7">
        <f t="shared" si="5"/>
        <v>0.31304161321650192</v>
      </c>
      <c r="H10" s="7"/>
      <c r="I10" s="19" t="s">
        <v>28</v>
      </c>
      <c r="P10" s="60">
        <v>35612</v>
      </c>
      <c r="Q10" s="1">
        <v>27.176400000000001</v>
      </c>
      <c r="S10" s="37">
        <f t="shared" si="3"/>
        <v>2006</v>
      </c>
      <c r="T10" s="76">
        <f t="shared" si="2"/>
        <v>12.43145</v>
      </c>
      <c r="U10" s="58"/>
    </row>
    <row r="11" spans="1:25" x14ac:dyDescent="0.2">
      <c r="B11" s="14">
        <f>'DE 40 Historical Data'!B10</f>
        <v>2007</v>
      </c>
      <c r="C11" s="61">
        <f>'DE 40 Historical Data'!C10</f>
        <v>5277.23</v>
      </c>
      <c r="D11" s="76">
        <f t="shared" si="1"/>
        <v>10.3386</v>
      </c>
      <c r="E11" s="61">
        <f t="shared" si="0"/>
        <v>510.43951792312305</v>
      </c>
      <c r="F11" s="7">
        <f t="shared" si="4"/>
        <v>0.33788890347365896</v>
      </c>
      <c r="G11" s="7">
        <f t="shared" si="5"/>
        <v>0.69121615688736404</v>
      </c>
      <c r="H11" s="7">
        <f t="shared" ref="H11:H30" si="6">_xlfn.RRI(7,E4,E11)</f>
        <v>9.2569491206990984E-2</v>
      </c>
      <c r="I11" s="19" t="s">
        <v>28</v>
      </c>
      <c r="P11" s="60">
        <v>35796</v>
      </c>
      <c r="Q11" s="1">
        <v>37.4589</v>
      </c>
      <c r="S11" s="37">
        <f t="shared" si="3"/>
        <v>2007</v>
      </c>
      <c r="T11" s="76">
        <f t="shared" si="2"/>
        <v>13.1599</v>
      </c>
      <c r="U11" s="58"/>
    </row>
    <row r="12" spans="1:25" x14ac:dyDescent="0.2">
      <c r="B12" s="14">
        <f>'DE 40 Historical Data'!B11</f>
        <v>2008</v>
      </c>
      <c r="C12" s="61">
        <f>'DE 40 Historical Data'!C11</f>
        <v>3041.6</v>
      </c>
      <c r="D12" s="76">
        <f t="shared" si="1"/>
        <v>26.569849999999999</v>
      </c>
      <c r="E12" s="61">
        <f t="shared" si="0"/>
        <v>114.4756180407492</v>
      </c>
      <c r="F12" s="7">
        <f t="shared" si="4"/>
        <v>-0.27405209883527548</v>
      </c>
      <c r="G12" s="7">
        <f t="shared" si="5"/>
        <v>-1.86041796920553E-2</v>
      </c>
      <c r="H12" s="7">
        <f t="shared" si="6"/>
        <v>4.1306952210269143E-2</v>
      </c>
      <c r="I12" s="19" t="s">
        <v>28</v>
      </c>
      <c r="P12" s="60">
        <v>35977</v>
      </c>
      <c r="Q12" s="1">
        <v>19.508400000000002</v>
      </c>
      <c r="S12" s="37">
        <f t="shared" si="3"/>
        <v>2008</v>
      </c>
      <c r="T12" s="76">
        <f t="shared" si="2"/>
        <v>10.3386</v>
      </c>
      <c r="U12" s="58"/>
    </row>
    <row r="13" spans="1:25" x14ac:dyDescent="0.2">
      <c r="B13" s="14">
        <f>'DE 40 Historical Data'!B12</f>
        <v>2009</v>
      </c>
      <c r="C13" s="61">
        <f>'DE 40 Historical Data'!C12</f>
        <v>3604.02</v>
      </c>
      <c r="D13" s="76">
        <f t="shared" si="1"/>
        <v>14.333</v>
      </c>
      <c r="E13" s="61">
        <f t="shared" si="0"/>
        <v>251.44910346752249</v>
      </c>
      <c r="F13" s="7">
        <f t="shared" si="4"/>
        <v>-9.2600212411553029E-2</v>
      </c>
      <c r="G13" s="7">
        <f t="shared" si="5"/>
        <v>3.3601643823148564E-2</v>
      </c>
      <c r="H13" s="7">
        <f t="shared" si="6"/>
        <v>0.31544176978068728</v>
      </c>
      <c r="I13" s="7"/>
      <c r="P13" s="60">
        <v>36161</v>
      </c>
      <c r="Q13" s="1">
        <v>26.110700000000001</v>
      </c>
      <c r="S13" s="37">
        <f t="shared" si="3"/>
        <v>2009</v>
      </c>
      <c r="T13" s="76">
        <f t="shared" si="2"/>
        <v>26.569849999999999</v>
      </c>
      <c r="U13" s="58"/>
    </row>
    <row r="14" spans="1:25" x14ac:dyDescent="0.2">
      <c r="B14" s="14">
        <f>'DE 40 Historical Data'!B13</f>
        <v>2010</v>
      </c>
      <c r="C14" s="61">
        <f>'DE 40 Historical Data'!C13</f>
        <v>4053.71</v>
      </c>
      <c r="D14" s="76">
        <f t="shared" si="1"/>
        <v>10.849699999999999</v>
      </c>
      <c r="E14" s="61">
        <f t="shared" si="0"/>
        <v>373.62415550660393</v>
      </c>
      <c r="F14" s="7">
        <f t="shared" si="4"/>
        <v>-9.8781249686388684E-2</v>
      </c>
      <c r="G14" s="7">
        <f t="shared" si="5"/>
        <v>4.5412436521326649E-2</v>
      </c>
      <c r="H14" s="7">
        <f t="shared" si="6"/>
        <v>0.16832395481606821</v>
      </c>
      <c r="I14" s="7">
        <f t="shared" ref="I14:I30" si="7">_xlfn.RRI(10,E4,E14)</f>
        <v>3.1248699962787674E-2</v>
      </c>
      <c r="P14" s="60">
        <v>36342</v>
      </c>
      <c r="Q14" s="1">
        <v>18.612500000000001</v>
      </c>
      <c r="S14" s="37">
        <f t="shared" si="3"/>
        <v>2010</v>
      </c>
      <c r="T14" s="76">
        <f t="shared" si="2"/>
        <v>14.333</v>
      </c>
      <c r="U14" s="58"/>
    </row>
    <row r="15" spans="1:25" x14ac:dyDescent="0.2">
      <c r="B15" s="14">
        <f>'DE 40 Historical Data'!B14</f>
        <v>2011</v>
      </c>
      <c r="C15" s="61">
        <f>'DE 40 Historical Data'!C14</f>
        <v>3346.06</v>
      </c>
      <c r="D15" s="76">
        <f t="shared" si="1"/>
        <v>10.530049999999999</v>
      </c>
      <c r="E15" s="61">
        <f t="shared" si="0"/>
        <v>317.76297358512068</v>
      </c>
      <c r="F15" s="7">
        <f t="shared" si="4"/>
        <v>0.40538969470859731</v>
      </c>
      <c r="G15" s="7">
        <f t="shared" si="5"/>
        <v>-1.1424498265008132E-2</v>
      </c>
      <c r="H15" s="7">
        <f t="shared" si="6"/>
        <v>5.8703052266156242E-2</v>
      </c>
      <c r="I15" s="7">
        <f t="shared" si="7"/>
        <v>0.13931592264148862</v>
      </c>
      <c r="P15" s="60">
        <v>36526</v>
      </c>
      <c r="Q15" s="1">
        <v>29.339300000000001</v>
      </c>
      <c r="S15" s="37">
        <f t="shared" si="3"/>
        <v>2011</v>
      </c>
      <c r="T15" s="76">
        <f t="shared" si="2"/>
        <v>10.849699999999999</v>
      </c>
      <c r="U15" s="58"/>
    </row>
    <row r="16" spans="1:25" x14ac:dyDescent="0.2">
      <c r="B16" s="14">
        <f>'DE 40 Historical Data'!B15</f>
        <v>2012</v>
      </c>
      <c r="C16" s="61">
        <f>'DE 40 Historical Data'!C15</f>
        <v>4161.3</v>
      </c>
      <c r="D16" s="76">
        <f t="shared" si="1"/>
        <v>13.167149999999999</v>
      </c>
      <c r="E16" s="61">
        <f t="shared" si="0"/>
        <v>316.03649992595211</v>
      </c>
      <c r="F16" s="7">
        <f t="shared" si="4"/>
        <v>7.9184545288863983E-2</v>
      </c>
      <c r="G16" s="7">
        <f t="shared" si="5"/>
        <v>-9.1429585921338097E-2</v>
      </c>
      <c r="H16" s="7">
        <f t="shared" si="6"/>
        <v>7.8398247348505645E-3</v>
      </c>
      <c r="I16" s="7">
        <f t="shared" si="7"/>
        <v>0.23959225713928833</v>
      </c>
      <c r="P16" s="60">
        <v>36708</v>
      </c>
      <c r="Q16" s="1">
        <v>26.0185</v>
      </c>
      <c r="S16" s="37">
        <f t="shared" si="3"/>
        <v>2012</v>
      </c>
      <c r="T16" s="76">
        <f t="shared" si="2"/>
        <v>10.530049999999999</v>
      </c>
      <c r="U16" s="58"/>
    </row>
    <row r="17" spans="2:21" x14ac:dyDescent="0.2">
      <c r="B17" s="14">
        <f>'DE 40 Historical Data'!B16</f>
        <v>2013</v>
      </c>
      <c r="C17" s="61">
        <f>'DE 40 Historical Data'!C16</f>
        <v>5051.8900000000003</v>
      </c>
      <c r="D17" s="76">
        <f t="shared" si="1"/>
        <v>14.76745</v>
      </c>
      <c r="E17" s="61">
        <f t="shared" si="0"/>
        <v>342.09629963196085</v>
      </c>
      <c r="F17" s="7">
        <f t="shared" si="4"/>
        <v>-2.8958457453020281E-2</v>
      </c>
      <c r="G17" s="7">
        <f t="shared" si="5"/>
        <v>0.24476416163971249</v>
      </c>
      <c r="H17" s="7">
        <f t="shared" si="6"/>
        <v>2.3363307795205568E-3</v>
      </c>
      <c r="I17" s="7">
        <f t="shared" si="7"/>
        <v>0.10526302096032181</v>
      </c>
      <c r="P17" s="60">
        <v>36892</v>
      </c>
      <c r="Q17" s="1">
        <v>17.1739</v>
      </c>
      <c r="S17" s="37">
        <f t="shared" si="3"/>
        <v>2013</v>
      </c>
      <c r="T17" s="76">
        <f t="shared" si="2"/>
        <v>13.167149999999999</v>
      </c>
      <c r="U17" s="58"/>
    </row>
    <row r="18" spans="2:21" x14ac:dyDescent="0.2">
      <c r="B18" s="14">
        <f>'DE 40 Historical Data'!B17</f>
        <v>2014</v>
      </c>
      <c r="C18" s="61">
        <f>'DE 40 Historical Data'!C17</f>
        <v>5044.71</v>
      </c>
      <c r="D18" s="76">
        <f t="shared" si="1"/>
        <v>15.414249999999999</v>
      </c>
      <c r="E18" s="61">
        <f t="shared" si="0"/>
        <v>327.27573511523428</v>
      </c>
      <c r="F18" s="7">
        <f t="shared" si="4"/>
        <v>9.8809316892498611E-3</v>
      </c>
      <c r="G18" s="7">
        <f t="shared" si="5"/>
        <v>5.4126528589629741E-2</v>
      </c>
      <c r="H18" s="7">
        <f t="shared" si="6"/>
        <v>-6.1521739632643402E-2</v>
      </c>
      <c r="I18" s="7">
        <f t="shared" si="7"/>
        <v>4.3813638897207907E-2</v>
      </c>
      <c r="P18" s="60">
        <v>37073</v>
      </c>
      <c r="Q18" s="1">
        <v>18.759899999999998</v>
      </c>
      <c r="S18" s="37">
        <f t="shared" si="3"/>
        <v>2014</v>
      </c>
      <c r="T18" s="76">
        <f t="shared" si="2"/>
        <v>14.76745</v>
      </c>
      <c r="U18" s="58"/>
    </row>
    <row r="19" spans="2:21" x14ac:dyDescent="0.2">
      <c r="B19" s="14">
        <f>'DE 40 Historical Data'!B18</f>
        <v>2015</v>
      </c>
      <c r="C19" s="61">
        <f>'DE 40 Historical Data'!C18</f>
        <v>5390.31</v>
      </c>
      <c r="D19" s="76">
        <f t="shared" si="1"/>
        <v>14.407500000000001</v>
      </c>
      <c r="E19" s="61">
        <f t="shared" si="0"/>
        <v>374.13222280062467</v>
      </c>
      <c r="F19" s="7">
        <f t="shared" si="4"/>
        <v>5.7862665883908093E-2</v>
      </c>
      <c r="G19" s="7">
        <f t="shared" si="5"/>
        <v>2.7181923688601728E-4</v>
      </c>
      <c r="H19" s="7">
        <f t="shared" si="6"/>
        <v>0.18433117036983093</v>
      </c>
      <c r="I19" s="7">
        <f t="shared" si="7"/>
        <v>2.2593076317287242E-2</v>
      </c>
      <c r="P19" s="60">
        <v>37257</v>
      </c>
      <c r="Q19" s="1">
        <v>34.737099999999998</v>
      </c>
      <c r="S19" s="37">
        <f t="shared" si="3"/>
        <v>2015</v>
      </c>
      <c r="T19" s="76">
        <f t="shared" si="2"/>
        <v>15.414249999999999</v>
      </c>
      <c r="U19" s="58"/>
    </row>
    <row r="20" spans="2:21" x14ac:dyDescent="0.2">
      <c r="B20" s="14">
        <f>'DE 40 Historical Data'!B19</f>
        <v>2016</v>
      </c>
      <c r="C20" s="61">
        <f>'DE 40 Historical Data'!C19</f>
        <v>5588.27</v>
      </c>
      <c r="D20" s="76">
        <f t="shared" si="1"/>
        <v>15.87945</v>
      </c>
      <c r="E20" s="61">
        <f t="shared" si="0"/>
        <v>351.91835989281748</v>
      </c>
      <c r="F20" s="7">
        <f t="shared" si="4"/>
        <v>9.4803031527184167E-3</v>
      </c>
      <c r="G20" s="7">
        <f t="shared" si="5"/>
        <v>2.0628583234871156E-2</v>
      </c>
      <c r="H20" s="7">
        <f t="shared" si="6"/>
        <v>4.9194429713004251E-2</v>
      </c>
      <c r="I20" s="7">
        <f t="shared" si="7"/>
        <v>4.4741976559112828E-3</v>
      </c>
      <c r="P20" s="60">
        <v>37438</v>
      </c>
      <c r="Q20" s="1">
        <v>55.427599999999998</v>
      </c>
      <c r="S20" s="37">
        <f t="shared" si="3"/>
        <v>2016</v>
      </c>
      <c r="T20" s="76">
        <f t="shared" si="2"/>
        <v>14.407500000000001</v>
      </c>
      <c r="U20" s="58"/>
    </row>
    <row r="21" spans="2:21" x14ac:dyDescent="0.2">
      <c r="B21" s="14">
        <f>'DE 40 Historical Data'!B20</f>
        <v>2017</v>
      </c>
      <c r="C21" s="61">
        <f>'DE 40 Historical Data'!C20</f>
        <v>6122.26</v>
      </c>
      <c r="D21" s="76">
        <f t="shared" si="1"/>
        <v>14.450699999999999</v>
      </c>
      <c r="E21" s="61">
        <f t="shared" si="0"/>
        <v>423.66528957074746</v>
      </c>
      <c r="F21" s="7">
        <f t="shared" si="4"/>
        <v>8.9857437736613699E-2</v>
      </c>
      <c r="G21" s="7">
        <f t="shared" si="5"/>
        <v>6.0369257735587434E-2</v>
      </c>
      <c r="H21" s="7">
        <f t="shared" si="6"/>
        <v>1.8118377720888201E-2</v>
      </c>
      <c r="I21" s="7">
        <f t="shared" si="7"/>
        <v>-1.8460323992399164E-2</v>
      </c>
      <c r="P21" s="60">
        <v>37622</v>
      </c>
      <c r="Q21" s="1">
        <v>77.791799999999995</v>
      </c>
      <c r="S21" s="37">
        <f t="shared" si="3"/>
        <v>2017</v>
      </c>
      <c r="T21" s="76">
        <f t="shared" si="2"/>
        <v>15.87945</v>
      </c>
      <c r="U21" s="58"/>
    </row>
    <row r="22" spans="2:21" x14ac:dyDescent="0.2">
      <c r="B22" s="14">
        <f>'DE 40 Historical Data'!B21</f>
        <v>2018</v>
      </c>
      <c r="C22" s="61">
        <f>'DE 40 Historical Data'!C21</f>
        <v>4862.74</v>
      </c>
      <c r="D22" s="76">
        <f t="shared" si="1"/>
        <v>16.86225</v>
      </c>
      <c r="E22" s="61">
        <f t="shared" si="0"/>
        <v>288.38025767617012</v>
      </c>
      <c r="F22" s="7">
        <f t="shared" si="4"/>
        <v>-8.3117950173717481E-2</v>
      </c>
      <c r="G22" s="7">
        <f t="shared" si="5"/>
        <v>-3.358551701175394E-2</v>
      </c>
      <c r="H22" s="7">
        <f t="shared" si="6"/>
        <v>-1.3765208225444359E-2</v>
      </c>
      <c r="I22" s="7">
        <f t="shared" si="7"/>
        <v>9.6794471956045403E-2</v>
      </c>
      <c r="P22" s="60">
        <v>37926</v>
      </c>
      <c r="Q22" s="1">
        <v>38.314599999999999</v>
      </c>
      <c r="S22" s="37">
        <f t="shared" si="3"/>
        <v>2018</v>
      </c>
      <c r="T22" s="76">
        <f t="shared" si="2"/>
        <v>14.450699999999999</v>
      </c>
      <c r="U22" s="58"/>
    </row>
    <row r="23" spans="2:21" x14ac:dyDescent="0.2">
      <c r="B23" s="14">
        <f>'DE 40 Historical Data'!B22</f>
        <v>2019</v>
      </c>
      <c r="C23" s="61">
        <f>'DE 40 Historical Data'!C22</f>
        <v>5909.66</v>
      </c>
      <c r="D23" s="76">
        <f t="shared" si="1"/>
        <v>20.244450000000001</v>
      </c>
      <c r="E23" s="61">
        <f t="shared" si="0"/>
        <v>291.91506808038747</v>
      </c>
      <c r="F23" s="7">
        <f t="shared" si="4"/>
        <v>-6.0410410948903648E-2</v>
      </c>
      <c r="G23" s="7">
        <f t="shared" si="5"/>
        <v>-2.2608537411349938E-2</v>
      </c>
      <c r="H23" s="7">
        <f t="shared" si="6"/>
        <v>-1.1278037231457483E-2</v>
      </c>
      <c r="I23" s="7">
        <f t="shared" si="7"/>
        <v>1.503412234846313E-2</v>
      </c>
      <c r="P23" s="60">
        <v>38108</v>
      </c>
      <c r="Q23" s="1">
        <v>28.7454</v>
      </c>
      <c r="S23" s="37">
        <f t="shared" si="3"/>
        <v>2019</v>
      </c>
      <c r="T23" s="76">
        <f t="shared" si="2"/>
        <v>16.86225</v>
      </c>
      <c r="U23" s="58"/>
    </row>
    <row r="24" spans="2:21" x14ac:dyDescent="0.2">
      <c r="B24" s="14">
        <f>'DE 40 Historical Data'!B23</f>
        <v>2020</v>
      </c>
      <c r="C24" s="61">
        <f>'DE 40 Historical Data'!C23</f>
        <v>5935.22</v>
      </c>
      <c r="D24" s="76">
        <f t="shared" si="1"/>
        <v>17.411649999999998</v>
      </c>
      <c r="E24" s="61">
        <f t="shared" si="0"/>
        <v>340.87636725985192</v>
      </c>
      <c r="F24" s="7">
        <f t="shared" si="4"/>
        <v>-6.9910654142741779E-2</v>
      </c>
      <c r="G24" s="7">
        <f t="shared" si="5"/>
        <v>-1.8445641713382366E-2</v>
      </c>
      <c r="H24" s="7">
        <f t="shared" si="6"/>
        <v>-5.1021595419509236E-4</v>
      </c>
      <c r="I24" s="7">
        <f t="shared" si="7"/>
        <v>-9.1311067334642892E-3</v>
      </c>
      <c r="P24" s="60">
        <v>38292</v>
      </c>
      <c r="Q24" s="1">
        <v>16.709</v>
      </c>
      <c r="S24" s="37">
        <f t="shared" si="3"/>
        <v>2020</v>
      </c>
      <c r="T24" s="76">
        <f t="shared" si="2"/>
        <v>20.244450000000001</v>
      </c>
      <c r="U24" s="58"/>
    </row>
    <row r="25" spans="2:21" x14ac:dyDescent="0.2">
      <c r="B25" s="14">
        <f>'DE 40 Historical Data'!B24</f>
        <v>2021</v>
      </c>
      <c r="C25" s="61">
        <f>'DE 40 Historical Data'!C24</f>
        <v>6709.66</v>
      </c>
      <c r="D25" s="76">
        <f t="shared" si="1"/>
        <v>11.337149999999999</v>
      </c>
      <c r="E25" s="61">
        <f t="shared" si="0"/>
        <v>591.82951623644396</v>
      </c>
      <c r="F25" s="7">
        <f t="shared" si="4"/>
        <v>0.27079948974506785</v>
      </c>
      <c r="G25" s="7">
        <f t="shared" si="5"/>
        <v>0.1095603763172186</v>
      </c>
      <c r="H25" s="7">
        <f t="shared" si="6"/>
        <v>8.8315182171839313E-2</v>
      </c>
      <c r="I25" s="7">
        <f t="shared" si="7"/>
        <v>6.4165886924681281E-2</v>
      </c>
      <c r="P25" s="60">
        <v>38473</v>
      </c>
      <c r="Q25" s="1">
        <v>14.8886</v>
      </c>
      <c r="S25" s="37">
        <f t="shared" si="3"/>
        <v>2021</v>
      </c>
      <c r="T25" s="76">
        <f t="shared" si="2"/>
        <v>17.411649999999998</v>
      </c>
      <c r="U25" s="58"/>
    </row>
    <row r="26" spans="2:21" x14ac:dyDescent="0.2">
      <c r="B26" s="14">
        <f>'DE 40 Historical Data'!B25</f>
        <v>2022</v>
      </c>
      <c r="C26" s="61">
        <f>'DE 40 Historical Data'!C25</f>
        <v>5692.03</v>
      </c>
      <c r="D26" s="76">
        <f t="shared" si="1"/>
        <v>12.914200000000001</v>
      </c>
      <c r="E26" s="61">
        <f t="shared" si="0"/>
        <v>440.7574607796069</v>
      </c>
      <c r="F26" s="7">
        <f t="shared" si="4"/>
        <v>0.147222668432337</v>
      </c>
      <c r="G26" s="7">
        <f t="shared" si="5"/>
        <v>7.9415716145758708E-3</v>
      </c>
      <c r="H26" s="7">
        <f t="shared" si="6"/>
        <v>2.368842818372463E-2</v>
      </c>
      <c r="I26" s="7">
        <f t="shared" si="7"/>
        <v>3.3823126136085735E-2</v>
      </c>
      <c r="P26" s="60">
        <v>38657</v>
      </c>
      <c r="Q26" s="1">
        <v>13.3043</v>
      </c>
      <c r="S26" s="37">
        <f t="shared" si="3"/>
        <v>2022</v>
      </c>
      <c r="T26" s="76">
        <f t="shared" si="2"/>
        <v>11.337149999999999</v>
      </c>
      <c r="U26" s="58"/>
    </row>
    <row r="27" spans="2:21" x14ac:dyDescent="0.2">
      <c r="B27" s="14">
        <f>'DE 40 Historical Data'!B26</f>
        <v>2023</v>
      </c>
      <c r="C27" s="61">
        <f>'DE 40 Historical Data'!C26</f>
        <v>6628.85</v>
      </c>
      <c r="D27" s="76">
        <f t="shared" si="1"/>
        <v>15.55405</v>
      </c>
      <c r="E27" s="61">
        <f t="shared" si="0"/>
        <v>426.18160543395453</v>
      </c>
      <c r="F27" s="7">
        <f t="shared" si="4"/>
        <v>7.728993602587364E-2</v>
      </c>
      <c r="G27" s="7">
        <f t="shared" si="5"/>
        <v>8.1249289518526169E-2</v>
      </c>
      <c r="H27" s="7">
        <f t="shared" si="6"/>
        <v>2.7729843835057055E-2</v>
      </c>
      <c r="I27" s="7">
        <f t="shared" si="7"/>
        <v>2.2220608827397292E-2</v>
      </c>
      <c r="P27" s="60">
        <v>38838</v>
      </c>
      <c r="Q27" s="1">
        <v>12.4694</v>
      </c>
      <c r="S27" s="37">
        <f t="shared" si="3"/>
        <v>2023</v>
      </c>
      <c r="T27" s="76">
        <f t="shared" si="2"/>
        <v>12.914200000000001</v>
      </c>
      <c r="U27" s="58"/>
    </row>
    <row r="28" spans="2:21" x14ac:dyDescent="0.2">
      <c r="B28" s="14">
        <f>'DE 40 Historical Data'!B27</f>
        <v>2024</v>
      </c>
      <c r="C28" s="61">
        <f>'DE 40 Historical Data'!C27</f>
        <v>7648.55</v>
      </c>
      <c r="D28" s="76">
        <f t="shared" si="1"/>
        <v>18.829750000000001</v>
      </c>
      <c r="E28" s="61">
        <f t="shared" si="0"/>
        <v>406.19498400138082</v>
      </c>
      <c r="F28" s="7">
        <f t="shared" si="4"/>
        <v>-0.11791051499589045</v>
      </c>
      <c r="G28" s="7">
        <f t="shared" si="5"/>
        <v>6.8305855027995799E-2</v>
      </c>
      <c r="H28" s="7">
        <f t="shared" si="6"/>
        <v>-5.997717395280544E-3</v>
      </c>
      <c r="I28" s="7">
        <f t="shared" si="7"/>
        <v>2.1838060623027955E-2</v>
      </c>
      <c r="P28" s="60">
        <v>39022</v>
      </c>
      <c r="Q28" s="1">
        <v>12.3935</v>
      </c>
      <c r="S28" s="37">
        <f t="shared" si="3"/>
        <v>2024</v>
      </c>
      <c r="T28" s="76">
        <f t="shared" si="2"/>
        <v>15.55405</v>
      </c>
      <c r="U28" s="58"/>
    </row>
    <row r="29" spans="2:21" x14ac:dyDescent="0.2">
      <c r="B29" s="14">
        <f>'DE 40 Historical Data'!B28</f>
        <v>2025</v>
      </c>
      <c r="C29" s="61">
        <f>'DE 40 Historical Data'!C28</f>
        <v>9175.1299999999992</v>
      </c>
      <c r="D29" s="76">
        <f t="shared" si="1"/>
        <v>16.144950000000001</v>
      </c>
      <c r="E29" s="61">
        <f t="shared" si="0"/>
        <v>568.29720748593206</v>
      </c>
      <c r="F29" s="7">
        <f t="shared" si="4"/>
        <v>8.8408562878858898E-2</v>
      </c>
      <c r="G29" s="7">
        <f t="shared" si="5"/>
        <v>0.10763259066297537</v>
      </c>
      <c r="H29" s="7">
        <f t="shared" si="6"/>
        <v>0.10176035852914689</v>
      </c>
      <c r="I29" s="7">
        <f t="shared" si="7"/>
        <v>4.2689597505192634E-2</v>
      </c>
      <c r="P29" s="60">
        <v>39203</v>
      </c>
      <c r="Q29" s="1">
        <v>13.9396</v>
      </c>
      <c r="S29" s="37">
        <f t="shared" si="3"/>
        <v>2025</v>
      </c>
      <c r="T29" s="76">
        <f t="shared" si="2"/>
        <v>18.829750000000001</v>
      </c>
    </row>
    <row r="30" spans="2:21" x14ac:dyDescent="0.2">
      <c r="B30" s="14">
        <f>'DE 40 Historical Data'!B29</f>
        <v>2026</v>
      </c>
      <c r="C30" s="61">
        <f>'DE 40 Historical Data'!C29</f>
        <v>9337</v>
      </c>
      <c r="D30" s="76">
        <f>T30</f>
        <v>16.144950000000001</v>
      </c>
      <c r="E30" s="61">
        <f t="shared" si="0"/>
        <v>578.32325278182952</v>
      </c>
      <c r="F30" s="7">
        <f t="shared" si="4"/>
        <v>0.10711308684789778</v>
      </c>
      <c r="G30" s="7">
        <f t="shared" si="5"/>
        <v>-4.6064856227846507E-3</v>
      </c>
      <c r="H30" s="7">
        <f t="shared" si="6"/>
        <v>0.10259572913084747</v>
      </c>
      <c r="I30" s="7">
        <f t="shared" si="7"/>
        <v>5.0927781722465371E-2</v>
      </c>
      <c r="P30" s="60">
        <v>39387</v>
      </c>
      <c r="Q30" s="1">
        <v>12.3802</v>
      </c>
      <c r="S30" s="37">
        <f t="shared" si="3"/>
        <v>2026</v>
      </c>
      <c r="T30" s="76">
        <f t="shared" si="2"/>
        <v>16.144950000000001</v>
      </c>
    </row>
    <row r="31" spans="2:21" x14ac:dyDescent="0.2">
      <c r="P31" s="60">
        <v>39569</v>
      </c>
      <c r="Q31" s="1">
        <v>12.4069</v>
      </c>
      <c r="S31" s="37"/>
      <c r="T31" s="76"/>
    </row>
    <row r="32" spans="2:21" x14ac:dyDescent="0.2">
      <c r="P32" s="60">
        <v>39753</v>
      </c>
      <c r="Q32" s="1">
        <v>8.2703000000000007</v>
      </c>
    </row>
    <row r="33" spans="16:20" x14ac:dyDescent="0.2">
      <c r="P33" s="60">
        <v>39934</v>
      </c>
      <c r="Q33" s="1">
        <v>21.242599999999999</v>
      </c>
      <c r="S33" t="s">
        <v>185</v>
      </c>
      <c r="T33" t="s">
        <v>194</v>
      </c>
    </row>
    <row r="34" spans="16:20" x14ac:dyDescent="0.2">
      <c r="P34" s="60">
        <v>40118</v>
      </c>
      <c r="Q34" s="1">
        <v>31.897099999999998</v>
      </c>
    </row>
    <row r="35" spans="16:20" x14ac:dyDescent="0.2">
      <c r="P35" s="60">
        <v>40299</v>
      </c>
      <c r="Q35" s="1">
        <v>15.439</v>
      </c>
      <c r="T35" s="50"/>
    </row>
    <row r="36" spans="16:20" x14ac:dyDescent="0.2">
      <c r="P36" s="60">
        <v>40483</v>
      </c>
      <c r="Q36" s="1">
        <v>13.227</v>
      </c>
    </row>
    <row r="37" spans="16:20" x14ac:dyDescent="0.2">
      <c r="P37" s="60">
        <v>40664</v>
      </c>
      <c r="Q37" s="1">
        <v>11.5284</v>
      </c>
      <c r="T37" s="49"/>
    </row>
    <row r="38" spans="16:20" x14ac:dyDescent="0.2">
      <c r="P38" s="60">
        <v>40848</v>
      </c>
      <c r="Q38" s="1">
        <v>10.170999999999999</v>
      </c>
    </row>
    <row r="39" spans="16:20" x14ac:dyDescent="0.2">
      <c r="P39" s="60">
        <v>41030</v>
      </c>
      <c r="Q39" s="1">
        <v>10.448399999999999</v>
      </c>
    </row>
    <row r="40" spans="16:20" x14ac:dyDescent="0.2">
      <c r="P40" s="60">
        <v>41214</v>
      </c>
      <c r="Q40" s="1">
        <v>10.611700000000001</v>
      </c>
    </row>
    <row r="41" spans="16:20" x14ac:dyDescent="0.2">
      <c r="P41" s="60">
        <v>41395</v>
      </c>
      <c r="Q41" s="1">
        <v>11.171099999999999</v>
      </c>
    </row>
    <row r="42" spans="16:20" x14ac:dyDescent="0.2">
      <c r="P42" s="60">
        <v>41579</v>
      </c>
      <c r="Q42" s="1">
        <v>15.1632</v>
      </c>
    </row>
    <row r="43" spans="16:20" x14ac:dyDescent="0.2">
      <c r="P43" s="60">
        <v>41760</v>
      </c>
      <c r="Q43" s="1">
        <v>15.3368</v>
      </c>
    </row>
    <row r="44" spans="16:20" x14ac:dyDescent="0.2">
      <c r="P44" s="60">
        <v>41944</v>
      </c>
      <c r="Q44" s="1">
        <v>14.1981</v>
      </c>
    </row>
    <row r="45" spans="16:20" x14ac:dyDescent="0.2">
      <c r="P45" s="60">
        <v>42125</v>
      </c>
      <c r="Q45" s="1">
        <v>15.8857</v>
      </c>
    </row>
    <row r="46" spans="16:20" x14ac:dyDescent="0.2">
      <c r="P46" s="60">
        <v>42309</v>
      </c>
      <c r="Q46" s="1">
        <v>14.9428</v>
      </c>
    </row>
    <row r="47" spans="16:20" x14ac:dyDescent="0.2">
      <c r="P47" s="60">
        <v>42491</v>
      </c>
      <c r="Q47" s="1">
        <v>14.446400000000001</v>
      </c>
    </row>
    <row r="48" spans="16:20" x14ac:dyDescent="0.2">
      <c r="P48" s="60">
        <v>42675</v>
      </c>
      <c r="Q48" s="1">
        <v>14.368600000000001</v>
      </c>
    </row>
    <row r="49" spans="16:17" x14ac:dyDescent="0.2">
      <c r="P49" s="60">
        <v>42856</v>
      </c>
      <c r="Q49" s="1">
        <v>15.915800000000001</v>
      </c>
    </row>
    <row r="50" spans="16:17" x14ac:dyDescent="0.2">
      <c r="P50" s="60">
        <v>43040</v>
      </c>
      <c r="Q50" s="1">
        <v>15.8431</v>
      </c>
    </row>
    <row r="51" spans="16:17" x14ac:dyDescent="0.2">
      <c r="P51" s="60">
        <v>43221</v>
      </c>
      <c r="Q51" s="1">
        <v>15.021699999999999</v>
      </c>
    </row>
    <row r="52" spans="16:17" x14ac:dyDescent="0.2">
      <c r="P52" s="60">
        <v>43405</v>
      </c>
      <c r="Q52" s="1">
        <v>13.8797</v>
      </c>
    </row>
    <row r="53" spans="16:17" x14ac:dyDescent="0.2">
      <c r="P53" s="60">
        <v>43586</v>
      </c>
      <c r="Q53" s="1">
        <v>15.065799999999999</v>
      </c>
    </row>
    <row r="54" spans="16:17" x14ac:dyDescent="0.2">
      <c r="P54" s="60">
        <v>43770</v>
      </c>
      <c r="Q54" s="1">
        <v>18.6587</v>
      </c>
    </row>
    <row r="55" spans="16:17" x14ac:dyDescent="0.2">
      <c r="P55" s="60">
        <v>43952</v>
      </c>
      <c r="Q55" s="1">
        <v>15.8657</v>
      </c>
    </row>
    <row r="56" spans="16:17" x14ac:dyDescent="0.2">
      <c r="P56" s="60">
        <v>44136</v>
      </c>
      <c r="Q56" s="1">
        <v>24.623200000000001</v>
      </c>
    </row>
    <row r="57" spans="16:17" x14ac:dyDescent="0.2">
      <c r="P57" s="60">
        <v>44317</v>
      </c>
      <c r="Q57" s="1">
        <v>20.575399999999998</v>
      </c>
    </row>
    <row r="58" spans="16:17" x14ac:dyDescent="0.2">
      <c r="P58" s="60">
        <v>44501</v>
      </c>
      <c r="Q58" s="1">
        <v>14.2479</v>
      </c>
    </row>
    <row r="59" spans="16:17" x14ac:dyDescent="0.2">
      <c r="P59" s="60">
        <v>44682</v>
      </c>
      <c r="Q59" s="1">
        <v>11.661</v>
      </c>
    </row>
    <row r="60" spans="16:17" x14ac:dyDescent="0.2">
      <c r="P60" s="60">
        <v>44866</v>
      </c>
      <c r="Q60" s="1">
        <v>11.013299999999999</v>
      </c>
    </row>
    <row r="61" spans="16:17" x14ac:dyDescent="0.2">
      <c r="P61" s="60">
        <v>45047</v>
      </c>
      <c r="Q61" s="1">
        <v>12.288</v>
      </c>
    </row>
    <row r="62" spans="16:17" x14ac:dyDescent="0.2">
      <c r="P62" s="60">
        <v>45231</v>
      </c>
      <c r="Q62" s="1">
        <v>13.5404</v>
      </c>
    </row>
    <row r="63" spans="16:17" x14ac:dyDescent="0.2">
      <c r="P63" s="60">
        <v>45413</v>
      </c>
      <c r="Q63" s="1">
        <v>15.187099999999999</v>
      </c>
    </row>
    <row r="64" spans="16:17" x14ac:dyDescent="0.2">
      <c r="P64" s="60">
        <v>45597</v>
      </c>
      <c r="Q64" s="1">
        <v>15.920999999999999</v>
      </c>
    </row>
    <row r="65" spans="16:17" x14ac:dyDescent="0.2">
      <c r="P65" s="60">
        <v>45778</v>
      </c>
      <c r="Q65" s="1">
        <v>19.7944</v>
      </c>
    </row>
    <row r="66" spans="16:17" x14ac:dyDescent="0.2">
      <c r="P66" s="60">
        <v>45962</v>
      </c>
      <c r="Q66" s="1">
        <v>17.865100000000002</v>
      </c>
    </row>
    <row r="67" spans="16:17" x14ac:dyDescent="0.2">
      <c r="P67" s="60">
        <v>46143</v>
      </c>
      <c r="Q67" s="1">
        <v>16.428899999999999</v>
      </c>
    </row>
    <row r="68" spans="16:17" x14ac:dyDescent="0.2">
      <c r="P68" s="77">
        <v>46174</v>
      </c>
      <c r="Q68" s="54">
        <v>15.861000000000001</v>
      </c>
    </row>
    <row r="69" spans="16:17" x14ac:dyDescent="0.2">
      <c r="P69" s="75"/>
    </row>
    <row r="70" spans="16:17" x14ac:dyDescent="0.2">
      <c r="P70" s="75"/>
    </row>
    <row r="71" spans="16:17" x14ac:dyDescent="0.2">
      <c r="P71" s="75"/>
    </row>
    <row r="72" spans="16:17" x14ac:dyDescent="0.2">
      <c r="P72" s="75"/>
    </row>
    <row r="73" spans="16:17" x14ac:dyDescent="0.2">
      <c r="P73" s="75"/>
    </row>
    <row r="74" spans="16:17" x14ac:dyDescent="0.2">
      <c r="P74" s="75"/>
    </row>
    <row r="75" spans="16:17" x14ac:dyDescent="0.2">
      <c r="P75" s="75"/>
    </row>
    <row r="76" spans="16:17" x14ac:dyDescent="0.2">
      <c r="P76" s="75"/>
    </row>
    <row r="77" spans="16:17" x14ac:dyDescent="0.2">
      <c r="P77" s="75"/>
    </row>
    <row r="78" spans="16:17" x14ac:dyDescent="0.2">
      <c r="P78" s="75"/>
    </row>
    <row r="79" spans="16:17" x14ac:dyDescent="0.2">
      <c r="P79" s="75"/>
    </row>
    <row r="80" spans="16:17" x14ac:dyDescent="0.2">
      <c r="P80" s="75"/>
    </row>
    <row r="81" spans="16:16" x14ac:dyDescent="0.2">
      <c r="P81" s="75"/>
    </row>
    <row r="82" spans="16:16" x14ac:dyDescent="0.2">
      <c r="P82" s="75"/>
    </row>
    <row r="83" spans="16:16" x14ac:dyDescent="0.2">
      <c r="P83" s="75"/>
    </row>
    <row r="84" spans="16:16" x14ac:dyDescent="0.2">
      <c r="P84" s="75"/>
    </row>
    <row r="85" spans="16:16" x14ac:dyDescent="0.2">
      <c r="P85" s="75"/>
    </row>
    <row r="86" spans="16:16" x14ac:dyDescent="0.2">
      <c r="P86" s="75"/>
    </row>
    <row r="87" spans="16:16" x14ac:dyDescent="0.2">
      <c r="P87" s="75"/>
    </row>
    <row r="88" spans="16:16" x14ac:dyDescent="0.2">
      <c r="P88" s="75"/>
    </row>
    <row r="89" spans="16:16" x14ac:dyDescent="0.2">
      <c r="P89" s="75"/>
    </row>
    <row r="90" spans="16:16" x14ac:dyDescent="0.2">
      <c r="P90" s="75"/>
    </row>
    <row r="91" spans="16:16" x14ac:dyDescent="0.2">
      <c r="P91" s="75"/>
    </row>
    <row r="92" spans="16:16" x14ac:dyDescent="0.2">
      <c r="P92" s="75"/>
    </row>
    <row r="93" spans="16:16" x14ac:dyDescent="0.2">
      <c r="P93" s="75"/>
    </row>
    <row r="94" spans="16:16" x14ac:dyDescent="0.2">
      <c r="P94" s="75"/>
    </row>
    <row r="95" spans="16:16" x14ac:dyDescent="0.2">
      <c r="P95" s="75"/>
    </row>
    <row r="96" spans="16:16" x14ac:dyDescent="0.2">
      <c r="P96" s="75"/>
    </row>
    <row r="97" spans="16:16" x14ac:dyDescent="0.2">
      <c r="P97" s="75"/>
    </row>
    <row r="98" spans="16:16" x14ac:dyDescent="0.2">
      <c r="P98" s="75"/>
    </row>
    <row r="99" spans="16:16" x14ac:dyDescent="0.2">
      <c r="P99" s="75"/>
    </row>
    <row r="100" spans="16:16" x14ac:dyDescent="0.2">
      <c r="P100" s="75"/>
    </row>
    <row r="101" spans="16:16" x14ac:dyDescent="0.2">
      <c r="P101" s="75"/>
    </row>
    <row r="102" spans="16:16" x14ac:dyDescent="0.2">
      <c r="P102" s="75"/>
    </row>
    <row r="103" spans="16:16" x14ac:dyDescent="0.2">
      <c r="P103" s="75"/>
    </row>
    <row r="104" spans="16:16" x14ac:dyDescent="0.2">
      <c r="P104" s="75"/>
    </row>
    <row r="105" spans="16:16" x14ac:dyDescent="0.2">
      <c r="P105" s="75"/>
    </row>
    <row r="106" spans="16:16" x14ac:dyDescent="0.2">
      <c r="P106" s="75"/>
    </row>
    <row r="107" spans="16:16" x14ac:dyDescent="0.2">
      <c r="P107" s="75"/>
    </row>
    <row r="108" spans="16:16" x14ac:dyDescent="0.2">
      <c r="P108" s="75"/>
    </row>
    <row r="109" spans="16:16" x14ac:dyDescent="0.2">
      <c r="P109" s="75"/>
    </row>
    <row r="110" spans="16:16" x14ac:dyDescent="0.2">
      <c r="P110" s="75"/>
    </row>
    <row r="111" spans="16:16" x14ac:dyDescent="0.2">
      <c r="P111" s="75"/>
    </row>
    <row r="112" spans="16:16" x14ac:dyDescent="0.2">
      <c r="P112" s="75"/>
    </row>
    <row r="113" spans="16:16" x14ac:dyDescent="0.2">
      <c r="P113" s="75"/>
    </row>
    <row r="114" spans="16:16" x14ac:dyDescent="0.2">
      <c r="P114" s="75"/>
    </row>
    <row r="115" spans="16:16" x14ac:dyDescent="0.2">
      <c r="P115" s="75"/>
    </row>
    <row r="116" spans="16:16" x14ac:dyDescent="0.2">
      <c r="P116" s="75"/>
    </row>
    <row r="117" spans="16:16" x14ac:dyDescent="0.2">
      <c r="P117" s="75"/>
    </row>
    <row r="118" spans="16:16" x14ac:dyDescent="0.2">
      <c r="P118" s="75"/>
    </row>
    <row r="119" spans="16:16" x14ac:dyDescent="0.2">
      <c r="P119" s="75"/>
    </row>
    <row r="120" spans="16:16" x14ac:dyDescent="0.2">
      <c r="P120" s="75"/>
    </row>
    <row r="121" spans="16:16" x14ac:dyDescent="0.2">
      <c r="P121" s="75"/>
    </row>
    <row r="122" spans="16:16" x14ac:dyDescent="0.2">
      <c r="P122" s="75"/>
    </row>
    <row r="123" spans="16:16" x14ac:dyDescent="0.2">
      <c r="P123" s="75"/>
    </row>
    <row r="124" spans="16:16" x14ac:dyDescent="0.2">
      <c r="P124" s="75"/>
    </row>
    <row r="125" spans="16:16" x14ac:dyDescent="0.2">
      <c r="P125" s="75"/>
    </row>
    <row r="126" spans="16:16" x14ac:dyDescent="0.2">
      <c r="P126" s="75"/>
    </row>
    <row r="127" spans="16:16" x14ac:dyDescent="0.2">
      <c r="P127" s="75"/>
    </row>
    <row r="128" spans="16:16" x14ac:dyDescent="0.2">
      <c r="P128" s="75"/>
    </row>
    <row r="129" spans="16:16" x14ac:dyDescent="0.2">
      <c r="P129" s="75"/>
    </row>
    <row r="130" spans="16:16" x14ac:dyDescent="0.2">
      <c r="P130" s="75"/>
    </row>
    <row r="131" spans="16:16" x14ac:dyDescent="0.2">
      <c r="P131" s="75"/>
    </row>
    <row r="132" spans="16:16" x14ac:dyDescent="0.2">
      <c r="P132" s="75"/>
    </row>
    <row r="133" spans="16:16" x14ac:dyDescent="0.2">
      <c r="P133" s="75"/>
    </row>
    <row r="134" spans="16:16" x14ac:dyDescent="0.2">
      <c r="P134" s="75"/>
    </row>
    <row r="135" spans="16:16" x14ac:dyDescent="0.2">
      <c r="P135" s="75"/>
    </row>
    <row r="136" spans="16:16" x14ac:dyDescent="0.2">
      <c r="P136" s="75"/>
    </row>
    <row r="137" spans="16:16" x14ac:dyDescent="0.2">
      <c r="P137" s="75"/>
    </row>
    <row r="138" spans="16:16" x14ac:dyDescent="0.2">
      <c r="P138" s="75"/>
    </row>
    <row r="139" spans="16:16" x14ac:dyDescent="0.2">
      <c r="P139" s="75"/>
    </row>
    <row r="140" spans="16:16" x14ac:dyDescent="0.2">
      <c r="P140" s="75"/>
    </row>
    <row r="141" spans="16:16" x14ac:dyDescent="0.2">
      <c r="P141" s="75"/>
    </row>
    <row r="142" spans="16:16" x14ac:dyDescent="0.2">
      <c r="P142" s="75"/>
    </row>
    <row r="143" spans="16:16" x14ac:dyDescent="0.2">
      <c r="P143" s="75"/>
    </row>
    <row r="144" spans="16:16" x14ac:dyDescent="0.2">
      <c r="P144" s="75"/>
    </row>
    <row r="145" spans="16:16" x14ac:dyDescent="0.2">
      <c r="P145" s="75"/>
    </row>
    <row r="146" spans="16:16" x14ac:dyDescent="0.2">
      <c r="P146" s="75"/>
    </row>
    <row r="147" spans="16:16" x14ac:dyDescent="0.2">
      <c r="P147" s="75"/>
    </row>
    <row r="148" spans="16:16" x14ac:dyDescent="0.2">
      <c r="P148" s="75"/>
    </row>
    <row r="149" spans="16:16" x14ac:dyDescent="0.2">
      <c r="P149" s="75"/>
    </row>
    <row r="150" spans="16:16" x14ac:dyDescent="0.2">
      <c r="P150" s="75"/>
    </row>
    <row r="151" spans="16:16" x14ac:dyDescent="0.2">
      <c r="P151" s="75"/>
    </row>
    <row r="152" spans="16:16" x14ac:dyDescent="0.2">
      <c r="P152" s="75"/>
    </row>
    <row r="153" spans="16:16" x14ac:dyDescent="0.2">
      <c r="P153" s="75"/>
    </row>
    <row r="154" spans="16:16" x14ac:dyDescent="0.2">
      <c r="P154" s="75"/>
    </row>
    <row r="155" spans="16:16" x14ac:dyDescent="0.2">
      <c r="P155" s="75"/>
    </row>
    <row r="156" spans="16:16" x14ac:dyDescent="0.2">
      <c r="P156" s="75"/>
    </row>
    <row r="157" spans="16:16" x14ac:dyDescent="0.2">
      <c r="P157" s="75"/>
    </row>
    <row r="158" spans="16:16" x14ac:dyDescent="0.2">
      <c r="P158" s="75"/>
    </row>
    <row r="159" spans="16:16" x14ac:dyDescent="0.2">
      <c r="P159" s="75"/>
    </row>
    <row r="160" spans="16:16" x14ac:dyDescent="0.2">
      <c r="P160" s="75"/>
    </row>
    <row r="161" spans="16:16" x14ac:dyDescent="0.2">
      <c r="P161" s="75"/>
    </row>
    <row r="162" spans="16:16" x14ac:dyDescent="0.2">
      <c r="P162" s="75"/>
    </row>
    <row r="163" spans="16:16" x14ac:dyDescent="0.2">
      <c r="P163" s="75"/>
    </row>
    <row r="164" spans="16:16" x14ac:dyDescent="0.2">
      <c r="P164" s="75"/>
    </row>
    <row r="165" spans="16:16" x14ac:dyDescent="0.2">
      <c r="P165" s="75"/>
    </row>
    <row r="166" spans="16:16" x14ac:dyDescent="0.2">
      <c r="P166" s="75"/>
    </row>
    <row r="167" spans="16:16" x14ac:dyDescent="0.2">
      <c r="P167" s="75"/>
    </row>
    <row r="168" spans="16:16" x14ac:dyDescent="0.2">
      <c r="P168" s="75"/>
    </row>
    <row r="169" spans="16:16" x14ac:dyDescent="0.2">
      <c r="P169" s="75"/>
    </row>
    <row r="170" spans="16:16" x14ac:dyDescent="0.2">
      <c r="P170" s="75"/>
    </row>
    <row r="171" spans="16:16" x14ac:dyDescent="0.2">
      <c r="P171" s="75"/>
    </row>
    <row r="172" spans="16:16" x14ac:dyDescent="0.2">
      <c r="P172" s="75"/>
    </row>
    <row r="173" spans="16:16" x14ac:dyDescent="0.2">
      <c r="P173" s="75"/>
    </row>
    <row r="174" spans="16:16" x14ac:dyDescent="0.2">
      <c r="P174" s="75"/>
    </row>
    <row r="175" spans="16:16" x14ac:dyDescent="0.2">
      <c r="P175" s="75"/>
    </row>
    <row r="176" spans="16:16" x14ac:dyDescent="0.2">
      <c r="P176" s="75"/>
    </row>
    <row r="177" spans="16:16" x14ac:dyDescent="0.2">
      <c r="P177" s="75"/>
    </row>
    <row r="178" spans="16:16" x14ac:dyDescent="0.2">
      <c r="P178" s="75"/>
    </row>
    <row r="179" spans="16:16" x14ac:dyDescent="0.2">
      <c r="P179" s="75"/>
    </row>
    <row r="180" spans="16:16" x14ac:dyDescent="0.2">
      <c r="P180" s="75"/>
    </row>
    <row r="181" spans="16:16" x14ac:dyDescent="0.2">
      <c r="P181" s="75"/>
    </row>
    <row r="182" spans="16:16" x14ac:dyDescent="0.2">
      <c r="P182" s="75"/>
    </row>
    <row r="183" spans="16:16" x14ac:dyDescent="0.2">
      <c r="P183" s="75"/>
    </row>
    <row r="184" spans="16:16" x14ac:dyDescent="0.2">
      <c r="P184" s="75"/>
    </row>
    <row r="185" spans="16:16" x14ac:dyDescent="0.2">
      <c r="P185" s="75"/>
    </row>
    <row r="186" spans="16:16" x14ac:dyDescent="0.2">
      <c r="P186" s="75"/>
    </row>
    <row r="187" spans="16:16" x14ac:dyDescent="0.2">
      <c r="P187" s="75"/>
    </row>
    <row r="188" spans="16:16" x14ac:dyDescent="0.2">
      <c r="P188" s="75"/>
    </row>
    <row r="189" spans="16:16" x14ac:dyDescent="0.2">
      <c r="P189" s="75"/>
    </row>
    <row r="190" spans="16:16" x14ac:dyDescent="0.2">
      <c r="P190" s="75"/>
    </row>
    <row r="191" spans="16:16" x14ac:dyDescent="0.2">
      <c r="P191" s="75"/>
    </row>
    <row r="192" spans="16:16" x14ac:dyDescent="0.2">
      <c r="P192" s="75"/>
    </row>
    <row r="193" spans="16:16" x14ac:dyDescent="0.2">
      <c r="P193" s="75"/>
    </row>
    <row r="194" spans="16:16" x14ac:dyDescent="0.2">
      <c r="P194" s="75"/>
    </row>
    <row r="195" spans="16:16" x14ac:dyDescent="0.2">
      <c r="P195" s="75"/>
    </row>
    <row r="196" spans="16:16" x14ac:dyDescent="0.2">
      <c r="P196" s="75"/>
    </row>
    <row r="197" spans="16:16" x14ac:dyDescent="0.2">
      <c r="P197" s="75"/>
    </row>
    <row r="198" spans="16:16" x14ac:dyDescent="0.2">
      <c r="P198" s="75"/>
    </row>
    <row r="199" spans="16:16" x14ac:dyDescent="0.2">
      <c r="P199" s="75"/>
    </row>
    <row r="200" spans="16:16" x14ac:dyDescent="0.2">
      <c r="P200" s="75"/>
    </row>
    <row r="201" spans="16:16" x14ac:dyDescent="0.2">
      <c r="P201" s="75"/>
    </row>
    <row r="202" spans="16:16" x14ac:dyDescent="0.2">
      <c r="P202" s="75"/>
    </row>
    <row r="203" spans="16:16" x14ac:dyDescent="0.2">
      <c r="P203" s="75"/>
    </row>
    <row r="204" spans="16:16" x14ac:dyDescent="0.2">
      <c r="P204" s="75"/>
    </row>
    <row r="205" spans="16:16" x14ac:dyDescent="0.2">
      <c r="P205" s="75"/>
    </row>
    <row r="206" spans="16:16" x14ac:dyDescent="0.2">
      <c r="P206" s="75"/>
    </row>
    <row r="207" spans="16:16" x14ac:dyDescent="0.2">
      <c r="P207" s="75"/>
    </row>
    <row r="208" spans="16:16" x14ac:dyDescent="0.2">
      <c r="P208" s="75"/>
    </row>
    <row r="209" spans="16:16" x14ac:dyDescent="0.2">
      <c r="P209" s="75"/>
    </row>
    <row r="210" spans="16:16" x14ac:dyDescent="0.2">
      <c r="P210" s="75"/>
    </row>
    <row r="211" spans="16:16" x14ac:dyDescent="0.2">
      <c r="P211" s="75"/>
    </row>
    <row r="212" spans="16:16" x14ac:dyDescent="0.2">
      <c r="P212" s="75"/>
    </row>
    <row r="213" spans="16:16" x14ac:dyDescent="0.2">
      <c r="P213" s="75"/>
    </row>
    <row r="214" spans="16:16" x14ac:dyDescent="0.2">
      <c r="P214" s="75"/>
    </row>
    <row r="215" spans="16:16" x14ac:dyDescent="0.2">
      <c r="P215" s="75"/>
    </row>
    <row r="216" spans="16:16" x14ac:dyDescent="0.2">
      <c r="P216" s="75"/>
    </row>
    <row r="217" spans="16:16" x14ac:dyDescent="0.2">
      <c r="P217" s="75"/>
    </row>
    <row r="218" spans="16:16" x14ac:dyDescent="0.2">
      <c r="P218" s="75"/>
    </row>
    <row r="219" spans="16:16" x14ac:dyDescent="0.2">
      <c r="P219" s="75"/>
    </row>
    <row r="220" spans="16:16" x14ac:dyDescent="0.2">
      <c r="P220" s="75"/>
    </row>
    <row r="221" spans="16:16" x14ac:dyDescent="0.2">
      <c r="P221" s="75"/>
    </row>
    <row r="222" spans="16:16" x14ac:dyDescent="0.2">
      <c r="P222" s="75"/>
    </row>
    <row r="223" spans="16:16" x14ac:dyDescent="0.2">
      <c r="P223" s="75"/>
    </row>
    <row r="224" spans="16:16" x14ac:dyDescent="0.2">
      <c r="P224" s="75"/>
    </row>
    <row r="225" spans="16:16" x14ac:dyDescent="0.2">
      <c r="P225" s="75"/>
    </row>
    <row r="226" spans="16:16" x14ac:dyDescent="0.2">
      <c r="P226" s="75"/>
    </row>
    <row r="227" spans="16:16" x14ac:dyDescent="0.2">
      <c r="P227" s="75"/>
    </row>
    <row r="228" spans="16:16" x14ac:dyDescent="0.2">
      <c r="P228" s="75"/>
    </row>
    <row r="229" spans="16:16" x14ac:dyDescent="0.2">
      <c r="P229" s="75"/>
    </row>
    <row r="230" spans="16:16" x14ac:dyDescent="0.2">
      <c r="P230" s="75"/>
    </row>
    <row r="231" spans="16:16" x14ac:dyDescent="0.2">
      <c r="P231" s="75"/>
    </row>
    <row r="232" spans="16:16" x14ac:dyDescent="0.2">
      <c r="P232" s="75"/>
    </row>
    <row r="233" spans="16:16" x14ac:dyDescent="0.2">
      <c r="P233" s="75"/>
    </row>
    <row r="234" spans="16:16" x14ac:dyDescent="0.2">
      <c r="P234" s="75"/>
    </row>
    <row r="235" spans="16:16" x14ac:dyDescent="0.2">
      <c r="P235" s="75"/>
    </row>
    <row r="236" spans="16:16" x14ac:dyDescent="0.2">
      <c r="P236" s="75"/>
    </row>
    <row r="237" spans="16:16" x14ac:dyDescent="0.2">
      <c r="P237" s="75"/>
    </row>
    <row r="238" spans="16:16" x14ac:dyDescent="0.2">
      <c r="P238" s="75"/>
    </row>
    <row r="239" spans="16:16" x14ac:dyDescent="0.2">
      <c r="P239" s="75"/>
    </row>
    <row r="240" spans="16:16" x14ac:dyDescent="0.2">
      <c r="P240" s="75"/>
    </row>
    <row r="241" spans="16:16" x14ac:dyDescent="0.2">
      <c r="P241" s="75"/>
    </row>
    <row r="242" spans="16:16" x14ac:dyDescent="0.2">
      <c r="P242" s="75"/>
    </row>
    <row r="243" spans="16:16" x14ac:dyDescent="0.2">
      <c r="P243" s="75"/>
    </row>
    <row r="244" spans="16:16" x14ac:dyDescent="0.2">
      <c r="P244" s="75"/>
    </row>
    <row r="245" spans="16:16" x14ac:dyDescent="0.2">
      <c r="P245" s="75"/>
    </row>
    <row r="246" spans="16:16" x14ac:dyDescent="0.2">
      <c r="P246" s="75"/>
    </row>
    <row r="247" spans="16:16" x14ac:dyDescent="0.2">
      <c r="P247" s="75"/>
    </row>
    <row r="248" spans="16:16" x14ac:dyDescent="0.2">
      <c r="P248" s="75"/>
    </row>
    <row r="249" spans="16:16" x14ac:dyDescent="0.2">
      <c r="P249" s="75"/>
    </row>
    <row r="250" spans="16:16" x14ac:dyDescent="0.2">
      <c r="P250" s="75"/>
    </row>
    <row r="251" spans="16:16" x14ac:dyDescent="0.2">
      <c r="P251" s="75"/>
    </row>
    <row r="252" spans="16:16" x14ac:dyDescent="0.2">
      <c r="P252" s="75"/>
    </row>
    <row r="253" spans="16:16" x14ac:dyDescent="0.2">
      <c r="P253" s="75"/>
    </row>
    <row r="254" spans="16:16" x14ac:dyDescent="0.2">
      <c r="P254" s="75"/>
    </row>
    <row r="255" spans="16:16" x14ac:dyDescent="0.2">
      <c r="P255" s="75"/>
    </row>
    <row r="256" spans="16:16" x14ac:dyDescent="0.2">
      <c r="P256" s="75"/>
    </row>
    <row r="257" spans="16:16" x14ac:dyDescent="0.2">
      <c r="P257" s="75"/>
    </row>
    <row r="258" spans="16:16" x14ac:dyDescent="0.2">
      <c r="P258" s="75"/>
    </row>
    <row r="259" spans="16:16" x14ac:dyDescent="0.2">
      <c r="P259" s="75"/>
    </row>
    <row r="260" spans="16:16" x14ac:dyDescent="0.2">
      <c r="P260" s="75"/>
    </row>
    <row r="261" spans="16:16" x14ac:dyDescent="0.2">
      <c r="P261" s="75"/>
    </row>
    <row r="262" spans="16:16" x14ac:dyDescent="0.2">
      <c r="P262" s="75"/>
    </row>
    <row r="263" spans="16:16" x14ac:dyDescent="0.2">
      <c r="P263" s="75"/>
    </row>
    <row r="264" spans="16:16" x14ac:dyDescent="0.2">
      <c r="P264" s="75"/>
    </row>
    <row r="265" spans="16:16" x14ac:dyDescent="0.2">
      <c r="P265" s="75"/>
    </row>
    <row r="266" spans="16:16" x14ac:dyDescent="0.2">
      <c r="P266" s="75"/>
    </row>
    <row r="267" spans="16:16" x14ac:dyDescent="0.2">
      <c r="P267" s="75"/>
    </row>
    <row r="268" spans="16:16" x14ac:dyDescent="0.2">
      <c r="P268" s="75"/>
    </row>
    <row r="269" spans="16:16" x14ac:dyDescent="0.2">
      <c r="P269" s="75"/>
    </row>
    <row r="270" spans="16:16" x14ac:dyDescent="0.2">
      <c r="P270" s="75"/>
    </row>
    <row r="271" spans="16:16" x14ac:dyDescent="0.2">
      <c r="P271" s="75"/>
    </row>
    <row r="272" spans="16:16" x14ac:dyDescent="0.2">
      <c r="P272" s="75"/>
    </row>
    <row r="273" spans="16:16" x14ac:dyDescent="0.2">
      <c r="P273" s="75"/>
    </row>
    <row r="274" spans="16:16" x14ac:dyDescent="0.2">
      <c r="P274" s="75"/>
    </row>
    <row r="275" spans="16:16" x14ac:dyDescent="0.2">
      <c r="P275" s="75"/>
    </row>
    <row r="276" spans="16:16" x14ac:dyDescent="0.2">
      <c r="P276" s="75"/>
    </row>
    <row r="277" spans="16:16" x14ac:dyDescent="0.2">
      <c r="P277" s="75"/>
    </row>
    <row r="278" spans="16:16" x14ac:dyDescent="0.2">
      <c r="P278" s="75"/>
    </row>
    <row r="279" spans="16:16" x14ac:dyDescent="0.2">
      <c r="P279" s="75"/>
    </row>
    <row r="280" spans="16:16" x14ac:dyDescent="0.2">
      <c r="P280" s="75"/>
    </row>
    <row r="281" spans="16:16" x14ac:dyDescent="0.2">
      <c r="P281" s="75"/>
    </row>
    <row r="282" spans="16:16" x14ac:dyDescent="0.2">
      <c r="P282" s="75"/>
    </row>
    <row r="283" spans="16:16" x14ac:dyDescent="0.2">
      <c r="P283" s="75"/>
    </row>
    <row r="284" spans="16:16" x14ac:dyDescent="0.2">
      <c r="P284" s="75"/>
    </row>
    <row r="285" spans="16:16" x14ac:dyDescent="0.2">
      <c r="P285" s="75"/>
    </row>
    <row r="286" spans="16:16" x14ac:dyDescent="0.2">
      <c r="P286" s="75"/>
    </row>
    <row r="287" spans="16:16" x14ac:dyDescent="0.2">
      <c r="P287" s="75"/>
    </row>
    <row r="288" spans="16:16" x14ac:dyDescent="0.2">
      <c r="P288" s="75"/>
    </row>
    <row r="289" spans="16:16" x14ac:dyDescent="0.2">
      <c r="P289" s="75"/>
    </row>
    <row r="290" spans="16:16" x14ac:dyDescent="0.2">
      <c r="P290" s="75"/>
    </row>
    <row r="291" spans="16:16" x14ac:dyDescent="0.2">
      <c r="P291" s="75"/>
    </row>
    <row r="292" spans="16:16" x14ac:dyDescent="0.2">
      <c r="P292" s="75"/>
    </row>
    <row r="293" spans="16:16" x14ac:dyDescent="0.2">
      <c r="P293" s="75"/>
    </row>
    <row r="294" spans="16:16" x14ac:dyDescent="0.2">
      <c r="P294" s="75"/>
    </row>
    <row r="295" spans="16:16" x14ac:dyDescent="0.2">
      <c r="P295" s="75"/>
    </row>
    <row r="296" spans="16:16" x14ac:dyDescent="0.2">
      <c r="P296" s="75"/>
    </row>
    <row r="297" spans="16:16" x14ac:dyDescent="0.2">
      <c r="P297" s="75"/>
    </row>
    <row r="298" spans="16:16" x14ac:dyDescent="0.2">
      <c r="P298" s="75"/>
    </row>
    <row r="299" spans="16:16" x14ac:dyDescent="0.2">
      <c r="P299" s="75"/>
    </row>
    <row r="300" spans="16:16" x14ac:dyDescent="0.2">
      <c r="P300" s="75"/>
    </row>
    <row r="301" spans="16:16" x14ac:dyDescent="0.2">
      <c r="P301" s="75"/>
    </row>
    <row r="302" spans="16:16" x14ac:dyDescent="0.2">
      <c r="P302" s="75"/>
    </row>
    <row r="303" spans="16:16" x14ac:dyDescent="0.2">
      <c r="P303" s="75"/>
    </row>
    <row r="304" spans="16:16" x14ac:dyDescent="0.2">
      <c r="P304" s="75"/>
    </row>
    <row r="305" spans="16:16" x14ac:dyDescent="0.2">
      <c r="P305" s="75"/>
    </row>
    <row r="306" spans="16:16" x14ac:dyDescent="0.2">
      <c r="P306" s="75"/>
    </row>
    <row r="307" spans="16:16" x14ac:dyDescent="0.2">
      <c r="P307" s="75"/>
    </row>
    <row r="308" spans="16:16" x14ac:dyDescent="0.2">
      <c r="P308" s="75"/>
    </row>
    <row r="309" spans="16:16" x14ac:dyDescent="0.2">
      <c r="P309" s="75"/>
    </row>
    <row r="310" spans="16:16" x14ac:dyDescent="0.2">
      <c r="P310" s="75"/>
    </row>
    <row r="311" spans="16:16" x14ac:dyDescent="0.2">
      <c r="P311" s="75"/>
    </row>
    <row r="312" spans="16:16" x14ac:dyDescent="0.2">
      <c r="P312" s="75"/>
    </row>
    <row r="313" spans="16:16" x14ac:dyDescent="0.2">
      <c r="P313" s="75"/>
    </row>
    <row r="314" spans="16:16" x14ac:dyDescent="0.2">
      <c r="P314" s="75"/>
    </row>
    <row r="315" spans="16:16" x14ac:dyDescent="0.2">
      <c r="P315" s="75"/>
    </row>
    <row r="316" spans="16:16" x14ac:dyDescent="0.2">
      <c r="P316" s="75"/>
    </row>
    <row r="317" spans="16:16" x14ac:dyDescent="0.2">
      <c r="P317" s="75"/>
    </row>
    <row r="318" spans="16:16" x14ac:dyDescent="0.2">
      <c r="P318" s="75"/>
    </row>
    <row r="319" spans="16:16" x14ac:dyDescent="0.2">
      <c r="P319" s="75"/>
    </row>
    <row r="320" spans="16:16" x14ac:dyDescent="0.2">
      <c r="P320" s="75"/>
    </row>
    <row r="321" spans="16:16" x14ac:dyDescent="0.2">
      <c r="P321" s="75"/>
    </row>
    <row r="322" spans="16:16" x14ac:dyDescent="0.2">
      <c r="P322" s="75"/>
    </row>
    <row r="323" spans="16:16" x14ac:dyDescent="0.2">
      <c r="P323" s="75"/>
    </row>
    <row r="324" spans="16:16" x14ac:dyDescent="0.2">
      <c r="P324" s="75"/>
    </row>
    <row r="325" spans="16:16" x14ac:dyDescent="0.2">
      <c r="P325" s="75"/>
    </row>
    <row r="326" spans="16:16" x14ac:dyDescent="0.2">
      <c r="P326" s="75"/>
    </row>
    <row r="327" spans="16:16" x14ac:dyDescent="0.2">
      <c r="P327" s="75"/>
    </row>
    <row r="328" spans="16:16" x14ac:dyDescent="0.2">
      <c r="P328" s="75"/>
    </row>
    <row r="329" spans="16:16" x14ac:dyDescent="0.2">
      <c r="P329" s="75"/>
    </row>
    <row r="330" spans="16:16" x14ac:dyDescent="0.2">
      <c r="P330" s="75"/>
    </row>
    <row r="331" spans="16:16" x14ac:dyDescent="0.2">
      <c r="P331" s="75"/>
    </row>
    <row r="332" spans="16:16" x14ac:dyDescent="0.2">
      <c r="P332" s="75"/>
    </row>
    <row r="333" spans="16:16" x14ac:dyDescent="0.2">
      <c r="P333" s="75"/>
    </row>
    <row r="334" spans="16:16" x14ac:dyDescent="0.2">
      <c r="P334" s="75"/>
    </row>
    <row r="335" spans="16:16" x14ac:dyDescent="0.2">
      <c r="P335" s="75"/>
    </row>
    <row r="336" spans="16:16" x14ac:dyDescent="0.2">
      <c r="P336" s="75"/>
    </row>
    <row r="337" spans="16:16" x14ac:dyDescent="0.2">
      <c r="P337" s="75"/>
    </row>
    <row r="338" spans="16:16" x14ac:dyDescent="0.2">
      <c r="P338" s="75"/>
    </row>
    <row r="339" spans="16:16" x14ac:dyDescent="0.2">
      <c r="P339" s="75"/>
    </row>
    <row r="340" spans="16:16" x14ac:dyDescent="0.2">
      <c r="P340" s="75"/>
    </row>
    <row r="341" spans="16:16" x14ac:dyDescent="0.2">
      <c r="P341" s="75"/>
    </row>
    <row r="342" spans="16:16" x14ac:dyDescent="0.2">
      <c r="P342" s="75"/>
    </row>
    <row r="343" spans="16:16" x14ac:dyDescent="0.2">
      <c r="P343" s="75"/>
    </row>
    <row r="344" spans="16:16" x14ac:dyDescent="0.2">
      <c r="P344" s="75"/>
    </row>
    <row r="345" spans="16:16" x14ac:dyDescent="0.2">
      <c r="P345" s="75"/>
    </row>
    <row r="346" spans="16:16" x14ac:dyDescent="0.2">
      <c r="P346" s="75"/>
    </row>
    <row r="347" spans="16:16" x14ac:dyDescent="0.2">
      <c r="P347" s="75"/>
    </row>
    <row r="348" spans="16:16" x14ac:dyDescent="0.2">
      <c r="P348" s="75"/>
    </row>
    <row r="349" spans="16:16" x14ac:dyDescent="0.2">
      <c r="P349" s="75"/>
    </row>
    <row r="350" spans="16:16" x14ac:dyDescent="0.2">
      <c r="P350" s="75"/>
    </row>
    <row r="351" spans="16:16" x14ac:dyDescent="0.2">
      <c r="P351" s="75"/>
    </row>
    <row r="352" spans="16:16" x14ac:dyDescent="0.2">
      <c r="P352" s="75"/>
    </row>
    <row r="353" spans="16:16" x14ac:dyDescent="0.2">
      <c r="P353" s="75"/>
    </row>
    <row r="354" spans="16:16" x14ac:dyDescent="0.2">
      <c r="P354" s="75"/>
    </row>
    <row r="355" spans="16:16" x14ac:dyDescent="0.2">
      <c r="P355" s="75"/>
    </row>
    <row r="356" spans="16:16" x14ac:dyDescent="0.2">
      <c r="P356" s="75"/>
    </row>
    <row r="357" spans="16:16" x14ac:dyDescent="0.2">
      <c r="P357" s="75"/>
    </row>
    <row r="358" spans="16:16" x14ac:dyDescent="0.2">
      <c r="P358" s="75"/>
    </row>
    <row r="359" spans="16:16" x14ac:dyDescent="0.2">
      <c r="P359" s="75"/>
    </row>
    <row r="360" spans="16:16" x14ac:dyDescent="0.2">
      <c r="P360" s="75"/>
    </row>
    <row r="361" spans="16:16" x14ac:dyDescent="0.2">
      <c r="P361" s="75"/>
    </row>
    <row r="362" spans="16:16" x14ac:dyDescent="0.2">
      <c r="P362" s="75"/>
    </row>
    <row r="363" spans="16:16" x14ac:dyDescent="0.2">
      <c r="P363" s="75"/>
    </row>
    <row r="364" spans="16:16" x14ac:dyDescent="0.2">
      <c r="P364" s="75"/>
    </row>
    <row r="365" spans="16:16" x14ac:dyDescent="0.2">
      <c r="P365" s="75"/>
    </row>
    <row r="366" spans="16:16" x14ac:dyDescent="0.2">
      <c r="P366" s="75"/>
    </row>
    <row r="367" spans="16:16" x14ac:dyDescent="0.2">
      <c r="P367" s="75"/>
    </row>
    <row r="368" spans="16:16" x14ac:dyDescent="0.2">
      <c r="P368" s="75"/>
    </row>
    <row r="369" spans="16:16" x14ac:dyDescent="0.2">
      <c r="P369" s="75"/>
    </row>
    <row r="370" spans="16:16" x14ac:dyDescent="0.2">
      <c r="P370" s="75"/>
    </row>
    <row r="371" spans="16:16" x14ac:dyDescent="0.2">
      <c r="P371" s="75"/>
    </row>
    <row r="372" spans="16:16" x14ac:dyDescent="0.2">
      <c r="P372" s="75"/>
    </row>
    <row r="373" spans="16:16" x14ac:dyDescent="0.2">
      <c r="P373" s="75"/>
    </row>
    <row r="374" spans="16:16" x14ac:dyDescent="0.2">
      <c r="P374" s="75"/>
    </row>
    <row r="375" spans="16:16" x14ac:dyDescent="0.2">
      <c r="P375" s="75"/>
    </row>
    <row r="376" spans="16:16" x14ac:dyDescent="0.2">
      <c r="P376" s="75"/>
    </row>
    <row r="377" spans="16:16" x14ac:dyDescent="0.2">
      <c r="P377" s="75"/>
    </row>
    <row r="378" spans="16:16" x14ac:dyDescent="0.2">
      <c r="P378" s="75"/>
    </row>
    <row r="379" spans="16:16" x14ac:dyDescent="0.2">
      <c r="P379" s="75"/>
    </row>
    <row r="380" spans="16:16" x14ac:dyDescent="0.2">
      <c r="P380" s="75"/>
    </row>
    <row r="381" spans="16:16" x14ac:dyDescent="0.2">
      <c r="P381" s="75"/>
    </row>
    <row r="382" spans="16:16" x14ac:dyDescent="0.2">
      <c r="P382" s="75"/>
    </row>
  </sheetData>
  <mergeCells count="1">
    <mergeCell ref="S3:T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DEB8-ACCC-994D-B03B-664A2DF9F1F8}">
  <dimension ref="A1:H32"/>
  <sheetViews>
    <sheetView showGridLines="0" topLeftCell="A2" zoomScale="193" workbookViewId="0">
      <pane ySplit="1" topLeftCell="A3" activePane="bottomLeft" state="frozen"/>
      <selection activeCell="A2" sqref="A2"/>
      <selection pane="bottomLeft" activeCell="C3" sqref="C3"/>
    </sheetView>
  </sheetViews>
  <sheetFormatPr baseColWidth="10" defaultRowHeight="15" x14ac:dyDescent="0.2"/>
  <cols>
    <col min="1" max="1" width="2" bestFit="1" customWidth="1"/>
    <col min="2" max="2" width="6.6640625" customWidth="1"/>
    <col min="3" max="3" width="25" customWidth="1"/>
    <col min="4" max="4" width="12.6640625" bestFit="1" customWidth="1"/>
    <col min="6" max="6" width="25.1640625" bestFit="1" customWidth="1"/>
    <col min="8" max="8" width="10.1640625" customWidth="1"/>
  </cols>
  <sheetData>
    <row r="1" spans="1:8" x14ac:dyDescent="0.2">
      <c r="A1" t="s">
        <v>0</v>
      </c>
    </row>
    <row r="2" spans="1:8" x14ac:dyDescent="0.2">
      <c r="B2" s="16" t="s">
        <v>1</v>
      </c>
      <c r="C2" s="16" t="s">
        <v>189</v>
      </c>
      <c r="D2" s="16" t="s">
        <v>20</v>
      </c>
    </row>
    <row r="3" spans="1:8" x14ac:dyDescent="0.2">
      <c r="B3" s="1">
        <v>2000</v>
      </c>
      <c r="C3" s="61">
        <v>4934.8500000000004</v>
      </c>
      <c r="D3" s="7"/>
      <c r="F3" s="4" t="s">
        <v>196</v>
      </c>
      <c r="G3" s="12">
        <v>20</v>
      </c>
      <c r="H3" s="73">
        <f>_xlfn.RRI(G3,C8,$C$27)</f>
        <v>3.6699846846871553E-2</v>
      </c>
    </row>
    <row r="4" spans="1:8" x14ac:dyDescent="0.2">
      <c r="B4" s="1">
        <v>2001</v>
      </c>
      <c r="C4" s="61">
        <v>3887.48</v>
      </c>
      <c r="D4" s="7">
        <f t="shared" ref="D4:D29" si="0">C4/C3-1</f>
        <v>-0.21223948043000296</v>
      </c>
      <c r="G4" s="10"/>
    </row>
    <row r="5" spans="1:8" x14ac:dyDescent="0.2">
      <c r="B5" s="1">
        <v>2002</v>
      </c>
      <c r="C5" s="61">
        <v>2141.7800000000002</v>
      </c>
      <c r="D5" s="7">
        <f t="shared" si="0"/>
        <v>-0.4490569726403737</v>
      </c>
      <c r="F5" s="4" t="str">
        <f>$F$3</f>
        <v>CAGR DE 40 Kursindex Returns -</v>
      </c>
      <c r="G5" s="12">
        <v>15</v>
      </c>
      <c r="H5" s="13">
        <f>_xlfn.RRI(G5,C13,$C$27)</f>
        <v>4.3234071005993524E-2</v>
      </c>
    </row>
    <row r="6" spans="1:8" x14ac:dyDescent="0.2">
      <c r="B6" s="1">
        <v>2003</v>
      </c>
      <c r="C6" s="61">
        <v>2857.84</v>
      </c>
      <c r="D6" s="7">
        <f t="shared" si="0"/>
        <v>0.33432938957315872</v>
      </c>
      <c r="G6" s="10"/>
    </row>
    <row r="7" spans="1:8" x14ac:dyDescent="0.2">
      <c r="B7" s="1">
        <v>2004</v>
      </c>
      <c r="C7" s="61">
        <v>3004.65</v>
      </c>
      <c r="D7" s="7">
        <f t="shared" si="0"/>
        <v>5.1370965484421882E-2</v>
      </c>
      <c r="F7" s="4" t="str">
        <f>$F$3</f>
        <v>CAGR DE 40 Kursindex Returns -</v>
      </c>
      <c r="G7" s="12">
        <v>10</v>
      </c>
      <c r="H7" s="13">
        <f>_xlfn.RRI(G7,C18,$C$27)</f>
        <v>3.5610718645456174E-2</v>
      </c>
    </row>
    <row r="8" spans="1:8" x14ac:dyDescent="0.2">
      <c r="B8" s="1">
        <v>2005</v>
      </c>
      <c r="C8" s="61">
        <v>3719.79</v>
      </c>
      <c r="D8" s="7">
        <f t="shared" si="0"/>
        <v>0.23801108282162642</v>
      </c>
      <c r="G8" s="10"/>
    </row>
    <row r="9" spans="1:8" x14ac:dyDescent="0.2">
      <c r="B9" s="1">
        <v>2006</v>
      </c>
      <c r="C9" s="61">
        <v>4429.01</v>
      </c>
      <c r="D9" s="7">
        <f t="shared" si="0"/>
        <v>0.19066130077235544</v>
      </c>
      <c r="F9" s="4" t="str">
        <f>$F$3</f>
        <v>CAGR DE 40 Kursindex Returns -</v>
      </c>
      <c r="G9" s="12">
        <v>7</v>
      </c>
      <c r="H9" s="13">
        <f>_xlfn.RRI(G9,C21,$C$27)</f>
        <v>6.68410617784021E-2</v>
      </c>
    </row>
    <row r="10" spans="1:8" x14ac:dyDescent="0.2">
      <c r="B10" s="1">
        <v>2007</v>
      </c>
      <c r="C10" s="61">
        <v>5277.23</v>
      </c>
      <c r="D10" s="7">
        <f t="shared" si="0"/>
        <v>0.19151458226556262</v>
      </c>
      <c r="G10" s="10"/>
    </row>
    <row r="11" spans="1:8" x14ac:dyDescent="0.2">
      <c r="B11" s="1">
        <v>2008</v>
      </c>
      <c r="C11" s="61">
        <v>3041.6</v>
      </c>
      <c r="D11" s="7">
        <f t="shared" si="0"/>
        <v>-0.42363702169509376</v>
      </c>
      <c r="F11" s="4" t="str">
        <f>$F$3</f>
        <v>CAGR DE 40 Kursindex Returns -</v>
      </c>
      <c r="G11" s="12">
        <v>5</v>
      </c>
      <c r="H11" s="13">
        <f>_xlfn.RRI(G11,C23,$C$27)</f>
        <v>5.2030807260709633E-2</v>
      </c>
    </row>
    <row r="12" spans="1:8" x14ac:dyDescent="0.2">
      <c r="B12" s="1">
        <v>2009</v>
      </c>
      <c r="C12" s="61">
        <v>3604.02</v>
      </c>
      <c r="D12" s="7">
        <f t="shared" si="0"/>
        <v>0.18490925828511307</v>
      </c>
    </row>
    <row r="13" spans="1:8" x14ac:dyDescent="0.2">
      <c r="B13" s="1">
        <v>2010</v>
      </c>
      <c r="C13" s="61">
        <v>4053.71</v>
      </c>
      <c r="D13" s="7">
        <f t="shared" si="0"/>
        <v>0.12477455729990394</v>
      </c>
    </row>
    <row r="14" spans="1:8" x14ac:dyDescent="0.2">
      <c r="B14" s="1">
        <v>2011</v>
      </c>
      <c r="C14" s="61">
        <v>3346.06</v>
      </c>
      <c r="D14" s="7">
        <f t="shared" si="0"/>
        <v>-0.1745684817118146</v>
      </c>
      <c r="H14" t="s">
        <v>22</v>
      </c>
    </row>
    <row r="15" spans="1:8" x14ac:dyDescent="0.2">
      <c r="B15" s="1">
        <v>2012</v>
      </c>
      <c r="C15" s="61">
        <v>4161.3</v>
      </c>
      <c r="D15" s="7">
        <f t="shared" si="0"/>
        <v>0.24364177570037593</v>
      </c>
    </row>
    <row r="16" spans="1:8" x14ac:dyDescent="0.2">
      <c r="B16" s="1">
        <v>2013</v>
      </c>
      <c r="C16" s="61">
        <v>5051.8900000000003</v>
      </c>
      <c r="D16" s="7">
        <f t="shared" si="0"/>
        <v>0.21401725422343976</v>
      </c>
    </row>
    <row r="17" spans="2:8" x14ac:dyDescent="0.2">
      <c r="B17" s="1">
        <v>2014</v>
      </c>
      <c r="C17" s="61">
        <v>5044.71</v>
      </c>
      <c r="D17" s="7">
        <f t="shared" si="0"/>
        <v>-1.4212502647524827E-3</v>
      </c>
    </row>
    <row r="18" spans="2:8" x14ac:dyDescent="0.2">
      <c r="B18" s="1">
        <v>2015</v>
      </c>
      <c r="C18" s="61">
        <v>5390.31</v>
      </c>
      <c r="D18" s="7">
        <f t="shared" si="0"/>
        <v>6.8507406768674617E-2</v>
      </c>
    </row>
    <row r="19" spans="2:8" x14ac:dyDescent="0.2">
      <c r="B19" s="1">
        <v>2016</v>
      </c>
      <c r="C19" s="61">
        <v>5588.27</v>
      </c>
      <c r="D19" s="7">
        <f t="shared" si="0"/>
        <v>3.6725160519524902E-2</v>
      </c>
    </row>
    <row r="20" spans="2:8" x14ac:dyDescent="0.2">
      <c r="B20" s="1">
        <v>2017</v>
      </c>
      <c r="C20" s="61">
        <v>6122.26</v>
      </c>
      <c r="D20" s="7">
        <f t="shared" si="0"/>
        <v>9.555551181313704E-2</v>
      </c>
    </row>
    <row r="21" spans="2:8" x14ac:dyDescent="0.2">
      <c r="B21" s="1">
        <v>2018</v>
      </c>
      <c r="C21" s="61">
        <v>4862.74</v>
      </c>
      <c r="D21" s="7">
        <f t="shared" si="0"/>
        <v>-0.20572795013606093</v>
      </c>
    </row>
    <row r="22" spans="2:8" x14ac:dyDescent="0.2">
      <c r="B22" s="1">
        <v>2019</v>
      </c>
      <c r="C22" s="61">
        <v>5909.66</v>
      </c>
      <c r="D22" s="7">
        <f t="shared" si="0"/>
        <v>0.21529425796978652</v>
      </c>
    </row>
    <row r="23" spans="2:8" x14ac:dyDescent="0.2">
      <c r="B23" s="1">
        <v>2020</v>
      </c>
      <c r="C23" s="61">
        <v>5935.22</v>
      </c>
      <c r="D23" s="7">
        <f t="shared" si="0"/>
        <v>4.3251219190274526E-3</v>
      </c>
      <c r="H23" t="s">
        <v>10</v>
      </c>
    </row>
    <row r="24" spans="2:8" x14ac:dyDescent="0.2">
      <c r="B24" s="1">
        <v>2021</v>
      </c>
      <c r="C24" s="61">
        <v>6709.66</v>
      </c>
      <c r="D24" s="7">
        <f t="shared" si="0"/>
        <v>0.13048210512836933</v>
      </c>
    </row>
    <row r="25" spans="2:8" x14ac:dyDescent="0.2">
      <c r="B25" s="1">
        <v>2022</v>
      </c>
      <c r="C25" s="61">
        <v>5692.03</v>
      </c>
      <c r="D25" s="7">
        <f t="shared" si="0"/>
        <v>-0.15166640336470105</v>
      </c>
    </row>
    <row r="26" spans="2:8" x14ac:dyDescent="0.2">
      <c r="B26" s="1">
        <v>2023</v>
      </c>
      <c r="C26" s="61">
        <v>6628.85</v>
      </c>
      <c r="D26" s="7">
        <f t="shared" si="0"/>
        <v>0.16458451554190701</v>
      </c>
    </row>
    <row r="27" spans="2:8" x14ac:dyDescent="0.2">
      <c r="B27" s="1">
        <v>2024</v>
      </c>
      <c r="C27" s="61">
        <v>7648.55</v>
      </c>
      <c r="D27" s="7">
        <f t="shared" si="0"/>
        <v>0.15382758698718479</v>
      </c>
    </row>
    <row r="28" spans="2:8" x14ac:dyDescent="0.2">
      <c r="B28" s="54">
        <v>2025</v>
      </c>
      <c r="C28" s="61">
        <v>9175.1299999999992</v>
      </c>
      <c r="D28" s="7">
        <f t="shared" si="0"/>
        <v>0.19959077210713128</v>
      </c>
    </row>
    <row r="29" spans="2:8" x14ac:dyDescent="0.2">
      <c r="B29">
        <v>2026</v>
      </c>
      <c r="C29" s="61">
        <v>9337</v>
      </c>
      <c r="D29" s="7">
        <f t="shared" si="0"/>
        <v>1.7642256839957682E-2</v>
      </c>
    </row>
    <row r="30" spans="2:8" x14ac:dyDescent="0.2">
      <c r="C30" s="56"/>
      <c r="D30" s="57"/>
    </row>
    <row r="31" spans="2:8" x14ac:dyDescent="0.2">
      <c r="B31" t="s">
        <v>185</v>
      </c>
    </row>
    <row r="32" spans="2:8" x14ac:dyDescent="0.2">
      <c r="B32" t="s">
        <v>191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B247-3849-8846-B395-2EAFA8AF4E39}">
  <dimension ref="A1:M6983"/>
  <sheetViews>
    <sheetView showGridLines="0" topLeftCell="A2" zoomScale="85" workbookViewId="0">
      <pane ySplit="1" topLeftCell="A3" activePane="bottomLeft" state="frozen"/>
      <selection activeCell="A2" sqref="A2"/>
      <selection pane="bottomLeft" activeCell="Q5" sqref="Q5"/>
    </sheetView>
  </sheetViews>
  <sheetFormatPr baseColWidth="10" defaultRowHeight="15" x14ac:dyDescent="0.2"/>
  <cols>
    <col min="1" max="1" width="2" bestFit="1" customWidth="1"/>
    <col min="2" max="2" width="8.5" bestFit="1" customWidth="1"/>
    <col min="3" max="3" width="12.5" bestFit="1" customWidth="1"/>
    <col min="4" max="4" width="10.6640625" bestFit="1" customWidth="1"/>
    <col min="7" max="7" width="6.6640625" customWidth="1"/>
    <col min="8" max="8" width="32.33203125" customWidth="1"/>
    <col min="9" max="9" width="12.6640625" bestFit="1" customWidth="1"/>
    <col min="11" max="11" width="27.5" bestFit="1" customWidth="1"/>
    <col min="13" max="13" width="10.1640625" customWidth="1"/>
  </cols>
  <sheetData>
    <row r="1" spans="1:13" x14ac:dyDescent="0.2">
      <c r="A1" t="s">
        <v>0</v>
      </c>
    </row>
    <row r="2" spans="1:13" x14ac:dyDescent="0.2">
      <c r="B2" s="53" t="s">
        <v>6</v>
      </c>
      <c r="C2" s="4" t="s">
        <v>7</v>
      </c>
      <c r="D2" s="4" t="s">
        <v>9</v>
      </c>
      <c r="G2" s="16" t="s">
        <v>1</v>
      </c>
      <c r="H2" s="16" t="s">
        <v>190</v>
      </c>
      <c r="I2" s="16" t="s">
        <v>20</v>
      </c>
    </row>
    <row r="3" spans="1:13" x14ac:dyDescent="0.2">
      <c r="B3" s="2">
        <v>35797</v>
      </c>
      <c r="C3" s="61">
        <v>4364.32</v>
      </c>
      <c r="D3" s="3"/>
      <c r="G3" s="15">
        <v>2001</v>
      </c>
      <c r="H3" s="66">
        <f>_xlfn.MAXIFS($C$3:$C$6983,$B$3:$B$6983,"&gt;="&amp;DATE(G3,12,28),$B$3:$B$6983,"&lt;="&amp;DATE(G3,12,31))</f>
        <v>5160.1000000000004</v>
      </c>
      <c r="I3" s="7"/>
    </row>
    <row r="4" spans="1:13" x14ac:dyDescent="0.2">
      <c r="B4" s="2">
        <v>35800</v>
      </c>
      <c r="C4" s="61">
        <v>4416.95</v>
      </c>
      <c r="D4" s="3">
        <f>C4/C3-1</f>
        <v>1.205915239945754E-2</v>
      </c>
      <c r="G4" s="1">
        <f>G3+1</f>
        <v>2002</v>
      </c>
      <c r="H4" s="66">
        <f t="shared" ref="H4:H27" si="0">_xlfn.MAXIFS($C$3:$C$6983,$B$3:$B$6983,"&gt;="&amp;DATE(G4,12,28),$B$3:$B$6983,"&lt;="&amp;DATE(G4,12,31))</f>
        <v>2892.63</v>
      </c>
      <c r="I4" s="7">
        <f>H4/H3-1</f>
        <v>-0.43942365458033761</v>
      </c>
      <c r="K4" s="4" t="s">
        <v>195</v>
      </c>
      <c r="L4" s="12">
        <v>20</v>
      </c>
      <c r="M4" s="73">
        <f>_xlfn.RRI(L4,H8,$H$27)</f>
        <v>6.7661997197161927E-2</v>
      </c>
    </row>
    <row r="5" spans="1:13" x14ac:dyDescent="0.2">
      <c r="B5" s="2">
        <v>35801</v>
      </c>
      <c r="C5" s="61">
        <v>4360.05</v>
      </c>
      <c r="D5" s="3">
        <f t="shared" ref="D5:D68" si="1">C5/C4-1</f>
        <v>-1.2882192463124942E-2</v>
      </c>
      <c r="E5" s="5"/>
      <c r="G5" s="1">
        <f>G4+1</f>
        <v>2003</v>
      </c>
      <c r="H5" s="66">
        <f t="shared" si="0"/>
        <v>3965.16</v>
      </c>
      <c r="I5" s="7">
        <f t="shared" ref="I5:I27" si="2">H5/H4-1</f>
        <v>0.37078022422501311</v>
      </c>
      <c r="L5" s="10"/>
    </row>
    <row r="6" spans="1:13" x14ac:dyDescent="0.2">
      <c r="B6" s="2">
        <v>35802</v>
      </c>
      <c r="C6" s="61">
        <v>4339.9799999999996</v>
      </c>
      <c r="D6" s="3">
        <f t="shared" si="1"/>
        <v>-4.6031582206627064E-3</v>
      </c>
      <c r="E6" s="5"/>
      <c r="G6" s="1">
        <f t="shared" ref="G6:G27" si="3">G5+1</f>
        <v>2004</v>
      </c>
      <c r="H6" s="66">
        <f t="shared" si="0"/>
        <v>4261.79</v>
      </c>
      <c r="I6" s="7">
        <f t="shared" si="2"/>
        <v>7.480908714906831E-2</v>
      </c>
      <c r="K6" s="4" t="str">
        <f>$K$4</f>
        <v>CAGR DE 40 Performance Returns -</v>
      </c>
      <c r="L6" s="12">
        <v>15</v>
      </c>
      <c r="M6" s="73">
        <f>_xlfn.RRI(L6,H13,$H$27)</f>
        <v>9.9556882005881198E-2</v>
      </c>
    </row>
    <row r="7" spans="1:13" x14ac:dyDescent="0.2">
      <c r="B7" s="2">
        <v>35803</v>
      </c>
      <c r="C7" s="61">
        <v>4293.6400000000003</v>
      </c>
      <c r="D7" s="3">
        <f t="shared" si="1"/>
        <v>-1.0677468559762815E-2</v>
      </c>
      <c r="E7" s="5"/>
      <c r="G7" s="1">
        <f t="shared" si="3"/>
        <v>2005</v>
      </c>
      <c r="H7" s="66">
        <f t="shared" si="0"/>
        <v>5458.58</v>
      </c>
      <c r="I7" s="7">
        <f t="shared" si="2"/>
        <v>0.28081862316069062</v>
      </c>
      <c r="L7" s="10"/>
    </row>
    <row r="8" spans="1:13" x14ac:dyDescent="0.2">
      <c r="B8" s="2">
        <v>35804</v>
      </c>
      <c r="C8" s="61">
        <v>4237.75</v>
      </c>
      <c r="D8" s="3">
        <f t="shared" si="1"/>
        <v>-1.3016927362331288E-2</v>
      </c>
      <c r="E8" s="5"/>
      <c r="G8" s="1">
        <f t="shared" si="3"/>
        <v>2006</v>
      </c>
      <c r="H8" s="66">
        <f t="shared" si="0"/>
        <v>6611.81</v>
      </c>
      <c r="I8" s="7">
        <f t="shared" si="2"/>
        <v>0.21126923119199503</v>
      </c>
      <c r="K8" s="4" t="str">
        <f>$K$4</f>
        <v>CAGR DE 40 Performance Returns -</v>
      </c>
      <c r="L8" s="12">
        <v>10</v>
      </c>
      <c r="M8" s="73">
        <f>_xlfn.RRI(L8,H18,$H$27)</f>
        <v>7.8701808683156127E-2</v>
      </c>
    </row>
    <row r="9" spans="1:13" x14ac:dyDescent="0.2">
      <c r="B9" s="2">
        <v>35807</v>
      </c>
      <c r="C9" s="61">
        <v>4134.6400000000003</v>
      </c>
      <c r="D9" s="3">
        <f t="shared" si="1"/>
        <v>-2.4331307887440201E-2</v>
      </c>
      <c r="E9" s="5"/>
      <c r="G9" s="1">
        <f t="shared" si="3"/>
        <v>2007</v>
      </c>
      <c r="H9" s="66">
        <f t="shared" si="0"/>
        <v>8067.32</v>
      </c>
      <c r="I9" s="7">
        <f t="shared" si="2"/>
        <v>0.2201379047492289</v>
      </c>
      <c r="L9" s="10"/>
    </row>
    <row r="10" spans="1:13" x14ac:dyDescent="0.2">
      <c r="B10" s="2">
        <v>35808</v>
      </c>
      <c r="C10" s="61">
        <v>4150.01</v>
      </c>
      <c r="D10" s="3">
        <f t="shared" si="1"/>
        <v>3.7173732174988761E-3</v>
      </c>
      <c r="E10" s="5"/>
      <c r="G10" s="1">
        <f t="shared" si="3"/>
        <v>2008</v>
      </c>
      <c r="H10" s="66">
        <f t="shared" si="0"/>
        <v>4810.2</v>
      </c>
      <c r="I10" s="7">
        <f t="shared" si="2"/>
        <v>-0.40374250680523394</v>
      </c>
      <c r="K10" s="4" t="str">
        <f>$K$4</f>
        <v>CAGR DE 40 Performance Returns -</v>
      </c>
      <c r="L10" s="12">
        <v>7</v>
      </c>
      <c r="M10" s="73">
        <f>_xlfn.RRI(L10,H21,$H$27)</f>
        <v>9.1732124456746389E-2</v>
      </c>
    </row>
    <row r="11" spans="1:13" x14ac:dyDescent="0.2">
      <c r="B11" s="2">
        <v>35809</v>
      </c>
      <c r="C11" s="61">
        <v>4145.41</v>
      </c>
      <c r="D11" s="3">
        <f t="shared" si="1"/>
        <v>-1.1084310640215866E-3</v>
      </c>
      <c r="E11" s="5"/>
      <c r="G11" s="1">
        <f t="shared" si="3"/>
        <v>2009</v>
      </c>
      <c r="H11" s="66">
        <f t="shared" si="0"/>
        <v>6011.55</v>
      </c>
      <c r="I11" s="7">
        <f t="shared" si="2"/>
        <v>0.24975053012348769</v>
      </c>
      <c r="L11" s="10"/>
    </row>
    <row r="12" spans="1:13" x14ac:dyDescent="0.2">
      <c r="B12" s="2">
        <v>35810</v>
      </c>
      <c r="C12" s="61">
        <v>4140.22</v>
      </c>
      <c r="D12" s="3">
        <f t="shared" si="1"/>
        <v>-1.2519871375810121E-3</v>
      </c>
      <c r="E12" s="5"/>
      <c r="G12" s="1">
        <f t="shared" si="3"/>
        <v>2010</v>
      </c>
      <c r="H12" s="66">
        <f t="shared" si="0"/>
        <v>6995.47</v>
      </c>
      <c r="I12" s="7">
        <f t="shared" si="2"/>
        <v>0.1636715988389017</v>
      </c>
      <c r="K12" s="4" t="str">
        <f>$K$4</f>
        <v>CAGR DE 40 Performance Returns -</v>
      </c>
      <c r="L12" s="12">
        <v>5</v>
      </c>
      <c r="M12" s="73">
        <f>_xlfn.RRI(L12,H23,$H$27)</f>
        <v>8.9362696921629459E-2</v>
      </c>
    </row>
    <row r="13" spans="1:13" x14ac:dyDescent="0.2">
      <c r="B13" s="2">
        <v>35811</v>
      </c>
      <c r="C13" s="61">
        <v>4216.24</v>
      </c>
      <c r="D13" s="3">
        <f t="shared" si="1"/>
        <v>1.8361343117032414E-2</v>
      </c>
      <c r="E13" s="5"/>
      <c r="G13" s="1">
        <f t="shared" si="3"/>
        <v>2011</v>
      </c>
      <c r="H13" s="66">
        <f t="shared" si="0"/>
        <v>5898.35</v>
      </c>
      <c r="I13" s="7">
        <f t="shared" si="2"/>
        <v>-0.15683292187658582</v>
      </c>
    </row>
    <row r="14" spans="1:13" x14ac:dyDescent="0.2">
      <c r="B14" s="2">
        <v>35814</v>
      </c>
      <c r="C14" s="61">
        <v>4290.05</v>
      </c>
      <c r="D14" s="3">
        <f t="shared" si="1"/>
        <v>1.7506119196250891E-2</v>
      </c>
      <c r="E14" s="5"/>
      <c r="G14" s="1">
        <f t="shared" si="3"/>
        <v>2012</v>
      </c>
      <c r="H14" s="66">
        <f t="shared" si="0"/>
        <v>7612.39</v>
      </c>
      <c r="I14" s="7">
        <f t="shared" si="2"/>
        <v>0.29059652275636405</v>
      </c>
    </row>
    <row r="15" spans="1:13" x14ac:dyDescent="0.2">
      <c r="B15" s="2">
        <v>35815</v>
      </c>
      <c r="C15" s="61">
        <v>4310.83</v>
      </c>
      <c r="D15" s="3">
        <f t="shared" si="1"/>
        <v>4.8437663896689909E-3</v>
      </c>
      <c r="E15" s="5"/>
      <c r="G15" s="1">
        <f t="shared" si="3"/>
        <v>2013</v>
      </c>
      <c r="H15" s="66">
        <f t="shared" si="0"/>
        <v>9552.16</v>
      </c>
      <c r="I15" s="7">
        <f t="shared" si="2"/>
        <v>0.25481747519504383</v>
      </c>
      <c r="M15" t="s">
        <v>22</v>
      </c>
    </row>
    <row r="16" spans="1:13" x14ac:dyDescent="0.2">
      <c r="B16" s="2">
        <v>35816</v>
      </c>
      <c r="C16" s="61">
        <v>4250.47</v>
      </c>
      <c r="D16" s="3">
        <f t="shared" si="1"/>
        <v>-1.400194394118992E-2</v>
      </c>
      <c r="E16" s="5"/>
      <c r="G16" s="1">
        <f t="shared" si="3"/>
        <v>2014</v>
      </c>
      <c r="H16" s="66">
        <f t="shared" si="0"/>
        <v>9927.1299999999992</v>
      </c>
      <c r="I16" s="7">
        <f t="shared" si="2"/>
        <v>3.9254995728714714E-2</v>
      </c>
    </row>
    <row r="17" spans="2:13" x14ac:dyDescent="0.2">
      <c r="B17" s="2">
        <v>35817</v>
      </c>
      <c r="C17" s="61">
        <v>4238.7700000000004</v>
      </c>
      <c r="D17" s="3">
        <f t="shared" si="1"/>
        <v>-2.7526367672280339E-3</v>
      </c>
      <c r="E17" s="5"/>
      <c r="G17" s="1">
        <f t="shared" si="3"/>
        <v>2015</v>
      </c>
      <c r="H17" s="66">
        <f t="shared" si="0"/>
        <v>10860.14</v>
      </c>
      <c r="I17" s="7">
        <f t="shared" si="2"/>
        <v>9.3985875071647129E-2</v>
      </c>
    </row>
    <row r="18" spans="2:13" x14ac:dyDescent="0.2">
      <c r="B18" s="2">
        <v>35818</v>
      </c>
      <c r="C18" s="61">
        <v>4222.16</v>
      </c>
      <c r="D18" s="3">
        <f t="shared" si="1"/>
        <v>-3.9185895908484536E-3</v>
      </c>
      <c r="E18" s="5"/>
      <c r="G18" s="1">
        <f t="shared" si="3"/>
        <v>2016</v>
      </c>
      <c r="H18" s="66">
        <f t="shared" si="0"/>
        <v>11481.06</v>
      </c>
      <c r="I18" s="7">
        <f t="shared" si="2"/>
        <v>5.7174216906964448E-2</v>
      </c>
    </row>
    <row r="19" spans="2:13" x14ac:dyDescent="0.2">
      <c r="B19" s="2">
        <v>35821</v>
      </c>
      <c r="C19" s="61">
        <v>4266.34</v>
      </c>
      <c r="D19" s="3">
        <f t="shared" si="1"/>
        <v>1.0463838414460858E-2</v>
      </c>
      <c r="E19" s="5"/>
      <c r="G19" s="1">
        <f t="shared" si="3"/>
        <v>2017</v>
      </c>
      <c r="H19" s="66">
        <f t="shared" si="0"/>
        <v>12979.94</v>
      </c>
      <c r="I19" s="7">
        <f t="shared" si="2"/>
        <v>0.13055240543991586</v>
      </c>
    </row>
    <row r="20" spans="2:13" x14ac:dyDescent="0.2">
      <c r="B20" s="2">
        <v>35822</v>
      </c>
      <c r="C20" s="61">
        <v>4316.05</v>
      </c>
      <c r="D20" s="3">
        <f t="shared" si="1"/>
        <v>1.1651673331239509E-2</v>
      </c>
      <c r="E20" s="5"/>
      <c r="G20" s="1">
        <f t="shared" si="3"/>
        <v>2018</v>
      </c>
      <c r="H20" s="66">
        <f t="shared" si="0"/>
        <v>10558.96</v>
      </c>
      <c r="I20" s="7">
        <f t="shared" si="2"/>
        <v>-0.186517040910821</v>
      </c>
    </row>
    <row r="21" spans="2:13" x14ac:dyDescent="0.2">
      <c r="B21" s="2">
        <v>35823</v>
      </c>
      <c r="C21" s="61">
        <v>4385.29</v>
      </c>
      <c r="D21" s="3">
        <f t="shared" si="1"/>
        <v>1.6042446218185624E-2</v>
      </c>
      <c r="E21" s="5"/>
      <c r="G21" s="1">
        <f t="shared" si="3"/>
        <v>2019</v>
      </c>
      <c r="H21" s="66">
        <f t="shared" si="0"/>
        <v>13249.01</v>
      </c>
      <c r="I21" s="7">
        <f t="shared" si="2"/>
        <v>0.25476467379363132</v>
      </c>
    </row>
    <row r="22" spans="2:13" x14ac:dyDescent="0.2">
      <c r="B22" s="2">
        <v>35824</v>
      </c>
      <c r="C22" s="61">
        <v>4444.53</v>
      </c>
      <c r="D22" s="3">
        <f t="shared" si="1"/>
        <v>1.3508798733949057E-2</v>
      </c>
      <c r="E22" s="5"/>
      <c r="G22" s="1">
        <f t="shared" si="3"/>
        <v>2020</v>
      </c>
      <c r="H22" s="66">
        <f t="shared" si="0"/>
        <v>13790.29</v>
      </c>
      <c r="I22" s="7">
        <f t="shared" si="2"/>
        <v>4.0854373270153843E-2</v>
      </c>
    </row>
    <row r="23" spans="2:13" x14ac:dyDescent="0.2">
      <c r="B23" s="2">
        <v>35825</v>
      </c>
      <c r="C23" s="61">
        <v>4442.53</v>
      </c>
      <c r="D23" s="3">
        <f t="shared" si="1"/>
        <v>-4.4999133766676636E-4</v>
      </c>
      <c r="E23" s="5"/>
      <c r="G23" s="1">
        <f t="shared" si="3"/>
        <v>2021</v>
      </c>
      <c r="H23" s="66">
        <f t="shared" si="0"/>
        <v>15963.7</v>
      </c>
      <c r="I23" s="7">
        <f t="shared" si="2"/>
        <v>0.15760437235185054</v>
      </c>
    </row>
    <row r="24" spans="2:13" x14ac:dyDescent="0.2">
      <c r="B24" s="2">
        <v>35828</v>
      </c>
      <c r="C24" s="61">
        <v>4529.88</v>
      </c>
      <c r="D24" s="3">
        <f t="shared" si="1"/>
        <v>1.9662219501050071E-2</v>
      </c>
      <c r="E24" s="5"/>
      <c r="G24" s="1">
        <f t="shared" si="3"/>
        <v>2022</v>
      </c>
      <c r="H24" s="66">
        <f t="shared" si="0"/>
        <v>14071.72</v>
      </c>
      <c r="I24" s="7">
        <f t="shared" si="2"/>
        <v>-0.11851763688869132</v>
      </c>
      <c r="M24" t="s">
        <v>10</v>
      </c>
    </row>
    <row r="25" spans="2:13" x14ac:dyDescent="0.2">
      <c r="B25" s="2">
        <v>35829</v>
      </c>
      <c r="C25" s="61">
        <v>4529.18</v>
      </c>
      <c r="D25" s="3">
        <f t="shared" si="1"/>
        <v>-1.5452947980953979E-4</v>
      </c>
      <c r="E25" s="5"/>
      <c r="G25" s="1">
        <f t="shared" si="3"/>
        <v>2023</v>
      </c>
      <c r="H25" s="66">
        <f t="shared" si="0"/>
        <v>16751.64</v>
      </c>
      <c r="I25" s="7">
        <f t="shared" si="2"/>
        <v>0.19044722322502161</v>
      </c>
    </row>
    <row r="26" spans="2:13" x14ac:dyDescent="0.2">
      <c r="B26" s="2">
        <v>35830</v>
      </c>
      <c r="C26" s="61">
        <v>4509.25</v>
      </c>
      <c r="D26" s="3">
        <f t="shared" si="1"/>
        <v>-4.4003550311536577E-3</v>
      </c>
      <c r="E26" s="5"/>
      <c r="G26" s="1">
        <f t="shared" si="3"/>
        <v>2024</v>
      </c>
      <c r="H26" s="66">
        <f t="shared" si="0"/>
        <v>19909.14</v>
      </c>
      <c r="I26" s="7">
        <f t="shared" si="2"/>
        <v>0.18848900764343068</v>
      </c>
    </row>
    <row r="27" spans="2:13" x14ac:dyDescent="0.2">
      <c r="B27" s="2">
        <v>35831</v>
      </c>
      <c r="C27" s="61">
        <v>4494.72</v>
      </c>
      <c r="D27" s="3">
        <f t="shared" si="1"/>
        <v>-3.2222653434605952E-3</v>
      </c>
      <c r="E27" s="5"/>
      <c r="G27" s="1">
        <f t="shared" si="3"/>
        <v>2025</v>
      </c>
      <c r="H27" s="66">
        <f t="shared" si="0"/>
        <v>24490.41</v>
      </c>
      <c r="I27" s="7">
        <f t="shared" si="2"/>
        <v>0.23010888466302415</v>
      </c>
    </row>
    <row r="28" spans="2:13" x14ac:dyDescent="0.2">
      <c r="B28" s="2">
        <v>35832</v>
      </c>
      <c r="C28" s="61">
        <v>4536.91</v>
      </c>
      <c r="D28" s="3">
        <f t="shared" si="1"/>
        <v>9.3865691300012433E-3</v>
      </c>
      <c r="E28" s="5"/>
      <c r="G28" s="54"/>
      <c r="H28" s="81"/>
      <c r="I28" s="55"/>
    </row>
    <row r="29" spans="2:13" x14ac:dyDescent="0.2">
      <c r="B29" s="2">
        <v>35835</v>
      </c>
      <c r="C29" s="61">
        <v>4519.5600000000004</v>
      </c>
      <c r="D29" s="3">
        <f t="shared" si="1"/>
        <v>-3.8241887099368377E-3</v>
      </c>
      <c r="E29" s="5"/>
      <c r="H29" s="56"/>
      <c r="I29" s="57"/>
    </row>
    <row r="30" spans="2:13" x14ac:dyDescent="0.2">
      <c r="B30" s="2">
        <v>35836</v>
      </c>
      <c r="C30" s="61">
        <v>4558.62</v>
      </c>
      <c r="D30" s="3">
        <f t="shared" si="1"/>
        <v>8.6424342192601422E-3</v>
      </c>
      <c r="E30" s="5"/>
      <c r="H30" s="56"/>
      <c r="I30" s="57"/>
    </row>
    <row r="31" spans="2:13" x14ac:dyDescent="0.2">
      <c r="B31" s="2">
        <v>35837</v>
      </c>
      <c r="C31" s="61">
        <v>4552.46</v>
      </c>
      <c r="D31" s="3">
        <f t="shared" si="1"/>
        <v>-1.3512861348390359E-3</v>
      </c>
      <c r="E31" s="5"/>
      <c r="H31" s="56"/>
      <c r="I31" s="57"/>
    </row>
    <row r="32" spans="2:13" x14ac:dyDescent="0.2">
      <c r="B32" s="2">
        <v>35838</v>
      </c>
      <c r="C32" s="61">
        <v>4509.37</v>
      </c>
      <c r="D32" s="3">
        <f t="shared" si="1"/>
        <v>-9.4652122149343487E-3</v>
      </c>
      <c r="E32" s="5"/>
    </row>
    <row r="33" spans="2:5" x14ac:dyDescent="0.2">
      <c r="B33" s="2">
        <v>35839</v>
      </c>
      <c r="C33" s="61">
        <v>4522.42</v>
      </c>
      <c r="D33" s="3">
        <f t="shared" si="1"/>
        <v>2.8939741028126686E-3</v>
      </c>
      <c r="E33" s="5"/>
    </row>
    <row r="34" spans="2:5" x14ac:dyDescent="0.2">
      <c r="B34" s="2">
        <v>35842</v>
      </c>
      <c r="C34" s="61">
        <v>4535.5600000000004</v>
      </c>
      <c r="D34" s="3">
        <f t="shared" si="1"/>
        <v>2.9055240335926769E-3</v>
      </c>
      <c r="E34" s="5"/>
    </row>
    <row r="35" spans="2:5" x14ac:dyDescent="0.2">
      <c r="B35" s="2">
        <v>35843</v>
      </c>
      <c r="C35" s="61">
        <v>4627.42</v>
      </c>
      <c r="D35" s="3">
        <f t="shared" si="1"/>
        <v>2.025328735591625E-2</v>
      </c>
      <c r="E35" s="5"/>
    </row>
    <row r="36" spans="2:5" x14ac:dyDescent="0.2">
      <c r="B36" s="2">
        <v>35844</v>
      </c>
      <c r="C36" s="61">
        <v>4611.66</v>
      </c>
      <c r="D36" s="3">
        <f t="shared" si="1"/>
        <v>-3.4057855133098336E-3</v>
      </c>
      <c r="E36" s="5"/>
    </row>
    <row r="37" spans="2:5" x14ac:dyDescent="0.2">
      <c r="B37" s="2">
        <v>35845</v>
      </c>
      <c r="C37" s="61">
        <v>4581.08</v>
      </c>
      <c r="D37" s="3">
        <f t="shared" si="1"/>
        <v>-6.6310178981103807E-3</v>
      </c>
      <c r="E37" s="5"/>
    </row>
    <row r="38" spans="2:5" x14ac:dyDescent="0.2">
      <c r="B38" s="2">
        <v>35846</v>
      </c>
      <c r="C38" s="61">
        <v>4583.03</v>
      </c>
      <c r="D38" s="3">
        <f t="shared" si="1"/>
        <v>4.2566381726572011E-4</v>
      </c>
      <c r="E38" s="5"/>
    </row>
    <row r="39" spans="2:5" x14ac:dyDescent="0.2">
      <c r="B39" s="2">
        <v>35849</v>
      </c>
      <c r="C39" s="61">
        <v>4610.66</v>
      </c>
      <c r="D39" s="3">
        <f t="shared" si="1"/>
        <v>6.0287626308359599E-3</v>
      </c>
      <c r="E39" s="5"/>
    </row>
    <row r="40" spans="2:5" x14ac:dyDescent="0.2">
      <c r="B40" s="2">
        <v>35850</v>
      </c>
      <c r="C40" s="61">
        <v>4604.55</v>
      </c>
      <c r="D40" s="3">
        <f t="shared" si="1"/>
        <v>-1.3251898860465738E-3</v>
      </c>
      <c r="E40" s="5"/>
    </row>
    <row r="41" spans="2:5" x14ac:dyDescent="0.2">
      <c r="B41" s="2">
        <v>35851</v>
      </c>
      <c r="C41" s="61">
        <v>4704.58</v>
      </c>
      <c r="D41" s="3">
        <f t="shared" si="1"/>
        <v>2.1724164141989855E-2</v>
      </c>
      <c r="E41" s="5"/>
    </row>
    <row r="42" spans="2:5" x14ac:dyDescent="0.2">
      <c r="B42" s="2">
        <v>35852</v>
      </c>
      <c r="C42" s="61">
        <v>4695.78</v>
      </c>
      <c r="D42" s="3">
        <f t="shared" si="1"/>
        <v>-1.870517665764071E-3</v>
      </c>
      <c r="E42" s="5"/>
    </row>
    <row r="43" spans="2:5" x14ac:dyDescent="0.2">
      <c r="B43" s="2">
        <v>35853</v>
      </c>
      <c r="C43" s="61">
        <v>4693.8599999999997</v>
      </c>
      <c r="D43" s="3">
        <f t="shared" si="1"/>
        <v>-4.0887775832765261E-4</v>
      </c>
      <c r="E43" s="5"/>
    </row>
    <row r="44" spans="2:5" x14ac:dyDescent="0.2">
      <c r="B44" s="2">
        <v>35856</v>
      </c>
      <c r="C44" s="61">
        <v>4781.62</v>
      </c>
      <c r="D44" s="3">
        <f t="shared" si="1"/>
        <v>1.8696765561819095E-2</v>
      </c>
      <c r="E44" s="5"/>
    </row>
    <row r="45" spans="2:5" x14ac:dyDescent="0.2">
      <c r="B45" s="2">
        <v>35857</v>
      </c>
      <c r="C45" s="61">
        <v>4759.62</v>
      </c>
      <c r="D45" s="3">
        <f t="shared" si="1"/>
        <v>-4.6009511420815885E-3</v>
      </c>
      <c r="E45" s="5"/>
    </row>
    <row r="46" spans="2:5" x14ac:dyDescent="0.2">
      <c r="B46" s="2">
        <v>35858</v>
      </c>
      <c r="C46" s="61">
        <v>4690.5200000000004</v>
      </c>
      <c r="D46" s="3">
        <f t="shared" si="1"/>
        <v>-1.4517965719952342E-2</v>
      </c>
      <c r="E46" s="5"/>
    </row>
    <row r="47" spans="2:5" x14ac:dyDescent="0.2">
      <c r="B47" s="2">
        <v>35859</v>
      </c>
      <c r="C47" s="61">
        <v>4676.42</v>
      </c>
      <c r="D47" s="3">
        <f t="shared" si="1"/>
        <v>-3.0060632936220744E-3</v>
      </c>
      <c r="E47" s="5"/>
    </row>
    <row r="48" spans="2:5" x14ac:dyDescent="0.2">
      <c r="B48" s="2">
        <v>35860</v>
      </c>
      <c r="C48" s="61">
        <v>4762.71</v>
      </c>
      <c r="D48" s="3">
        <f t="shared" si="1"/>
        <v>1.8452149293690434E-2</v>
      </c>
      <c r="E48" s="5"/>
    </row>
    <row r="49" spans="2:5" x14ac:dyDescent="0.2">
      <c r="B49" s="2">
        <v>35863</v>
      </c>
      <c r="C49" s="61">
        <v>4828.8900000000003</v>
      </c>
      <c r="D49" s="3">
        <f t="shared" si="1"/>
        <v>1.3895450279357791E-2</v>
      </c>
      <c r="E49" s="5"/>
    </row>
    <row r="50" spans="2:5" x14ac:dyDescent="0.2">
      <c r="B50" s="2">
        <v>35864</v>
      </c>
      <c r="C50" s="61">
        <v>4852.22</v>
      </c>
      <c r="D50" s="3">
        <f t="shared" si="1"/>
        <v>4.8313380507736259E-3</v>
      </c>
      <c r="E50" s="5"/>
    </row>
    <row r="51" spans="2:5" x14ac:dyDescent="0.2">
      <c r="B51" s="2">
        <v>35865</v>
      </c>
      <c r="C51" s="61">
        <v>4862.41</v>
      </c>
      <c r="D51" s="3">
        <f t="shared" si="1"/>
        <v>2.1000696588364676E-3</v>
      </c>
      <c r="E51" s="5"/>
    </row>
    <row r="52" spans="2:5" x14ac:dyDescent="0.2">
      <c r="B52" s="2">
        <v>35866</v>
      </c>
      <c r="C52" s="61">
        <v>4838.67</v>
      </c>
      <c r="D52" s="3">
        <f t="shared" si="1"/>
        <v>-4.8823525782482058E-3</v>
      </c>
      <c r="E52" s="5"/>
    </row>
    <row r="53" spans="2:5" x14ac:dyDescent="0.2">
      <c r="B53" s="2">
        <v>35867</v>
      </c>
      <c r="C53" s="61">
        <v>4872.24</v>
      </c>
      <c r="D53" s="3">
        <f t="shared" si="1"/>
        <v>6.9378568904263638E-3</v>
      </c>
      <c r="E53" s="5"/>
    </row>
    <row r="54" spans="2:5" x14ac:dyDescent="0.2">
      <c r="B54" s="2">
        <v>35870</v>
      </c>
      <c r="C54" s="61">
        <v>4905.59</v>
      </c>
      <c r="D54" s="3">
        <f t="shared" si="1"/>
        <v>6.8449009080013834E-3</v>
      </c>
      <c r="E54" s="5"/>
    </row>
    <row r="55" spans="2:5" x14ac:dyDescent="0.2">
      <c r="B55" s="2">
        <v>35871</v>
      </c>
      <c r="C55" s="61">
        <v>4945.91</v>
      </c>
      <c r="D55" s="3">
        <f t="shared" si="1"/>
        <v>8.2191948369105816E-3</v>
      </c>
      <c r="E55" s="5"/>
    </row>
    <row r="56" spans="2:5" x14ac:dyDescent="0.2">
      <c r="B56" s="2">
        <v>35872</v>
      </c>
      <c r="C56" s="61">
        <v>4908.55</v>
      </c>
      <c r="D56" s="3">
        <f t="shared" si="1"/>
        <v>-7.5537161007781517E-3</v>
      </c>
      <c r="E56" s="5"/>
    </row>
    <row r="57" spans="2:5" x14ac:dyDescent="0.2">
      <c r="B57" s="2">
        <v>35873</v>
      </c>
      <c r="C57" s="61">
        <v>4949.91</v>
      </c>
      <c r="D57" s="3">
        <f t="shared" si="1"/>
        <v>8.4261136180745488E-3</v>
      </c>
      <c r="E57" s="5"/>
    </row>
    <row r="58" spans="2:5" x14ac:dyDescent="0.2">
      <c r="B58" s="2">
        <v>35874</v>
      </c>
      <c r="C58" s="61">
        <v>5045.16</v>
      </c>
      <c r="D58" s="3">
        <f t="shared" si="1"/>
        <v>1.9242774111044358E-2</v>
      </c>
      <c r="E58" s="5"/>
    </row>
    <row r="59" spans="2:5" x14ac:dyDescent="0.2">
      <c r="B59" s="2">
        <v>35877</v>
      </c>
      <c r="C59" s="61">
        <v>5014.13</v>
      </c>
      <c r="D59" s="3">
        <f t="shared" si="1"/>
        <v>-6.1504491433372888E-3</v>
      </c>
      <c r="E59" s="5"/>
    </row>
    <row r="60" spans="2:5" x14ac:dyDescent="0.2">
      <c r="B60" s="2">
        <v>35878</v>
      </c>
      <c r="C60" s="61">
        <v>5064.3500000000004</v>
      </c>
      <c r="D60" s="3">
        <f t="shared" si="1"/>
        <v>1.0015695644109757E-2</v>
      </c>
      <c r="E60" s="5"/>
    </row>
    <row r="61" spans="2:5" x14ac:dyDescent="0.2">
      <c r="B61" s="2">
        <v>35879</v>
      </c>
      <c r="C61" s="61">
        <v>5114.13</v>
      </c>
      <c r="D61" s="3">
        <f t="shared" si="1"/>
        <v>9.8294944069821089E-3</v>
      </c>
      <c r="E61" s="5"/>
    </row>
    <row r="62" spans="2:5" x14ac:dyDescent="0.2">
      <c r="B62" s="2">
        <v>35880</v>
      </c>
      <c r="C62" s="61">
        <v>5029</v>
      </c>
      <c r="D62" s="3">
        <f t="shared" si="1"/>
        <v>-1.6646037546953263E-2</v>
      </c>
      <c r="E62" s="5"/>
    </row>
    <row r="63" spans="2:5" x14ac:dyDescent="0.2">
      <c r="B63" s="2">
        <v>35881</v>
      </c>
      <c r="C63" s="61">
        <v>5066.8999999999996</v>
      </c>
      <c r="D63" s="3">
        <f t="shared" si="1"/>
        <v>7.5362895207793379E-3</v>
      </c>
      <c r="E63" s="5"/>
    </row>
    <row r="64" spans="2:5" x14ac:dyDescent="0.2">
      <c r="B64" s="2">
        <v>35884</v>
      </c>
      <c r="C64" s="61">
        <v>5069.8900000000003</v>
      </c>
      <c r="D64" s="3">
        <f t="shared" si="1"/>
        <v>5.901044030869329E-4</v>
      </c>
      <c r="E64" s="5"/>
    </row>
    <row r="65" spans="2:5" x14ac:dyDescent="0.2">
      <c r="B65" s="2">
        <v>35885</v>
      </c>
      <c r="C65" s="61">
        <v>5097.25</v>
      </c>
      <c r="D65" s="3">
        <f t="shared" si="1"/>
        <v>5.3965667894173563E-3</v>
      </c>
      <c r="E65" s="5"/>
    </row>
    <row r="66" spans="2:5" x14ac:dyDescent="0.2">
      <c r="B66" s="2">
        <v>35886</v>
      </c>
      <c r="C66" s="61">
        <v>5135.3500000000004</v>
      </c>
      <c r="D66" s="3">
        <f t="shared" si="1"/>
        <v>7.4746186669283343E-3</v>
      </c>
      <c r="E66" s="5"/>
    </row>
    <row r="67" spans="2:5" x14ac:dyDescent="0.2">
      <c r="B67" s="2">
        <v>35887</v>
      </c>
      <c r="C67" s="61">
        <v>5179.04</v>
      </c>
      <c r="D67" s="3">
        <f t="shared" si="1"/>
        <v>8.5076966516399732E-3</v>
      </c>
      <c r="E67" s="5"/>
    </row>
    <row r="68" spans="2:5" x14ac:dyDescent="0.2">
      <c r="B68" s="2">
        <v>35888</v>
      </c>
      <c r="C68" s="61">
        <v>5254.32</v>
      </c>
      <c r="D68" s="3">
        <f t="shared" si="1"/>
        <v>1.4535512372949366E-2</v>
      </c>
      <c r="E68" s="5"/>
    </row>
    <row r="69" spans="2:5" x14ac:dyDescent="0.2">
      <c r="B69" s="2">
        <v>35891</v>
      </c>
      <c r="C69" s="61">
        <v>5345.89</v>
      </c>
      <c r="D69" s="3">
        <f t="shared" ref="D69:D132" si="4">C69/C68-1</f>
        <v>1.7427564366083725E-2</v>
      </c>
      <c r="E69" s="5"/>
    </row>
    <row r="70" spans="2:5" x14ac:dyDescent="0.2">
      <c r="B70" s="2">
        <v>35892</v>
      </c>
      <c r="C70" s="61">
        <v>5309.67</v>
      </c>
      <c r="D70" s="3">
        <f t="shared" si="4"/>
        <v>-6.775298406813457E-3</v>
      </c>
      <c r="E70" s="5"/>
    </row>
    <row r="71" spans="2:5" x14ac:dyDescent="0.2">
      <c r="B71" s="2">
        <v>35893</v>
      </c>
      <c r="C71" s="61">
        <v>5267.35</v>
      </c>
      <c r="D71" s="3">
        <f t="shared" si="4"/>
        <v>-7.9703635065832001E-3</v>
      </c>
      <c r="E71" s="5"/>
    </row>
    <row r="72" spans="2:5" x14ac:dyDescent="0.2">
      <c r="B72" s="2">
        <v>35894</v>
      </c>
      <c r="C72" s="61">
        <v>5312.25</v>
      </c>
      <c r="D72" s="3">
        <f t="shared" si="4"/>
        <v>8.5242104663634244E-3</v>
      </c>
      <c r="E72" s="5"/>
    </row>
    <row r="73" spans="2:5" x14ac:dyDescent="0.2">
      <c r="B73" s="2">
        <v>35899</v>
      </c>
      <c r="C73" s="61">
        <v>5367.98</v>
      </c>
      <c r="D73" s="3">
        <f t="shared" si="4"/>
        <v>1.0490846628076422E-2</v>
      </c>
      <c r="E73" s="5"/>
    </row>
    <row r="74" spans="2:5" x14ac:dyDescent="0.2">
      <c r="B74" s="2">
        <v>35900</v>
      </c>
      <c r="C74" s="61">
        <v>5359.24</v>
      </c>
      <c r="D74" s="3">
        <f t="shared" si="4"/>
        <v>-1.6281729812703816E-3</v>
      </c>
      <c r="E74" s="5"/>
    </row>
    <row r="75" spans="2:5" x14ac:dyDescent="0.2">
      <c r="B75" s="2">
        <v>35901</v>
      </c>
      <c r="C75" s="61">
        <v>5292.97</v>
      </c>
      <c r="D75" s="3">
        <f t="shared" si="4"/>
        <v>-1.2365559295720918E-2</v>
      </c>
      <c r="E75" s="5"/>
    </row>
    <row r="76" spans="2:5" x14ac:dyDescent="0.2">
      <c r="B76" s="2">
        <v>35902</v>
      </c>
      <c r="C76" s="61">
        <v>5326.63</v>
      </c>
      <c r="D76" s="3">
        <f t="shared" si="4"/>
        <v>6.359378571954899E-3</v>
      </c>
      <c r="E76" s="5"/>
    </row>
    <row r="77" spans="2:5" x14ac:dyDescent="0.2">
      <c r="B77" s="2">
        <v>35905</v>
      </c>
      <c r="C77" s="61">
        <v>5407.93</v>
      </c>
      <c r="D77" s="3">
        <f t="shared" si="4"/>
        <v>1.5262933599668127E-2</v>
      </c>
      <c r="E77" s="5"/>
    </row>
    <row r="78" spans="2:5" x14ac:dyDescent="0.2">
      <c r="B78" s="2">
        <v>35906</v>
      </c>
      <c r="C78" s="61">
        <v>5373.8</v>
      </c>
      <c r="D78" s="3">
        <f t="shared" si="4"/>
        <v>-6.311102399624291E-3</v>
      </c>
      <c r="E78" s="5"/>
    </row>
    <row r="79" spans="2:5" x14ac:dyDescent="0.2">
      <c r="B79" s="2">
        <v>35907</v>
      </c>
      <c r="C79" s="61">
        <v>5312.28</v>
      </c>
      <c r="D79" s="3">
        <f t="shared" si="4"/>
        <v>-1.1448137258550872E-2</v>
      </c>
      <c r="E79" s="5"/>
    </row>
    <row r="80" spans="2:5" x14ac:dyDescent="0.2">
      <c r="B80" s="2">
        <v>35908</v>
      </c>
      <c r="C80" s="61">
        <v>5262.57</v>
      </c>
      <c r="D80" s="3">
        <f t="shared" si="4"/>
        <v>-9.3575639838261448E-3</v>
      </c>
      <c r="E80" s="5"/>
    </row>
    <row r="81" spans="2:5" x14ac:dyDescent="0.2">
      <c r="B81" s="2">
        <v>35909</v>
      </c>
      <c r="C81" s="61">
        <v>5144.42</v>
      </c>
      <c r="D81" s="3">
        <f t="shared" si="4"/>
        <v>-2.2451007777568699E-2</v>
      </c>
      <c r="E81" s="5"/>
    </row>
    <row r="82" spans="2:5" x14ac:dyDescent="0.2">
      <c r="B82" s="2">
        <v>35912</v>
      </c>
      <c r="C82" s="61">
        <v>5002.71</v>
      </c>
      <c r="D82" s="3">
        <f t="shared" si="4"/>
        <v>-2.754635119216553E-2</v>
      </c>
      <c r="E82" s="5"/>
    </row>
    <row r="83" spans="2:5" x14ac:dyDescent="0.2">
      <c r="B83" s="2">
        <v>35913</v>
      </c>
      <c r="C83" s="61">
        <v>5110.88</v>
      </c>
      <c r="D83" s="3">
        <f t="shared" si="4"/>
        <v>2.1622280723847753E-2</v>
      </c>
      <c r="E83" s="5"/>
    </row>
    <row r="84" spans="2:5" x14ac:dyDescent="0.2">
      <c r="B84" s="2">
        <v>35914</v>
      </c>
      <c r="C84" s="61">
        <v>5083.8</v>
      </c>
      <c r="D84" s="3">
        <f t="shared" si="4"/>
        <v>-5.2985004539335412E-3</v>
      </c>
      <c r="E84" s="5"/>
    </row>
    <row r="85" spans="2:5" x14ac:dyDescent="0.2">
      <c r="B85" s="2">
        <v>35915</v>
      </c>
      <c r="C85" s="61">
        <v>5241.2299999999996</v>
      </c>
      <c r="D85" s="3">
        <f t="shared" si="4"/>
        <v>3.096699319406726E-2</v>
      </c>
      <c r="E85" s="5"/>
    </row>
    <row r="86" spans="2:5" x14ac:dyDescent="0.2">
      <c r="B86" s="2">
        <v>35919</v>
      </c>
      <c r="C86" s="61">
        <v>5337.75</v>
      </c>
      <c r="D86" s="3">
        <f t="shared" si="4"/>
        <v>1.841552460014162E-2</v>
      </c>
      <c r="E86" s="5"/>
    </row>
    <row r="87" spans="2:5" x14ac:dyDescent="0.2">
      <c r="B87" s="2">
        <v>35920</v>
      </c>
      <c r="C87" s="61">
        <v>5226.2</v>
      </c>
      <c r="D87" s="3">
        <f t="shared" si="4"/>
        <v>-2.0898318579926078E-2</v>
      </c>
      <c r="E87" s="5"/>
    </row>
    <row r="88" spans="2:5" x14ac:dyDescent="0.2">
      <c r="B88" s="2">
        <v>35921</v>
      </c>
      <c r="C88" s="61">
        <v>5264.62</v>
      </c>
      <c r="D88" s="3">
        <f t="shared" si="4"/>
        <v>7.3514216830583567E-3</v>
      </c>
      <c r="E88" s="5"/>
    </row>
    <row r="89" spans="2:5" x14ac:dyDescent="0.2">
      <c r="B89" s="2">
        <v>35922</v>
      </c>
      <c r="C89" s="61">
        <v>5164.8900000000003</v>
      </c>
      <c r="D89" s="3">
        <f t="shared" si="4"/>
        <v>-1.8943437513058825E-2</v>
      </c>
      <c r="E89" s="5"/>
    </row>
    <row r="90" spans="2:5" x14ac:dyDescent="0.2">
      <c r="B90" s="2">
        <v>35923</v>
      </c>
      <c r="C90" s="61">
        <v>5270.61</v>
      </c>
      <c r="D90" s="3">
        <f t="shared" si="4"/>
        <v>2.0468974169827403E-2</v>
      </c>
      <c r="E90" s="5"/>
    </row>
    <row r="91" spans="2:5" x14ac:dyDescent="0.2">
      <c r="B91" s="2">
        <v>35926</v>
      </c>
      <c r="C91" s="61">
        <v>5348.75</v>
      </c>
      <c r="D91" s="3">
        <f t="shared" si="4"/>
        <v>1.4825608421036751E-2</v>
      </c>
      <c r="E91" s="5"/>
    </row>
    <row r="92" spans="2:5" x14ac:dyDescent="0.2">
      <c r="B92" s="2">
        <v>35927</v>
      </c>
      <c r="C92" s="61">
        <v>5307.82</v>
      </c>
      <c r="D92" s="3">
        <f t="shared" si="4"/>
        <v>-7.6522551998130517E-3</v>
      </c>
      <c r="E92" s="5"/>
    </row>
    <row r="93" spans="2:5" x14ac:dyDescent="0.2">
      <c r="B93" s="2">
        <v>35928</v>
      </c>
      <c r="C93" s="61">
        <v>5371.99</v>
      </c>
      <c r="D93" s="3">
        <f t="shared" si="4"/>
        <v>1.2089709146127836E-2</v>
      </c>
      <c r="E93" s="5"/>
    </row>
    <row r="94" spans="2:5" x14ac:dyDescent="0.2">
      <c r="B94" s="2">
        <v>35929</v>
      </c>
      <c r="C94" s="61">
        <v>5374.11</v>
      </c>
      <c r="D94" s="3">
        <f t="shared" si="4"/>
        <v>3.946396028287058E-4</v>
      </c>
      <c r="E94" s="5"/>
    </row>
    <row r="95" spans="2:5" x14ac:dyDescent="0.2">
      <c r="B95" s="2">
        <v>35930</v>
      </c>
      <c r="C95" s="61">
        <v>5414.31</v>
      </c>
      <c r="D95" s="3">
        <f t="shared" si="4"/>
        <v>7.4803083673391502E-3</v>
      </c>
      <c r="E95" s="5"/>
    </row>
    <row r="96" spans="2:5" x14ac:dyDescent="0.2">
      <c r="B96" s="2">
        <v>35933</v>
      </c>
      <c r="C96" s="61">
        <v>5343.66</v>
      </c>
      <c r="D96" s="3">
        <f t="shared" si="4"/>
        <v>-1.3048754134876051E-2</v>
      </c>
      <c r="E96" s="5"/>
    </row>
    <row r="97" spans="2:5" x14ac:dyDescent="0.2">
      <c r="B97" s="2">
        <v>35934</v>
      </c>
      <c r="C97" s="61">
        <v>5441</v>
      </c>
      <c r="D97" s="3">
        <f t="shared" si="4"/>
        <v>1.8215979310060915E-2</v>
      </c>
      <c r="E97" s="5"/>
    </row>
    <row r="98" spans="2:5" x14ac:dyDescent="0.2">
      <c r="B98" s="2">
        <v>35935</v>
      </c>
      <c r="C98" s="61">
        <v>5514.51</v>
      </c>
      <c r="D98" s="3">
        <f t="shared" si="4"/>
        <v>1.3510384120566155E-2</v>
      </c>
      <c r="E98" s="5"/>
    </row>
    <row r="99" spans="2:5" x14ac:dyDescent="0.2">
      <c r="B99" s="2">
        <v>35937</v>
      </c>
      <c r="C99" s="61">
        <v>5530.19</v>
      </c>
      <c r="D99" s="3">
        <f t="shared" si="4"/>
        <v>2.8434076645067474E-3</v>
      </c>
      <c r="E99" s="5"/>
    </row>
    <row r="100" spans="2:5" x14ac:dyDescent="0.2">
      <c r="B100" s="2">
        <v>35940</v>
      </c>
      <c r="C100" s="61">
        <v>5592.46</v>
      </c>
      <c r="D100" s="3">
        <f t="shared" si="4"/>
        <v>1.1260010958032307E-2</v>
      </c>
      <c r="E100" s="5"/>
    </row>
    <row r="101" spans="2:5" x14ac:dyDescent="0.2">
      <c r="B101" s="2">
        <v>35941</v>
      </c>
      <c r="C101" s="61">
        <v>5639.89</v>
      </c>
      <c r="D101" s="3">
        <f t="shared" si="4"/>
        <v>8.4810620013375804E-3</v>
      </c>
      <c r="E101" s="5"/>
    </row>
    <row r="102" spans="2:5" x14ac:dyDescent="0.2">
      <c r="B102" s="2">
        <v>35942</v>
      </c>
      <c r="C102" s="61">
        <v>5466.88</v>
      </c>
      <c r="D102" s="3">
        <f t="shared" si="4"/>
        <v>-3.0676130208213359E-2</v>
      </c>
      <c r="E102" s="5"/>
    </row>
    <row r="103" spans="2:5" x14ac:dyDescent="0.2">
      <c r="B103" s="2">
        <v>35943</v>
      </c>
      <c r="C103" s="61">
        <v>5507.36</v>
      </c>
      <c r="D103" s="3">
        <f t="shared" si="4"/>
        <v>7.4045890892062705E-3</v>
      </c>
      <c r="E103" s="5"/>
    </row>
    <row r="104" spans="2:5" x14ac:dyDescent="0.2">
      <c r="B104" s="2">
        <v>35944</v>
      </c>
      <c r="C104" s="61">
        <v>5556.99</v>
      </c>
      <c r="D104" s="3">
        <f t="shared" si="4"/>
        <v>9.0115772348275947E-3</v>
      </c>
      <c r="E104" s="5"/>
    </row>
    <row r="105" spans="2:5" x14ac:dyDescent="0.2">
      <c r="B105" s="2">
        <v>35948</v>
      </c>
      <c r="C105" s="61">
        <v>5583.83</v>
      </c>
      <c r="D105" s="3">
        <f t="shared" si="4"/>
        <v>4.8299529061597291E-3</v>
      </c>
      <c r="E105" s="5"/>
    </row>
    <row r="106" spans="2:5" x14ac:dyDescent="0.2">
      <c r="B106" s="2">
        <v>35949</v>
      </c>
      <c r="C106" s="61">
        <v>5640.42</v>
      </c>
      <c r="D106" s="3">
        <f t="shared" si="4"/>
        <v>1.0134620860592136E-2</v>
      </c>
      <c r="E106" s="5"/>
    </row>
    <row r="107" spans="2:5" x14ac:dyDescent="0.2">
      <c r="B107" s="2">
        <v>35950</v>
      </c>
      <c r="C107" s="61">
        <v>5605.38</v>
      </c>
      <c r="D107" s="3">
        <f t="shared" si="4"/>
        <v>-6.2123033391130456E-3</v>
      </c>
      <c r="E107" s="5"/>
    </row>
    <row r="108" spans="2:5" x14ac:dyDescent="0.2">
      <c r="B108" s="2">
        <v>35951</v>
      </c>
      <c r="C108" s="61">
        <v>5724.75</v>
      </c>
      <c r="D108" s="3">
        <f t="shared" si="4"/>
        <v>2.1295612429487409E-2</v>
      </c>
      <c r="E108" s="5"/>
    </row>
    <row r="109" spans="2:5" x14ac:dyDescent="0.2">
      <c r="B109" s="2">
        <v>35954</v>
      </c>
      <c r="C109" s="61">
        <v>5787.05</v>
      </c>
      <c r="D109" s="3">
        <f t="shared" si="4"/>
        <v>1.0882571291322751E-2</v>
      </c>
      <c r="E109" s="5"/>
    </row>
    <row r="110" spans="2:5" x14ac:dyDescent="0.2">
      <c r="B110" s="2">
        <v>35955</v>
      </c>
      <c r="C110" s="61">
        <v>5773.77</v>
      </c>
      <c r="D110" s="3">
        <f t="shared" si="4"/>
        <v>-2.2947788596953123E-3</v>
      </c>
      <c r="E110" s="5"/>
    </row>
    <row r="111" spans="2:5" x14ac:dyDescent="0.2">
      <c r="B111" s="2">
        <v>35956</v>
      </c>
      <c r="C111" s="61">
        <v>5799.22</v>
      </c>
      <c r="D111" s="3">
        <f t="shared" si="4"/>
        <v>4.4078652249743833E-3</v>
      </c>
      <c r="E111" s="5"/>
    </row>
    <row r="112" spans="2:5" x14ac:dyDescent="0.2">
      <c r="B112" s="2">
        <v>35958</v>
      </c>
      <c r="C112" s="61">
        <v>5631.34</v>
      </c>
      <c r="D112" s="3">
        <f t="shared" si="4"/>
        <v>-2.8948720690023855E-2</v>
      </c>
      <c r="E112" s="5"/>
    </row>
    <row r="113" spans="2:5" x14ac:dyDescent="0.2">
      <c r="B113" s="2">
        <v>35961</v>
      </c>
      <c r="C113" s="61">
        <v>5581.24</v>
      </c>
      <c r="D113" s="3">
        <f t="shared" si="4"/>
        <v>-8.8966391658114041E-3</v>
      </c>
      <c r="E113" s="5"/>
    </row>
    <row r="114" spans="2:5" x14ac:dyDescent="0.2">
      <c r="B114" s="2">
        <v>35962</v>
      </c>
      <c r="C114" s="61">
        <v>5621.71</v>
      </c>
      <c r="D114" s="3">
        <f t="shared" si="4"/>
        <v>7.2510768216382804E-3</v>
      </c>
      <c r="E114" s="5"/>
    </row>
    <row r="115" spans="2:5" x14ac:dyDescent="0.2">
      <c r="B115" s="2">
        <v>35963</v>
      </c>
      <c r="C115" s="61">
        <v>5742.83</v>
      </c>
      <c r="D115" s="3">
        <f t="shared" si="4"/>
        <v>2.1545045902403359E-2</v>
      </c>
      <c r="E115" s="5"/>
    </row>
    <row r="116" spans="2:5" x14ac:dyDescent="0.2">
      <c r="B116" s="2">
        <v>35964</v>
      </c>
      <c r="C116" s="61">
        <v>5689.89</v>
      </c>
      <c r="D116" s="3">
        <f t="shared" si="4"/>
        <v>-9.2184515299946757E-3</v>
      </c>
      <c r="E116" s="5"/>
    </row>
    <row r="117" spans="2:5" x14ac:dyDescent="0.2">
      <c r="B117" s="2">
        <v>35965</v>
      </c>
      <c r="C117" s="61">
        <v>5644.22</v>
      </c>
      <c r="D117" s="3">
        <f t="shared" si="4"/>
        <v>-8.0265172085928205E-3</v>
      </c>
      <c r="E117" s="5"/>
    </row>
    <row r="118" spans="2:5" x14ac:dyDescent="0.2">
      <c r="B118" s="2">
        <v>35968</v>
      </c>
      <c r="C118" s="61">
        <v>5648.11</v>
      </c>
      <c r="D118" s="3">
        <f t="shared" si="4"/>
        <v>6.8920063356836536E-4</v>
      </c>
      <c r="E118" s="5"/>
    </row>
    <row r="119" spans="2:5" x14ac:dyDescent="0.2">
      <c r="B119" s="2">
        <v>35969</v>
      </c>
      <c r="C119" s="61">
        <v>5748.34</v>
      </c>
      <c r="D119" s="3">
        <f t="shared" si="4"/>
        <v>1.7745759200865407E-2</v>
      </c>
      <c r="E119" s="5"/>
    </row>
    <row r="120" spans="2:5" x14ac:dyDescent="0.2">
      <c r="B120" s="2">
        <v>35970</v>
      </c>
      <c r="C120" s="61">
        <v>5784.4</v>
      </c>
      <c r="D120" s="3">
        <f t="shared" si="4"/>
        <v>6.2731153689585817E-3</v>
      </c>
      <c r="E120" s="5"/>
    </row>
    <row r="121" spans="2:5" x14ac:dyDescent="0.2">
      <c r="B121" s="2">
        <v>35971</v>
      </c>
      <c r="C121" s="61">
        <v>5886.72</v>
      </c>
      <c r="D121" s="3">
        <f t="shared" si="4"/>
        <v>1.7688956503699726E-2</v>
      </c>
      <c r="E121" s="5"/>
    </row>
    <row r="122" spans="2:5" x14ac:dyDescent="0.2">
      <c r="B122" s="2">
        <v>35972</v>
      </c>
      <c r="C122" s="61">
        <v>5870.49</v>
      </c>
      <c r="D122" s="3">
        <f t="shared" si="4"/>
        <v>-2.7570531637313156E-3</v>
      </c>
      <c r="E122" s="5"/>
    </row>
    <row r="123" spans="2:5" x14ac:dyDescent="0.2">
      <c r="B123" s="2">
        <v>35975</v>
      </c>
      <c r="C123" s="61">
        <v>5933.73</v>
      </c>
      <c r="D123" s="3">
        <f t="shared" si="4"/>
        <v>1.077252495106884E-2</v>
      </c>
      <c r="E123" s="5"/>
    </row>
    <row r="124" spans="2:5" x14ac:dyDescent="0.2">
      <c r="B124" s="2">
        <v>35976</v>
      </c>
      <c r="C124" s="61">
        <v>5841.83</v>
      </c>
      <c r="D124" s="3">
        <f t="shared" si="4"/>
        <v>-1.5487728629378084E-2</v>
      </c>
      <c r="E124" s="5"/>
    </row>
    <row r="125" spans="2:5" x14ac:dyDescent="0.2">
      <c r="B125" s="2">
        <v>35977</v>
      </c>
      <c r="C125" s="61">
        <v>5910.51</v>
      </c>
      <c r="D125" s="3">
        <f t="shared" si="4"/>
        <v>1.1756589972662823E-2</v>
      </c>
      <c r="E125" s="5"/>
    </row>
    <row r="126" spans="2:5" x14ac:dyDescent="0.2">
      <c r="B126" s="2">
        <v>35978</v>
      </c>
      <c r="C126" s="61">
        <v>5905.15</v>
      </c>
      <c r="D126" s="3">
        <f t="shared" si="4"/>
        <v>-9.068591373672108E-4</v>
      </c>
      <c r="E126" s="5"/>
    </row>
    <row r="127" spans="2:5" x14ac:dyDescent="0.2">
      <c r="B127" s="2">
        <v>35979</v>
      </c>
      <c r="C127" s="61">
        <v>5961.45</v>
      </c>
      <c r="D127" s="3">
        <f t="shared" si="4"/>
        <v>9.5340507861783053E-3</v>
      </c>
      <c r="E127" s="5"/>
    </row>
    <row r="128" spans="2:5" x14ac:dyDescent="0.2">
      <c r="B128" s="2">
        <v>35982</v>
      </c>
      <c r="C128" s="61">
        <v>5942.06</v>
      </c>
      <c r="D128" s="3">
        <f t="shared" si="4"/>
        <v>-3.2525643928908998E-3</v>
      </c>
      <c r="E128" s="5"/>
    </row>
    <row r="129" spans="2:5" x14ac:dyDescent="0.2">
      <c r="B129" s="2">
        <v>35983</v>
      </c>
      <c r="C129" s="61">
        <v>5975.88</v>
      </c>
      <c r="D129" s="3">
        <f t="shared" si="4"/>
        <v>5.6916288290591588E-3</v>
      </c>
      <c r="E129" s="5"/>
    </row>
    <row r="130" spans="2:5" x14ac:dyDescent="0.2">
      <c r="B130" s="2">
        <v>35984</v>
      </c>
      <c r="C130" s="61">
        <v>6018.89</v>
      </c>
      <c r="D130" s="3">
        <f t="shared" si="4"/>
        <v>7.1972663440365015E-3</v>
      </c>
      <c r="E130" s="5"/>
    </row>
    <row r="131" spans="2:5" x14ac:dyDescent="0.2">
      <c r="B131" s="2">
        <v>35985</v>
      </c>
      <c r="C131" s="61">
        <v>6000.84</v>
      </c>
      <c r="D131" s="3">
        <f t="shared" si="4"/>
        <v>-2.9988918222463301E-3</v>
      </c>
      <c r="E131" s="5"/>
    </row>
    <row r="132" spans="2:5" x14ac:dyDescent="0.2">
      <c r="B132" s="2">
        <v>35986</v>
      </c>
      <c r="C132" s="61">
        <v>6001.24</v>
      </c>
      <c r="D132" s="3">
        <f t="shared" si="4"/>
        <v>6.6657334639730337E-5</v>
      </c>
      <c r="E132" s="5"/>
    </row>
    <row r="133" spans="2:5" x14ac:dyDescent="0.2">
      <c r="B133" s="2">
        <v>35989</v>
      </c>
      <c r="C133" s="61">
        <v>6023.31</v>
      </c>
      <c r="D133" s="3">
        <f t="shared" ref="D133:D196" si="5">C133/C132-1</f>
        <v>3.6775733015177448E-3</v>
      </c>
      <c r="E133" s="5"/>
    </row>
    <row r="134" spans="2:5" x14ac:dyDescent="0.2">
      <c r="B134" s="2">
        <v>35990</v>
      </c>
      <c r="C134" s="61">
        <v>6101.9</v>
      </c>
      <c r="D134" s="3">
        <f t="shared" si="5"/>
        <v>1.3047643239348261E-2</v>
      </c>
      <c r="E134" s="5"/>
    </row>
    <row r="135" spans="2:5" x14ac:dyDescent="0.2">
      <c r="B135" s="2">
        <v>35991</v>
      </c>
      <c r="C135" s="61">
        <v>6106.1</v>
      </c>
      <c r="D135" s="3">
        <f t="shared" si="5"/>
        <v>6.8831019846293806E-4</v>
      </c>
      <c r="E135" s="5"/>
    </row>
    <row r="136" spans="2:5" x14ac:dyDescent="0.2">
      <c r="B136" s="2">
        <v>35992</v>
      </c>
      <c r="C136" s="61">
        <v>6108</v>
      </c>
      <c r="D136" s="3">
        <f t="shared" si="5"/>
        <v>3.1116424559041178E-4</v>
      </c>
      <c r="E136" s="5"/>
    </row>
    <row r="137" spans="2:5" x14ac:dyDescent="0.2">
      <c r="B137" s="2">
        <v>35993</v>
      </c>
      <c r="C137" s="61">
        <v>6162.86</v>
      </c>
      <c r="D137" s="3">
        <f t="shared" si="5"/>
        <v>8.9816633922723543E-3</v>
      </c>
      <c r="E137" s="5"/>
    </row>
    <row r="138" spans="2:5" x14ac:dyDescent="0.2">
      <c r="B138" s="2">
        <v>35996</v>
      </c>
      <c r="C138" s="61">
        <v>6186.09</v>
      </c>
      <c r="D138" s="3">
        <f t="shared" si="5"/>
        <v>3.7693538389644843E-3</v>
      </c>
      <c r="E138" s="5"/>
    </row>
    <row r="139" spans="2:5" x14ac:dyDescent="0.2">
      <c r="B139" s="2">
        <v>35997</v>
      </c>
      <c r="C139" s="61">
        <v>6184.1</v>
      </c>
      <c r="D139" s="3">
        <f t="shared" si="5"/>
        <v>-3.2168946782207275E-4</v>
      </c>
      <c r="E139" s="5"/>
    </row>
    <row r="140" spans="2:5" x14ac:dyDescent="0.2">
      <c r="B140" s="2">
        <v>35998</v>
      </c>
      <c r="C140" s="61">
        <v>6081.11</v>
      </c>
      <c r="D140" s="3">
        <f t="shared" si="5"/>
        <v>-1.6653999773613037E-2</v>
      </c>
      <c r="E140" s="5"/>
    </row>
    <row r="141" spans="2:5" x14ac:dyDescent="0.2">
      <c r="B141" s="2">
        <v>35999</v>
      </c>
      <c r="C141" s="61">
        <v>6043.82</v>
      </c>
      <c r="D141" s="3">
        <f t="shared" si="5"/>
        <v>-6.1321041717712355E-3</v>
      </c>
      <c r="E141" s="5"/>
    </row>
    <row r="142" spans="2:5" x14ac:dyDescent="0.2">
      <c r="B142" s="2">
        <v>36000</v>
      </c>
      <c r="C142" s="61">
        <v>6040.58</v>
      </c>
      <c r="D142" s="3">
        <f t="shared" si="5"/>
        <v>-5.3608479405409248E-4</v>
      </c>
      <c r="E142" s="5"/>
    </row>
    <row r="143" spans="2:5" x14ac:dyDescent="0.2">
      <c r="B143" s="2">
        <v>36003</v>
      </c>
      <c r="C143" s="61">
        <v>5854.35</v>
      </c>
      <c r="D143" s="3">
        <f t="shared" si="5"/>
        <v>-3.0829820977455791E-2</v>
      </c>
      <c r="E143" s="5"/>
    </row>
    <row r="144" spans="2:5" x14ac:dyDescent="0.2">
      <c r="B144" s="2">
        <v>36004</v>
      </c>
      <c r="C144" s="61">
        <v>5867.52</v>
      </c>
      <c r="D144" s="3">
        <f t="shared" si="5"/>
        <v>2.2496092649055832E-3</v>
      </c>
      <c r="E144" s="5"/>
    </row>
    <row r="145" spans="2:5" x14ac:dyDescent="0.2">
      <c r="B145" s="2">
        <v>36005</v>
      </c>
      <c r="C145" s="61">
        <v>5828.74</v>
      </c>
      <c r="D145" s="3">
        <f t="shared" si="5"/>
        <v>-6.6092659249564756E-3</v>
      </c>
      <c r="E145" s="5"/>
    </row>
    <row r="146" spans="2:5" x14ac:dyDescent="0.2">
      <c r="B146" s="2">
        <v>36006</v>
      </c>
      <c r="C146" s="61">
        <v>5906.33</v>
      </c>
      <c r="D146" s="3">
        <f t="shared" si="5"/>
        <v>1.331162481085113E-2</v>
      </c>
      <c r="E146" s="5"/>
    </row>
    <row r="147" spans="2:5" x14ac:dyDescent="0.2">
      <c r="B147" s="2">
        <v>36007</v>
      </c>
      <c r="C147" s="61">
        <v>5861.19</v>
      </c>
      <c r="D147" s="3">
        <f t="shared" si="5"/>
        <v>-7.6426478032890488E-3</v>
      </c>
      <c r="E147" s="5"/>
    </row>
    <row r="148" spans="2:5" x14ac:dyDescent="0.2">
      <c r="B148" s="2">
        <v>36010</v>
      </c>
      <c r="C148" s="61">
        <v>5774.38</v>
      </c>
      <c r="D148" s="3">
        <f t="shared" si="5"/>
        <v>-1.4810985482470174E-2</v>
      </c>
      <c r="E148" s="5"/>
    </row>
    <row r="149" spans="2:5" x14ac:dyDescent="0.2">
      <c r="B149" s="2">
        <v>36011</v>
      </c>
      <c r="C149" s="61">
        <v>5718.7</v>
      </c>
      <c r="D149" s="3">
        <f t="shared" si="5"/>
        <v>-9.6425936637354326E-3</v>
      </c>
      <c r="E149" s="5"/>
    </row>
    <row r="150" spans="2:5" x14ac:dyDescent="0.2">
      <c r="B150" s="2">
        <v>36012</v>
      </c>
      <c r="C150" s="61">
        <v>5614.77</v>
      </c>
      <c r="D150" s="3">
        <f t="shared" si="5"/>
        <v>-1.8173710808400356E-2</v>
      </c>
      <c r="E150" s="5"/>
    </row>
    <row r="151" spans="2:5" x14ac:dyDescent="0.2">
      <c r="B151" s="2">
        <v>36013</v>
      </c>
      <c r="C151" s="61">
        <v>5528.12</v>
      </c>
      <c r="D151" s="3">
        <f t="shared" si="5"/>
        <v>-1.5432511037852037E-2</v>
      </c>
      <c r="E151" s="5"/>
    </row>
    <row r="152" spans="2:5" x14ac:dyDescent="0.2">
      <c r="B152" s="2">
        <v>36014</v>
      </c>
      <c r="C152" s="61">
        <v>5598.32</v>
      </c>
      <c r="D152" s="3">
        <f t="shared" si="5"/>
        <v>1.2698711315962674E-2</v>
      </c>
      <c r="E152" s="5"/>
    </row>
    <row r="153" spans="2:5" x14ac:dyDescent="0.2">
      <c r="B153" s="2">
        <v>36017</v>
      </c>
      <c r="C153" s="61">
        <v>5460.43</v>
      </c>
      <c r="D153" s="3">
        <f t="shared" si="5"/>
        <v>-2.4630603466754164E-2</v>
      </c>
      <c r="E153" s="5"/>
    </row>
    <row r="154" spans="2:5" x14ac:dyDescent="0.2">
      <c r="B154" s="2">
        <v>36018</v>
      </c>
      <c r="C154" s="61">
        <v>5285.78</v>
      </c>
      <c r="D154" s="3">
        <f t="shared" si="5"/>
        <v>-3.1984660548711519E-2</v>
      </c>
      <c r="E154" s="5"/>
    </row>
    <row r="155" spans="2:5" x14ac:dyDescent="0.2">
      <c r="B155" s="2">
        <v>36019</v>
      </c>
      <c r="C155" s="61">
        <v>5386.94</v>
      </c>
      <c r="D155" s="3">
        <f t="shared" si="5"/>
        <v>1.9138140444740381E-2</v>
      </c>
      <c r="E155" s="5"/>
    </row>
    <row r="156" spans="2:5" x14ac:dyDescent="0.2">
      <c r="B156" s="2">
        <v>36020</v>
      </c>
      <c r="C156" s="61">
        <v>5355.03</v>
      </c>
      <c r="D156" s="3">
        <f t="shared" si="5"/>
        <v>-5.9235855606336596E-3</v>
      </c>
      <c r="E156" s="5"/>
    </row>
    <row r="157" spans="2:5" x14ac:dyDescent="0.2">
      <c r="B157" s="2">
        <v>36021</v>
      </c>
      <c r="C157" s="61">
        <v>5473.72</v>
      </c>
      <c r="D157" s="3">
        <f t="shared" si="5"/>
        <v>2.2164208230392779E-2</v>
      </c>
      <c r="E157" s="5"/>
    </row>
    <row r="158" spans="2:5" x14ac:dyDescent="0.2">
      <c r="B158" s="2">
        <v>36024</v>
      </c>
      <c r="C158" s="61">
        <v>5432.03</v>
      </c>
      <c r="D158" s="3">
        <f t="shared" si="5"/>
        <v>-7.616392508202896E-3</v>
      </c>
      <c r="E158" s="5"/>
    </row>
    <row r="159" spans="2:5" x14ac:dyDescent="0.2">
      <c r="B159" s="2">
        <v>36025</v>
      </c>
      <c r="C159" s="61">
        <v>5602.15</v>
      </c>
      <c r="D159" s="3">
        <f t="shared" si="5"/>
        <v>3.1317941911219283E-2</v>
      </c>
      <c r="E159" s="5"/>
    </row>
    <row r="160" spans="2:5" x14ac:dyDescent="0.2">
      <c r="B160" s="2">
        <v>36026</v>
      </c>
      <c r="C160" s="61">
        <v>5601.93</v>
      </c>
      <c r="D160" s="3">
        <f t="shared" si="5"/>
        <v>-3.9270637166022304E-5</v>
      </c>
      <c r="E160" s="5"/>
    </row>
    <row r="161" spans="2:5" x14ac:dyDescent="0.2">
      <c r="B161" s="2">
        <v>36027</v>
      </c>
      <c r="C161" s="61">
        <v>5486.76</v>
      </c>
      <c r="D161" s="3">
        <f t="shared" si="5"/>
        <v>-2.0558985920923645E-2</v>
      </c>
      <c r="E161" s="5"/>
    </row>
    <row r="162" spans="2:5" x14ac:dyDescent="0.2">
      <c r="B162" s="2">
        <v>36028</v>
      </c>
      <c r="C162" s="61">
        <v>5190.6000000000004</v>
      </c>
      <c r="D162" s="3">
        <f t="shared" si="5"/>
        <v>-5.397721059423044E-2</v>
      </c>
      <c r="E162" s="5"/>
    </row>
    <row r="163" spans="2:5" x14ac:dyDescent="0.2">
      <c r="B163" s="2">
        <v>36031</v>
      </c>
      <c r="C163" s="61">
        <v>5253.38</v>
      </c>
      <c r="D163" s="3">
        <f t="shared" si="5"/>
        <v>1.2094940854621816E-2</v>
      </c>
      <c r="E163" s="5"/>
    </row>
    <row r="164" spans="2:5" x14ac:dyDescent="0.2">
      <c r="B164" s="2">
        <v>36032</v>
      </c>
      <c r="C164" s="61">
        <v>5407.03</v>
      </c>
      <c r="D164" s="3">
        <f t="shared" si="5"/>
        <v>2.9247836630892809E-2</v>
      </c>
      <c r="E164" s="5"/>
    </row>
    <row r="165" spans="2:5" x14ac:dyDescent="0.2">
      <c r="B165" s="2">
        <v>36033</v>
      </c>
      <c r="C165" s="61">
        <v>5247.62</v>
      </c>
      <c r="D165" s="3">
        <f t="shared" si="5"/>
        <v>-2.9481989188149482E-2</v>
      </c>
      <c r="E165" s="5"/>
    </row>
    <row r="166" spans="2:5" x14ac:dyDescent="0.2">
      <c r="B166" s="2">
        <v>36034</v>
      </c>
      <c r="C166" s="61">
        <v>5012.7299999999996</v>
      </c>
      <c r="D166" s="3">
        <f t="shared" si="5"/>
        <v>-4.4761244144964851E-2</v>
      </c>
      <c r="E166" s="5"/>
    </row>
    <row r="167" spans="2:5" x14ac:dyDescent="0.2">
      <c r="B167" s="2">
        <v>36035</v>
      </c>
      <c r="C167" s="61">
        <v>4925.8</v>
      </c>
      <c r="D167" s="3">
        <f t="shared" si="5"/>
        <v>-1.7341847655867992E-2</v>
      </c>
      <c r="E167" s="5"/>
    </row>
    <row r="168" spans="2:5" x14ac:dyDescent="0.2">
      <c r="B168" s="2">
        <v>36038</v>
      </c>
      <c r="C168" s="61">
        <v>4811.28</v>
      </c>
      <c r="D168" s="3">
        <f t="shared" si="5"/>
        <v>-2.3249015388363437E-2</v>
      </c>
      <c r="E168" s="5"/>
    </row>
    <row r="169" spans="2:5" x14ac:dyDescent="0.2">
      <c r="B169" s="2">
        <v>36039</v>
      </c>
      <c r="C169" s="61">
        <v>4855.8999999999996</v>
      </c>
      <c r="D169" s="3">
        <f t="shared" si="5"/>
        <v>9.2740393408823341E-3</v>
      </c>
      <c r="E169" s="5"/>
    </row>
    <row r="170" spans="2:5" x14ac:dyDescent="0.2">
      <c r="B170" s="2">
        <v>36040</v>
      </c>
      <c r="C170" s="61">
        <v>4948.51</v>
      </c>
      <c r="D170" s="3">
        <f t="shared" si="5"/>
        <v>1.9071644803229093E-2</v>
      </c>
      <c r="E170" s="5"/>
    </row>
    <row r="171" spans="2:5" x14ac:dyDescent="0.2">
      <c r="B171" s="2">
        <v>36041</v>
      </c>
      <c r="C171" s="61">
        <v>4797.13</v>
      </c>
      <c r="D171" s="3">
        <f t="shared" si="5"/>
        <v>-3.0591026389761744E-2</v>
      </c>
      <c r="E171" s="5"/>
    </row>
    <row r="172" spans="2:5" x14ac:dyDescent="0.2">
      <c r="B172" s="2">
        <v>36042</v>
      </c>
      <c r="C172" s="61">
        <v>4864.97</v>
      </c>
      <c r="D172" s="3">
        <f t="shared" si="5"/>
        <v>1.4141788944639799E-2</v>
      </c>
      <c r="E172" s="5"/>
    </row>
    <row r="173" spans="2:5" x14ac:dyDescent="0.2">
      <c r="B173" s="2">
        <v>36045</v>
      </c>
      <c r="C173" s="61">
        <v>4945.74</v>
      </c>
      <c r="D173" s="3">
        <f t="shared" si="5"/>
        <v>1.6602363426701405E-2</v>
      </c>
      <c r="E173" s="5"/>
    </row>
    <row r="174" spans="2:5" x14ac:dyDescent="0.2">
      <c r="B174" s="2">
        <v>36046</v>
      </c>
      <c r="C174" s="61">
        <v>5095.62</v>
      </c>
      <c r="D174" s="3">
        <f t="shared" si="5"/>
        <v>3.0304868432226462E-2</v>
      </c>
      <c r="E174" s="5"/>
    </row>
    <row r="175" spans="2:5" x14ac:dyDescent="0.2">
      <c r="B175" s="2">
        <v>36047</v>
      </c>
      <c r="C175" s="61">
        <v>4958.4399999999996</v>
      </c>
      <c r="D175" s="3">
        <f t="shared" si="5"/>
        <v>-2.6921159741111089E-2</v>
      </c>
      <c r="E175" s="5"/>
    </row>
    <row r="176" spans="2:5" x14ac:dyDescent="0.2">
      <c r="B176" s="2">
        <v>36048</v>
      </c>
      <c r="C176" s="61">
        <v>4744.05</v>
      </c>
      <c r="D176" s="3">
        <f t="shared" si="5"/>
        <v>-4.3237389178854557E-2</v>
      </c>
      <c r="E176" s="5"/>
    </row>
    <row r="177" spans="2:5" x14ac:dyDescent="0.2">
      <c r="B177" s="2">
        <v>36049</v>
      </c>
      <c r="C177" s="61">
        <v>4754.6499999999996</v>
      </c>
      <c r="D177" s="3">
        <f t="shared" si="5"/>
        <v>2.2343777995592617E-3</v>
      </c>
      <c r="E177" s="5"/>
    </row>
    <row r="178" spans="2:5" x14ac:dyDescent="0.2">
      <c r="B178" s="2">
        <v>36052</v>
      </c>
      <c r="C178" s="61">
        <v>4893.51</v>
      </c>
      <c r="D178" s="3">
        <f t="shared" si="5"/>
        <v>2.9205093960649187E-2</v>
      </c>
      <c r="E178" s="5"/>
    </row>
    <row r="179" spans="2:5" x14ac:dyDescent="0.2">
      <c r="B179" s="2">
        <v>36053</v>
      </c>
      <c r="C179" s="61">
        <v>4851.5600000000004</v>
      </c>
      <c r="D179" s="3">
        <f t="shared" si="5"/>
        <v>-8.5725787829186162E-3</v>
      </c>
      <c r="E179" s="5"/>
    </row>
    <row r="180" spans="2:5" x14ac:dyDescent="0.2">
      <c r="B180" s="2">
        <v>36054</v>
      </c>
      <c r="C180" s="61">
        <v>4872.18</v>
      </c>
      <c r="D180" s="3">
        <f t="shared" si="5"/>
        <v>4.2501793237639252E-3</v>
      </c>
      <c r="E180" s="5"/>
    </row>
    <row r="181" spans="2:5" x14ac:dyDescent="0.2">
      <c r="B181" s="2">
        <v>36055</v>
      </c>
      <c r="C181" s="61">
        <v>4629.03</v>
      </c>
      <c r="D181" s="3">
        <f t="shared" si="5"/>
        <v>-4.9905791657943732E-2</v>
      </c>
      <c r="E181" s="5"/>
    </row>
    <row r="182" spans="2:5" x14ac:dyDescent="0.2">
      <c r="B182" s="2">
        <v>36056</v>
      </c>
      <c r="C182" s="61">
        <v>4623.37</v>
      </c>
      <c r="D182" s="3">
        <f t="shared" si="5"/>
        <v>-1.2227183664828001E-3</v>
      </c>
      <c r="E182" s="5"/>
    </row>
    <row r="183" spans="2:5" x14ac:dyDescent="0.2">
      <c r="B183" s="2">
        <v>36059</v>
      </c>
      <c r="C183" s="61">
        <v>4439.13</v>
      </c>
      <c r="D183" s="3">
        <f t="shared" si="5"/>
        <v>-3.9849720009430323E-2</v>
      </c>
      <c r="E183" s="5"/>
    </row>
    <row r="184" spans="2:5" x14ac:dyDescent="0.2">
      <c r="B184" s="2">
        <v>36060</v>
      </c>
      <c r="C184" s="61">
        <v>4549.2299999999996</v>
      </c>
      <c r="D184" s="3">
        <f t="shared" si="5"/>
        <v>2.4802157179447226E-2</v>
      </c>
      <c r="E184" s="5"/>
    </row>
    <row r="185" spans="2:5" x14ac:dyDescent="0.2">
      <c r="B185" s="2">
        <v>36061</v>
      </c>
      <c r="C185" s="61">
        <v>4722.96</v>
      </c>
      <c r="D185" s="3">
        <f t="shared" si="5"/>
        <v>3.8188880316009532E-2</v>
      </c>
      <c r="E185" s="5"/>
    </row>
    <row r="186" spans="2:5" x14ac:dyDescent="0.2">
      <c r="B186" s="2">
        <v>36062</v>
      </c>
      <c r="C186" s="61">
        <v>4611.34</v>
      </c>
      <c r="D186" s="3">
        <f t="shared" si="5"/>
        <v>-2.3633484086250989E-2</v>
      </c>
      <c r="E186" s="5"/>
    </row>
    <row r="187" spans="2:5" x14ac:dyDescent="0.2">
      <c r="B187" s="2">
        <v>36063</v>
      </c>
      <c r="C187" s="61">
        <v>4584.41</v>
      </c>
      <c r="D187" s="3">
        <f t="shared" si="5"/>
        <v>-5.8399510771273144E-3</v>
      </c>
      <c r="E187" s="5"/>
    </row>
    <row r="188" spans="2:5" x14ac:dyDescent="0.2">
      <c r="B188" s="2">
        <v>36066</v>
      </c>
      <c r="C188" s="61">
        <v>4677.5600000000004</v>
      </c>
      <c r="D188" s="3">
        <f t="shared" si="5"/>
        <v>2.0318863277935639E-2</v>
      </c>
      <c r="E188" s="5"/>
    </row>
    <row r="189" spans="2:5" x14ac:dyDescent="0.2">
      <c r="B189" s="2">
        <v>36067</v>
      </c>
      <c r="C189" s="61">
        <v>4600.33</v>
      </c>
      <c r="D189" s="3">
        <f t="shared" si="5"/>
        <v>-1.6510744918290854E-2</v>
      </c>
      <c r="E189" s="5"/>
    </row>
    <row r="190" spans="2:5" x14ac:dyDescent="0.2">
      <c r="B190" s="2">
        <v>36068</v>
      </c>
      <c r="C190" s="61">
        <v>4430.91</v>
      </c>
      <c r="D190" s="3">
        <f t="shared" si="5"/>
        <v>-3.6827792788778235E-2</v>
      </c>
      <c r="E190" s="5"/>
    </row>
    <row r="191" spans="2:5" x14ac:dyDescent="0.2">
      <c r="B191" s="2">
        <v>36069</v>
      </c>
      <c r="C191" s="61">
        <v>4094.62</v>
      </c>
      <c r="D191" s="3">
        <f t="shared" si="5"/>
        <v>-7.5896373431191377E-2</v>
      </c>
      <c r="E191" s="5"/>
    </row>
    <row r="192" spans="2:5" x14ac:dyDescent="0.2">
      <c r="B192" s="2">
        <v>36070</v>
      </c>
      <c r="C192" s="61">
        <v>4019.31</v>
      </c>
      <c r="D192" s="3">
        <f t="shared" si="5"/>
        <v>-1.8392427136095679E-2</v>
      </c>
      <c r="E192" s="5"/>
    </row>
    <row r="193" spans="2:5" x14ac:dyDescent="0.2">
      <c r="B193" s="2">
        <v>36073</v>
      </c>
      <c r="C193" s="61">
        <v>3970.99</v>
      </c>
      <c r="D193" s="3">
        <f t="shared" si="5"/>
        <v>-1.2021963968939953E-2</v>
      </c>
      <c r="E193" s="5"/>
    </row>
    <row r="194" spans="2:5" x14ac:dyDescent="0.2">
      <c r="B194" s="2">
        <v>36074</v>
      </c>
      <c r="C194" s="61">
        <v>4185.3900000000003</v>
      </c>
      <c r="D194" s="3">
        <f t="shared" si="5"/>
        <v>5.3991573889634825E-2</v>
      </c>
      <c r="E194" s="5"/>
    </row>
    <row r="195" spans="2:5" x14ac:dyDescent="0.2">
      <c r="B195" s="2">
        <v>36075</v>
      </c>
      <c r="C195" s="61">
        <v>4064.16</v>
      </c>
      <c r="D195" s="3">
        <f t="shared" si="5"/>
        <v>-2.896504268419442E-2</v>
      </c>
      <c r="E195" s="5"/>
    </row>
    <row r="196" spans="2:5" x14ac:dyDescent="0.2">
      <c r="B196" s="2">
        <v>36076</v>
      </c>
      <c r="C196" s="61">
        <v>3861.89</v>
      </c>
      <c r="D196" s="3">
        <f t="shared" si="5"/>
        <v>-4.9769201999921298E-2</v>
      </c>
      <c r="E196" s="5"/>
    </row>
    <row r="197" spans="2:5" x14ac:dyDescent="0.2">
      <c r="B197" s="2">
        <v>36077</v>
      </c>
      <c r="C197" s="61">
        <v>3973.44</v>
      </c>
      <c r="D197" s="3">
        <f t="shared" ref="D197:D260" si="6">C197/C196-1</f>
        <v>2.8884820644813791E-2</v>
      </c>
      <c r="E197" s="5"/>
    </row>
    <row r="198" spans="2:5" x14ac:dyDescent="0.2">
      <c r="B198" s="2">
        <v>36080</v>
      </c>
      <c r="C198" s="61">
        <v>4271.63</v>
      </c>
      <c r="D198" s="3">
        <f t="shared" si="6"/>
        <v>7.5045804139486139E-2</v>
      </c>
      <c r="E198" s="5"/>
    </row>
    <row r="199" spans="2:5" x14ac:dyDescent="0.2">
      <c r="B199" s="2">
        <v>36081</v>
      </c>
      <c r="C199" s="61">
        <v>4253.12</v>
      </c>
      <c r="D199" s="3">
        <f t="shared" si="6"/>
        <v>-4.3332404726065255E-3</v>
      </c>
      <c r="E199" s="5"/>
    </row>
    <row r="200" spans="2:5" x14ac:dyDescent="0.2">
      <c r="B200" s="2">
        <v>36082</v>
      </c>
      <c r="C200" s="61">
        <v>4371.1000000000004</v>
      </c>
      <c r="D200" s="3">
        <f t="shared" si="6"/>
        <v>2.7739635843804233E-2</v>
      </c>
      <c r="E200" s="5"/>
    </row>
    <row r="201" spans="2:5" x14ac:dyDescent="0.2">
      <c r="B201" s="2">
        <v>36083</v>
      </c>
      <c r="C201" s="61">
        <v>4391.6400000000003</v>
      </c>
      <c r="D201" s="3">
        <f t="shared" si="6"/>
        <v>4.6990460067259932E-3</v>
      </c>
      <c r="E201" s="5"/>
    </row>
    <row r="202" spans="2:5" x14ac:dyDescent="0.2">
      <c r="B202" s="2">
        <v>36084</v>
      </c>
      <c r="C202" s="61">
        <v>4469.12</v>
      </c>
      <c r="D202" s="3">
        <f t="shared" si="6"/>
        <v>1.7642611871646841E-2</v>
      </c>
      <c r="E202" s="5"/>
    </row>
    <row r="203" spans="2:5" x14ac:dyDescent="0.2">
      <c r="B203" s="2">
        <v>36087</v>
      </c>
      <c r="C203" s="61">
        <v>4466.18</v>
      </c>
      <c r="D203" s="3">
        <f t="shared" si="6"/>
        <v>-6.5784762995835244E-4</v>
      </c>
      <c r="E203" s="5"/>
    </row>
    <row r="204" spans="2:5" x14ac:dyDescent="0.2">
      <c r="B204" s="2">
        <v>36088</v>
      </c>
      <c r="C204" s="61">
        <v>4657.8599999999997</v>
      </c>
      <c r="D204" s="3">
        <f t="shared" si="6"/>
        <v>4.2918108987993975E-2</v>
      </c>
      <c r="E204" s="5"/>
    </row>
    <row r="205" spans="2:5" x14ac:dyDescent="0.2">
      <c r="B205" s="2">
        <v>36089</v>
      </c>
      <c r="C205" s="61">
        <v>4534.55</v>
      </c>
      <c r="D205" s="3">
        <f t="shared" si="6"/>
        <v>-2.6473530763054143E-2</v>
      </c>
      <c r="E205" s="5"/>
    </row>
    <row r="206" spans="2:5" x14ac:dyDescent="0.2">
      <c r="B206" s="2">
        <v>36090</v>
      </c>
      <c r="C206" s="61">
        <v>4449.12</v>
      </c>
      <c r="D206" s="3">
        <f t="shared" si="6"/>
        <v>-1.8839796672216691E-2</v>
      </c>
      <c r="E206" s="5"/>
    </row>
    <row r="207" spans="2:5" x14ac:dyDescent="0.2">
      <c r="B207" s="2">
        <v>36091</v>
      </c>
      <c r="C207" s="61">
        <v>4480.43</v>
      </c>
      <c r="D207" s="3">
        <f t="shared" si="6"/>
        <v>7.0373467112598842E-3</v>
      </c>
      <c r="E207" s="5"/>
    </row>
    <row r="208" spans="2:5" x14ac:dyDescent="0.2">
      <c r="B208" s="2">
        <v>36094</v>
      </c>
      <c r="C208" s="61">
        <v>4579.6400000000003</v>
      </c>
      <c r="D208" s="3">
        <f t="shared" si="6"/>
        <v>2.2142963956584438E-2</v>
      </c>
      <c r="E208" s="5"/>
    </row>
    <row r="209" spans="2:5" x14ac:dyDescent="0.2">
      <c r="B209" s="2">
        <v>36095</v>
      </c>
      <c r="C209" s="61">
        <v>4682.7</v>
      </c>
      <c r="D209" s="3">
        <f t="shared" si="6"/>
        <v>2.2503952275724659E-2</v>
      </c>
      <c r="E209" s="5"/>
    </row>
    <row r="210" spans="2:5" x14ac:dyDescent="0.2">
      <c r="B210" s="2">
        <v>36096</v>
      </c>
      <c r="C210" s="61">
        <v>4564.12</v>
      </c>
      <c r="D210" s="3">
        <f t="shared" si="6"/>
        <v>-2.5322997416020621E-2</v>
      </c>
      <c r="E210" s="5"/>
    </row>
    <row r="211" spans="2:5" x14ac:dyDescent="0.2">
      <c r="B211" s="2">
        <v>36097</v>
      </c>
      <c r="C211" s="61">
        <v>4569.7299999999996</v>
      </c>
      <c r="D211" s="3">
        <f t="shared" si="6"/>
        <v>1.2291526077314874E-3</v>
      </c>
      <c r="E211" s="5"/>
    </row>
    <row r="212" spans="2:5" x14ac:dyDescent="0.2">
      <c r="B212" s="2">
        <v>36098</v>
      </c>
      <c r="C212" s="61">
        <v>4690.99</v>
      </c>
      <c r="D212" s="3">
        <f t="shared" si="6"/>
        <v>2.6535484590993308E-2</v>
      </c>
      <c r="E212" s="5"/>
    </row>
    <row r="213" spans="2:5" x14ac:dyDescent="0.2">
      <c r="B213" s="2">
        <v>36101</v>
      </c>
      <c r="C213" s="61">
        <v>4762.47</v>
      </c>
      <c r="D213" s="3">
        <f t="shared" si="6"/>
        <v>1.523772167495574E-2</v>
      </c>
      <c r="E213" s="5"/>
    </row>
    <row r="214" spans="2:5" x14ac:dyDescent="0.2">
      <c r="B214" s="2">
        <v>36102</v>
      </c>
      <c r="C214" s="61">
        <v>4709.32</v>
      </c>
      <c r="D214" s="3">
        <f t="shared" si="6"/>
        <v>-1.1160175287193486E-2</v>
      </c>
      <c r="E214" s="5"/>
    </row>
    <row r="215" spans="2:5" x14ac:dyDescent="0.2">
      <c r="B215" s="2">
        <v>36103</v>
      </c>
      <c r="C215" s="61">
        <v>4878.24</v>
      </c>
      <c r="D215" s="3">
        <f t="shared" si="6"/>
        <v>3.586929747819223E-2</v>
      </c>
      <c r="E215" s="5"/>
    </row>
    <row r="216" spans="2:5" x14ac:dyDescent="0.2">
      <c r="B216" s="2">
        <v>36104</v>
      </c>
      <c r="C216" s="61">
        <v>4795.28</v>
      </c>
      <c r="D216" s="3">
        <f t="shared" si="6"/>
        <v>-1.7006133359572351E-2</v>
      </c>
      <c r="E216" s="5"/>
    </row>
    <row r="217" spans="2:5" x14ac:dyDescent="0.2">
      <c r="B217" s="2">
        <v>36105</v>
      </c>
      <c r="C217" s="61">
        <v>4809.7299999999996</v>
      </c>
      <c r="D217" s="3">
        <f t="shared" si="6"/>
        <v>3.0133798234930342E-3</v>
      </c>
      <c r="E217" s="5"/>
    </row>
    <row r="218" spans="2:5" x14ac:dyDescent="0.2">
      <c r="B218" s="2">
        <v>36108</v>
      </c>
      <c r="C218" s="61">
        <v>4762.38</v>
      </c>
      <c r="D218" s="3">
        <f t="shared" si="6"/>
        <v>-9.8446274531002187E-3</v>
      </c>
      <c r="E218" s="5"/>
    </row>
    <row r="219" spans="2:5" x14ac:dyDescent="0.2">
      <c r="B219" s="2">
        <v>36109</v>
      </c>
      <c r="C219" s="61">
        <v>4681.34</v>
      </c>
      <c r="D219" s="3">
        <f t="shared" si="6"/>
        <v>-1.701670173316705E-2</v>
      </c>
      <c r="E219" s="5"/>
    </row>
    <row r="220" spans="2:5" x14ac:dyDescent="0.2">
      <c r="B220" s="2">
        <v>36110</v>
      </c>
      <c r="C220" s="61">
        <v>4705.32</v>
      </c>
      <c r="D220" s="3">
        <f t="shared" si="6"/>
        <v>5.122464935253479E-3</v>
      </c>
      <c r="E220" s="5"/>
    </row>
    <row r="221" spans="2:5" x14ac:dyDescent="0.2">
      <c r="B221" s="2">
        <v>36111</v>
      </c>
      <c r="C221" s="61">
        <v>4645.8900000000003</v>
      </c>
      <c r="D221" s="3">
        <f t="shared" si="6"/>
        <v>-1.2630384330927447E-2</v>
      </c>
      <c r="E221" s="5"/>
    </row>
    <row r="222" spans="2:5" x14ac:dyDescent="0.2">
      <c r="B222" s="2">
        <v>36112</v>
      </c>
      <c r="C222" s="61">
        <v>4643.8</v>
      </c>
      <c r="D222" s="3">
        <f t="shared" si="6"/>
        <v>-4.4985998377067293E-4</v>
      </c>
      <c r="E222" s="5"/>
    </row>
    <row r="223" spans="2:5" x14ac:dyDescent="0.2">
      <c r="B223" s="2">
        <v>36115</v>
      </c>
      <c r="C223" s="61">
        <v>4785.76</v>
      </c>
      <c r="D223" s="3">
        <f t="shared" si="6"/>
        <v>3.056979198070553E-2</v>
      </c>
      <c r="E223" s="5"/>
    </row>
    <row r="224" spans="2:5" x14ac:dyDescent="0.2">
      <c r="B224" s="2">
        <v>36116</v>
      </c>
      <c r="C224" s="61">
        <v>4718.34</v>
      </c>
      <c r="D224" s="3">
        <f t="shared" si="6"/>
        <v>-1.4087626625656102E-2</v>
      </c>
      <c r="E224" s="5"/>
    </row>
    <row r="225" spans="2:5" x14ac:dyDescent="0.2">
      <c r="B225" s="2">
        <v>36117</v>
      </c>
      <c r="C225" s="61">
        <v>4700.6899999999996</v>
      </c>
      <c r="D225" s="3">
        <f t="shared" si="6"/>
        <v>-3.7407223726989569E-3</v>
      </c>
      <c r="E225" s="5"/>
    </row>
    <row r="226" spans="2:5" x14ac:dyDescent="0.2">
      <c r="B226" s="2">
        <v>36118</v>
      </c>
      <c r="C226" s="61">
        <v>4805.6899999999996</v>
      </c>
      <c r="D226" s="3">
        <f t="shared" si="6"/>
        <v>2.2337146248742279E-2</v>
      </c>
      <c r="E226" s="5"/>
    </row>
    <row r="227" spans="2:5" x14ac:dyDescent="0.2">
      <c r="B227" s="2">
        <v>36119</v>
      </c>
      <c r="C227" s="61">
        <v>4911.43</v>
      </c>
      <c r="D227" s="3">
        <f t="shared" si="6"/>
        <v>2.2003083844359672E-2</v>
      </c>
      <c r="E227" s="5"/>
    </row>
    <row r="228" spans="2:5" x14ac:dyDescent="0.2">
      <c r="B228" s="2">
        <v>36122</v>
      </c>
      <c r="C228" s="61">
        <v>5024.51</v>
      </c>
      <c r="D228" s="3">
        <f t="shared" si="6"/>
        <v>2.3023844379335578E-2</v>
      </c>
      <c r="E228" s="5"/>
    </row>
    <row r="229" spans="2:5" x14ac:dyDescent="0.2">
      <c r="B229" s="2">
        <v>36123</v>
      </c>
      <c r="C229" s="61">
        <v>4954.54</v>
      </c>
      <c r="D229" s="3">
        <f t="shared" si="6"/>
        <v>-1.3925736041922598E-2</v>
      </c>
      <c r="E229" s="5"/>
    </row>
    <row r="230" spans="2:5" x14ac:dyDescent="0.2">
      <c r="B230" s="2">
        <v>36124</v>
      </c>
      <c r="C230" s="61">
        <v>4956.53</v>
      </c>
      <c r="D230" s="3">
        <f t="shared" si="6"/>
        <v>4.0165181833229369E-4</v>
      </c>
      <c r="E230" s="5"/>
    </row>
    <row r="231" spans="2:5" x14ac:dyDescent="0.2">
      <c r="B231" s="2">
        <v>36125</v>
      </c>
      <c r="C231" s="61">
        <v>5067.99</v>
      </c>
      <c r="D231" s="3">
        <f t="shared" si="6"/>
        <v>2.2487506380471922E-2</v>
      </c>
      <c r="E231" s="5"/>
    </row>
    <row r="232" spans="2:5" x14ac:dyDescent="0.2">
      <c r="B232" s="2">
        <v>36126</v>
      </c>
      <c r="C232" s="61">
        <v>5159.21</v>
      </c>
      <c r="D232" s="3">
        <f t="shared" si="6"/>
        <v>1.7999246249499334E-2</v>
      </c>
      <c r="E232" s="5"/>
    </row>
    <row r="233" spans="2:5" x14ac:dyDescent="0.2">
      <c r="B233" s="2">
        <v>36129</v>
      </c>
      <c r="C233" s="61">
        <v>5026.1400000000003</v>
      </c>
      <c r="D233" s="3">
        <f t="shared" si="6"/>
        <v>-2.5792708573599388E-2</v>
      </c>
      <c r="E233" s="5"/>
    </row>
    <row r="234" spans="2:5" x14ac:dyDescent="0.2">
      <c r="B234" s="2">
        <v>36130</v>
      </c>
      <c r="C234" s="61">
        <v>4777.18</v>
      </c>
      <c r="D234" s="3">
        <f t="shared" si="6"/>
        <v>-4.9533041260291233E-2</v>
      </c>
      <c r="E234" s="5"/>
    </row>
    <row r="235" spans="2:5" x14ac:dyDescent="0.2">
      <c r="B235" s="2">
        <v>36131</v>
      </c>
      <c r="C235" s="61">
        <v>4712.2</v>
      </c>
      <c r="D235" s="3">
        <f t="shared" si="6"/>
        <v>-1.3602166968797569E-2</v>
      </c>
      <c r="E235" s="5"/>
    </row>
    <row r="236" spans="2:5" x14ac:dyDescent="0.2">
      <c r="B236" s="2">
        <v>36132</v>
      </c>
      <c r="C236" s="61">
        <v>4812.34</v>
      </c>
      <c r="D236" s="3">
        <f t="shared" si="6"/>
        <v>2.1251220236832014E-2</v>
      </c>
      <c r="E236" s="5"/>
    </row>
    <row r="237" spans="2:5" x14ac:dyDescent="0.2">
      <c r="B237" s="2">
        <v>36133</v>
      </c>
      <c r="C237" s="61">
        <v>4802.76</v>
      </c>
      <c r="D237" s="3">
        <f t="shared" si="6"/>
        <v>-1.990715535477583E-3</v>
      </c>
      <c r="E237" s="5"/>
    </row>
    <row r="238" spans="2:5" x14ac:dyDescent="0.2">
      <c r="B238" s="2">
        <v>36136</v>
      </c>
      <c r="C238" s="61">
        <v>4721.17</v>
      </c>
      <c r="D238" s="3">
        <f t="shared" si="6"/>
        <v>-1.6988148481289933E-2</v>
      </c>
      <c r="E238" s="5"/>
    </row>
    <row r="239" spans="2:5" x14ac:dyDescent="0.2">
      <c r="B239" s="2">
        <v>36137</v>
      </c>
      <c r="C239" s="61">
        <v>4708.1899999999996</v>
      </c>
      <c r="D239" s="3">
        <f t="shared" si="6"/>
        <v>-2.7493184952036565E-3</v>
      </c>
      <c r="E239" s="5"/>
    </row>
    <row r="240" spans="2:5" x14ac:dyDescent="0.2">
      <c r="B240" s="2">
        <v>36138</v>
      </c>
      <c r="C240" s="61">
        <v>4676.57</v>
      </c>
      <c r="D240" s="3">
        <f t="shared" si="6"/>
        <v>-6.7159566627514877E-3</v>
      </c>
      <c r="E240" s="5"/>
    </row>
    <row r="241" spans="2:5" x14ac:dyDescent="0.2">
      <c r="B241" s="2">
        <v>36139</v>
      </c>
      <c r="C241" s="61">
        <v>4650.3</v>
      </c>
      <c r="D241" s="3">
        <f t="shared" si="6"/>
        <v>-5.6173648635644557E-3</v>
      </c>
      <c r="E241" s="5"/>
    </row>
    <row r="242" spans="2:5" x14ac:dyDescent="0.2">
      <c r="B242" s="2">
        <v>36140</v>
      </c>
      <c r="C242" s="61">
        <v>4543.0200000000004</v>
      </c>
      <c r="D242" s="3">
        <f t="shared" si="6"/>
        <v>-2.3069479388426517E-2</v>
      </c>
      <c r="E242" s="5"/>
    </row>
    <row r="243" spans="2:5" x14ac:dyDescent="0.2">
      <c r="B243" s="2">
        <v>36143</v>
      </c>
      <c r="C243" s="61">
        <v>4563.26</v>
      </c>
      <c r="D243" s="3">
        <f t="shared" si="6"/>
        <v>4.4551861977275564E-3</v>
      </c>
      <c r="E243" s="5"/>
    </row>
    <row r="244" spans="2:5" x14ac:dyDescent="0.2">
      <c r="B244" s="2">
        <v>36144</v>
      </c>
      <c r="C244" s="61">
        <v>4569.7</v>
      </c>
      <c r="D244" s="3">
        <f t="shared" si="6"/>
        <v>1.411271766237121E-3</v>
      </c>
      <c r="E244" s="5"/>
    </row>
    <row r="245" spans="2:5" x14ac:dyDescent="0.2">
      <c r="B245" s="2">
        <v>36145</v>
      </c>
      <c r="C245" s="61">
        <v>4686.74</v>
      </c>
      <c r="D245" s="3">
        <f t="shared" si="6"/>
        <v>2.5612184607304522E-2</v>
      </c>
      <c r="E245" s="5"/>
    </row>
    <row r="246" spans="2:5" x14ac:dyDescent="0.2">
      <c r="B246" s="2">
        <v>36146</v>
      </c>
      <c r="C246" s="61">
        <v>4732.1099999999997</v>
      </c>
      <c r="D246" s="3">
        <f t="shared" si="6"/>
        <v>9.6805028655313485E-3</v>
      </c>
      <c r="E246" s="5"/>
    </row>
    <row r="247" spans="2:5" x14ac:dyDescent="0.2">
      <c r="B247" s="2">
        <v>36147</v>
      </c>
      <c r="C247" s="61">
        <v>4666.74</v>
      </c>
      <c r="D247" s="3">
        <f t="shared" si="6"/>
        <v>-1.3814133652852556E-2</v>
      </c>
      <c r="E247" s="5"/>
    </row>
    <row r="248" spans="2:5" x14ac:dyDescent="0.2">
      <c r="B248" s="2">
        <v>36150</v>
      </c>
      <c r="C248" s="61">
        <v>4826.7</v>
      </c>
      <c r="D248" s="3">
        <f t="shared" si="6"/>
        <v>3.4276604224790841E-2</v>
      </c>
      <c r="E248" s="5"/>
    </row>
    <row r="249" spans="2:5" x14ac:dyDescent="0.2">
      <c r="B249" s="2">
        <v>36151</v>
      </c>
      <c r="C249" s="61">
        <v>4879.47</v>
      </c>
      <c r="D249" s="3">
        <f t="shared" si="6"/>
        <v>1.0932935546025258E-2</v>
      </c>
      <c r="E249" s="5"/>
    </row>
    <row r="250" spans="2:5" x14ac:dyDescent="0.2">
      <c r="B250" s="2">
        <v>36152</v>
      </c>
      <c r="C250" s="61">
        <v>4978.62</v>
      </c>
      <c r="D250" s="3">
        <f t="shared" si="6"/>
        <v>2.0319829817582624E-2</v>
      </c>
      <c r="E250" s="5"/>
    </row>
    <row r="251" spans="2:5" x14ac:dyDescent="0.2">
      <c r="B251" s="2">
        <v>36157</v>
      </c>
      <c r="C251" s="61">
        <v>5040.1499999999996</v>
      </c>
      <c r="D251" s="3">
        <f t="shared" si="6"/>
        <v>1.2358846427323211E-2</v>
      </c>
      <c r="E251" s="5"/>
    </row>
    <row r="252" spans="2:5" x14ac:dyDescent="0.2">
      <c r="B252" s="2">
        <v>36158</v>
      </c>
      <c r="C252" s="61">
        <v>5056.2</v>
      </c>
      <c r="D252" s="3">
        <f t="shared" si="6"/>
        <v>3.1844290348501669E-3</v>
      </c>
      <c r="E252" s="5"/>
    </row>
    <row r="253" spans="2:5" x14ac:dyDescent="0.2">
      <c r="B253" s="2">
        <v>36159</v>
      </c>
      <c r="C253" s="61">
        <v>5006.57</v>
      </c>
      <c r="D253" s="3">
        <f t="shared" si="6"/>
        <v>-9.8156718484236904E-3</v>
      </c>
      <c r="E253" s="5"/>
    </row>
    <row r="254" spans="2:5" x14ac:dyDescent="0.2">
      <c r="B254" s="2">
        <v>36164</v>
      </c>
      <c r="C254" s="61">
        <v>5290.36</v>
      </c>
      <c r="D254" s="3">
        <f t="shared" si="6"/>
        <v>5.6683517857535115E-2</v>
      </c>
      <c r="E254" s="5"/>
    </row>
    <row r="255" spans="2:5" x14ac:dyDescent="0.2">
      <c r="B255" s="2">
        <v>36165</v>
      </c>
      <c r="C255" s="61">
        <v>5263.41</v>
      </c>
      <c r="D255" s="3">
        <f t="shared" si="6"/>
        <v>-5.0941712851299004E-3</v>
      </c>
      <c r="E255" s="5"/>
    </row>
    <row r="256" spans="2:5" x14ac:dyDescent="0.2">
      <c r="B256" s="2">
        <v>36166</v>
      </c>
      <c r="C256" s="61">
        <v>5442.9</v>
      </c>
      <c r="D256" s="3">
        <f t="shared" si="6"/>
        <v>3.4101466539752767E-2</v>
      </c>
      <c r="E256" s="5"/>
    </row>
    <row r="257" spans="2:5" x14ac:dyDescent="0.2">
      <c r="B257" s="2">
        <v>36167</v>
      </c>
      <c r="C257" s="61">
        <v>5345.71</v>
      </c>
      <c r="D257" s="3">
        <f t="shared" si="6"/>
        <v>-1.7856289845486706E-2</v>
      </c>
      <c r="E257" s="5"/>
    </row>
    <row r="258" spans="2:5" x14ac:dyDescent="0.2">
      <c r="B258" s="2">
        <v>36168</v>
      </c>
      <c r="C258" s="61">
        <v>5370.51</v>
      </c>
      <c r="D258" s="3">
        <f t="shared" si="6"/>
        <v>4.6392340774190632E-3</v>
      </c>
      <c r="E258" s="5"/>
    </row>
    <row r="259" spans="2:5" x14ac:dyDescent="0.2">
      <c r="B259" s="2">
        <v>36171</v>
      </c>
      <c r="C259" s="61">
        <v>5266.47</v>
      </c>
      <c r="D259" s="3">
        <f t="shared" si="6"/>
        <v>-1.9372461833233712E-2</v>
      </c>
      <c r="E259" s="5"/>
    </row>
    <row r="260" spans="2:5" x14ac:dyDescent="0.2">
      <c r="B260" s="2">
        <v>36172</v>
      </c>
      <c r="C260" s="61">
        <v>5196.13</v>
      </c>
      <c r="D260" s="3">
        <f t="shared" si="6"/>
        <v>-1.3356194946520183E-2</v>
      </c>
      <c r="E260" s="5"/>
    </row>
    <row r="261" spans="2:5" x14ac:dyDescent="0.2">
      <c r="B261" s="2">
        <v>36173</v>
      </c>
      <c r="C261" s="61">
        <v>4982.12</v>
      </c>
      <c r="D261" s="3">
        <f t="shared" ref="D261:D324" si="7">C261/C260-1</f>
        <v>-4.1186421432874099E-2</v>
      </c>
      <c r="E261" s="5"/>
    </row>
    <row r="262" spans="2:5" x14ac:dyDescent="0.2">
      <c r="B262" s="2">
        <v>36174</v>
      </c>
      <c r="C262" s="61">
        <v>4902.75</v>
      </c>
      <c r="D262" s="3">
        <f t="shared" si="7"/>
        <v>-1.5930969145664831E-2</v>
      </c>
      <c r="E262" s="5"/>
    </row>
    <row r="263" spans="2:5" x14ac:dyDescent="0.2">
      <c r="B263" s="2">
        <v>36175</v>
      </c>
      <c r="C263" s="61">
        <v>4973.78</v>
      </c>
      <c r="D263" s="3">
        <f t="shared" si="7"/>
        <v>1.4487787466217927E-2</v>
      </c>
      <c r="E263" s="5"/>
    </row>
    <row r="264" spans="2:5" x14ac:dyDescent="0.2">
      <c r="B264" s="2">
        <v>36178</v>
      </c>
      <c r="C264" s="61">
        <v>5076.8500000000004</v>
      </c>
      <c r="D264" s="3">
        <f t="shared" si="7"/>
        <v>2.0722669679801076E-2</v>
      </c>
      <c r="E264" s="5"/>
    </row>
    <row r="265" spans="2:5" x14ac:dyDescent="0.2">
      <c r="B265" s="2">
        <v>36179</v>
      </c>
      <c r="C265" s="61">
        <v>5038.45</v>
      </c>
      <c r="D265" s="3">
        <f t="shared" si="7"/>
        <v>-7.5637452357270041E-3</v>
      </c>
      <c r="E265" s="5"/>
    </row>
    <row r="266" spans="2:5" x14ac:dyDescent="0.2">
      <c r="B266" s="2">
        <v>36180</v>
      </c>
      <c r="C266" s="61">
        <v>5197.1499999999996</v>
      </c>
      <c r="D266" s="3">
        <f t="shared" si="7"/>
        <v>3.1497782055989409E-2</v>
      </c>
      <c r="E266" s="5"/>
    </row>
    <row r="267" spans="2:5" x14ac:dyDescent="0.2">
      <c r="B267" s="2">
        <v>36181</v>
      </c>
      <c r="C267" s="61">
        <v>5163.45</v>
      </c>
      <c r="D267" s="3">
        <f t="shared" si="7"/>
        <v>-6.4843231386432221E-3</v>
      </c>
      <c r="E267" s="5"/>
    </row>
    <row r="268" spans="2:5" x14ac:dyDescent="0.2">
      <c r="B268" s="2">
        <v>36182</v>
      </c>
      <c r="C268" s="61">
        <v>5008.21</v>
      </c>
      <c r="D268" s="3">
        <f t="shared" si="7"/>
        <v>-3.0065169605593134E-2</v>
      </c>
      <c r="E268" s="5"/>
    </row>
    <row r="269" spans="2:5" x14ac:dyDescent="0.2">
      <c r="B269" s="2">
        <v>36185</v>
      </c>
      <c r="C269" s="61">
        <v>4988.59</v>
      </c>
      <c r="D269" s="3">
        <f t="shared" si="7"/>
        <v>-3.9175673544040723E-3</v>
      </c>
      <c r="E269" s="5"/>
    </row>
    <row r="270" spans="2:5" x14ac:dyDescent="0.2">
      <c r="B270" s="2">
        <v>36186</v>
      </c>
      <c r="C270" s="61">
        <v>5001.1899999999996</v>
      </c>
      <c r="D270" s="3">
        <f t="shared" si="7"/>
        <v>2.5257637929754218E-3</v>
      </c>
      <c r="E270" s="5"/>
    </row>
    <row r="271" spans="2:5" x14ac:dyDescent="0.2">
      <c r="B271" s="2">
        <v>36187</v>
      </c>
      <c r="C271" s="61">
        <v>5038.21</v>
      </c>
      <c r="D271" s="3">
        <f t="shared" si="7"/>
        <v>7.4022382672924714E-3</v>
      </c>
      <c r="E271" s="5"/>
    </row>
    <row r="272" spans="2:5" x14ac:dyDescent="0.2">
      <c r="B272" s="2">
        <v>36188</v>
      </c>
      <c r="C272" s="61">
        <v>5080.93</v>
      </c>
      <c r="D272" s="3">
        <f t="shared" si="7"/>
        <v>8.4792019387838202E-3</v>
      </c>
      <c r="E272" s="5"/>
    </row>
    <row r="273" spans="2:5" x14ac:dyDescent="0.2">
      <c r="B273" s="2">
        <v>36189</v>
      </c>
      <c r="C273" s="61">
        <v>5180.29</v>
      </c>
      <c r="D273" s="3">
        <f t="shared" si="7"/>
        <v>1.9555475080349494E-2</v>
      </c>
      <c r="E273" s="5"/>
    </row>
    <row r="274" spans="2:5" x14ac:dyDescent="0.2">
      <c r="B274" s="2">
        <v>36192</v>
      </c>
      <c r="C274" s="61">
        <v>5239.6000000000004</v>
      </c>
      <c r="D274" s="3">
        <f t="shared" si="7"/>
        <v>1.1449165973333564E-2</v>
      </c>
      <c r="E274" s="5"/>
    </row>
    <row r="275" spans="2:5" x14ac:dyDescent="0.2">
      <c r="B275" s="2">
        <v>36193</v>
      </c>
      <c r="C275" s="61">
        <v>5164.95</v>
      </c>
      <c r="D275" s="3">
        <f t="shared" si="7"/>
        <v>-1.4247270784029431E-2</v>
      </c>
      <c r="E275" s="5"/>
    </row>
    <row r="276" spans="2:5" x14ac:dyDescent="0.2">
      <c r="B276" s="2">
        <v>36194</v>
      </c>
      <c r="C276" s="61">
        <v>5090.07</v>
      </c>
      <c r="D276" s="3">
        <f t="shared" si="7"/>
        <v>-1.449772021026341E-2</v>
      </c>
      <c r="E276" s="5"/>
    </row>
    <row r="277" spans="2:5" x14ac:dyDescent="0.2">
      <c r="B277" s="2">
        <v>36195</v>
      </c>
      <c r="C277" s="61">
        <v>5061.28</v>
      </c>
      <c r="D277" s="3">
        <f t="shared" si="7"/>
        <v>-5.6561108196939713E-3</v>
      </c>
      <c r="E277" s="5"/>
    </row>
    <row r="278" spans="2:5" x14ac:dyDescent="0.2">
      <c r="B278" s="2">
        <v>36196</v>
      </c>
      <c r="C278" s="61">
        <v>5097.4799999999996</v>
      </c>
      <c r="D278" s="3">
        <f t="shared" si="7"/>
        <v>7.1523409098093182E-3</v>
      </c>
      <c r="E278" s="5"/>
    </row>
    <row r="279" spans="2:5" x14ac:dyDescent="0.2">
      <c r="B279" s="2">
        <v>36199</v>
      </c>
      <c r="C279" s="61">
        <v>5052.4399999999996</v>
      </c>
      <c r="D279" s="3">
        <f t="shared" si="7"/>
        <v>-8.8357384433092045E-3</v>
      </c>
      <c r="E279" s="5"/>
    </row>
    <row r="280" spans="2:5" x14ac:dyDescent="0.2">
      <c r="B280" s="2">
        <v>36200</v>
      </c>
      <c r="C280" s="61">
        <v>4850.67</v>
      </c>
      <c r="D280" s="3">
        <f t="shared" si="7"/>
        <v>-3.9935160041484785E-2</v>
      </c>
      <c r="E280" s="5"/>
    </row>
    <row r="281" spans="2:5" x14ac:dyDescent="0.2">
      <c r="B281" s="2">
        <v>36201</v>
      </c>
      <c r="C281" s="61">
        <v>4814.04</v>
      </c>
      <c r="D281" s="3">
        <f t="shared" si="7"/>
        <v>-7.5515341179672735E-3</v>
      </c>
      <c r="E281" s="5"/>
    </row>
    <row r="282" spans="2:5" x14ac:dyDescent="0.2">
      <c r="B282" s="2">
        <v>36202</v>
      </c>
      <c r="C282" s="61">
        <v>4869.29</v>
      </c>
      <c r="D282" s="3">
        <f t="shared" si="7"/>
        <v>1.147684688951478E-2</v>
      </c>
      <c r="E282" s="5"/>
    </row>
    <row r="283" spans="2:5" x14ac:dyDescent="0.2">
      <c r="B283" s="2">
        <v>36203</v>
      </c>
      <c r="C283" s="61">
        <v>4896.74</v>
      </c>
      <c r="D283" s="3">
        <f t="shared" si="7"/>
        <v>5.6373721836242563E-3</v>
      </c>
      <c r="E283" s="5"/>
    </row>
    <row r="284" spans="2:5" x14ac:dyDescent="0.2">
      <c r="B284" s="2">
        <v>36206</v>
      </c>
      <c r="C284" s="61">
        <v>4888.95</v>
      </c>
      <c r="D284" s="3">
        <f t="shared" si="7"/>
        <v>-1.5908543234887107E-3</v>
      </c>
      <c r="E284" s="5"/>
    </row>
    <row r="285" spans="2:5" x14ac:dyDescent="0.2">
      <c r="B285" s="2">
        <v>36207</v>
      </c>
      <c r="C285" s="61">
        <v>4895.1099999999997</v>
      </c>
      <c r="D285" s="3">
        <f t="shared" si="7"/>
        <v>1.2599842501967995E-3</v>
      </c>
      <c r="E285" s="5"/>
    </row>
    <row r="286" spans="2:5" x14ac:dyDescent="0.2">
      <c r="B286" s="2">
        <v>36208</v>
      </c>
      <c r="C286" s="61">
        <v>4820.42</v>
      </c>
      <c r="D286" s="3">
        <f t="shared" si="7"/>
        <v>-1.5258084087997892E-2</v>
      </c>
      <c r="E286" s="5"/>
    </row>
    <row r="287" spans="2:5" x14ac:dyDescent="0.2">
      <c r="B287" s="2">
        <v>36209</v>
      </c>
      <c r="C287" s="61">
        <v>4871.09</v>
      </c>
      <c r="D287" s="3">
        <f t="shared" si="7"/>
        <v>1.0511532190141226E-2</v>
      </c>
      <c r="E287" s="5"/>
    </row>
    <row r="288" spans="2:5" x14ac:dyDescent="0.2">
      <c r="B288" s="2">
        <v>36210</v>
      </c>
      <c r="C288" s="61">
        <v>4823.26</v>
      </c>
      <c r="D288" s="3">
        <f t="shared" si="7"/>
        <v>-9.8191575191589608E-3</v>
      </c>
      <c r="E288" s="5"/>
    </row>
    <row r="289" spans="2:5" x14ac:dyDescent="0.2">
      <c r="B289" s="2">
        <v>36213</v>
      </c>
      <c r="C289" s="61">
        <v>4887.7</v>
      </c>
      <c r="D289" s="3">
        <f t="shared" si="7"/>
        <v>1.3360258414433224E-2</v>
      </c>
      <c r="E289" s="5"/>
    </row>
    <row r="290" spans="2:5" x14ac:dyDescent="0.2">
      <c r="B290" s="2">
        <v>36214</v>
      </c>
      <c r="C290" s="61">
        <v>5012.6000000000004</v>
      </c>
      <c r="D290" s="3">
        <f t="shared" si="7"/>
        <v>2.5553941526689661E-2</v>
      </c>
      <c r="E290" s="5"/>
    </row>
    <row r="291" spans="2:5" x14ac:dyDescent="0.2">
      <c r="B291" s="2">
        <v>36215</v>
      </c>
      <c r="C291" s="61">
        <v>5058.29</v>
      </c>
      <c r="D291" s="3">
        <f t="shared" si="7"/>
        <v>9.1150301240872089E-3</v>
      </c>
      <c r="E291" s="5"/>
    </row>
    <row r="292" spans="2:5" x14ac:dyDescent="0.2">
      <c r="B292" s="2">
        <v>36216</v>
      </c>
      <c r="C292" s="61">
        <v>4918.55</v>
      </c>
      <c r="D292" s="3">
        <f t="shared" si="7"/>
        <v>-2.7625936828453823E-2</v>
      </c>
      <c r="E292" s="5"/>
    </row>
    <row r="293" spans="2:5" x14ac:dyDescent="0.2">
      <c r="B293" s="2">
        <v>36217</v>
      </c>
      <c r="C293" s="61">
        <v>4903.96</v>
      </c>
      <c r="D293" s="3">
        <f t="shared" si="7"/>
        <v>-2.9663213752020301E-3</v>
      </c>
      <c r="E293" s="5"/>
    </row>
    <row r="294" spans="2:5" x14ac:dyDescent="0.2">
      <c r="B294" s="2">
        <v>36220</v>
      </c>
      <c r="C294" s="61">
        <v>4779.07</v>
      </c>
      <c r="D294" s="3">
        <f t="shared" si="7"/>
        <v>-2.5467173467972892E-2</v>
      </c>
      <c r="E294" s="5"/>
    </row>
    <row r="295" spans="2:5" x14ac:dyDescent="0.2">
      <c r="B295" s="2">
        <v>36221</v>
      </c>
      <c r="C295" s="61">
        <v>4797.84</v>
      </c>
      <c r="D295" s="3">
        <f t="shared" si="7"/>
        <v>3.9275423879543414E-3</v>
      </c>
      <c r="E295" s="5"/>
    </row>
    <row r="296" spans="2:5" x14ac:dyDescent="0.2">
      <c r="B296" s="2">
        <v>36222</v>
      </c>
      <c r="C296" s="61">
        <v>4668.5200000000004</v>
      </c>
      <c r="D296" s="3">
        <f t="shared" si="7"/>
        <v>-2.6953795874810282E-2</v>
      </c>
      <c r="E296" s="5"/>
    </row>
    <row r="297" spans="2:5" x14ac:dyDescent="0.2">
      <c r="B297" s="2">
        <v>36223</v>
      </c>
      <c r="C297" s="61">
        <v>4722.6899999999996</v>
      </c>
      <c r="D297" s="3">
        <f t="shared" si="7"/>
        <v>1.1603248995398774E-2</v>
      </c>
      <c r="E297" s="5"/>
    </row>
    <row r="298" spans="2:5" x14ac:dyDescent="0.2">
      <c r="B298" s="2">
        <v>36224</v>
      </c>
      <c r="C298" s="61">
        <v>4840.8100000000004</v>
      </c>
      <c r="D298" s="3">
        <f t="shared" si="7"/>
        <v>2.5011169481799822E-2</v>
      </c>
      <c r="E298" s="5"/>
    </row>
    <row r="299" spans="2:5" x14ac:dyDescent="0.2">
      <c r="B299" s="2">
        <v>36227</v>
      </c>
      <c r="C299" s="61">
        <v>4791.43</v>
      </c>
      <c r="D299" s="3">
        <f t="shared" si="7"/>
        <v>-1.0200772184820295E-2</v>
      </c>
      <c r="E299" s="5"/>
    </row>
    <row r="300" spans="2:5" x14ac:dyDescent="0.2">
      <c r="B300" s="2">
        <v>36228</v>
      </c>
      <c r="C300" s="61">
        <v>4790.47</v>
      </c>
      <c r="D300" s="3">
        <f t="shared" si="7"/>
        <v>-2.0035772201620894E-4</v>
      </c>
      <c r="E300" s="5"/>
    </row>
    <row r="301" spans="2:5" x14ac:dyDescent="0.2">
      <c r="B301" s="2">
        <v>36229</v>
      </c>
      <c r="C301" s="61">
        <v>4730.05</v>
      </c>
      <c r="D301" s="3">
        <f t="shared" si="7"/>
        <v>-1.2612541149407019E-2</v>
      </c>
      <c r="E301" s="5"/>
    </row>
    <row r="302" spans="2:5" x14ac:dyDescent="0.2">
      <c r="B302" s="2">
        <v>36230</v>
      </c>
      <c r="C302" s="61">
        <v>4785.37</v>
      </c>
      <c r="D302" s="3">
        <f t="shared" si="7"/>
        <v>1.1695436623291533E-2</v>
      </c>
      <c r="E302" s="5"/>
    </row>
    <row r="303" spans="2:5" x14ac:dyDescent="0.2">
      <c r="B303" s="2">
        <v>36231</v>
      </c>
      <c r="C303" s="61">
        <v>5031.0600000000004</v>
      </c>
      <c r="D303" s="3">
        <f t="shared" si="7"/>
        <v>5.1341902507016313E-2</v>
      </c>
      <c r="E303" s="5"/>
    </row>
    <row r="304" spans="2:5" x14ac:dyDescent="0.2">
      <c r="B304" s="2">
        <v>36234</v>
      </c>
      <c r="C304" s="61">
        <v>5043.2299999999996</v>
      </c>
      <c r="D304" s="3">
        <f t="shared" si="7"/>
        <v>2.4189733376265288E-3</v>
      </c>
      <c r="E304" s="5"/>
    </row>
    <row r="305" spans="2:5" x14ac:dyDescent="0.2">
      <c r="B305" s="2">
        <v>36235</v>
      </c>
      <c r="C305" s="61">
        <v>5090.93</v>
      </c>
      <c r="D305" s="3">
        <f t="shared" si="7"/>
        <v>9.4582241936220779E-3</v>
      </c>
      <c r="E305" s="5"/>
    </row>
    <row r="306" spans="2:5" x14ac:dyDescent="0.2">
      <c r="B306" s="2">
        <v>36236</v>
      </c>
      <c r="C306" s="61">
        <v>5062.59</v>
      </c>
      <c r="D306" s="3">
        <f t="shared" si="7"/>
        <v>-5.5667628507954925E-3</v>
      </c>
      <c r="E306" s="5"/>
    </row>
    <row r="307" spans="2:5" x14ac:dyDescent="0.2">
      <c r="B307" s="2">
        <v>36237</v>
      </c>
      <c r="C307" s="61">
        <v>5025.79</v>
      </c>
      <c r="D307" s="3">
        <f t="shared" si="7"/>
        <v>-7.2690065756856326E-3</v>
      </c>
      <c r="E307" s="5"/>
    </row>
    <row r="308" spans="2:5" x14ac:dyDescent="0.2">
      <c r="B308" s="2">
        <v>36238</v>
      </c>
      <c r="C308" s="61">
        <v>5108.75</v>
      </c>
      <c r="D308" s="3">
        <f t="shared" si="7"/>
        <v>1.6506857628352911E-2</v>
      </c>
      <c r="E308" s="5"/>
    </row>
    <row r="309" spans="2:5" x14ac:dyDescent="0.2">
      <c r="B309" s="2">
        <v>36241</v>
      </c>
      <c r="C309" s="61">
        <v>5034.68</v>
      </c>
      <c r="D309" s="3">
        <f t="shared" si="7"/>
        <v>-1.4498654269635369E-2</v>
      </c>
      <c r="E309" s="5"/>
    </row>
    <row r="310" spans="2:5" x14ac:dyDescent="0.2">
      <c r="B310" s="2">
        <v>36242</v>
      </c>
      <c r="C310" s="61">
        <v>4870.49</v>
      </c>
      <c r="D310" s="3">
        <f t="shared" si="7"/>
        <v>-3.261180452382284E-2</v>
      </c>
      <c r="E310" s="5"/>
    </row>
    <row r="311" spans="2:5" x14ac:dyDescent="0.2">
      <c r="B311" s="2">
        <v>36243</v>
      </c>
      <c r="C311" s="61">
        <v>4797.33</v>
      </c>
      <c r="D311" s="3">
        <f t="shared" si="7"/>
        <v>-1.5021075908173476E-2</v>
      </c>
      <c r="E311" s="5"/>
    </row>
    <row r="312" spans="2:5" x14ac:dyDescent="0.2">
      <c r="B312" s="2">
        <v>36244</v>
      </c>
      <c r="C312" s="61">
        <v>4863.8100000000004</v>
      </c>
      <c r="D312" s="3">
        <f t="shared" si="7"/>
        <v>1.3857708350270004E-2</v>
      </c>
      <c r="E312" s="5"/>
    </row>
    <row r="313" spans="2:5" x14ac:dyDescent="0.2">
      <c r="B313" s="2">
        <v>36245</v>
      </c>
      <c r="C313" s="61">
        <v>4799.59</v>
      </c>
      <c r="D313" s="3">
        <f t="shared" si="7"/>
        <v>-1.3203640767217473E-2</v>
      </c>
      <c r="E313" s="5"/>
    </row>
    <row r="314" spans="2:5" x14ac:dyDescent="0.2">
      <c r="B314" s="2">
        <v>36248</v>
      </c>
      <c r="C314" s="61">
        <v>4867.21</v>
      </c>
      <c r="D314" s="3">
        <f t="shared" si="7"/>
        <v>1.4088703410082948E-2</v>
      </c>
      <c r="E314" s="5"/>
    </row>
    <row r="315" spans="2:5" x14ac:dyDescent="0.2">
      <c r="B315" s="2">
        <v>36249</v>
      </c>
      <c r="C315" s="61">
        <v>4841.2</v>
      </c>
      <c r="D315" s="3">
        <f t="shared" si="7"/>
        <v>-5.3439239317802922E-3</v>
      </c>
      <c r="E315" s="5"/>
    </row>
    <row r="316" spans="2:5" x14ac:dyDescent="0.2">
      <c r="B316" s="2">
        <v>36250</v>
      </c>
      <c r="C316" s="61">
        <v>4865.2700000000004</v>
      </c>
      <c r="D316" s="3">
        <f t="shared" si="7"/>
        <v>4.9719077914567311E-3</v>
      </c>
      <c r="E316" s="5"/>
    </row>
    <row r="317" spans="2:5" x14ac:dyDescent="0.2">
      <c r="B317" s="2">
        <v>36251</v>
      </c>
      <c r="C317" s="61">
        <v>4901.8100000000004</v>
      </c>
      <c r="D317" s="3">
        <f t="shared" si="7"/>
        <v>7.5103745526969856E-3</v>
      </c>
      <c r="E317" s="5"/>
    </row>
    <row r="318" spans="2:5" x14ac:dyDescent="0.2">
      <c r="B318" s="2">
        <v>36256</v>
      </c>
      <c r="C318" s="61">
        <v>5022.2700000000004</v>
      </c>
      <c r="D318" s="3">
        <f t="shared" si="7"/>
        <v>2.457459591457023E-2</v>
      </c>
      <c r="E318" s="5"/>
    </row>
    <row r="319" spans="2:5" x14ac:dyDescent="0.2">
      <c r="B319" s="2">
        <v>36257</v>
      </c>
      <c r="C319" s="61">
        <v>5027.25</v>
      </c>
      <c r="D319" s="3">
        <f t="shared" si="7"/>
        <v>9.9158348714811773E-4</v>
      </c>
      <c r="E319" s="5"/>
    </row>
    <row r="320" spans="2:5" x14ac:dyDescent="0.2">
      <c r="B320" s="2">
        <v>36258</v>
      </c>
      <c r="C320" s="61">
        <v>5067.76</v>
      </c>
      <c r="D320" s="3">
        <f t="shared" si="7"/>
        <v>8.0580834452235184E-3</v>
      </c>
      <c r="E320" s="5"/>
    </row>
    <row r="321" spans="2:5" x14ac:dyDescent="0.2">
      <c r="B321" s="2">
        <v>36259</v>
      </c>
      <c r="C321" s="61">
        <v>5133.92</v>
      </c>
      <c r="D321" s="3">
        <f t="shared" si="7"/>
        <v>1.3055077588520314E-2</v>
      </c>
      <c r="E321" s="5"/>
    </row>
    <row r="322" spans="2:5" x14ac:dyDescent="0.2">
      <c r="B322" s="2">
        <v>36262</v>
      </c>
      <c r="C322" s="61">
        <v>5167.55</v>
      </c>
      <c r="D322" s="3">
        <f t="shared" si="7"/>
        <v>6.550550067005334E-3</v>
      </c>
      <c r="E322" s="5"/>
    </row>
    <row r="323" spans="2:5" x14ac:dyDescent="0.2">
      <c r="B323" s="2">
        <v>36263</v>
      </c>
      <c r="C323" s="61">
        <v>5225.22</v>
      </c>
      <c r="D323" s="3">
        <f t="shared" si="7"/>
        <v>1.1160027479172996E-2</v>
      </c>
      <c r="E323" s="5"/>
    </row>
    <row r="324" spans="2:5" x14ac:dyDescent="0.2">
      <c r="B324" s="2">
        <v>36264</v>
      </c>
      <c r="C324" s="61">
        <v>5186.76</v>
      </c>
      <c r="D324" s="3">
        <f t="shared" si="7"/>
        <v>-7.3604556363177087E-3</v>
      </c>
      <c r="E324" s="5"/>
    </row>
    <row r="325" spans="2:5" x14ac:dyDescent="0.2">
      <c r="B325" s="2">
        <v>36265</v>
      </c>
      <c r="C325" s="61">
        <v>5189.72</v>
      </c>
      <c r="D325" s="3">
        <f t="shared" ref="D325:D388" si="8">C325/C324-1</f>
        <v>5.7068381802904966E-4</v>
      </c>
      <c r="E325" s="5"/>
    </row>
    <row r="326" spans="2:5" x14ac:dyDescent="0.2">
      <c r="B326" s="2">
        <v>36266</v>
      </c>
      <c r="C326" s="61">
        <v>5143.0200000000004</v>
      </c>
      <c r="D326" s="3">
        <f t="shared" si="8"/>
        <v>-8.9985586891007108E-3</v>
      </c>
      <c r="E326" s="5"/>
    </row>
    <row r="327" spans="2:5" x14ac:dyDescent="0.2">
      <c r="B327" s="2">
        <v>36269</v>
      </c>
      <c r="C327" s="61">
        <v>5252.4</v>
      </c>
      <c r="D327" s="3">
        <f t="shared" si="8"/>
        <v>2.1267659857437726E-2</v>
      </c>
      <c r="E327" s="5"/>
    </row>
    <row r="328" spans="2:5" x14ac:dyDescent="0.2">
      <c r="B328" s="2">
        <v>36270</v>
      </c>
      <c r="C328" s="61">
        <v>5101.41</v>
      </c>
      <c r="D328" s="3">
        <f t="shared" si="8"/>
        <v>-2.874685857893533E-2</v>
      </c>
      <c r="E328" s="5"/>
    </row>
    <row r="329" spans="2:5" x14ac:dyDescent="0.2">
      <c r="B329" s="2">
        <v>36271</v>
      </c>
      <c r="C329" s="61">
        <v>5175.57</v>
      </c>
      <c r="D329" s="3">
        <f t="shared" si="8"/>
        <v>1.4537157374137744E-2</v>
      </c>
      <c r="E329" s="5"/>
    </row>
    <row r="330" spans="2:5" x14ac:dyDescent="0.2">
      <c r="B330" s="2">
        <v>36272</v>
      </c>
      <c r="C330" s="61">
        <v>5226.6400000000003</v>
      </c>
      <c r="D330" s="3">
        <f t="shared" si="8"/>
        <v>9.8675121774027819E-3</v>
      </c>
      <c r="E330" s="5"/>
    </row>
    <row r="331" spans="2:5" x14ac:dyDescent="0.2">
      <c r="B331" s="2">
        <v>36273</v>
      </c>
      <c r="C331" s="61">
        <v>5187.8900000000003</v>
      </c>
      <c r="D331" s="3">
        <f t="shared" si="8"/>
        <v>-7.4139408874535073E-3</v>
      </c>
      <c r="E331" s="5"/>
    </row>
    <row r="332" spans="2:5" x14ac:dyDescent="0.2">
      <c r="B332" s="2">
        <v>36276</v>
      </c>
      <c r="C332" s="61">
        <v>5269.12</v>
      </c>
      <c r="D332" s="3">
        <f t="shared" si="8"/>
        <v>1.5657618029680576E-2</v>
      </c>
      <c r="E332" s="5"/>
    </row>
    <row r="333" spans="2:5" x14ac:dyDescent="0.2">
      <c r="B333" s="2">
        <v>36277</v>
      </c>
      <c r="C333" s="61">
        <v>5364.81</v>
      </c>
      <c r="D333" s="3">
        <f t="shared" si="8"/>
        <v>1.8160527754160105E-2</v>
      </c>
      <c r="E333" s="5"/>
    </row>
    <row r="334" spans="2:5" x14ac:dyDescent="0.2">
      <c r="B334" s="2">
        <v>36278</v>
      </c>
      <c r="C334" s="61">
        <v>5352.72</v>
      </c>
      <c r="D334" s="3">
        <f t="shared" si="8"/>
        <v>-2.2535746839124071E-3</v>
      </c>
      <c r="E334" s="5"/>
    </row>
    <row r="335" spans="2:5" x14ac:dyDescent="0.2">
      <c r="B335" s="2">
        <v>36279</v>
      </c>
      <c r="C335" s="61">
        <v>5323.06</v>
      </c>
      <c r="D335" s="3">
        <f t="shared" si="8"/>
        <v>-5.5411080721576855E-3</v>
      </c>
      <c r="E335" s="5"/>
    </row>
    <row r="336" spans="2:5" x14ac:dyDescent="0.2">
      <c r="B336" s="2">
        <v>36280</v>
      </c>
      <c r="C336" s="61">
        <v>5360.44</v>
      </c>
      <c r="D336" s="3">
        <f t="shared" si="8"/>
        <v>7.0222766604168818E-3</v>
      </c>
      <c r="E336" s="5"/>
    </row>
    <row r="337" spans="2:5" x14ac:dyDescent="0.2">
      <c r="B337" s="2">
        <v>36283</v>
      </c>
      <c r="C337" s="61">
        <v>5383.22</v>
      </c>
      <c r="D337" s="3">
        <f t="shared" si="8"/>
        <v>4.2496511480401011E-3</v>
      </c>
      <c r="E337" s="5"/>
    </row>
    <row r="338" spans="2:5" x14ac:dyDescent="0.2">
      <c r="B338" s="2">
        <v>36284</v>
      </c>
      <c r="C338" s="61">
        <v>5377.4</v>
      </c>
      <c r="D338" s="3">
        <f t="shared" si="8"/>
        <v>-1.0811373118692069E-3</v>
      </c>
      <c r="E338" s="5"/>
    </row>
    <row r="339" spans="2:5" x14ac:dyDescent="0.2">
      <c r="B339" s="2">
        <v>36285</v>
      </c>
      <c r="C339" s="61">
        <v>5295.22</v>
      </c>
      <c r="D339" s="3">
        <f t="shared" si="8"/>
        <v>-1.5282478521218334E-2</v>
      </c>
      <c r="E339" s="5"/>
    </row>
    <row r="340" spans="2:5" x14ac:dyDescent="0.2">
      <c r="B340" s="2">
        <v>36286</v>
      </c>
      <c r="C340" s="61">
        <v>5275.57</v>
      </c>
      <c r="D340" s="3">
        <f t="shared" si="8"/>
        <v>-3.7108939760766013E-3</v>
      </c>
      <c r="E340" s="5"/>
    </row>
    <row r="341" spans="2:5" x14ac:dyDescent="0.2">
      <c r="B341" s="2">
        <v>36287</v>
      </c>
      <c r="C341" s="61">
        <v>5276.5</v>
      </c>
      <c r="D341" s="3">
        <f t="shared" si="8"/>
        <v>1.7628426880889059E-4</v>
      </c>
      <c r="E341" s="5"/>
    </row>
    <row r="342" spans="2:5" x14ac:dyDescent="0.2">
      <c r="B342" s="2">
        <v>36290</v>
      </c>
      <c r="C342" s="61">
        <v>5261.01</v>
      </c>
      <c r="D342" s="3">
        <f t="shared" si="8"/>
        <v>-2.9356581066994902E-3</v>
      </c>
      <c r="E342" s="5"/>
    </row>
    <row r="343" spans="2:5" x14ac:dyDescent="0.2">
      <c r="B343" s="2">
        <v>36291</v>
      </c>
      <c r="C343" s="61">
        <v>5297.49</v>
      </c>
      <c r="D343" s="3">
        <f t="shared" si="8"/>
        <v>6.9340297775521975E-3</v>
      </c>
      <c r="E343" s="5"/>
    </row>
    <row r="344" spans="2:5" x14ac:dyDescent="0.2">
      <c r="B344" s="2">
        <v>36292</v>
      </c>
      <c r="C344" s="61">
        <v>5249.24</v>
      </c>
      <c r="D344" s="3">
        <f t="shared" si="8"/>
        <v>-9.1080870374460332E-3</v>
      </c>
    </row>
    <row r="345" spans="2:5" x14ac:dyDescent="0.2">
      <c r="B345" s="2">
        <v>36294</v>
      </c>
      <c r="C345" s="61">
        <v>5183.49</v>
      </c>
      <c r="D345" s="3">
        <f t="shared" si="8"/>
        <v>-1.2525622756818122E-2</v>
      </c>
    </row>
    <row r="346" spans="2:5" x14ac:dyDescent="0.2">
      <c r="B346" s="2">
        <v>36297</v>
      </c>
      <c r="C346" s="61">
        <v>5102</v>
      </c>
      <c r="D346" s="3">
        <f t="shared" si="8"/>
        <v>-1.5721068237808833E-2</v>
      </c>
    </row>
    <row r="347" spans="2:5" x14ac:dyDescent="0.2">
      <c r="B347" s="2">
        <v>36298</v>
      </c>
      <c r="C347" s="61">
        <v>5160.47</v>
      </c>
      <c r="D347" s="3">
        <f t="shared" si="8"/>
        <v>1.1460211681693533E-2</v>
      </c>
    </row>
    <row r="348" spans="2:5" x14ac:dyDescent="0.2">
      <c r="B348" s="2">
        <v>36299</v>
      </c>
      <c r="C348" s="61">
        <v>5213.3</v>
      </c>
      <c r="D348" s="3">
        <f t="shared" si="8"/>
        <v>1.0237439613058452E-2</v>
      </c>
    </row>
    <row r="349" spans="2:5" x14ac:dyDescent="0.2">
      <c r="B349" s="2">
        <v>36300</v>
      </c>
      <c r="C349" s="61">
        <v>5243.21</v>
      </c>
      <c r="D349" s="3">
        <f t="shared" si="8"/>
        <v>5.7372489593923159E-3</v>
      </c>
    </row>
    <row r="350" spans="2:5" x14ac:dyDescent="0.2">
      <c r="B350" s="2">
        <v>36301</v>
      </c>
      <c r="C350" s="61">
        <v>5253.77</v>
      </c>
      <c r="D350" s="3">
        <f t="shared" si="8"/>
        <v>2.0140333879437033E-3</v>
      </c>
    </row>
    <row r="351" spans="2:5" x14ac:dyDescent="0.2">
      <c r="B351" s="2">
        <v>36305</v>
      </c>
      <c r="C351" s="61">
        <v>5165.72</v>
      </c>
      <c r="D351" s="3">
        <f t="shared" si="8"/>
        <v>-1.6759393730597316E-2</v>
      </c>
    </row>
    <row r="352" spans="2:5" x14ac:dyDescent="0.2">
      <c r="B352" s="2">
        <v>36306</v>
      </c>
      <c r="C352" s="61">
        <v>5183.08</v>
      </c>
      <c r="D352" s="3">
        <f t="shared" si="8"/>
        <v>3.3606157515311263E-3</v>
      </c>
    </row>
    <row r="353" spans="2:4" x14ac:dyDescent="0.2">
      <c r="B353" s="2">
        <v>36307</v>
      </c>
      <c r="C353" s="61">
        <v>5064.3100000000004</v>
      </c>
      <c r="D353" s="3">
        <f t="shared" si="8"/>
        <v>-2.2914946325350849E-2</v>
      </c>
    </row>
    <row r="354" spans="2:4" x14ac:dyDescent="0.2">
      <c r="B354" s="2">
        <v>36308</v>
      </c>
      <c r="C354" s="61">
        <v>5070.9799999999996</v>
      </c>
      <c r="D354" s="3">
        <f t="shared" si="8"/>
        <v>1.3170599746064049E-3</v>
      </c>
    </row>
    <row r="355" spans="2:4" x14ac:dyDescent="0.2">
      <c r="B355" s="2">
        <v>36311</v>
      </c>
      <c r="C355" s="61">
        <v>5068.59</v>
      </c>
      <c r="D355" s="3">
        <f t="shared" si="8"/>
        <v>-4.7130929327254822E-4</v>
      </c>
    </row>
    <row r="356" spans="2:4" x14ac:dyDescent="0.2">
      <c r="B356" s="2">
        <v>36312</v>
      </c>
      <c r="C356" s="61">
        <v>5010.71</v>
      </c>
      <c r="D356" s="3">
        <f t="shared" si="8"/>
        <v>-1.141934936540534E-2</v>
      </c>
    </row>
    <row r="357" spans="2:4" x14ac:dyDescent="0.2">
      <c r="B357" s="2">
        <v>36313</v>
      </c>
      <c r="C357" s="61">
        <v>5040.34</v>
      </c>
      <c r="D357" s="3">
        <f t="shared" si="8"/>
        <v>5.9133336393446534E-3</v>
      </c>
    </row>
    <row r="358" spans="2:4" x14ac:dyDescent="0.2">
      <c r="B358" s="2">
        <v>36315</v>
      </c>
      <c r="C358" s="61">
        <v>5124.13</v>
      </c>
      <c r="D358" s="3">
        <f t="shared" si="8"/>
        <v>1.6623878547875837E-2</v>
      </c>
    </row>
    <row r="359" spans="2:4" x14ac:dyDescent="0.2">
      <c r="B359" s="2">
        <v>36318</v>
      </c>
      <c r="C359" s="61">
        <v>5212.8599999999997</v>
      </c>
      <c r="D359" s="3">
        <f t="shared" si="8"/>
        <v>1.7316110247007632E-2</v>
      </c>
    </row>
    <row r="360" spans="2:4" x14ac:dyDescent="0.2">
      <c r="B360" s="2">
        <v>36319</v>
      </c>
      <c r="C360" s="61">
        <v>5196.93</v>
      </c>
      <c r="D360" s="3">
        <f t="shared" si="8"/>
        <v>-3.0559040526696446E-3</v>
      </c>
    </row>
    <row r="361" spans="2:4" x14ac:dyDescent="0.2">
      <c r="B361" s="2">
        <v>36320</v>
      </c>
      <c r="C361" s="61">
        <v>5250.63</v>
      </c>
      <c r="D361" s="3">
        <f t="shared" si="8"/>
        <v>1.0333023535048502E-2</v>
      </c>
    </row>
    <row r="362" spans="2:4" x14ac:dyDescent="0.2">
      <c r="B362" s="2">
        <v>36321</v>
      </c>
      <c r="C362" s="61">
        <v>5201.49</v>
      </c>
      <c r="D362" s="3">
        <f t="shared" si="8"/>
        <v>-9.3588769347678902E-3</v>
      </c>
    </row>
    <row r="363" spans="2:4" x14ac:dyDescent="0.2">
      <c r="B363" s="2">
        <v>36322</v>
      </c>
      <c r="C363" s="61">
        <v>5296.01</v>
      </c>
      <c r="D363" s="3">
        <f t="shared" si="8"/>
        <v>1.817171618132507E-2</v>
      </c>
    </row>
    <row r="364" spans="2:4" x14ac:dyDescent="0.2">
      <c r="B364" s="2">
        <v>36325</v>
      </c>
      <c r="C364" s="61">
        <v>5291.52</v>
      </c>
      <c r="D364" s="3">
        <f t="shared" si="8"/>
        <v>-8.4780806682760446E-4</v>
      </c>
    </row>
    <row r="365" spans="2:4" x14ac:dyDescent="0.2">
      <c r="B365" s="2">
        <v>36326</v>
      </c>
      <c r="C365" s="61">
        <v>5344.92</v>
      </c>
      <c r="D365" s="3">
        <f t="shared" si="8"/>
        <v>1.0091618287372928E-2</v>
      </c>
    </row>
    <row r="366" spans="2:4" x14ac:dyDescent="0.2">
      <c r="B366" s="2">
        <v>36327</v>
      </c>
      <c r="C366" s="61">
        <v>5382.67</v>
      </c>
      <c r="D366" s="3">
        <f t="shared" si="8"/>
        <v>7.0627811080428149E-3</v>
      </c>
    </row>
    <row r="367" spans="2:4" x14ac:dyDescent="0.2">
      <c r="B367" s="2">
        <v>36328</v>
      </c>
      <c r="C367" s="61">
        <v>5415.51</v>
      </c>
      <c r="D367" s="3">
        <f t="shared" si="8"/>
        <v>6.1010613691718785E-3</v>
      </c>
    </row>
    <row r="368" spans="2:4" x14ac:dyDescent="0.2">
      <c r="B368" s="2">
        <v>36329</v>
      </c>
      <c r="C368" s="61">
        <v>5337.19</v>
      </c>
      <c r="D368" s="3">
        <f t="shared" si="8"/>
        <v>-1.4462165151574058E-2</v>
      </c>
    </row>
    <row r="369" spans="2:4" x14ac:dyDescent="0.2">
      <c r="B369" s="2">
        <v>36332</v>
      </c>
      <c r="C369" s="61">
        <v>5468.47</v>
      </c>
      <c r="D369" s="3">
        <f t="shared" si="8"/>
        <v>2.4597213140248098E-2</v>
      </c>
    </row>
    <row r="370" spans="2:4" x14ac:dyDescent="0.2">
      <c r="B370" s="2">
        <v>36333</v>
      </c>
      <c r="C370" s="61">
        <v>5468.67</v>
      </c>
      <c r="D370" s="3">
        <f t="shared" si="8"/>
        <v>3.6573301124498414E-5</v>
      </c>
    </row>
    <row r="371" spans="2:4" x14ac:dyDescent="0.2">
      <c r="B371" s="2">
        <v>36334</v>
      </c>
      <c r="C371" s="61">
        <v>5399.11</v>
      </c>
      <c r="D371" s="3">
        <f t="shared" si="8"/>
        <v>-1.2719728928606067E-2</v>
      </c>
    </row>
    <row r="372" spans="2:4" x14ac:dyDescent="0.2">
      <c r="B372" s="2">
        <v>36335</v>
      </c>
      <c r="C372" s="61">
        <v>5327.6</v>
      </c>
      <c r="D372" s="3">
        <f t="shared" si="8"/>
        <v>-1.3244775527818331E-2</v>
      </c>
    </row>
    <row r="373" spans="2:4" x14ac:dyDescent="0.2">
      <c r="B373" s="2">
        <v>36336</v>
      </c>
      <c r="C373" s="61">
        <v>5301.21</v>
      </c>
      <c r="D373" s="3">
        <f t="shared" si="8"/>
        <v>-4.9534499587057246E-3</v>
      </c>
    </row>
    <row r="374" spans="2:4" x14ac:dyDescent="0.2">
      <c r="B374" s="2">
        <v>36339</v>
      </c>
      <c r="C374" s="61">
        <v>5356.95</v>
      </c>
      <c r="D374" s="3">
        <f t="shared" si="8"/>
        <v>1.0514580633477877E-2</v>
      </c>
    </row>
    <row r="375" spans="2:4" x14ac:dyDescent="0.2">
      <c r="B375" s="2">
        <v>36340</v>
      </c>
      <c r="C375" s="61">
        <v>5359.53</v>
      </c>
      <c r="D375" s="3">
        <f t="shared" si="8"/>
        <v>4.8161733822427166E-4</v>
      </c>
    </row>
    <row r="376" spans="2:4" x14ac:dyDescent="0.2">
      <c r="B376" s="2">
        <v>36341</v>
      </c>
      <c r="C376" s="61">
        <v>5378.52</v>
      </c>
      <c r="D376" s="3">
        <f t="shared" si="8"/>
        <v>3.5432211406598579E-3</v>
      </c>
    </row>
    <row r="377" spans="2:4" x14ac:dyDescent="0.2">
      <c r="B377" s="2">
        <v>36342</v>
      </c>
      <c r="C377" s="61">
        <v>5480.22</v>
      </c>
      <c r="D377" s="3">
        <f t="shared" si="8"/>
        <v>1.8908547332723513E-2</v>
      </c>
    </row>
    <row r="378" spans="2:4" x14ac:dyDescent="0.2">
      <c r="B378" s="2">
        <v>36343</v>
      </c>
      <c r="C378" s="61">
        <v>5519.05</v>
      </c>
      <c r="D378" s="3">
        <f t="shared" si="8"/>
        <v>7.0854819697019344E-3</v>
      </c>
    </row>
    <row r="379" spans="2:4" x14ac:dyDescent="0.2">
      <c r="B379" s="2">
        <v>36346</v>
      </c>
      <c r="C379" s="61">
        <v>5625.62</v>
      </c>
      <c r="D379" s="3">
        <f t="shared" si="8"/>
        <v>1.9309482610231798E-2</v>
      </c>
    </row>
    <row r="380" spans="2:4" x14ac:dyDescent="0.2">
      <c r="B380" s="2">
        <v>36347</v>
      </c>
      <c r="C380" s="61">
        <v>5612.9</v>
      </c>
      <c r="D380" s="3">
        <f t="shared" si="8"/>
        <v>-2.2610841116179614E-3</v>
      </c>
    </row>
    <row r="381" spans="2:4" x14ac:dyDescent="0.2">
      <c r="B381" s="2">
        <v>36348</v>
      </c>
      <c r="C381" s="61">
        <v>5588.5</v>
      </c>
      <c r="D381" s="3">
        <f t="shared" si="8"/>
        <v>-4.3471289351315612E-3</v>
      </c>
    </row>
    <row r="382" spans="2:4" x14ac:dyDescent="0.2">
      <c r="B382" s="2">
        <v>36349</v>
      </c>
      <c r="C382" s="61">
        <v>5607.1</v>
      </c>
      <c r="D382" s="3">
        <f t="shared" si="8"/>
        <v>3.3282633980495913E-3</v>
      </c>
    </row>
    <row r="383" spans="2:4" x14ac:dyDescent="0.2">
      <c r="B383" s="2">
        <v>36350</v>
      </c>
      <c r="C383" s="61">
        <v>5638.95</v>
      </c>
      <c r="D383" s="3">
        <f t="shared" si="8"/>
        <v>5.6802981933619101E-3</v>
      </c>
    </row>
    <row r="384" spans="2:4" x14ac:dyDescent="0.2">
      <c r="B384" s="2">
        <v>36353</v>
      </c>
      <c r="C384" s="61">
        <v>5652.02</v>
      </c>
      <c r="D384" s="3">
        <f t="shared" si="8"/>
        <v>2.3178073932204057E-3</v>
      </c>
    </row>
    <row r="385" spans="2:4" x14ac:dyDescent="0.2">
      <c r="B385" s="2">
        <v>36354</v>
      </c>
      <c r="C385" s="61">
        <v>5573.82</v>
      </c>
      <c r="D385" s="3">
        <f t="shared" si="8"/>
        <v>-1.3835761373809818E-2</v>
      </c>
    </row>
    <row r="386" spans="2:4" x14ac:dyDescent="0.2">
      <c r="B386" s="2">
        <v>36355</v>
      </c>
      <c r="C386" s="61">
        <v>5610.89</v>
      </c>
      <c r="D386" s="3">
        <f t="shared" si="8"/>
        <v>6.6507350434712453E-3</v>
      </c>
    </row>
    <row r="387" spans="2:4" x14ac:dyDescent="0.2">
      <c r="B387" s="2">
        <v>36356</v>
      </c>
      <c r="C387" s="61">
        <v>5619.26</v>
      </c>
      <c r="D387" s="3">
        <f t="shared" si="8"/>
        <v>1.4917419518114539E-3</v>
      </c>
    </row>
    <row r="388" spans="2:4" x14ac:dyDescent="0.2">
      <c r="B388" s="2">
        <v>36357</v>
      </c>
      <c r="C388" s="61">
        <v>5619.94</v>
      </c>
      <c r="D388" s="3">
        <f t="shared" si="8"/>
        <v>1.2101237529482667E-4</v>
      </c>
    </row>
    <row r="389" spans="2:4" x14ac:dyDescent="0.2">
      <c r="B389" s="2">
        <v>36360</v>
      </c>
      <c r="C389" s="61">
        <v>5624.74</v>
      </c>
      <c r="D389" s="3">
        <f t="shared" ref="D389:D452" si="9">C389/C388-1</f>
        <v>8.541016452132677E-4</v>
      </c>
    </row>
    <row r="390" spans="2:4" x14ac:dyDescent="0.2">
      <c r="B390" s="2">
        <v>36361</v>
      </c>
      <c r="C390" s="61">
        <v>5491.29</v>
      </c>
      <c r="D390" s="3">
        <f t="shared" si="9"/>
        <v>-2.3725541091677127E-2</v>
      </c>
    </row>
    <row r="391" spans="2:4" x14ac:dyDescent="0.2">
      <c r="B391" s="2">
        <v>36362</v>
      </c>
      <c r="C391" s="61">
        <v>5414.17</v>
      </c>
      <c r="D391" s="3">
        <f t="shared" si="9"/>
        <v>-1.4044058864128406E-2</v>
      </c>
    </row>
    <row r="392" spans="2:4" x14ac:dyDescent="0.2">
      <c r="B392" s="2">
        <v>36363</v>
      </c>
      <c r="C392" s="61">
        <v>5340.91</v>
      </c>
      <c r="D392" s="3">
        <f t="shared" si="9"/>
        <v>-1.3531159900778911E-2</v>
      </c>
    </row>
    <row r="393" spans="2:4" x14ac:dyDescent="0.2">
      <c r="B393" s="2">
        <v>36364</v>
      </c>
      <c r="C393" s="61">
        <v>5310.63</v>
      </c>
      <c r="D393" s="3">
        <f t="shared" si="9"/>
        <v>-5.6694458434984885E-3</v>
      </c>
    </row>
    <row r="394" spans="2:4" x14ac:dyDescent="0.2">
      <c r="B394" s="2">
        <v>36367</v>
      </c>
      <c r="C394" s="61">
        <v>5206.4399999999996</v>
      </c>
      <c r="D394" s="3">
        <f t="shared" si="9"/>
        <v>-1.9619141231831394E-2</v>
      </c>
    </row>
    <row r="395" spans="2:4" x14ac:dyDescent="0.2">
      <c r="B395" s="2">
        <v>36368</v>
      </c>
      <c r="C395" s="61">
        <v>5224.16</v>
      </c>
      <c r="D395" s="3">
        <f t="shared" si="9"/>
        <v>3.4034772320434836E-3</v>
      </c>
    </row>
    <row r="396" spans="2:4" x14ac:dyDescent="0.2">
      <c r="B396" s="2">
        <v>36369</v>
      </c>
      <c r="C396" s="61">
        <v>5229.5600000000004</v>
      </c>
      <c r="D396" s="3">
        <f t="shared" si="9"/>
        <v>1.0336589997244072E-3</v>
      </c>
    </row>
    <row r="397" spans="2:4" x14ac:dyDescent="0.2">
      <c r="B397" s="2">
        <v>36370</v>
      </c>
      <c r="C397" s="61">
        <v>5052.32</v>
      </c>
      <c r="D397" s="3">
        <f t="shared" si="9"/>
        <v>-3.3891952669058312E-2</v>
      </c>
    </row>
    <row r="398" spans="2:4" x14ac:dyDescent="0.2">
      <c r="B398" s="2">
        <v>36371</v>
      </c>
      <c r="C398" s="61">
        <v>5101.87</v>
      </c>
      <c r="D398" s="3">
        <f t="shared" si="9"/>
        <v>9.8073756214966945E-3</v>
      </c>
    </row>
    <row r="399" spans="2:4" x14ac:dyDescent="0.2">
      <c r="B399" s="2">
        <v>36374</v>
      </c>
      <c r="C399" s="61">
        <v>5129.5</v>
      </c>
      <c r="D399" s="3">
        <f t="shared" si="9"/>
        <v>5.4156613163409695E-3</v>
      </c>
    </row>
    <row r="400" spans="2:4" x14ac:dyDescent="0.2">
      <c r="B400" s="2">
        <v>36375</v>
      </c>
      <c r="C400" s="61">
        <v>5107.68</v>
      </c>
      <c r="D400" s="3">
        <f t="shared" si="9"/>
        <v>-4.2538259089579533E-3</v>
      </c>
    </row>
    <row r="401" spans="2:4" x14ac:dyDescent="0.2">
      <c r="B401" s="2">
        <v>36376</v>
      </c>
      <c r="C401" s="61">
        <v>5119.37</v>
      </c>
      <c r="D401" s="3">
        <f t="shared" si="9"/>
        <v>2.288710334241717E-3</v>
      </c>
    </row>
    <row r="402" spans="2:4" x14ac:dyDescent="0.2">
      <c r="B402" s="2">
        <v>36377</v>
      </c>
      <c r="C402" s="61">
        <v>4978.45</v>
      </c>
      <c r="D402" s="3">
        <f t="shared" si="9"/>
        <v>-2.7526824589744425E-2</v>
      </c>
    </row>
    <row r="403" spans="2:4" x14ac:dyDescent="0.2">
      <c r="B403" s="2">
        <v>36378</v>
      </c>
      <c r="C403" s="61">
        <v>5010.47</v>
      </c>
      <c r="D403" s="3">
        <f t="shared" si="9"/>
        <v>6.4317207162873924E-3</v>
      </c>
    </row>
    <row r="404" spans="2:4" x14ac:dyDescent="0.2">
      <c r="B404" s="2">
        <v>36381</v>
      </c>
      <c r="C404" s="61">
        <v>5087.3</v>
      </c>
      <c r="D404" s="3">
        <f t="shared" si="9"/>
        <v>1.5333890832596619E-2</v>
      </c>
    </row>
    <row r="405" spans="2:4" x14ac:dyDescent="0.2">
      <c r="B405" s="2">
        <v>36382</v>
      </c>
      <c r="C405" s="61">
        <v>5000.87</v>
      </c>
      <c r="D405" s="3">
        <f t="shared" si="9"/>
        <v>-1.6989365675309176E-2</v>
      </c>
    </row>
    <row r="406" spans="2:4" x14ac:dyDescent="0.2">
      <c r="B406" s="2">
        <v>36383</v>
      </c>
      <c r="C406" s="61">
        <v>5019.6899999999996</v>
      </c>
      <c r="D406" s="3">
        <f t="shared" si="9"/>
        <v>3.7633451779390814E-3</v>
      </c>
    </row>
    <row r="407" spans="2:4" x14ac:dyDescent="0.2">
      <c r="B407" s="2">
        <v>36384</v>
      </c>
      <c r="C407" s="61">
        <v>5127.43</v>
      </c>
      <c r="D407" s="3">
        <f t="shared" si="9"/>
        <v>2.146347682825045E-2</v>
      </c>
    </row>
    <row r="408" spans="2:4" x14ac:dyDescent="0.2">
      <c r="B408" s="2">
        <v>36385</v>
      </c>
      <c r="C408" s="61">
        <v>5219.43</v>
      </c>
      <c r="D408" s="3">
        <f t="shared" si="9"/>
        <v>1.7942712040925013E-2</v>
      </c>
    </row>
    <row r="409" spans="2:4" x14ac:dyDescent="0.2">
      <c r="B409" s="2">
        <v>36388</v>
      </c>
      <c r="C409" s="61">
        <v>5257.1</v>
      </c>
      <c r="D409" s="3">
        <f t="shared" si="9"/>
        <v>7.2172631877427396E-3</v>
      </c>
    </row>
    <row r="410" spans="2:4" x14ac:dyDescent="0.2">
      <c r="B410" s="2">
        <v>36389</v>
      </c>
      <c r="C410" s="61">
        <v>5259.91</v>
      </c>
      <c r="D410" s="3">
        <f t="shared" si="9"/>
        <v>5.3451522702618881E-4</v>
      </c>
    </row>
    <row r="411" spans="2:4" x14ac:dyDescent="0.2">
      <c r="B411" s="2">
        <v>36390</v>
      </c>
      <c r="C411" s="61">
        <v>5230.47</v>
      </c>
      <c r="D411" s="3">
        <f t="shared" si="9"/>
        <v>-5.5970539419875065E-3</v>
      </c>
    </row>
    <row r="412" spans="2:4" x14ac:dyDescent="0.2">
      <c r="B412" s="2">
        <v>36391</v>
      </c>
      <c r="C412" s="61">
        <v>5186.8500000000004</v>
      </c>
      <c r="D412" s="3">
        <f t="shared" si="9"/>
        <v>-8.3395947209332633E-3</v>
      </c>
    </row>
    <row r="413" spans="2:4" x14ac:dyDescent="0.2">
      <c r="B413" s="2">
        <v>36392</v>
      </c>
      <c r="C413" s="61">
        <v>5254.14</v>
      </c>
      <c r="D413" s="3">
        <f t="shared" si="9"/>
        <v>1.2973191821625818E-2</v>
      </c>
    </row>
    <row r="414" spans="2:4" x14ac:dyDescent="0.2">
      <c r="B414" s="2">
        <v>36395</v>
      </c>
      <c r="C414" s="61">
        <v>5301.98</v>
      </c>
      <c r="D414" s="3">
        <f t="shared" si="9"/>
        <v>9.1052008511380844E-3</v>
      </c>
    </row>
    <row r="415" spans="2:4" x14ac:dyDescent="0.2">
      <c r="B415" s="2">
        <v>36396</v>
      </c>
      <c r="C415" s="61">
        <v>5324.02</v>
      </c>
      <c r="D415" s="3">
        <f t="shared" si="9"/>
        <v>4.1569375968979472E-3</v>
      </c>
    </row>
    <row r="416" spans="2:4" x14ac:dyDescent="0.2">
      <c r="B416" s="2">
        <v>36397</v>
      </c>
      <c r="C416" s="61">
        <v>5400.32</v>
      </c>
      <c r="D416" s="3">
        <f t="shared" si="9"/>
        <v>1.4331275990698611E-2</v>
      </c>
    </row>
    <row r="417" spans="2:4" x14ac:dyDescent="0.2">
      <c r="B417" s="2">
        <v>36398</v>
      </c>
      <c r="C417" s="61">
        <v>5389.34</v>
      </c>
      <c r="D417" s="3">
        <f t="shared" si="9"/>
        <v>-2.0332128466460375E-3</v>
      </c>
    </row>
    <row r="418" spans="2:4" x14ac:dyDescent="0.2">
      <c r="B418" s="2">
        <v>36399</v>
      </c>
      <c r="C418" s="61">
        <v>5420.36</v>
      </c>
      <c r="D418" s="3">
        <f t="shared" si="9"/>
        <v>5.7558068334897516E-3</v>
      </c>
    </row>
    <row r="419" spans="2:4" x14ac:dyDescent="0.2">
      <c r="B419" s="2">
        <v>36402</v>
      </c>
      <c r="C419" s="61">
        <v>5392.53</v>
      </c>
      <c r="D419" s="3">
        <f t="shared" si="9"/>
        <v>-5.1343453202370437E-3</v>
      </c>
    </row>
    <row r="420" spans="2:4" x14ac:dyDescent="0.2">
      <c r="B420" s="2">
        <v>36403</v>
      </c>
      <c r="C420" s="61">
        <v>5270.77</v>
      </c>
      <c r="D420" s="3">
        <f t="shared" si="9"/>
        <v>-2.2579382961244399E-2</v>
      </c>
    </row>
    <row r="421" spans="2:4" x14ac:dyDescent="0.2">
      <c r="B421" s="2">
        <v>36404</v>
      </c>
      <c r="C421" s="61">
        <v>5317.12</v>
      </c>
      <c r="D421" s="3">
        <f t="shared" si="9"/>
        <v>8.7937815537386665E-3</v>
      </c>
    </row>
    <row r="422" spans="2:4" x14ac:dyDescent="0.2">
      <c r="B422" s="2">
        <v>36405</v>
      </c>
      <c r="C422" s="61">
        <v>5189.92</v>
      </c>
      <c r="D422" s="3">
        <f t="shared" si="9"/>
        <v>-2.392272508425608E-2</v>
      </c>
    </row>
    <row r="423" spans="2:4" x14ac:dyDescent="0.2">
      <c r="B423" s="2">
        <v>36406</v>
      </c>
      <c r="C423" s="61">
        <v>5336.22</v>
      </c>
      <c r="D423" s="3">
        <f t="shared" si="9"/>
        <v>2.8189259179332238E-2</v>
      </c>
    </row>
    <row r="424" spans="2:4" x14ac:dyDescent="0.2">
      <c r="B424" s="2">
        <v>36409</v>
      </c>
      <c r="C424" s="61">
        <v>5400.55</v>
      </c>
      <c r="D424" s="3">
        <f t="shared" si="9"/>
        <v>1.2055350041789925E-2</v>
      </c>
    </row>
    <row r="425" spans="2:4" x14ac:dyDescent="0.2">
      <c r="B425" s="2">
        <v>36410</v>
      </c>
      <c r="C425" s="61">
        <v>5391.36</v>
      </c>
      <c r="D425" s="3">
        <f t="shared" si="9"/>
        <v>-1.701678532742168E-3</v>
      </c>
    </row>
    <row r="426" spans="2:4" x14ac:dyDescent="0.2">
      <c r="B426" s="2">
        <v>36411</v>
      </c>
      <c r="C426" s="61">
        <v>5400.7</v>
      </c>
      <c r="D426" s="3">
        <f t="shared" si="9"/>
        <v>1.7324014719848346E-3</v>
      </c>
    </row>
    <row r="427" spans="2:4" x14ac:dyDescent="0.2">
      <c r="B427" s="2">
        <v>36412</v>
      </c>
      <c r="C427" s="61">
        <v>5436.86</v>
      </c>
      <c r="D427" s="3">
        <f t="shared" si="9"/>
        <v>6.6954283703963835E-3</v>
      </c>
    </row>
    <row r="428" spans="2:4" x14ac:dyDescent="0.2">
      <c r="B428" s="2">
        <v>36413</v>
      </c>
      <c r="C428" s="61">
        <v>5483.95</v>
      </c>
      <c r="D428" s="3">
        <f t="shared" si="9"/>
        <v>8.6612493240583177E-3</v>
      </c>
    </row>
    <row r="429" spans="2:4" x14ac:dyDescent="0.2">
      <c r="B429" s="2">
        <v>36416</v>
      </c>
      <c r="C429" s="61">
        <v>5446.91</v>
      </c>
      <c r="D429" s="3">
        <f t="shared" si="9"/>
        <v>-6.7542556004339671E-3</v>
      </c>
    </row>
    <row r="430" spans="2:4" x14ac:dyDescent="0.2">
      <c r="B430" s="2">
        <v>36417</v>
      </c>
      <c r="C430" s="61">
        <v>5401.47</v>
      </c>
      <c r="D430" s="3">
        <f t="shared" si="9"/>
        <v>-8.3423445586580103E-3</v>
      </c>
    </row>
    <row r="431" spans="2:4" x14ac:dyDescent="0.2">
      <c r="B431" s="2">
        <v>36418</v>
      </c>
      <c r="C431" s="61">
        <v>5387.18</v>
      </c>
      <c r="D431" s="3">
        <f t="shared" si="9"/>
        <v>-2.6455761116881416E-3</v>
      </c>
    </row>
    <row r="432" spans="2:4" x14ac:dyDescent="0.2">
      <c r="B432" s="2">
        <v>36419</v>
      </c>
      <c r="C432" s="61">
        <v>5304.42</v>
      </c>
      <c r="D432" s="3">
        <f t="shared" si="9"/>
        <v>-1.5362397395297767E-2</v>
      </c>
    </row>
    <row r="433" spans="2:4" x14ac:dyDescent="0.2">
      <c r="B433" s="2">
        <v>36420</v>
      </c>
      <c r="C433" s="61">
        <v>5303.94</v>
      </c>
      <c r="D433" s="3">
        <f t="shared" si="9"/>
        <v>-9.0490572013601778E-5</v>
      </c>
    </row>
    <row r="434" spans="2:4" x14ac:dyDescent="0.2">
      <c r="B434" s="2">
        <v>36423</v>
      </c>
      <c r="C434" s="61">
        <v>5351.98</v>
      </c>
      <c r="D434" s="3">
        <f t="shared" si="9"/>
        <v>9.0574176932620709E-3</v>
      </c>
    </row>
    <row r="435" spans="2:4" x14ac:dyDescent="0.2">
      <c r="B435" s="2">
        <v>36424</v>
      </c>
      <c r="C435" s="61">
        <v>5282.76</v>
      </c>
      <c r="D435" s="3">
        <f t="shared" si="9"/>
        <v>-1.2933531141745558E-2</v>
      </c>
    </row>
    <row r="436" spans="2:4" x14ac:dyDescent="0.2">
      <c r="B436" s="2">
        <v>36425</v>
      </c>
      <c r="C436" s="61">
        <v>5238.76</v>
      </c>
      <c r="D436" s="3">
        <f t="shared" si="9"/>
        <v>-8.3289795485692597E-3</v>
      </c>
    </row>
    <row r="437" spans="2:4" x14ac:dyDescent="0.2">
      <c r="B437" s="2">
        <v>36426</v>
      </c>
      <c r="C437" s="61">
        <v>5299.57</v>
      </c>
      <c r="D437" s="3">
        <f t="shared" si="9"/>
        <v>1.1607708694423735E-2</v>
      </c>
    </row>
    <row r="438" spans="2:4" x14ac:dyDescent="0.2">
      <c r="B438" s="2">
        <v>36427</v>
      </c>
      <c r="C438" s="61">
        <v>5186.53</v>
      </c>
      <c r="D438" s="3">
        <f t="shared" si="9"/>
        <v>-2.1330032436593926E-2</v>
      </c>
    </row>
    <row r="439" spans="2:4" x14ac:dyDescent="0.2">
      <c r="B439" s="2">
        <v>36430</v>
      </c>
      <c r="C439" s="61">
        <v>5239.6400000000003</v>
      </c>
      <c r="D439" s="3">
        <f t="shared" si="9"/>
        <v>1.0239987043360488E-2</v>
      </c>
    </row>
    <row r="440" spans="2:4" x14ac:dyDescent="0.2">
      <c r="B440" s="2">
        <v>36431</v>
      </c>
      <c r="C440" s="61">
        <v>5119.1000000000004</v>
      </c>
      <c r="D440" s="3">
        <f t="shared" si="9"/>
        <v>-2.3005397317372944E-2</v>
      </c>
    </row>
    <row r="441" spans="2:4" x14ac:dyDescent="0.2">
      <c r="B441" s="2">
        <v>36432</v>
      </c>
      <c r="C441" s="61">
        <v>5135.62</v>
      </c>
      <c r="D441" s="3">
        <f t="shared" si="9"/>
        <v>3.2271297689046019E-3</v>
      </c>
    </row>
    <row r="442" spans="2:4" x14ac:dyDescent="0.2">
      <c r="B442" s="2">
        <v>36433</v>
      </c>
      <c r="C442" s="61">
        <v>5149.83</v>
      </c>
      <c r="D442" s="3">
        <f t="shared" si="9"/>
        <v>2.7669492680533203E-3</v>
      </c>
    </row>
    <row r="443" spans="2:4" x14ac:dyDescent="0.2">
      <c r="B443" s="2">
        <v>36434</v>
      </c>
      <c r="C443" s="61">
        <v>5124.55</v>
      </c>
      <c r="D443" s="3">
        <f t="shared" si="9"/>
        <v>-4.9088999054337501E-3</v>
      </c>
    </row>
    <row r="444" spans="2:4" x14ac:dyDescent="0.2">
      <c r="B444" s="2">
        <v>36437</v>
      </c>
      <c r="C444" s="61">
        <v>5218.8599999999997</v>
      </c>
      <c r="D444" s="3">
        <f t="shared" si="9"/>
        <v>1.8403567142480703E-2</v>
      </c>
    </row>
    <row r="445" spans="2:4" x14ac:dyDescent="0.2">
      <c r="B445" s="2">
        <v>36438</v>
      </c>
      <c r="C445" s="61">
        <v>5301.85</v>
      </c>
      <c r="D445" s="3">
        <f t="shared" si="9"/>
        <v>1.5901940270480752E-2</v>
      </c>
    </row>
    <row r="446" spans="2:4" x14ac:dyDescent="0.2">
      <c r="B446" s="2">
        <v>36439</v>
      </c>
      <c r="C446" s="61">
        <v>5353.32</v>
      </c>
      <c r="D446" s="3">
        <f t="shared" si="9"/>
        <v>9.7079321368955807E-3</v>
      </c>
    </row>
    <row r="447" spans="2:4" x14ac:dyDescent="0.2">
      <c r="B447" s="2">
        <v>36440</v>
      </c>
      <c r="C447" s="61">
        <v>5419.31</v>
      </c>
      <c r="D447" s="3">
        <f t="shared" si="9"/>
        <v>1.2326929830460465E-2</v>
      </c>
    </row>
    <row r="448" spans="2:4" x14ac:dyDescent="0.2">
      <c r="B448" s="2">
        <v>36441</v>
      </c>
      <c r="C448" s="61">
        <v>5419.26</v>
      </c>
      <c r="D448" s="3">
        <f t="shared" si="9"/>
        <v>-9.2262668125453473E-6</v>
      </c>
    </row>
    <row r="449" spans="2:4" x14ac:dyDescent="0.2">
      <c r="B449" s="2">
        <v>36444</v>
      </c>
      <c r="C449" s="61">
        <v>5414.5</v>
      </c>
      <c r="D449" s="3">
        <f t="shared" si="9"/>
        <v>-8.7834870443570523E-4</v>
      </c>
    </row>
    <row r="450" spans="2:4" x14ac:dyDescent="0.2">
      <c r="B450" s="2">
        <v>36445</v>
      </c>
      <c r="C450" s="61">
        <v>5358.46</v>
      </c>
      <c r="D450" s="3">
        <f t="shared" si="9"/>
        <v>-1.0349986148305512E-2</v>
      </c>
    </row>
    <row r="451" spans="2:4" x14ac:dyDescent="0.2">
      <c r="B451" s="2">
        <v>36446</v>
      </c>
      <c r="C451" s="61">
        <v>5295.43</v>
      </c>
      <c r="D451" s="3">
        <f t="shared" si="9"/>
        <v>-1.176270794220724E-2</v>
      </c>
    </row>
    <row r="452" spans="2:4" x14ac:dyDescent="0.2">
      <c r="B452" s="2">
        <v>36447</v>
      </c>
      <c r="C452" s="61">
        <v>5220.29</v>
      </c>
      <c r="D452" s="3">
        <f t="shared" si="9"/>
        <v>-1.418959366850292E-2</v>
      </c>
    </row>
    <row r="453" spans="2:4" x14ac:dyDescent="0.2">
      <c r="B453" s="2">
        <v>36448</v>
      </c>
      <c r="C453" s="61">
        <v>5184.2299999999996</v>
      </c>
      <c r="D453" s="3">
        <f t="shared" ref="D453:D516" si="10">C453/C452-1</f>
        <v>-6.9076622179994329E-3</v>
      </c>
    </row>
    <row r="454" spans="2:4" x14ac:dyDescent="0.2">
      <c r="B454" s="2">
        <v>36451</v>
      </c>
      <c r="C454" s="61">
        <v>5156.28</v>
      </c>
      <c r="D454" s="3">
        <f t="shared" si="10"/>
        <v>-5.3913503066028712E-3</v>
      </c>
    </row>
    <row r="455" spans="2:4" x14ac:dyDescent="0.2">
      <c r="B455" s="2">
        <v>36452</v>
      </c>
      <c r="C455" s="61">
        <v>5296.91</v>
      </c>
      <c r="D455" s="3">
        <f t="shared" si="10"/>
        <v>2.7273538287292398E-2</v>
      </c>
    </row>
    <row r="456" spans="2:4" x14ac:dyDescent="0.2">
      <c r="B456" s="2">
        <v>36453</v>
      </c>
      <c r="C456" s="61">
        <v>5291.23</v>
      </c>
      <c r="D456" s="3">
        <f t="shared" si="10"/>
        <v>-1.0723232979228392E-3</v>
      </c>
    </row>
    <row r="457" spans="2:4" x14ac:dyDescent="0.2">
      <c r="B457" s="2">
        <v>36454</v>
      </c>
      <c r="C457" s="61">
        <v>5246.49</v>
      </c>
      <c r="D457" s="3">
        <f t="shared" si="10"/>
        <v>-8.4555008948768995E-3</v>
      </c>
    </row>
    <row r="458" spans="2:4" x14ac:dyDescent="0.2">
      <c r="B458" s="2">
        <v>36455</v>
      </c>
      <c r="C458" s="61">
        <v>5357.75</v>
      </c>
      <c r="D458" s="3">
        <f t="shared" si="10"/>
        <v>2.1206559051861307E-2</v>
      </c>
    </row>
    <row r="459" spans="2:4" x14ac:dyDescent="0.2">
      <c r="B459" s="2">
        <v>36458</v>
      </c>
      <c r="C459" s="61">
        <v>5320.4</v>
      </c>
      <c r="D459" s="3">
        <f t="shared" si="10"/>
        <v>-6.9712099295413665E-3</v>
      </c>
    </row>
    <row r="460" spans="2:4" x14ac:dyDescent="0.2">
      <c r="B460" s="2">
        <v>36459</v>
      </c>
      <c r="C460" s="61">
        <v>5388.76</v>
      </c>
      <c r="D460" s="3">
        <f t="shared" si="10"/>
        <v>1.2848657995639501E-2</v>
      </c>
    </row>
    <row r="461" spans="2:4" x14ac:dyDescent="0.2">
      <c r="B461" s="2">
        <v>36460</v>
      </c>
      <c r="C461" s="61">
        <v>5363.86</v>
      </c>
      <c r="D461" s="3">
        <f t="shared" si="10"/>
        <v>-4.6207290731078432E-3</v>
      </c>
    </row>
    <row r="462" spans="2:4" x14ac:dyDescent="0.2">
      <c r="B462" s="2">
        <v>36461</v>
      </c>
      <c r="C462" s="61">
        <v>5478.89</v>
      </c>
      <c r="D462" s="3">
        <f t="shared" si="10"/>
        <v>2.1445377023263212E-2</v>
      </c>
    </row>
    <row r="463" spans="2:4" x14ac:dyDescent="0.2">
      <c r="B463" s="2">
        <v>36462</v>
      </c>
      <c r="C463" s="61">
        <v>5525.4</v>
      </c>
      <c r="D463" s="3">
        <f t="shared" si="10"/>
        <v>8.4889457536105883E-3</v>
      </c>
    </row>
    <row r="464" spans="2:4" x14ac:dyDescent="0.2">
      <c r="B464" s="2">
        <v>36465</v>
      </c>
      <c r="C464" s="61">
        <v>5524.92</v>
      </c>
      <c r="D464" s="3">
        <f t="shared" si="10"/>
        <v>-8.6871538712007812E-5</v>
      </c>
    </row>
    <row r="465" spans="2:4" x14ac:dyDescent="0.2">
      <c r="B465" s="2">
        <v>36466</v>
      </c>
      <c r="C465" s="61">
        <v>5546.95</v>
      </c>
      <c r="D465" s="3">
        <f t="shared" si="10"/>
        <v>3.9873880526777317E-3</v>
      </c>
    </row>
    <row r="466" spans="2:4" x14ac:dyDescent="0.2">
      <c r="B466" s="2">
        <v>36467</v>
      </c>
      <c r="C466" s="61">
        <v>5560.87</v>
      </c>
      <c r="D466" s="3">
        <f t="shared" si="10"/>
        <v>2.5094871956661269E-3</v>
      </c>
    </row>
    <row r="467" spans="2:4" x14ac:dyDescent="0.2">
      <c r="B467" s="2">
        <v>36468</v>
      </c>
      <c r="C467" s="61">
        <v>5635.62</v>
      </c>
      <c r="D467" s="3">
        <f t="shared" si="10"/>
        <v>1.3442141247682393E-2</v>
      </c>
    </row>
    <row r="468" spans="2:4" x14ac:dyDescent="0.2">
      <c r="B468" s="2">
        <v>36469</v>
      </c>
      <c r="C468" s="61">
        <v>5658.1</v>
      </c>
      <c r="D468" s="3">
        <f t="shared" si="10"/>
        <v>3.9889133759907214E-3</v>
      </c>
    </row>
    <row r="469" spans="2:4" x14ac:dyDescent="0.2">
      <c r="B469" s="2">
        <v>36472</v>
      </c>
      <c r="C469" s="61">
        <v>5647.94</v>
      </c>
      <c r="D469" s="3">
        <f t="shared" si="10"/>
        <v>-1.7956557855112187E-3</v>
      </c>
    </row>
    <row r="470" spans="2:4" x14ac:dyDescent="0.2">
      <c r="B470" s="2">
        <v>36473</v>
      </c>
      <c r="C470" s="61">
        <v>5694.73</v>
      </c>
      <c r="D470" s="3">
        <f t="shared" si="10"/>
        <v>8.2844364493956935E-3</v>
      </c>
    </row>
    <row r="471" spans="2:4" x14ac:dyDescent="0.2">
      <c r="B471" s="2">
        <v>36474</v>
      </c>
      <c r="C471" s="61">
        <v>5742.42</v>
      </c>
      <c r="D471" s="3">
        <f t="shared" si="10"/>
        <v>8.3744093223032667E-3</v>
      </c>
    </row>
    <row r="472" spans="2:4" x14ac:dyDescent="0.2">
      <c r="B472" s="2">
        <v>36475</v>
      </c>
      <c r="C472" s="61">
        <v>5802.36</v>
      </c>
      <c r="D472" s="3">
        <f t="shared" si="10"/>
        <v>1.0438107975383026E-2</v>
      </c>
    </row>
    <row r="473" spans="2:4" x14ac:dyDescent="0.2">
      <c r="B473" s="2">
        <v>36476</v>
      </c>
      <c r="C473" s="61">
        <v>5791.05</v>
      </c>
      <c r="D473" s="3">
        <f t="shared" si="10"/>
        <v>-1.9492068744441093E-3</v>
      </c>
    </row>
    <row r="474" spans="2:4" x14ac:dyDescent="0.2">
      <c r="B474" s="2">
        <v>36479</v>
      </c>
      <c r="C474" s="61">
        <v>5859.29</v>
      </c>
      <c r="D474" s="3">
        <f t="shared" si="10"/>
        <v>1.1783700710579215E-2</v>
      </c>
    </row>
    <row r="475" spans="2:4" x14ac:dyDescent="0.2">
      <c r="B475" s="2">
        <v>36480</v>
      </c>
      <c r="C475" s="61">
        <v>5909.52</v>
      </c>
      <c r="D475" s="3">
        <f t="shared" si="10"/>
        <v>8.572711028127955E-3</v>
      </c>
    </row>
    <row r="476" spans="2:4" x14ac:dyDescent="0.2">
      <c r="B476" s="2">
        <v>36481</v>
      </c>
      <c r="C476" s="61">
        <v>5870.17</v>
      </c>
      <c r="D476" s="3">
        <f t="shared" si="10"/>
        <v>-6.6587472417387605E-3</v>
      </c>
    </row>
    <row r="477" spans="2:4" x14ac:dyDescent="0.2">
      <c r="B477" s="2">
        <v>36482</v>
      </c>
      <c r="C477" s="61">
        <v>5950.05</v>
      </c>
      <c r="D477" s="3">
        <f t="shared" si="10"/>
        <v>1.3607783079536029E-2</v>
      </c>
    </row>
    <row r="478" spans="2:4" x14ac:dyDescent="0.2">
      <c r="B478" s="2">
        <v>36483</v>
      </c>
      <c r="C478" s="61">
        <v>5955.97</v>
      </c>
      <c r="D478" s="3">
        <f t="shared" si="10"/>
        <v>9.9494962227208994E-4</v>
      </c>
    </row>
    <row r="479" spans="2:4" x14ac:dyDescent="0.2">
      <c r="B479" s="2">
        <v>36486</v>
      </c>
      <c r="C479" s="61">
        <v>5819.89</v>
      </c>
      <c r="D479" s="3">
        <f t="shared" si="10"/>
        <v>-2.2847663772651683E-2</v>
      </c>
    </row>
    <row r="480" spans="2:4" x14ac:dyDescent="0.2">
      <c r="B480" s="2">
        <v>36487</v>
      </c>
      <c r="C480" s="61">
        <v>5814.74</v>
      </c>
      <c r="D480" s="3">
        <f t="shared" si="10"/>
        <v>-8.8489644993294814E-4</v>
      </c>
    </row>
    <row r="481" spans="2:4" x14ac:dyDescent="0.2">
      <c r="B481" s="2">
        <v>36488</v>
      </c>
      <c r="C481" s="61">
        <v>5818.73</v>
      </c>
      <c r="D481" s="3">
        <f t="shared" si="10"/>
        <v>6.8618717259916195E-4</v>
      </c>
    </row>
    <row r="482" spans="2:4" x14ac:dyDescent="0.2">
      <c r="B482" s="2">
        <v>36489</v>
      </c>
      <c r="C482" s="61">
        <v>5961.45</v>
      </c>
      <c r="D482" s="3">
        <f t="shared" si="10"/>
        <v>2.4527689031799138E-2</v>
      </c>
    </row>
    <row r="483" spans="2:4" x14ac:dyDescent="0.2">
      <c r="B483" s="2">
        <v>36490</v>
      </c>
      <c r="C483" s="61">
        <v>5958.07</v>
      </c>
      <c r="D483" s="3">
        <f t="shared" si="10"/>
        <v>-5.6697615513001676E-4</v>
      </c>
    </row>
    <row r="484" spans="2:4" x14ac:dyDescent="0.2">
      <c r="B484" s="2">
        <v>36493</v>
      </c>
      <c r="C484" s="61">
        <v>5888.88</v>
      </c>
      <c r="D484" s="3">
        <f t="shared" si="10"/>
        <v>-1.1612820930267609E-2</v>
      </c>
    </row>
    <row r="485" spans="2:4" x14ac:dyDescent="0.2">
      <c r="B485" s="2">
        <v>36494</v>
      </c>
      <c r="C485" s="61">
        <v>5896.04</v>
      </c>
      <c r="D485" s="3">
        <f t="shared" si="10"/>
        <v>1.2158508918502786E-3</v>
      </c>
    </row>
    <row r="486" spans="2:4" x14ac:dyDescent="0.2">
      <c r="B486" s="2">
        <v>36495</v>
      </c>
      <c r="C486" s="61">
        <v>5933.84</v>
      </c>
      <c r="D486" s="3">
        <f t="shared" si="10"/>
        <v>6.4110826927903375E-3</v>
      </c>
    </row>
    <row r="487" spans="2:4" x14ac:dyDescent="0.2">
      <c r="B487" s="2">
        <v>36496</v>
      </c>
      <c r="C487" s="61">
        <v>5937.2</v>
      </c>
      <c r="D487" s="3">
        <f t="shared" si="10"/>
        <v>5.6624378142977605E-4</v>
      </c>
    </row>
    <row r="488" spans="2:4" x14ac:dyDescent="0.2">
      <c r="B488" s="2">
        <v>36497</v>
      </c>
      <c r="C488" s="61">
        <v>6119.17</v>
      </c>
      <c r="D488" s="3">
        <f t="shared" si="10"/>
        <v>3.0649127534865039E-2</v>
      </c>
    </row>
    <row r="489" spans="2:4" x14ac:dyDescent="0.2">
      <c r="B489" s="2">
        <v>36500</v>
      </c>
      <c r="C489" s="61">
        <v>6142.19</v>
      </c>
      <c r="D489" s="3">
        <f t="shared" si="10"/>
        <v>3.7619481073412064E-3</v>
      </c>
    </row>
    <row r="490" spans="2:4" x14ac:dyDescent="0.2">
      <c r="B490" s="2">
        <v>36501</v>
      </c>
      <c r="C490" s="61">
        <v>6158.77</v>
      </c>
      <c r="D490" s="3">
        <f t="shared" si="10"/>
        <v>2.6993629308114109E-3</v>
      </c>
    </row>
    <row r="491" spans="2:4" x14ac:dyDescent="0.2">
      <c r="B491" s="2">
        <v>36502</v>
      </c>
      <c r="C491" s="61">
        <v>6115.59</v>
      </c>
      <c r="D491" s="3">
        <f t="shared" si="10"/>
        <v>-7.0111402114383381E-3</v>
      </c>
    </row>
    <row r="492" spans="2:4" x14ac:dyDescent="0.2">
      <c r="B492" s="2">
        <v>36503</v>
      </c>
      <c r="C492" s="61">
        <v>6118.06</v>
      </c>
      <c r="D492" s="3">
        <f t="shared" si="10"/>
        <v>4.0388580660244422E-4</v>
      </c>
    </row>
    <row r="493" spans="2:4" x14ac:dyDescent="0.2">
      <c r="B493" s="2">
        <v>36504</v>
      </c>
      <c r="C493" s="61">
        <v>6097.9</v>
      </c>
      <c r="D493" s="3">
        <f t="shared" si="10"/>
        <v>-3.2951621919368179E-3</v>
      </c>
    </row>
    <row r="494" spans="2:4" x14ac:dyDescent="0.2">
      <c r="B494" s="2">
        <v>36507</v>
      </c>
      <c r="C494" s="61">
        <v>6127.2</v>
      </c>
      <c r="D494" s="3">
        <f t="shared" si="10"/>
        <v>4.8049328457338003E-3</v>
      </c>
    </row>
    <row r="495" spans="2:4" x14ac:dyDescent="0.2">
      <c r="B495" s="2">
        <v>36508</v>
      </c>
      <c r="C495" s="61">
        <v>6187.99</v>
      </c>
      <c r="D495" s="3">
        <f t="shared" si="10"/>
        <v>9.9213343778561391E-3</v>
      </c>
    </row>
    <row r="496" spans="2:4" x14ac:dyDescent="0.2">
      <c r="B496" s="2">
        <v>36509</v>
      </c>
      <c r="C496" s="61">
        <v>6232.75</v>
      </c>
      <c r="D496" s="3">
        <f t="shared" si="10"/>
        <v>7.2333665697585925E-3</v>
      </c>
    </row>
    <row r="497" spans="2:4" x14ac:dyDescent="0.2">
      <c r="B497" s="2">
        <v>36510</v>
      </c>
      <c r="C497" s="61">
        <v>6341.29</v>
      </c>
      <c r="D497" s="3">
        <f t="shared" si="10"/>
        <v>1.7414463920420342E-2</v>
      </c>
    </row>
    <row r="498" spans="2:4" x14ac:dyDescent="0.2">
      <c r="B498" s="2">
        <v>36511</v>
      </c>
      <c r="C498" s="61">
        <v>6353.9</v>
      </c>
      <c r="D498" s="3">
        <f t="shared" si="10"/>
        <v>1.9885543793138893E-3</v>
      </c>
    </row>
    <row r="499" spans="2:4" x14ac:dyDescent="0.2">
      <c r="B499" s="2">
        <v>36514</v>
      </c>
      <c r="C499" s="61">
        <v>6378.66</v>
      </c>
      <c r="D499" s="3">
        <f t="shared" si="10"/>
        <v>3.8968192763499943E-3</v>
      </c>
    </row>
    <row r="500" spans="2:4" x14ac:dyDescent="0.2">
      <c r="B500" s="2">
        <v>36515</v>
      </c>
      <c r="C500" s="61">
        <v>6418.68</v>
      </c>
      <c r="D500" s="3">
        <f t="shared" si="10"/>
        <v>6.274045018859864E-3</v>
      </c>
    </row>
    <row r="501" spans="2:4" x14ac:dyDescent="0.2">
      <c r="B501" s="2">
        <v>36516</v>
      </c>
      <c r="C501" s="61">
        <v>6492.53</v>
      </c>
      <c r="D501" s="3">
        <f t="shared" si="10"/>
        <v>1.1505480877688212E-2</v>
      </c>
    </row>
    <row r="502" spans="2:4" x14ac:dyDescent="0.2">
      <c r="B502" s="2">
        <v>36517</v>
      </c>
      <c r="C502" s="61">
        <v>6782.39</v>
      </c>
      <c r="D502" s="3">
        <f t="shared" si="10"/>
        <v>4.4645153738219312E-2</v>
      </c>
    </row>
    <row r="503" spans="2:4" x14ac:dyDescent="0.2">
      <c r="B503" s="2">
        <v>36893</v>
      </c>
      <c r="C503" s="61">
        <v>6289.82</v>
      </c>
      <c r="D503" s="3">
        <f t="shared" si="10"/>
        <v>-7.2624841685600572E-2</v>
      </c>
    </row>
    <row r="504" spans="2:4" x14ac:dyDescent="0.2">
      <c r="B504" s="2">
        <v>36894</v>
      </c>
      <c r="C504" s="61">
        <v>6434.96</v>
      </c>
      <c r="D504" s="3">
        <f t="shared" si="10"/>
        <v>2.307538212540261E-2</v>
      </c>
    </row>
    <row r="505" spans="2:4" x14ac:dyDescent="0.2">
      <c r="B505" s="2">
        <v>36895</v>
      </c>
      <c r="C505" s="61">
        <v>6376.54</v>
      </c>
      <c r="D505" s="3">
        <f t="shared" si="10"/>
        <v>-9.0785335106978726E-3</v>
      </c>
    </row>
    <row r="506" spans="2:4" x14ac:dyDescent="0.2">
      <c r="B506" s="2">
        <v>36896</v>
      </c>
      <c r="C506" s="61">
        <v>6382.31</v>
      </c>
      <c r="D506" s="3">
        <f t="shared" si="10"/>
        <v>9.0487944872941206E-4</v>
      </c>
    </row>
    <row r="507" spans="2:4" x14ac:dyDescent="0.2">
      <c r="B507" s="2">
        <v>36899</v>
      </c>
      <c r="C507" s="61">
        <v>6392.17</v>
      </c>
      <c r="D507" s="3">
        <f t="shared" si="10"/>
        <v>1.544895186852413E-3</v>
      </c>
    </row>
    <row r="508" spans="2:4" x14ac:dyDescent="0.2">
      <c r="B508" s="2">
        <v>36900</v>
      </c>
      <c r="C508" s="61">
        <v>6404.52</v>
      </c>
      <c r="D508" s="3">
        <f t="shared" si="10"/>
        <v>1.9320512439437998E-3</v>
      </c>
    </row>
    <row r="509" spans="2:4" x14ac:dyDescent="0.2">
      <c r="B509" s="2">
        <v>36901</v>
      </c>
      <c r="C509" s="61">
        <v>6320.07</v>
      </c>
      <c r="D509" s="3">
        <f t="shared" si="10"/>
        <v>-1.3185999887579514E-2</v>
      </c>
    </row>
    <row r="510" spans="2:4" x14ac:dyDescent="0.2">
      <c r="B510" s="2">
        <v>36902</v>
      </c>
      <c r="C510" s="61">
        <v>6465.21</v>
      </c>
      <c r="D510" s="3">
        <f t="shared" si="10"/>
        <v>2.2964935514954821E-2</v>
      </c>
    </row>
    <row r="511" spans="2:4" x14ac:dyDescent="0.2">
      <c r="B511" s="2">
        <v>36903</v>
      </c>
      <c r="C511" s="61">
        <v>6490.03</v>
      </c>
      <c r="D511" s="3">
        <f t="shared" si="10"/>
        <v>3.8390090963789092E-3</v>
      </c>
    </row>
    <row r="512" spans="2:4" x14ac:dyDescent="0.2">
      <c r="B512" s="2">
        <v>36906</v>
      </c>
      <c r="C512" s="61">
        <v>6522.87</v>
      </c>
      <c r="D512" s="3">
        <f t="shared" si="10"/>
        <v>5.0600690597732978E-3</v>
      </c>
    </row>
    <row r="513" spans="2:4" x14ac:dyDescent="0.2">
      <c r="B513" s="2">
        <v>36907</v>
      </c>
      <c r="C513" s="61">
        <v>6502.89</v>
      </c>
      <c r="D513" s="3">
        <f t="shared" si="10"/>
        <v>-3.0630688638589865E-3</v>
      </c>
    </row>
    <row r="514" spans="2:4" x14ac:dyDescent="0.2">
      <c r="B514" s="2">
        <v>36908</v>
      </c>
      <c r="C514" s="61">
        <v>6653.38</v>
      </c>
      <c r="D514" s="3">
        <f t="shared" si="10"/>
        <v>2.3142018394898267E-2</v>
      </c>
    </row>
    <row r="515" spans="2:4" x14ac:dyDescent="0.2">
      <c r="B515" s="2">
        <v>36909</v>
      </c>
      <c r="C515" s="61">
        <v>6635.76</v>
      </c>
      <c r="D515" s="3">
        <f t="shared" si="10"/>
        <v>-2.6482780180900889E-3</v>
      </c>
    </row>
    <row r="516" spans="2:4" x14ac:dyDescent="0.2">
      <c r="B516" s="2">
        <v>36910</v>
      </c>
      <c r="C516" s="61">
        <v>6651.53</v>
      </c>
      <c r="D516" s="3">
        <f t="shared" si="10"/>
        <v>2.3765175352934431E-3</v>
      </c>
    </row>
    <row r="517" spans="2:4" x14ac:dyDescent="0.2">
      <c r="B517" s="2">
        <v>36913</v>
      </c>
      <c r="C517" s="61">
        <v>6675</v>
      </c>
      <c r="D517" s="3">
        <f t="shared" ref="D517:D580" si="11">C517/C516-1</f>
        <v>3.5285114853274013E-3</v>
      </c>
    </row>
    <row r="518" spans="2:4" x14ac:dyDescent="0.2">
      <c r="B518" s="2">
        <v>36914</v>
      </c>
      <c r="C518" s="61">
        <v>6722.41</v>
      </c>
      <c r="D518" s="3">
        <f t="shared" si="11"/>
        <v>7.1026217228464805E-3</v>
      </c>
    </row>
    <row r="519" spans="2:4" x14ac:dyDescent="0.2">
      <c r="B519" s="2">
        <v>36915</v>
      </c>
      <c r="C519" s="61">
        <v>6706.67</v>
      </c>
      <c r="D519" s="3">
        <f t="shared" si="11"/>
        <v>-2.3414221982889227E-3</v>
      </c>
    </row>
    <row r="520" spans="2:4" x14ac:dyDescent="0.2">
      <c r="B520" s="2">
        <v>36916</v>
      </c>
      <c r="C520" s="61">
        <v>6727.49</v>
      </c>
      <c r="D520" s="3">
        <f t="shared" si="11"/>
        <v>3.1043722145267516E-3</v>
      </c>
    </row>
    <row r="521" spans="2:4" x14ac:dyDescent="0.2">
      <c r="B521" s="2">
        <v>36917</v>
      </c>
      <c r="C521" s="61">
        <v>6695.2</v>
      </c>
      <c r="D521" s="3">
        <f t="shared" si="11"/>
        <v>-4.7997098472090105E-3</v>
      </c>
    </row>
    <row r="522" spans="2:4" x14ac:dyDescent="0.2">
      <c r="B522" s="2">
        <v>36920</v>
      </c>
      <c r="C522" s="61">
        <v>6750.96</v>
      </c>
      <c r="D522" s="3">
        <f t="shared" si="11"/>
        <v>8.3283546421317745E-3</v>
      </c>
    </row>
    <row r="523" spans="2:4" x14ac:dyDescent="0.2">
      <c r="B523" s="2">
        <v>36921</v>
      </c>
      <c r="C523" s="61">
        <v>6739.3</v>
      </c>
      <c r="D523" s="3">
        <f t="shared" si="11"/>
        <v>-1.7271617666227979E-3</v>
      </c>
    </row>
    <row r="524" spans="2:4" x14ac:dyDescent="0.2">
      <c r="B524" s="2">
        <v>36922</v>
      </c>
      <c r="C524" s="61">
        <v>6795.14</v>
      </c>
      <c r="D524" s="3">
        <f t="shared" si="11"/>
        <v>8.2857270042882014E-3</v>
      </c>
    </row>
    <row r="525" spans="2:4" x14ac:dyDescent="0.2">
      <c r="B525" s="2">
        <v>36923</v>
      </c>
      <c r="C525" s="61">
        <v>6704.68</v>
      </c>
      <c r="D525" s="3">
        <f t="shared" si="11"/>
        <v>-1.3312455666844247E-2</v>
      </c>
    </row>
    <row r="526" spans="2:4" x14ac:dyDescent="0.2">
      <c r="B526" s="2">
        <v>36924</v>
      </c>
      <c r="C526" s="61">
        <v>6638.2</v>
      </c>
      <c r="D526" s="3">
        <f t="shared" si="11"/>
        <v>-9.9154620354737766E-3</v>
      </c>
    </row>
    <row r="527" spans="2:4" x14ac:dyDescent="0.2">
      <c r="B527" s="2">
        <v>36927</v>
      </c>
      <c r="C527" s="61">
        <v>6628.07</v>
      </c>
      <c r="D527" s="3">
        <f t="shared" si="11"/>
        <v>-1.526016088698734E-3</v>
      </c>
    </row>
    <row r="528" spans="2:4" x14ac:dyDescent="0.2">
      <c r="B528" s="2">
        <v>36928</v>
      </c>
      <c r="C528" s="61">
        <v>6693.03</v>
      </c>
      <c r="D528" s="3">
        <f t="shared" si="11"/>
        <v>9.8007413922907016E-3</v>
      </c>
    </row>
    <row r="529" spans="2:4" x14ac:dyDescent="0.2">
      <c r="B529" s="2">
        <v>36929</v>
      </c>
      <c r="C529" s="61">
        <v>6578.96</v>
      </c>
      <c r="D529" s="3">
        <f t="shared" si="11"/>
        <v>-1.7043103048992703E-2</v>
      </c>
    </row>
    <row r="530" spans="2:4" x14ac:dyDescent="0.2">
      <c r="B530" s="2">
        <v>36930</v>
      </c>
      <c r="C530" s="61">
        <v>6636.81</v>
      </c>
      <c r="D530" s="3">
        <f t="shared" si="11"/>
        <v>8.7931831170884323E-3</v>
      </c>
    </row>
    <row r="531" spans="2:4" x14ac:dyDescent="0.2">
      <c r="B531" s="2">
        <v>36931</v>
      </c>
      <c r="C531" s="61">
        <v>6497.07</v>
      </c>
      <c r="D531" s="3">
        <f t="shared" si="11"/>
        <v>-2.1055296143779989E-2</v>
      </c>
    </row>
    <row r="532" spans="2:4" x14ac:dyDescent="0.2">
      <c r="B532" s="2">
        <v>36934</v>
      </c>
      <c r="C532" s="61">
        <v>6564.91</v>
      </c>
      <c r="D532" s="3">
        <f t="shared" si="11"/>
        <v>1.0441629842375066E-2</v>
      </c>
    </row>
    <row r="533" spans="2:4" x14ac:dyDescent="0.2">
      <c r="B533" s="2">
        <v>36935</v>
      </c>
      <c r="C533" s="61">
        <v>6557.93</v>
      </c>
      <c r="D533" s="3">
        <f t="shared" si="11"/>
        <v>-1.06322858957697E-3</v>
      </c>
    </row>
    <row r="534" spans="2:4" x14ac:dyDescent="0.2">
      <c r="B534" s="2">
        <v>36936</v>
      </c>
      <c r="C534" s="61">
        <v>6479.87</v>
      </c>
      <c r="D534" s="3">
        <f t="shared" si="11"/>
        <v>-1.1903146267191134E-2</v>
      </c>
    </row>
    <row r="535" spans="2:4" x14ac:dyDescent="0.2">
      <c r="B535" s="2">
        <v>36937</v>
      </c>
      <c r="C535" s="61">
        <v>6591.67</v>
      </c>
      <c r="D535" s="3">
        <f t="shared" si="11"/>
        <v>1.7253432553430814E-2</v>
      </c>
    </row>
    <row r="536" spans="2:4" x14ac:dyDescent="0.2">
      <c r="B536" s="2">
        <v>36938</v>
      </c>
      <c r="C536" s="61">
        <v>6439.26</v>
      </c>
      <c r="D536" s="3">
        <f t="shared" si="11"/>
        <v>-2.3121606512461867E-2</v>
      </c>
    </row>
    <row r="537" spans="2:4" x14ac:dyDescent="0.2">
      <c r="B537" s="2">
        <v>36941</v>
      </c>
      <c r="C537" s="61">
        <v>6472.21</v>
      </c>
      <c r="D537" s="3">
        <f t="shared" si="11"/>
        <v>5.1170476110609098E-3</v>
      </c>
    </row>
    <row r="538" spans="2:4" x14ac:dyDescent="0.2">
      <c r="B538" s="2">
        <v>36942</v>
      </c>
      <c r="C538" s="61">
        <v>6451.57</v>
      </c>
      <c r="D538" s="3">
        <f t="shared" si="11"/>
        <v>-3.1890188977181655E-3</v>
      </c>
    </row>
    <row r="539" spans="2:4" x14ac:dyDescent="0.2">
      <c r="B539" s="2">
        <v>36943</v>
      </c>
      <c r="C539" s="61">
        <v>6347.99</v>
      </c>
      <c r="D539" s="3">
        <f t="shared" si="11"/>
        <v>-1.6055006765794966E-2</v>
      </c>
    </row>
    <row r="540" spans="2:4" x14ac:dyDescent="0.2">
      <c r="B540" s="2">
        <v>36944</v>
      </c>
      <c r="C540" s="61">
        <v>6277.99</v>
      </c>
      <c r="D540" s="3">
        <f t="shared" si="11"/>
        <v>-1.1027112519080839E-2</v>
      </c>
    </row>
    <row r="541" spans="2:4" x14ac:dyDescent="0.2">
      <c r="B541" s="2">
        <v>36945</v>
      </c>
      <c r="C541" s="61">
        <v>6075.34</v>
      </c>
      <c r="D541" s="3">
        <f t="shared" si="11"/>
        <v>-3.2279439756992212E-2</v>
      </c>
    </row>
    <row r="542" spans="2:4" x14ac:dyDescent="0.2">
      <c r="B542" s="2">
        <v>36948</v>
      </c>
      <c r="C542" s="61">
        <v>6189.07</v>
      </c>
      <c r="D542" s="3">
        <f t="shared" si="11"/>
        <v>1.8719939953977915E-2</v>
      </c>
    </row>
    <row r="543" spans="2:4" x14ac:dyDescent="0.2">
      <c r="B543" s="2">
        <v>36949</v>
      </c>
      <c r="C543" s="61">
        <v>6220.48</v>
      </c>
      <c r="D543" s="3">
        <f t="shared" si="11"/>
        <v>5.075075899933168E-3</v>
      </c>
    </row>
    <row r="544" spans="2:4" x14ac:dyDescent="0.2">
      <c r="B544" s="2">
        <v>36950</v>
      </c>
      <c r="C544" s="61">
        <v>6208.24</v>
      </c>
      <c r="D544" s="3">
        <f t="shared" si="11"/>
        <v>-1.9676938114100428E-3</v>
      </c>
    </row>
    <row r="545" spans="2:4" x14ac:dyDescent="0.2">
      <c r="B545" s="2">
        <v>36951</v>
      </c>
      <c r="C545" s="61">
        <v>6123.38</v>
      </c>
      <c r="D545" s="3">
        <f t="shared" si="11"/>
        <v>-1.3668930324858497E-2</v>
      </c>
    </row>
    <row r="546" spans="2:4" x14ac:dyDescent="0.2">
      <c r="B546" s="2">
        <v>36952</v>
      </c>
      <c r="C546" s="61">
        <v>6159.02</v>
      </c>
      <c r="D546" s="3">
        <f t="shared" si="11"/>
        <v>5.8203149241105034E-3</v>
      </c>
    </row>
    <row r="547" spans="2:4" x14ac:dyDescent="0.2">
      <c r="B547" s="2">
        <v>36955</v>
      </c>
      <c r="C547" s="61">
        <v>6216.38</v>
      </c>
      <c r="D547" s="3">
        <f t="shared" si="11"/>
        <v>9.3131699523625322E-3</v>
      </c>
    </row>
    <row r="548" spans="2:4" x14ac:dyDescent="0.2">
      <c r="B548" s="2">
        <v>36956</v>
      </c>
      <c r="C548" s="61">
        <v>6284.06</v>
      </c>
      <c r="D548" s="3">
        <f t="shared" si="11"/>
        <v>1.0887365315505271E-2</v>
      </c>
    </row>
    <row r="549" spans="2:4" x14ac:dyDescent="0.2">
      <c r="B549" s="2">
        <v>36957</v>
      </c>
      <c r="C549" s="61">
        <v>6305.64</v>
      </c>
      <c r="D549" s="3">
        <f t="shared" si="11"/>
        <v>3.4340856070755876E-3</v>
      </c>
    </row>
    <row r="550" spans="2:4" x14ac:dyDescent="0.2">
      <c r="B550" s="2">
        <v>36958</v>
      </c>
      <c r="C550" s="61">
        <v>6267.06</v>
      </c>
      <c r="D550" s="3">
        <f t="shared" si="11"/>
        <v>-6.1183321597807483E-3</v>
      </c>
    </row>
    <row r="551" spans="2:4" x14ac:dyDescent="0.2">
      <c r="B551" s="2">
        <v>36959</v>
      </c>
      <c r="C551" s="61">
        <v>6204.42</v>
      </c>
      <c r="D551" s="3">
        <f t="shared" si="11"/>
        <v>-9.9951173277422756E-3</v>
      </c>
    </row>
    <row r="552" spans="2:4" x14ac:dyDescent="0.2">
      <c r="B552" s="2">
        <v>36962</v>
      </c>
      <c r="C552" s="61">
        <v>6046.56</v>
      </c>
      <c r="D552" s="3">
        <f t="shared" si="11"/>
        <v>-2.5443151817575171E-2</v>
      </c>
    </row>
    <row r="553" spans="2:4" x14ac:dyDescent="0.2">
      <c r="B553" s="2">
        <v>36963</v>
      </c>
      <c r="C553" s="61">
        <v>5962.93</v>
      </c>
      <c r="D553" s="3">
        <f t="shared" si="11"/>
        <v>-1.3831004736577501E-2</v>
      </c>
    </row>
    <row r="554" spans="2:4" x14ac:dyDescent="0.2">
      <c r="B554" s="2">
        <v>36964</v>
      </c>
      <c r="C554" s="61">
        <v>5794.12</v>
      </c>
      <c r="D554" s="3">
        <f t="shared" si="11"/>
        <v>-2.830990804856004E-2</v>
      </c>
    </row>
    <row r="555" spans="2:4" x14ac:dyDescent="0.2">
      <c r="B555" s="2">
        <v>36965</v>
      </c>
      <c r="C555" s="61">
        <v>5889.95</v>
      </c>
      <c r="D555" s="3">
        <f t="shared" si="11"/>
        <v>1.6539181100840183E-2</v>
      </c>
    </row>
    <row r="556" spans="2:4" x14ac:dyDescent="0.2">
      <c r="B556" s="2">
        <v>36966</v>
      </c>
      <c r="C556" s="61">
        <v>5734.49</v>
      </c>
      <c r="D556" s="3">
        <f t="shared" si="11"/>
        <v>-2.6394112004346382E-2</v>
      </c>
    </row>
    <row r="557" spans="2:4" x14ac:dyDescent="0.2">
      <c r="B557" s="2">
        <v>36969</v>
      </c>
      <c r="C557" s="61">
        <v>5657.29</v>
      </c>
      <c r="D557" s="3">
        <f t="shared" si="11"/>
        <v>-1.3462400318075329E-2</v>
      </c>
    </row>
    <row r="558" spans="2:4" x14ac:dyDescent="0.2">
      <c r="B558" s="2">
        <v>36970</v>
      </c>
      <c r="C558" s="61">
        <v>5782.16</v>
      </c>
      <c r="D558" s="3">
        <f t="shared" si="11"/>
        <v>2.2072405692478148E-2</v>
      </c>
    </row>
    <row r="559" spans="2:4" x14ac:dyDescent="0.2">
      <c r="B559" s="2">
        <v>36971</v>
      </c>
      <c r="C559" s="61">
        <v>5622.09</v>
      </c>
      <c r="D559" s="3">
        <f t="shared" si="11"/>
        <v>-2.7683426262849808E-2</v>
      </c>
    </row>
    <row r="560" spans="2:4" x14ac:dyDescent="0.2">
      <c r="B560" s="2">
        <v>36972</v>
      </c>
      <c r="C560" s="61">
        <v>5388.02</v>
      </c>
      <c r="D560" s="3">
        <f t="shared" si="11"/>
        <v>-4.1633983091697191E-2</v>
      </c>
    </row>
    <row r="561" spans="2:4" x14ac:dyDescent="0.2">
      <c r="B561" s="2">
        <v>36973</v>
      </c>
      <c r="C561" s="61">
        <v>5544.67</v>
      </c>
      <c r="D561" s="3">
        <f t="shared" si="11"/>
        <v>2.9073759934075794E-2</v>
      </c>
    </row>
    <row r="562" spans="2:4" x14ac:dyDescent="0.2">
      <c r="B562" s="2">
        <v>36976</v>
      </c>
      <c r="C562" s="61">
        <v>5726.97</v>
      </c>
      <c r="D562" s="3">
        <f t="shared" si="11"/>
        <v>3.2878421980027772E-2</v>
      </c>
    </row>
    <row r="563" spans="2:4" x14ac:dyDescent="0.2">
      <c r="B563" s="2">
        <v>36977</v>
      </c>
      <c r="C563" s="61">
        <v>5938.21</v>
      </c>
      <c r="D563" s="3">
        <f t="shared" si="11"/>
        <v>3.6885124245456202E-2</v>
      </c>
    </row>
    <row r="564" spans="2:4" x14ac:dyDescent="0.2">
      <c r="B564" s="2">
        <v>36978</v>
      </c>
      <c r="C564" s="61">
        <v>5817.52</v>
      </c>
      <c r="D564" s="3">
        <f t="shared" si="11"/>
        <v>-2.0324306482929932E-2</v>
      </c>
    </row>
    <row r="565" spans="2:4" x14ac:dyDescent="0.2">
      <c r="B565" s="2">
        <v>36979</v>
      </c>
      <c r="C565" s="61">
        <v>5879.3</v>
      </c>
      <c r="D565" s="3">
        <f t="shared" si="11"/>
        <v>1.0619645484673867E-2</v>
      </c>
    </row>
    <row r="566" spans="2:4" x14ac:dyDescent="0.2">
      <c r="B566" s="2">
        <v>36980</v>
      </c>
      <c r="C566" s="61">
        <v>5829.95</v>
      </c>
      <c r="D566" s="3">
        <f t="shared" si="11"/>
        <v>-8.3938564114776071E-3</v>
      </c>
    </row>
    <row r="567" spans="2:4" x14ac:dyDescent="0.2">
      <c r="B567" s="2">
        <v>36983</v>
      </c>
      <c r="C567" s="61">
        <v>5760.76</v>
      </c>
      <c r="D567" s="3">
        <f t="shared" si="11"/>
        <v>-1.1868026312404023E-2</v>
      </c>
    </row>
    <row r="568" spans="2:4" x14ac:dyDescent="0.2">
      <c r="B568" s="2">
        <v>36984</v>
      </c>
      <c r="C568" s="61">
        <v>5553.46</v>
      </c>
      <c r="D568" s="3">
        <f t="shared" si="11"/>
        <v>-3.5984835334226806E-2</v>
      </c>
    </row>
    <row r="569" spans="2:4" x14ac:dyDescent="0.2">
      <c r="B569" s="2">
        <v>36985</v>
      </c>
      <c r="C569" s="61">
        <v>5597.66</v>
      </c>
      <c r="D569" s="3">
        <f t="shared" si="11"/>
        <v>7.9590021356055196E-3</v>
      </c>
    </row>
    <row r="570" spans="2:4" x14ac:dyDescent="0.2">
      <c r="B570" s="2">
        <v>36986</v>
      </c>
      <c r="C570" s="61">
        <v>5773.34</v>
      </c>
      <c r="D570" s="3">
        <f t="shared" si="11"/>
        <v>3.1384542826824013E-2</v>
      </c>
    </row>
    <row r="571" spans="2:4" x14ac:dyDescent="0.2">
      <c r="B571" s="2">
        <v>36987</v>
      </c>
      <c r="C571" s="61">
        <v>5698.88</v>
      </c>
      <c r="D571" s="3">
        <f t="shared" si="11"/>
        <v>-1.2897213744556879E-2</v>
      </c>
    </row>
    <row r="572" spans="2:4" x14ac:dyDescent="0.2">
      <c r="B572" s="2">
        <v>36990</v>
      </c>
      <c r="C572" s="61">
        <v>5781.01</v>
      </c>
      <c r="D572" s="3">
        <f t="shared" si="11"/>
        <v>1.4411603683530894E-2</v>
      </c>
    </row>
    <row r="573" spans="2:4" x14ac:dyDescent="0.2">
      <c r="B573" s="2">
        <v>36991</v>
      </c>
      <c r="C573" s="61">
        <v>5913.84</v>
      </c>
      <c r="D573" s="3">
        <f t="shared" si="11"/>
        <v>2.297695385408427E-2</v>
      </c>
    </row>
    <row r="574" spans="2:4" x14ac:dyDescent="0.2">
      <c r="B574" s="2">
        <v>36992</v>
      </c>
      <c r="C574" s="61">
        <v>5951.16</v>
      </c>
      <c r="D574" s="3">
        <f t="shared" si="11"/>
        <v>6.3106205105312174E-3</v>
      </c>
    </row>
    <row r="575" spans="2:4" x14ac:dyDescent="0.2">
      <c r="B575" s="2">
        <v>36993</v>
      </c>
      <c r="C575" s="61">
        <v>6002.3</v>
      </c>
      <c r="D575" s="3">
        <f t="shared" si="11"/>
        <v>8.5932826541381679E-3</v>
      </c>
    </row>
    <row r="576" spans="2:4" x14ac:dyDescent="0.2">
      <c r="B576" s="2">
        <v>36998</v>
      </c>
      <c r="C576" s="61">
        <v>5935.58</v>
      </c>
      <c r="D576" s="3">
        <f t="shared" si="11"/>
        <v>-1.111573896672946E-2</v>
      </c>
    </row>
    <row r="577" spans="2:4" x14ac:dyDescent="0.2">
      <c r="B577" s="2">
        <v>36999</v>
      </c>
      <c r="C577" s="61">
        <v>6164.88</v>
      </c>
      <c r="D577" s="3">
        <f t="shared" si="11"/>
        <v>3.8631439556033209E-2</v>
      </c>
    </row>
    <row r="578" spans="2:4" x14ac:dyDescent="0.2">
      <c r="B578" s="2">
        <v>37000</v>
      </c>
      <c r="C578" s="61">
        <v>6181.91</v>
      </c>
      <c r="D578" s="3">
        <f t="shared" si="11"/>
        <v>2.7624219773945136E-3</v>
      </c>
    </row>
    <row r="579" spans="2:4" x14ac:dyDescent="0.2">
      <c r="B579" s="2">
        <v>37001</v>
      </c>
      <c r="C579" s="61">
        <v>6127.97</v>
      </c>
      <c r="D579" s="3">
        <f t="shared" si="11"/>
        <v>-8.7254586365701492E-3</v>
      </c>
    </row>
    <row r="580" spans="2:4" x14ac:dyDescent="0.2">
      <c r="B580" s="2">
        <v>37004</v>
      </c>
      <c r="C580" s="61">
        <v>6051.48</v>
      </c>
      <c r="D580" s="3">
        <f t="shared" si="11"/>
        <v>-1.2482110715294037E-2</v>
      </c>
    </row>
    <row r="581" spans="2:4" x14ac:dyDescent="0.2">
      <c r="B581" s="2">
        <v>37005</v>
      </c>
      <c r="C581" s="61">
        <v>6124.57</v>
      </c>
      <c r="D581" s="3">
        <f t="shared" ref="D581:D644" si="12">C581/C580-1</f>
        <v>1.2078037108277595E-2</v>
      </c>
    </row>
    <row r="582" spans="2:4" x14ac:dyDescent="0.2">
      <c r="B582" s="2">
        <v>37006</v>
      </c>
      <c r="C582" s="61">
        <v>6115.19</v>
      </c>
      <c r="D582" s="3">
        <f t="shared" si="12"/>
        <v>-1.5315360915133525E-3</v>
      </c>
    </row>
    <row r="583" spans="2:4" x14ac:dyDescent="0.2">
      <c r="B583" s="2">
        <v>37007</v>
      </c>
      <c r="C583" s="61">
        <v>6123.66</v>
      </c>
      <c r="D583" s="3">
        <f t="shared" si="12"/>
        <v>1.3850755250450764E-3</v>
      </c>
    </row>
    <row r="584" spans="2:4" x14ac:dyDescent="0.2">
      <c r="B584" s="2">
        <v>37008</v>
      </c>
      <c r="C584" s="61">
        <v>6175.24</v>
      </c>
      <c r="D584" s="3">
        <f t="shared" si="12"/>
        <v>8.4230672506311333E-3</v>
      </c>
    </row>
    <row r="585" spans="2:4" x14ac:dyDescent="0.2">
      <c r="B585" s="2">
        <v>37011</v>
      </c>
      <c r="C585" s="61">
        <v>6264.51</v>
      </c>
      <c r="D585" s="3">
        <f t="shared" si="12"/>
        <v>1.4456118304713828E-2</v>
      </c>
    </row>
    <row r="586" spans="2:4" x14ac:dyDescent="0.2">
      <c r="B586" s="2">
        <v>37013</v>
      </c>
      <c r="C586" s="61">
        <v>6213.84</v>
      </c>
      <c r="D586" s="3">
        <f t="shared" si="12"/>
        <v>-8.0884219196712959E-3</v>
      </c>
    </row>
    <row r="587" spans="2:4" x14ac:dyDescent="0.2">
      <c r="B587" s="2">
        <v>37014</v>
      </c>
      <c r="C587" s="61">
        <v>6089.17</v>
      </c>
      <c r="D587" s="3">
        <f t="shared" si="12"/>
        <v>-2.0063278101785653E-2</v>
      </c>
    </row>
    <row r="588" spans="2:4" x14ac:dyDescent="0.2">
      <c r="B588" s="2">
        <v>37015</v>
      </c>
      <c r="C588" s="61">
        <v>6138.28</v>
      </c>
      <c r="D588" s="3">
        <f t="shared" si="12"/>
        <v>8.0651385985281987E-3</v>
      </c>
    </row>
    <row r="589" spans="2:4" x14ac:dyDescent="0.2">
      <c r="B589" s="2">
        <v>37018</v>
      </c>
      <c r="C589" s="61">
        <v>6122.62</v>
      </c>
      <c r="D589" s="3">
        <f t="shared" si="12"/>
        <v>-2.5512032686680897E-3</v>
      </c>
    </row>
    <row r="590" spans="2:4" x14ac:dyDescent="0.2">
      <c r="B590" s="2">
        <v>37019</v>
      </c>
      <c r="C590" s="61">
        <v>6108.72</v>
      </c>
      <c r="D590" s="3">
        <f t="shared" si="12"/>
        <v>-2.2702699171269769E-3</v>
      </c>
    </row>
    <row r="591" spans="2:4" x14ac:dyDescent="0.2">
      <c r="B591" s="2">
        <v>37020</v>
      </c>
      <c r="C591" s="61">
        <v>6063.94</v>
      </c>
      <c r="D591" s="3">
        <f t="shared" si="12"/>
        <v>-7.3305045901597143E-3</v>
      </c>
    </row>
    <row r="592" spans="2:4" x14ac:dyDescent="0.2">
      <c r="B592" s="2">
        <v>37021</v>
      </c>
      <c r="C592" s="61">
        <v>6165.18</v>
      </c>
      <c r="D592" s="3">
        <f t="shared" si="12"/>
        <v>1.6695415851740059E-2</v>
      </c>
    </row>
    <row r="593" spans="2:4" x14ac:dyDescent="0.2">
      <c r="B593" s="2">
        <v>37022</v>
      </c>
      <c r="C593" s="61">
        <v>6141.02</v>
      </c>
      <c r="D593" s="3">
        <f t="shared" si="12"/>
        <v>-3.9187825821792588E-3</v>
      </c>
    </row>
    <row r="594" spans="2:4" x14ac:dyDescent="0.2">
      <c r="B594" s="2">
        <v>37025</v>
      </c>
      <c r="C594" s="61">
        <v>6064.68</v>
      </c>
      <c r="D594" s="3">
        <f t="shared" si="12"/>
        <v>-1.2431159644489043E-2</v>
      </c>
    </row>
    <row r="595" spans="2:4" x14ac:dyDescent="0.2">
      <c r="B595" s="2">
        <v>37026</v>
      </c>
      <c r="C595" s="61">
        <v>6070.38</v>
      </c>
      <c r="D595" s="3">
        <f t="shared" si="12"/>
        <v>9.398682205821185E-4</v>
      </c>
    </row>
    <row r="596" spans="2:4" x14ac:dyDescent="0.2">
      <c r="B596" s="2">
        <v>37027</v>
      </c>
      <c r="C596" s="61">
        <v>6148.44</v>
      </c>
      <c r="D596" s="3">
        <f t="shared" si="12"/>
        <v>1.2859162029395188E-2</v>
      </c>
    </row>
    <row r="597" spans="2:4" x14ac:dyDescent="0.2">
      <c r="B597" s="2">
        <v>37028</v>
      </c>
      <c r="C597" s="61">
        <v>6173.81</v>
      </c>
      <c r="D597" s="3">
        <f t="shared" si="12"/>
        <v>4.1262499105465533E-3</v>
      </c>
    </row>
    <row r="598" spans="2:4" x14ac:dyDescent="0.2">
      <c r="B598" s="2">
        <v>37029</v>
      </c>
      <c r="C598" s="61">
        <v>6186.87</v>
      </c>
      <c r="D598" s="3">
        <f t="shared" si="12"/>
        <v>2.1153874187900268E-3</v>
      </c>
    </row>
    <row r="599" spans="2:4" x14ac:dyDescent="0.2">
      <c r="B599" s="2">
        <v>37032</v>
      </c>
      <c r="C599" s="61">
        <v>6249.87</v>
      </c>
      <c r="D599" s="3">
        <f t="shared" si="12"/>
        <v>1.01828549815981E-2</v>
      </c>
    </row>
    <row r="600" spans="2:4" x14ac:dyDescent="0.2">
      <c r="B600" s="2">
        <v>37033</v>
      </c>
      <c r="C600" s="61">
        <v>6270.59</v>
      </c>
      <c r="D600" s="3">
        <f t="shared" si="12"/>
        <v>3.315268957594375E-3</v>
      </c>
    </row>
    <row r="601" spans="2:4" x14ac:dyDescent="0.2">
      <c r="B601" s="2">
        <v>37034</v>
      </c>
      <c r="C601" s="61">
        <v>6215.25</v>
      </c>
      <c r="D601" s="3">
        <f t="shared" si="12"/>
        <v>-8.8253258465311735E-3</v>
      </c>
    </row>
    <row r="602" spans="2:4" x14ac:dyDescent="0.2">
      <c r="B602" s="2">
        <v>37035</v>
      </c>
      <c r="C602" s="61">
        <v>6278.9</v>
      </c>
      <c r="D602" s="3">
        <f t="shared" si="12"/>
        <v>1.0240939624311052E-2</v>
      </c>
    </row>
    <row r="603" spans="2:4" x14ac:dyDescent="0.2">
      <c r="B603" s="2">
        <v>37036</v>
      </c>
      <c r="C603" s="61">
        <v>6223.57</v>
      </c>
      <c r="D603" s="3">
        <f t="shared" si="12"/>
        <v>-8.8120530666199182E-3</v>
      </c>
    </row>
    <row r="604" spans="2:4" x14ac:dyDescent="0.2">
      <c r="B604" s="2">
        <v>37039</v>
      </c>
      <c r="C604" s="61">
        <v>6216.83</v>
      </c>
      <c r="D604" s="3">
        <f t="shared" si="12"/>
        <v>-1.0829797045747158E-3</v>
      </c>
    </row>
    <row r="605" spans="2:4" x14ac:dyDescent="0.2">
      <c r="B605" s="2">
        <v>37040</v>
      </c>
      <c r="C605" s="61">
        <v>6120.33</v>
      </c>
      <c r="D605" s="3">
        <f t="shared" si="12"/>
        <v>-1.552238037713749E-2</v>
      </c>
    </row>
    <row r="606" spans="2:4" x14ac:dyDescent="0.2">
      <c r="B606" s="2">
        <v>37041</v>
      </c>
      <c r="C606" s="61">
        <v>6041.22</v>
      </c>
      <c r="D606" s="3">
        <f t="shared" si="12"/>
        <v>-1.2925773610246494E-2</v>
      </c>
    </row>
    <row r="607" spans="2:4" x14ac:dyDescent="0.2">
      <c r="B607" s="2">
        <v>37042</v>
      </c>
      <c r="C607" s="61">
        <v>6123.26</v>
      </c>
      <c r="D607" s="3">
        <f t="shared" si="12"/>
        <v>1.3580038469050981E-2</v>
      </c>
    </row>
    <row r="608" spans="2:4" x14ac:dyDescent="0.2">
      <c r="B608" s="2">
        <v>37043</v>
      </c>
      <c r="C608" s="61">
        <v>6125.17</v>
      </c>
      <c r="D608" s="3">
        <f t="shared" si="12"/>
        <v>3.1192534695567709E-4</v>
      </c>
    </row>
    <row r="609" spans="2:4" x14ac:dyDescent="0.2">
      <c r="B609" s="2">
        <v>37046</v>
      </c>
      <c r="C609" s="61">
        <v>6177.74</v>
      </c>
      <c r="D609" s="3">
        <f t="shared" si="12"/>
        <v>8.5826189313928936E-3</v>
      </c>
    </row>
    <row r="610" spans="2:4" x14ac:dyDescent="0.2">
      <c r="B610" s="2">
        <v>37047</v>
      </c>
      <c r="C610" s="61">
        <v>6242.13</v>
      </c>
      <c r="D610" s="3">
        <f t="shared" si="12"/>
        <v>1.0422905463810528E-2</v>
      </c>
    </row>
    <row r="611" spans="2:4" x14ac:dyDescent="0.2">
      <c r="B611" s="2">
        <v>37048</v>
      </c>
      <c r="C611" s="61">
        <v>6192.44</v>
      </c>
      <c r="D611" s="3">
        <f t="shared" si="12"/>
        <v>-7.9604237656056842E-3</v>
      </c>
    </row>
    <row r="612" spans="2:4" x14ac:dyDescent="0.2">
      <c r="B612" s="2">
        <v>37049</v>
      </c>
      <c r="C612" s="61">
        <v>6184.25</v>
      </c>
      <c r="D612" s="3">
        <f t="shared" si="12"/>
        <v>-1.3225804367905658E-3</v>
      </c>
    </row>
    <row r="613" spans="2:4" x14ac:dyDescent="0.2">
      <c r="B613" s="2">
        <v>37050</v>
      </c>
      <c r="C613" s="61">
        <v>6187.21</v>
      </c>
      <c r="D613" s="3">
        <f t="shared" si="12"/>
        <v>4.7863524275371105E-4</v>
      </c>
    </row>
    <row r="614" spans="2:4" x14ac:dyDescent="0.2">
      <c r="B614" s="2">
        <v>37053</v>
      </c>
      <c r="C614" s="61">
        <v>6162.74</v>
      </c>
      <c r="D614" s="3">
        <f t="shared" si="12"/>
        <v>-3.9549328372562309E-3</v>
      </c>
    </row>
    <row r="615" spans="2:4" x14ac:dyDescent="0.2">
      <c r="B615" s="2">
        <v>37054</v>
      </c>
      <c r="C615" s="61">
        <v>6059.15</v>
      </c>
      <c r="D615" s="3">
        <f t="shared" si="12"/>
        <v>-1.6809081674709625E-2</v>
      </c>
    </row>
    <row r="616" spans="2:4" x14ac:dyDescent="0.2">
      <c r="B616" s="2">
        <v>37055</v>
      </c>
      <c r="C616" s="61">
        <v>6111.94</v>
      </c>
      <c r="D616" s="3">
        <f t="shared" si="12"/>
        <v>8.7124431644702849E-3</v>
      </c>
    </row>
    <row r="617" spans="2:4" x14ac:dyDescent="0.2">
      <c r="B617" s="2">
        <v>37056</v>
      </c>
      <c r="C617" s="61">
        <v>6031.27</v>
      </c>
      <c r="D617" s="3">
        <f t="shared" si="12"/>
        <v>-1.3198755223382319E-2</v>
      </c>
    </row>
    <row r="618" spans="2:4" x14ac:dyDescent="0.2">
      <c r="B618" s="2">
        <v>37057</v>
      </c>
      <c r="C618" s="61">
        <v>5915.18</v>
      </c>
      <c r="D618" s="3">
        <f t="shared" si="12"/>
        <v>-1.924801907392637E-2</v>
      </c>
    </row>
    <row r="619" spans="2:4" x14ac:dyDescent="0.2">
      <c r="B619" s="2">
        <v>37060</v>
      </c>
      <c r="C619" s="61">
        <v>5869.04</v>
      </c>
      <c r="D619" s="3">
        <f t="shared" si="12"/>
        <v>-7.8002698142745075E-3</v>
      </c>
    </row>
    <row r="620" spans="2:4" x14ac:dyDescent="0.2">
      <c r="B620" s="2">
        <v>37061</v>
      </c>
      <c r="C620" s="61">
        <v>5922.53</v>
      </c>
      <c r="D620" s="3">
        <f t="shared" si="12"/>
        <v>9.1139266387687545E-3</v>
      </c>
    </row>
    <row r="621" spans="2:4" x14ac:dyDescent="0.2">
      <c r="B621" s="2">
        <v>37062</v>
      </c>
      <c r="C621" s="61">
        <v>5876.04</v>
      </c>
      <c r="D621" s="3">
        <f t="shared" si="12"/>
        <v>-7.849685860603417E-3</v>
      </c>
    </row>
    <row r="622" spans="2:4" x14ac:dyDescent="0.2">
      <c r="B622" s="2">
        <v>37063</v>
      </c>
      <c r="C622" s="61">
        <v>5926.38</v>
      </c>
      <c r="D622" s="3">
        <f t="shared" si="12"/>
        <v>8.5669940980661607E-3</v>
      </c>
    </row>
    <row r="623" spans="2:4" x14ac:dyDescent="0.2">
      <c r="B623" s="2">
        <v>37064</v>
      </c>
      <c r="C623" s="61">
        <v>5941.77</v>
      </c>
      <c r="D623" s="3">
        <f t="shared" si="12"/>
        <v>2.5968635153332809E-3</v>
      </c>
    </row>
    <row r="624" spans="2:4" x14ac:dyDescent="0.2">
      <c r="B624" s="2">
        <v>37067</v>
      </c>
      <c r="C624" s="61">
        <v>5902.32</v>
      </c>
      <c r="D624" s="3">
        <f t="shared" si="12"/>
        <v>-6.6394357236986279E-3</v>
      </c>
    </row>
    <row r="625" spans="2:4" x14ac:dyDescent="0.2">
      <c r="B625" s="2">
        <v>37068</v>
      </c>
      <c r="C625" s="61">
        <v>5847.79</v>
      </c>
      <c r="D625" s="3">
        <f t="shared" si="12"/>
        <v>-9.2387400208731041E-3</v>
      </c>
    </row>
    <row r="626" spans="2:4" x14ac:dyDescent="0.2">
      <c r="B626" s="2">
        <v>37069</v>
      </c>
      <c r="C626" s="61">
        <v>5833.1</v>
      </c>
      <c r="D626" s="3">
        <f t="shared" si="12"/>
        <v>-2.5120601115976582E-3</v>
      </c>
    </row>
    <row r="627" spans="2:4" x14ac:dyDescent="0.2">
      <c r="B627" s="2">
        <v>37070</v>
      </c>
      <c r="C627" s="61">
        <v>5971.77</v>
      </c>
      <c r="D627" s="3">
        <f t="shared" si="12"/>
        <v>2.3772950918036662E-2</v>
      </c>
    </row>
    <row r="628" spans="2:4" x14ac:dyDescent="0.2">
      <c r="B628" s="2">
        <v>37071</v>
      </c>
      <c r="C628" s="61">
        <v>6058.38</v>
      </c>
      <c r="D628" s="3">
        <f t="shared" si="12"/>
        <v>1.4503237733536123E-2</v>
      </c>
    </row>
    <row r="629" spans="2:4" x14ac:dyDescent="0.2">
      <c r="B629" s="2">
        <v>37074</v>
      </c>
      <c r="C629" s="61">
        <v>6109.5</v>
      </c>
      <c r="D629" s="3">
        <f t="shared" si="12"/>
        <v>8.4378992403910669E-3</v>
      </c>
    </row>
    <row r="630" spans="2:4" x14ac:dyDescent="0.2">
      <c r="B630" s="2">
        <v>37075</v>
      </c>
      <c r="C630" s="61">
        <v>6056.84</v>
      </c>
      <c r="D630" s="3">
        <f t="shared" si="12"/>
        <v>-8.619363286684667E-3</v>
      </c>
    </row>
    <row r="631" spans="2:4" x14ac:dyDescent="0.2">
      <c r="B631" s="2">
        <v>37076</v>
      </c>
      <c r="C631" s="61">
        <v>6015.72</v>
      </c>
      <c r="D631" s="3">
        <f t="shared" si="12"/>
        <v>-6.7890186962178412E-3</v>
      </c>
    </row>
    <row r="632" spans="2:4" x14ac:dyDescent="0.2">
      <c r="B632" s="2">
        <v>37077</v>
      </c>
      <c r="C632" s="61">
        <v>5999.19</v>
      </c>
      <c r="D632" s="3">
        <f t="shared" si="12"/>
        <v>-2.7478007620036493E-3</v>
      </c>
    </row>
    <row r="633" spans="2:4" x14ac:dyDescent="0.2">
      <c r="B633" s="2">
        <v>37078</v>
      </c>
      <c r="C633" s="61">
        <v>5862.1</v>
      </c>
      <c r="D633" s="3">
        <f t="shared" si="12"/>
        <v>-2.2851418274800306E-2</v>
      </c>
    </row>
    <row r="634" spans="2:4" x14ac:dyDescent="0.2">
      <c r="B634" s="2">
        <v>37081</v>
      </c>
      <c r="C634" s="61">
        <v>5869.86</v>
      </c>
      <c r="D634" s="3">
        <f t="shared" si="12"/>
        <v>1.3237576977531695E-3</v>
      </c>
    </row>
    <row r="635" spans="2:4" x14ac:dyDescent="0.2">
      <c r="B635" s="2">
        <v>37082</v>
      </c>
      <c r="C635" s="61">
        <v>5816.32</v>
      </c>
      <c r="D635" s="3">
        <f t="shared" si="12"/>
        <v>-9.1211715441253949E-3</v>
      </c>
    </row>
    <row r="636" spans="2:4" x14ac:dyDescent="0.2">
      <c r="B636" s="2">
        <v>37083</v>
      </c>
      <c r="C636" s="61">
        <v>5801.8</v>
      </c>
      <c r="D636" s="3">
        <f t="shared" si="12"/>
        <v>-2.4964238556337559E-3</v>
      </c>
    </row>
    <row r="637" spans="2:4" x14ac:dyDescent="0.2">
      <c r="B637" s="2">
        <v>37084</v>
      </c>
      <c r="C637" s="61">
        <v>5889.88</v>
      </c>
      <c r="D637" s="3">
        <f t="shared" si="12"/>
        <v>1.5181495397979861E-2</v>
      </c>
    </row>
    <row r="638" spans="2:4" x14ac:dyDescent="0.2">
      <c r="B638" s="2">
        <v>37085</v>
      </c>
      <c r="C638" s="61">
        <v>5928.01</v>
      </c>
      <c r="D638" s="3">
        <f t="shared" si="12"/>
        <v>6.4738161049122667E-3</v>
      </c>
    </row>
    <row r="639" spans="2:4" x14ac:dyDescent="0.2">
      <c r="B639" s="2">
        <v>37088</v>
      </c>
      <c r="C639" s="61">
        <v>5853.76</v>
      </c>
      <c r="D639" s="3">
        <f t="shared" si="12"/>
        <v>-1.2525282514705638E-2</v>
      </c>
    </row>
    <row r="640" spans="2:4" x14ac:dyDescent="0.2">
      <c r="B640" s="2">
        <v>37089</v>
      </c>
      <c r="C640" s="61">
        <v>5846.66</v>
      </c>
      <c r="D640" s="3">
        <f t="shared" si="12"/>
        <v>-1.2128956431421978E-3</v>
      </c>
    </row>
    <row r="641" spans="2:4" x14ac:dyDescent="0.2">
      <c r="B641" s="2">
        <v>37090</v>
      </c>
      <c r="C641" s="61">
        <v>5728.37</v>
      </c>
      <c r="D641" s="3">
        <f t="shared" si="12"/>
        <v>-2.0232064118659188E-2</v>
      </c>
    </row>
    <row r="642" spans="2:4" x14ac:dyDescent="0.2">
      <c r="B642" s="2">
        <v>37091</v>
      </c>
      <c r="C642" s="61">
        <v>5829.69</v>
      </c>
      <c r="D642" s="3">
        <f t="shared" si="12"/>
        <v>1.7687404968603548E-2</v>
      </c>
    </row>
    <row r="643" spans="2:4" x14ac:dyDescent="0.2">
      <c r="B643" s="2">
        <v>37092</v>
      </c>
      <c r="C643" s="61">
        <v>5764.06</v>
      </c>
      <c r="D643" s="3">
        <f t="shared" si="12"/>
        <v>-1.125788849835907E-2</v>
      </c>
    </row>
    <row r="644" spans="2:4" x14ac:dyDescent="0.2">
      <c r="B644" s="2">
        <v>37095</v>
      </c>
      <c r="C644" s="61">
        <v>5791.73</v>
      </c>
      <c r="D644" s="3">
        <f t="shared" si="12"/>
        <v>4.8004358039297479E-3</v>
      </c>
    </row>
    <row r="645" spans="2:4" x14ac:dyDescent="0.2">
      <c r="B645" s="2">
        <v>37096</v>
      </c>
      <c r="C645" s="61">
        <v>5663.26</v>
      </c>
      <c r="D645" s="3">
        <f t="shared" ref="D645:D708" si="13">C645/C644-1</f>
        <v>-2.2181627941910143E-2</v>
      </c>
    </row>
    <row r="646" spans="2:4" x14ac:dyDescent="0.2">
      <c r="B646" s="2">
        <v>37097</v>
      </c>
      <c r="C646" s="61">
        <v>5582.76</v>
      </c>
      <c r="D646" s="3">
        <f t="shared" si="13"/>
        <v>-1.4214427732436752E-2</v>
      </c>
    </row>
    <row r="647" spans="2:4" x14ac:dyDescent="0.2">
      <c r="B647" s="2">
        <v>37098</v>
      </c>
      <c r="C647" s="61">
        <v>5675.76</v>
      </c>
      <c r="D647" s="3">
        <f t="shared" si="13"/>
        <v>1.6658427014594857E-2</v>
      </c>
    </row>
    <row r="648" spans="2:4" x14ac:dyDescent="0.2">
      <c r="B648" s="2">
        <v>37099</v>
      </c>
      <c r="C648" s="61">
        <v>5754.86</v>
      </c>
      <c r="D648" s="3">
        <f t="shared" si="13"/>
        <v>1.3936459610695229E-2</v>
      </c>
    </row>
    <row r="649" spans="2:4" x14ac:dyDescent="0.2">
      <c r="B649" s="2">
        <v>37102</v>
      </c>
      <c r="C649" s="61">
        <v>5792.19</v>
      </c>
      <c r="D649" s="3">
        <f t="shared" si="13"/>
        <v>6.4866912487879791E-3</v>
      </c>
    </row>
    <row r="650" spans="2:4" x14ac:dyDescent="0.2">
      <c r="B650" s="2">
        <v>37103</v>
      </c>
      <c r="C650" s="61">
        <v>5861.19</v>
      </c>
      <c r="D650" s="3">
        <f t="shared" si="13"/>
        <v>1.1912592646304843E-2</v>
      </c>
    </row>
    <row r="651" spans="2:4" x14ac:dyDescent="0.2">
      <c r="B651" s="2">
        <v>37104</v>
      </c>
      <c r="C651" s="61">
        <v>5835.23</v>
      </c>
      <c r="D651" s="3">
        <f t="shared" si="13"/>
        <v>-4.4291346979026258E-3</v>
      </c>
    </row>
    <row r="652" spans="2:4" x14ac:dyDescent="0.2">
      <c r="B652" s="2">
        <v>37105</v>
      </c>
      <c r="C652" s="61">
        <v>5777.28</v>
      </c>
      <c r="D652" s="3">
        <f t="shared" si="13"/>
        <v>-9.9310567021351215E-3</v>
      </c>
    </row>
    <row r="653" spans="2:4" x14ac:dyDescent="0.2">
      <c r="B653" s="2">
        <v>37106</v>
      </c>
      <c r="C653" s="61">
        <v>5735.88</v>
      </c>
      <c r="D653" s="3">
        <f t="shared" si="13"/>
        <v>-7.1660019940178454E-3</v>
      </c>
    </row>
    <row r="654" spans="2:4" x14ac:dyDescent="0.2">
      <c r="B654" s="2">
        <v>37109</v>
      </c>
      <c r="C654" s="61">
        <v>5746.04</v>
      </c>
      <c r="D654" s="3">
        <f t="shared" si="13"/>
        <v>1.7713062337425534E-3</v>
      </c>
    </row>
    <row r="655" spans="2:4" x14ac:dyDescent="0.2">
      <c r="B655" s="2">
        <v>37110</v>
      </c>
      <c r="C655" s="61">
        <v>5752.51</v>
      </c>
      <c r="D655" s="3">
        <f t="shared" si="13"/>
        <v>1.1259928576898837E-3</v>
      </c>
    </row>
    <row r="656" spans="2:4" x14ac:dyDescent="0.2">
      <c r="B656" s="2">
        <v>37111</v>
      </c>
      <c r="C656" s="61">
        <v>5614.51</v>
      </c>
      <c r="D656" s="3">
        <f t="shared" si="13"/>
        <v>-2.3989528049494946E-2</v>
      </c>
    </row>
    <row r="657" spans="2:4" x14ac:dyDescent="0.2">
      <c r="B657" s="2">
        <v>37112</v>
      </c>
      <c r="C657" s="61">
        <v>5512.28</v>
      </c>
      <c r="D657" s="3">
        <f t="shared" si="13"/>
        <v>-1.8208178451904145E-2</v>
      </c>
    </row>
    <row r="658" spans="2:4" x14ac:dyDescent="0.2">
      <c r="B658" s="2">
        <v>37113</v>
      </c>
      <c r="C658" s="61">
        <v>5433.49</v>
      </c>
      <c r="D658" s="3">
        <f t="shared" si="13"/>
        <v>-1.4293540966714313E-2</v>
      </c>
    </row>
    <row r="659" spans="2:4" x14ac:dyDescent="0.2">
      <c r="B659" s="2">
        <v>37116</v>
      </c>
      <c r="C659" s="61">
        <v>5453.77</v>
      </c>
      <c r="D659" s="3">
        <f t="shared" si="13"/>
        <v>3.7324077158511493E-3</v>
      </c>
    </row>
    <row r="660" spans="2:4" x14ac:dyDescent="0.2">
      <c r="B660" s="2">
        <v>37117</v>
      </c>
      <c r="C660" s="61">
        <v>5520.71</v>
      </c>
      <c r="D660" s="3">
        <f t="shared" si="13"/>
        <v>1.2274078298131208E-2</v>
      </c>
    </row>
    <row r="661" spans="2:4" x14ac:dyDescent="0.2">
      <c r="B661" s="2">
        <v>37118</v>
      </c>
      <c r="C661" s="61">
        <v>5455.44</v>
      </c>
      <c r="D661" s="3">
        <f t="shared" si="13"/>
        <v>-1.1822754681915959E-2</v>
      </c>
    </row>
    <row r="662" spans="2:4" x14ac:dyDescent="0.2">
      <c r="B662" s="2">
        <v>37119</v>
      </c>
      <c r="C662" s="61">
        <v>5361.92</v>
      </c>
      <c r="D662" s="3">
        <f t="shared" si="13"/>
        <v>-1.7142521959731871E-2</v>
      </c>
    </row>
    <row r="663" spans="2:4" x14ac:dyDescent="0.2">
      <c r="B663" s="2">
        <v>37120</v>
      </c>
      <c r="C663" s="61">
        <v>5222.12</v>
      </c>
      <c r="D663" s="3">
        <f t="shared" si="13"/>
        <v>-2.6072750059680128E-2</v>
      </c>
    </row>
    <row r="664" spans="2:4" x14ac:dyDescent="0.2">
      <c r="B664" s="2">
        <v>37123</v>
      </c>
      <c r="C664" s="61">
        <v>5207.83</v>
      </c>
      <c r="D664" s="3">
        <f t="shared" si="13"/>
        <v>-2.7364365430131432E-3</v>
      </c>
    </row>
    <row r="665" spans="2:4" x14ac:dyDescent="0.2">
      <c r="B665" s="2">
        <v>37124</v>
      </c>
      <c r="C665" s="61">
        <v>5216.1099999999997</v>
      </c>
      <c r="D665" s="3">
        <f t="shared" si="13"/>
        <v>1.5899136492549815E-3</v>
      </c>
    </row>
    <row r="666" spans="2:4" x14ac:dyDescent="0.2">
      <c r="B666" s="2">
        <v>37125</v>
      </c>
      <c r="C666" s="61">
        <v>5220.21</v>
      </c>
      <c r="D666" s="3">
        <f t="shared" si="13"/>
        <v>7.8602636830904515E-4</v>
      </c>
    </row>
    <row r="667" spans="2:4" x14ac:dyDescent="0.2">
      <c r="B667" s="2">
        <v>37126</v>
      </c>
      <c r="C667" s="61">
        <v>5254.04</v>
      </c>
      <c r="D667" s="3">
        <f t="shared" si="13"/>
        <v>6.480582198800322E-3</v>
      </c>
    </row>
    <row r="668" spans="2:4" x14ac:dyDescent="0.2">
      <c r="B668" s="2">
        <v>37127</v>
      </c>
      <c r="C668" s="61">
        <v>5387.5</v>
      </c>
      <c r="D668" s="3">
        <f t="shared" si="13"/>
        <v>2.5401405394705812E-2</v>
      </c>
    </row>
    <row r="669" spans="2:4" x14ac:dyDescent="0.2">
      <c r="B669" s="2">
        <v>37130</v>
      </c>
      <c r="C669" s="61">
        <v>5406.47</v>
      </c>
      <c r="D669" s="3">
        <f t="shared" si="13"/>
        <v>3.5211136890951344E-3</v>
      </c>
    </row>
    <row r="670" spans="2:4" x14ac:dyDescent="0.2">
      <c r="B670" s="2">
        <v>37131</v>
      </c>
      <c r="C670" s="61">
        <v>5308.78</v>
      </c>
      <c r="D670" s="3">
        <f t="shared" si="13"/>
        <v>-1.806909129247003E-2</v>
      </c>
    </row>
    <row r="671" spans="2:4" x14ac:dyDescent="0.2">
      <c r="B671" s="2">
        <v>37132</v>
      </c>
      <c r="C671" s="61">
        <v>5305</v>
      </c>
      <c r="D671" s="3">
        <f t="shared" si="13"/>
        <v>-7.120279988999112E-4</v>
      </c>
    </row>
    <row r="672" spans="2:4" x14ac:dyDescent="0.2">
      <c r="B672" s="2">
        <v>37133</v>
      </c>
      <c r="C672" s="61">
        <v>5162.3999999999996</v>
      </c>
      <c r="D672" s="3">
        <f t="shared" si="13"/>
        <v>-2.6880301602262069E-2</v>
      </c>
    </row>
    <row r="673" spans="2:4" x14ac:dyDescent="0.2">
      <c r="B673" s="2">
        <v>37134</v>
      </c>
      <c r="C673" s="61">
        <v>5188.17</v>
      </c>
      <c r="D673" s="3">
        <f t="shared" si="13"/>
        <v>4.9918642491864063E-3</v>
      </c>
    </row>
    <row r="674" spans="2:4" x14ac:dyDescent="0.2">
      <c r="B674" s="2">
        <v>37137</v>
      </c>
      <c r="C674" s="61">
        <v>5094.1000000000004</v>
      </c>
      <c r="D674" s="3">
        <f t="shared" si="13"/>
        <v>-1.8131634082923176E-2</v>
      </c>
    </row>
    <row r="675" spans="2:4" x14ac:dyDescent="0.2">
      <c r="B675" s="2">
        <v>37138</v>
      </c>
      <c r="C675" s="61">
        <v>5208.1000000000004</v>
      </c>
      <c r="D675" s="3">
        <f t="shared" si="13"/>
        <v>2.2378830411652784E-2</v>
      </c>
    </row>
    <row r="676" spans="2:4" x14ac:dyDescent="0.2">
      <c r="B676" s="2">
        <v>37139</v>
      </c>
      <c r="C676" s="61">
        <v>5048.08</v>
      </c>
      <c r="D676" s="3">
        <f t="shared" si="13"/>
        <v>-3.0725216489698837E-2</v>
      </c>
    </row>
    <row r="677" spans="2:4" x14ac:dyDescent="0.2">
      <c r="B677" s="2">
        <v>37140</v>
      </c>
      <c r="C677" s="61">
        <v>4875.37</v>
      </c>
      <c r="D677" s="3">
        <f t="shared" si="13"/>
        <v>-3.4213007717785793E-2</v>
      </c>
    </row>
    <row r="678" spans="2:4" x14ac:dyDescent="0.2">
      <c r="B678" s="2">
        <v>37141</v>
      </c>
      <c r="C678" s="61">
        <v>4730.67</v>
      </c>
      <c r="D678" s="3">
        <f t="shared" si="13"/>
        <v>-2.9679798661434886E-2</v>
      </c>
    </row>
    <row r="679" spans="2:4" x14ac:dyDescent="0.2">
      <c r="B679" s="2">
        <v>37144</v>
      </c>
      <c r="C679" s="61">
        <v>4670.13</v>
      </c>
      <c r="D679" s="3">
        <f t="shared" si="13"/>
        <v>-1.2797341602775125E-2</v>
      </c>
    </row>
    <row r="680" spans="2:4" x14ac:dyDescent="0.2">
      <c r="B680" s="2">
        <v>37145</v>
      </c>
      <c r="C680" s="61">
        <v>4273.53</v>
      </c>
      <c r="D680" s="3">
        <f t="shared" si="13"/>
        <v>-8.4922689518278971E-2</v>
      </c>
    </row>
    <row r="681" spans="2:4" x14ac:dyDescent="0.2">
      <c r="B681" s="2">
        <v>37146</v>
      </c>
      <c r="C681" s="61">
        <v>4369.57</v>
      </c>
      <c r="D681" s="3">
        <f t="shared" si="13"/>
        <v>2.2473224711187179E-2</v>
      </c>
    </row>
    <row r="682" spans="2:4" x14ac:dyDescent="0.2">
      <c r="B682" s="2">
        <v>37147</v>
      </c>
      <c r="C682" s="61">
        <v>4392.3999999999996</v>
      </c>
      <c r="D682" s="3">
        <f t="shared" si="13"/>
        <v>5.2247704007488682E-3</v>
      </c>
    </row>
    <row r="683" spans="2:4" x14ac:dyDescent="0.2">
      <c r="B683" s="2">
        <v>37148</v>
      </c>
      <c r="C683" s="61">
        <v>4115.9799999999996</v>
      </c>
      <c r="D683" s="3">
        <f t="shared" si="13"/>
        <v>-6.293142701029053E-2</v>
      </c>
    </row>
    <row r="684" spans="2:4" x14ac:dyDescent="0.2">
      <c r="B684" s="2">
        <v>37151</v>
      </c>
      <c r="C684" s="61">
        <v>4243.68</v>
      </c>
      <c r="D684" s="3">
        <f t="shared" si="13"/>
        <v>3.1025418004946737E-2</v>
      </c>
    </row>
    <row r="685" spans="2:4" x14ac:dyDescent="0.2">
      <c r="B685" s="2">
        <v>37152</v>
      </c>
      <c r="C685" s="61">
        <v>4194.8500000000004</v>
      </c>
      <c r="D685" s="3">
        <f t="shared" si="13"/>
        <v>-1.1506522640726935E-2</v>
      </c>
    </row>
    <row r="686" spans="2:4" x14ac:dyDescent="0.2">
      <c r="B686" s="2">
        <v>37153</v>
      </c>
      <c r="C686" s="61">
        <v>4041.8</v>
      </c>
      <c r="D686" s="3">
        <f t="shared" si="13"/>
        <v>-3.6485214012419998E-2</v>
      </c>
    </row>
    <row r="687" spans="2:4" x14ac:dyDescent="0.2">
      <c r="B687" s="2">
        <v>37154</v>
      </c>
      <c r="C687" s="61">
        <v>3809.67</v>
      </c>
      <c r="D687" s="3">
        <f t="shared" si="13"/>
        <v>-5.7432332129249364E-2</v>
      </c>
    </row>
    <row r="688" spans="2:4" x14ac:dyDescent="0.2">
      <c r="B688" s="2">
        <v>37155</v>
      </c>
      <c r="C688" s="61">
        <v>3787.23</v>
      </c>
      <c r="D688" s="3">
        <f t="shared" si="13"/>
        <v>-5.8902739607368249E-3</v>
      </c>
    </row>
    <row r="689" spans="2:4" x14ac:dyDescent="0.2">
      <c r="B689" s="2">
        <v>37158</v>
      </c>
      <c r="C689" s="61">
        <v>4038.69</v>
      </c>
      <c r="D689" s="3">
        <f t="shared" si="13"/>
        <v>6.639681244603568E-2</v>
      </c>
    </row>
    <row r="690" spans="2:4" x14ac:dyDescent="0.2">
      <c r="B690" s="2">
        <v>37159</v>
      </c>
      <c r="C690" s="61">
        <v>4009.12</v>
      </c>
      <c r="D690" s="3">
        <f t="shared" si="13"/>
        <v>-7.3216810401393051E-3</v>
      </c>
    </row>
    <row r="691" spans="2:4" x14ac:dyDescent="0.2">
      <c r="B691" s="2">
        <v>37160</v>
      </c>
      <c r="C691" s="61">
        <v>4095.32</v>
      </c>
      <c r="D691" s="3">
        <f t="shared" si="13"/>
        <v>2.1500977770682939E-2</v>
      </c>
    </row>
    <row r="692" spans="2:4" x14ac:dyDescent="0.2">
      <c r="B692" s="2">
        <v>37161</v>
      </c>
      <c r="C692" s="61">
        <v>4184.5</v>
      </c>
      <c r="D692" s="3">
        <f t="shared" si="13"/>
        <v>2.1776076106384767E-2</v>
      </c>
    </row>
    <row r="693" spans="2:4" x14ac:dyDescent="0.2">
      <c r="B693" s="2">
        <v>37162</v>
      </c>
      <c r="C693" s="61">
        <v>4308.1499999999996</v>
      </c>
      <c r="D693" s="3">
        <f t="shared" si="13"/>
        <v>2.9549528020073934E-2</v>
      </c>
    </row>
    <row r="694" spans="2:4" x14ac:dyDescent="0.2">
      <c r="B694" s="2">
        <v>37165</v>
      </c>
      <c r="C694" s="61">
        <v>4239.97</v>
      </c>
      <c r="D694" s="3">
        <f t="shared" si="13"/>
        <v>-1.5825818506783551E-2</v>
      </c>
    </row>
    <row r="695" spans="2:4" x14ac:dyDescent="0.2">
      <c r="B695" s="2">
        <v>37166</v>
      </c>
      <c r="C695" s="61">
        <v>4304.2</v>
      </c>
      <c r="D695" s="3">
        <f t="shared" si="13"/>
        <v>1.5148692089802518E-2</v>
      </c>
    </row>
    <row r="696" spans="2:4" x14ac:dyDescent="0.2">
      <c r="B696" s="2">
        <v>37167</v>
      </c>
      <c r="C696" s="61">
        <v>4436.66</v>
      </c>
      <c r="D696" s="3">
        <f t="shared" si="13"/>
        <v>3.0774592258724143E-2</v>
      </c>
    </row>
    <row r="697" spans="2:4" x14ac:dyDescent="0.2">
      <c r="B697" s="2">
        <v>37168</v>
      </c>
      <c r="C697" s="61">
        <v>4548.13</v>
      </c>
      <c r="D697" s="3">
        <f t="shared" si="13"/>
        <v>2.5124756010151739E-2</v>
      </c>
    </row>
    <row r="698" spans="2:4" x14ac:dyDescent="0.2">
      <c r="B698" s="2">
        <v>37169</v>
      </c>
      <c r="C698" s="61">
        <v>4487.6899999999996</v>
      </c>
      <c r="D698" s="3">
        <f t="shared" si="13"/>
        <v>-1.3288978107486082E-2</v>
      </c>
    </row>
    <row r="699" spans="2:4" x14ac:dyDescent="0.2">
      <c r="B699" s="2">
        <v>37172</v>
      </c>
      <c r="C699" s="61">
        <v>4495.1499999999996</v>
      </c>
      <c r="D699" s="3">
        <f t="shared" si="13"/>
        <v>1.6623251606060485E-3</v>
      </c>
    </row>
    <row r="700" spans="2:4" x14ac:dyDescent="0.2">
      <c r="B700" s="2">
        <v>37173</v>
      </c>
      <c r="C700" s="61">
        <v>4472.42</v>
      </c>
      <c r="D700" s="3">
        <f t="shared" si="13"/>
        <v>-5.0565609601458394E-3</v>
      </c>
    </row>
    <row r="701" spans="2:4" x14ac:dyDescent="0.2">
      <c r="B701" s="2">
        <v>37174</v>
      </c>
      <c r="C701" s="61">
        <v>4613.1899999999996</v>
      </c>
      <c r="D701" s="3">
        <f t="shared" si="13"/>
        <v>3.1475129795502044E-2</v>
      </c>
    </row>
    <row r="702" spans="2:4" x14ac:dyDescent="0.2">
      <c r="B702" s="2">
        <v>37175</v>
      </c>
      <c r="C702" s="61">
        <v>4718.46</v>
      </c>
      <c r="D702" s="3">
        <f t="shared" si="13"/>
        <v>2.2819350601210875E-2</v>
      </c>
    </row>
    <row r="703" spans="2:4" x14ac:dyDescent="0.2">
      <c r="B703" s="2">
        <v>37176</v>
      </c>
      <c r="C703" s="61">
        <v>4625.13</v>
      </c>
      <c r="D703" s="3">
        <f t="shared" si="13"/>
        <v>-1.977975865006798E-2</v>
      </c>
    </row>
    <row r="704" spans="2:4" x14ac:dyDescent="0.2">
      <c r="B704" s="2">
        <v>37179</v>
      </c>
      <c r="C704" s="61">
        <v>4548.4799999999996</v>
      </c>
      <c r="D704" s="3">
        <f t="shared" si="13"/>
        <v>-1.657250715115044E-2</v>
      </c>
    </row>
    <row r="705" spans="2:4" x14ac:dyDescent="0.2">
      <c r="B705" s="2">
        <v>37180</v>
      </c>
      <c r="C705" s="61">
        <v>4626.4799999999996</v>
      </c>
      <c r="D705" s="3">
        <f t="shared" si="13"/>
        <v>1.7148585901224145E-2</v>
      </c>
    </row>
    <row r="706" spans="2:4" x14ac:dyDescent="0.2">
      <c r="B706" s="2">
        <v>37181</v>
      </c>
      <c r="C706" s="61">
        <v>4644.82</v>
      </c>
      <c r="D706" s="3">
        <f t="shared" si="13"/>
        <v>3.9641368816032418E-3</v>
      </c>
    </row>
    <row r="707" spans="2:4" x14ac:dyDescent="0.2">
      <c r="B707" s="2">
        <v>37182</v>
      </c>
      <c r="C707" s="61">
        <v>4574.37</v>
      </c>
      <c r="D707" s="3">
        <f t="shared" si="13"/>
        <v>-1.5167433829513244E-2</v>
      </c>
    </row>
    <row r="708" spans="2:4" x14ac:dyDescent="0.2">
      <c r="B708" s="2">
        <v>37183</v>
      </c>
      <c r="C708" s="61">
        <v>4513.53</v>
      </c>
      <c r="D708" s="3">
        <f t="shared" si="13"/>
        <v>-1.3300192157608581E-2</v>
      </c>
    </row>
    <row r="709" spans="2:4" x14ac:dyDescent="0.2">
      <c r="B709" s="2">
        <v>37186</v>
      </c>
      <c r="C709" s="61">
        <v>4619.32</v>
      </c>
      <c r="D709" s="3">
        <f t="shared" ref="D709:D772" si="14">C709/C708-1</f>
        <v>2.3438417380631016E-2</v>
      </c>
    </row>
    <row r="710" spans="2:4" x14ac:dyDescent="0.2">
      <c r="B710" s="2">
        <v>37187</v>
      </c>
      <c r="C710" s="61">
        <v>4704.22</v>
      </c>
      <c r="D710" s="3">
        <f t="shared" si="14"/>
        <v>1.8379328559182007E-2</v>
      </c>
    </row>
    <row r="711" spans="2:4" x14ac:dyDescent="0.2">
      <c r="B711" s="2">
        <v>37188</v>
      </c>
      <c r="C711" s="61">
        <v>4811.82</v>
      </c>
      <c r="D711" s="3">
        <f t="shared" si="14"/>
        <v>2.2873079915479932E-2</v>
      </c>
    </row>
    <row r="712" spans="2:4" x14ac:dyDescent="0.2">
      <c r="B712" s="2">
        <v>37189</v>
      </c>
      <c r="C712" s="61">
        <v>4715.6000000000004</v>
      </c>
      <c r="D712" s="3">
        <f t="shared" si="14"/>
        <v>-1.999659172620738E-2</v>
      </c>
    </row>
    <row r="713" spans="2:4" x14ac:dyDescent="0.2">
      <c r="B713" s="2">
        <v>37190</v>
      </c>
      <c r="C713" s="61">
        <v>4820.26</v>
      </c>
      <c r="D713" s="3">
        <f t="shared" si="14"/>
        <v>2.219441852574433E-2</v>
      </c>
    </row>
    <row r="714" spans="2:4" x14ac:dyDescent="0.2">
      <c r="B714" s="2">
        <v>37193</v>
      </c>
      <c r="C714" s="61">
        <v>4660.3500000000004</v>
      </c>
      <c r="D714" s="3">
        <f t="shared" si="14"/>
        <v>-3.317455904868194E-2</v>
      </c>
    </row>
    <row r="715" spans="2:4" x14ac:dyDescent="0.2">
      <c r="B715" s="2">
        <v>37194</v>
      </c>
      <c r="C715" s="61">
        <v>4543.9799999999996</v>
      </c>
      <c r="D715" s="3">
        <f t="shared" si="14"/>
        <v>-2.4970227558016145E-2</v>
      </c>
    </row>
    <row r="716" spans="2:4" x14ac:dyDescent="0.2">
      <c r="B716" s="2">
        <v>37195</v>
      </c>
      <c r="C716" s="61">
        <v>4559.13</v>
      </c>
      <c r="D716" s="3">
        <f t="shared" si="14"/>
        <v>3.3340815760634079E-3</v>
      </c>
    </row>
    <row r="717" spans="2:4" x14ac:dyDescent="0.2">
      <c r="B717" s="2">
        <v>37196</v>
      </c>
      <c r="C717" s="61">
        <v>4636.13</v>
      </c>
      <c r="D717" s="3">
        <f t="shared" si="14"/>
        <v>1.6889187191415855E-2</v>
      </c>
    </row>
    <row r="718" spans="2:4" x14ac:dyDescent="0.2">
      <c r="B718" s="2">
        <v>37197</v>
      </c>
      <c r="C718" s="61">
        <v>4583.3100000000004</v>
      </c>
      <c r="D718" s="3">
        <f t="shared" si="14"/>
        <v>-1.139312314365637E-2</v>
      </c>
    </row>
    <row r="719" spans="2:4" x14ac:dyDescent="0.2">
      <c r="B719" s="2">
        <v>37200</v>
      </c>
      <c r="C719" s="61">
        <v>4755.1099999999997</v>
      </c>
      <c r="D719" s="3">
        <f t="shared" si="14"/>
        <v>3.7483827190392782E-2</v>
      </c>
    </row>
    <row r="720" spans="2:4" x14ac:dyDescent="0.2">
      <c r="B720" s="2">
        <v>37201</v>
      </c>
      <c r="C720" s="61">
        <v>4707.6499999999996</v>
      </c>
      <c r="D720" s="3">
        <f t="shared" si="14"/>
        <v>-9.9808416629688645E-3</v>
      </c>
    </row>
    <row r="721" spans="2:4" x14ac:dyDescent="0.2">
      <c r="B721" s="2">
        <v>37202</v>
      </c>
      <c r="C721" s="61">
        <v>4860.66</v>
      </c>
      <c r="D721" s="3">
        <f t="shared" si="14"/>
        <v>3.2502416279884816E-2</v>
      </c>
    </row>
    <row r="722" spans="2:4" x14ac:dyDescent="0.2">
      <c r="B722" s="2">
        <v>37203</v>
      </c>
      <c r="C722" s="61">
        <v>4993.57</v>
      </c>
      <c r="D722" s="3">
        <f t="shared" si="14"/>
        <v>2.7344023239642246E-2</v>
      </c>
    </row>
    <row r="723" spans="2:4" x14ac:dyDescent="0.2">
      <c r="B723" s="2">
        <v>37204</v>
      </c>
      <c r="C723" s="61">
        <v>4910.07</v>
      </c>
      <c r="D723" s="3">
        <f t="shared" si="14"/>
        <v>-1.672150385395621E-2</v>
      </c>
    </row>
    <row r="724" spans="2:4" x14ac:dyDescent="0.2">
      <c r="B724" s="2">
        <v>37207</v>
      </c>
      <c r="C724" s="61">
        <v>4820.37</v>
      </c>
      <c r="D724" s="3">
        <f t="shared" si="14"/>
        <v>-1.8268578655701417E-2</v>
      </c>
    </row>
    <row r="725" spans="2:4" x14ac:dyDescent="0.2">
      <c r="B725" s="2">
        <v>37208</v>
      </c>
      <c r="C725" s="61">
        <v>4946.97</v>
      </c>
      <c r="D725" s="3">
        <f t="shared" si="14"/>
        <v>2.6263544084790258E-2</v>
      </c>
    </row>
    <row r="726" spans="2:4" x14ac:dyDescent="0.2">
      <c r="B726" s="2">
        <v>37209</v>
      </c>
      <c r="C726" s="61">
        <v>4953.53</v>
      </c>
      <c r="D726" s="3">
        <f t="shared" si="14"/>
        <v>1.3260642373007503E-3</v>
      </c>
    </row>
    <row r="727" spans="2:4" x14ac:dyDescent="0.2">
      <c r="B727" s="2">
        <v>37210</v>
      </c>
      <c r="C727" s="61">
        <v>5006.33</v>
      </c>
      <c r="D727" s="3">
        <f t="shared" si="14"/>
        <v>1.0659065353394448E-2</v>
      </c>
    </row>
    <row r="728" spans="2:4" x14ac:dyDescent="0.2">
      <c r="B728" s="2">
        <v>37211</v>
      </c>
      <c r="C728" s="61">
        <v>5062.6400000000003</v>
      </c>
      <c r="D728" s="3">
        <f t="shared" si="14"/>
        <v>1.1247760335415524E-2</v>
      </c>
    </row>
    <row r="729" spans="2:4" x14ac:dyDescent="0.2">
      <c r="B729" s="2">
        <v>37214</v>
      </c>
      <c r="C729" s="61">
        <v>5185.1000000000004</v>
      </c>
      <c r="D729" s="3">
        <f t="shared" si="14"/>
        <v>2.4188960700346041E-2</v>
      </c>
    </row>
    <row r="730" spans="2:4" x14ac:dyDescent="0.2">
      <c r="B730" s="2">
        <v>37215</v>
      </c>
      <c r="C730" s="61">
        <v>5096.18</v>
      </c>
      <c r="D730" s="3">
        <f t="shared" si="14"/>
        <v>-1.7149138878710168E-2</v>
      </c>
    </row>
    <row r="731" spans="2:4" x14ac:dyDescent="0.2">
      <c r="B731" s="2">
        <v>37216</v>
      </c>
      <c r="C731" s="61">
        <v>5087.03</v>
      </c>
      <c r="D731" s="3">
        <f t="shared" si="14"/>
        <v>-1.7954624836643562E-3</v>
      </c>
    </row>
    <row r="732" spans="2:4" x14ac:dyDescent="0.2">
      <c r="B732" s="2">
        <v>37217</v>
      </c>
      <c r="C732" s="61">
        <v>5124.54</v>
      </c>
      <c r="D732" s="3">
        <f t="shared" si="14"/>
        <v>7.3736541754225726E-3</v>
      </c>
    </row>
    <row r="733" spans="2:4" x14ac:dyDescent="0.2">
      <c r="B733" s="2">
        <v>37218</v>
      </c>
      <c r="C733" s="61">
        <v>5150.97</v>
      </c>
      <c r="D733" s="3">
        <f t="shared" si="14"/>
        <v>5.1575360910443013E-3</v>
      </c>
    </row>
    <row r="734" spans="2:4" x14ac:dyDescent="0.2">
      <c r="B734" s="2">
        <v>37221</v>
      </c>
      <c r="C734" s="61">
        <v>5114.12</v>
      </c>
      <c r="D734" s="3">
        <f t="shared" si="14"/>
        <v>-7.1539923548380457E-3</v>
      </c>
    </row>
    <row r="735" spans="2:4" x14ac:dyDescent="0.2">
      <c r="B735" s="2">
        <v>37222</v>
      </c>
      <c r="C735" s="61">
        <v>5059.57</v>
      </c>
      <c r="D735" s="3">
        <f t="shared" si="14"/>
        <v>-1.0666546737268634E-2</v>
      </c>
    </row>
    <row r="736" spans="2:4" x14ac:dyDescent="0.2">
      <c r="B736" s="2">
        <v>37223</v>
      </c>
      <c r="C736" s="61">
        <v>4915.95</v>
      </c>
      <c r="D736" s="3">
        <f t="shared" si="14"/>
        <v>-2.8385811442474318E-2</v>
      </c>
    </row>
    <row r="737" spans="2:4" x14ac:dyDescent="0.2">
      <c r="B737" s="2">
        <v>37224</v>
      </c>
      <c r="C737" s="61">
        <v>4936.08</v>
      </c>
      <c r="D737" s="3">
        <f t="shared" si="14"/>
        <v>4.0948341622677464E-3</v>
      </c>
    </row>
    <row r="738" spans="2:4" x14ac:dyDescent="0.2">
      <c r="B738" s="2">
        <v>37225</v>
      </c>
      <c r="C738" s="61">
        <v>4989.91</v>
      </c>
      <c r="D738" s="3">
        <f t="shared" si="14"/>
        <v>1.090541482309848E-2</v>
      </c>
    </row>
    <row r="739" spans="2:4" x14ac:dyDescent="0.2">
      <c r="B739" s="2">
        <v>37228</v>
      </c>
      <c r="C739" s="61">
        <v>4988.4399999999996</v>
      </c>
      <c r="D739" s="3">
        <f t="shared" si="14"/>
        <v>-2.9459449168423024E-4</v>
      </c>
    </row>
    <row r="740" spans="2:4" x14ac:dyDescent="0.2">
      <c r="B740" s="2">
        <v>37229</v>
      </c>
      <c r="C740" s="61">
        <v>5013.99</v>
      </c>
      <c r="D740" s="3">
        <f t="shared" si="14"/>
        <v>5.1218416980058912E-3</v>
      </c>
    </row>
    <row r="741" spans="2:4" x14ac:dyDescent="0.2">
      <c r="B741" s="2">
        <v>37230</v>
      </c>
      <c r="C741" s="61">
        <v>5262.75</v>
      </c>
      <c r="D741" s="3">
        <f t="shared" si="14"/>
        <v>4.96131823158803E-2</v>
      </c>
    </row>
    <row r="742" spans="2:4" x14ac:dyDescent="0.2">
      <c r="B742" s="2">
        <v>37231</v>
      </c>
      <c r="C742" s="61">
        <v>5271.29</v>
      </c>
      <c r="D742" s="3">
        <f t="shared" si="14"/>
        <v>1.6227257612464463E-3</v>
      </c>
    </row>
    <row r="743" spans="2:4" x14ac:dyDescent="0.2">
      <c r="B743" s="2">
        <v>37232</v>
      </c>
      <c r="C743" s="61">
        <v>5199.03</v>
      </c>
      <c r="D743" s="3">
        <f t="shared" si="14"/>
        <v>-1.3708219430158541E-2</v>
      </c>
    </row>
    <row r="744" spans="2:4" x14ac:dyDescent="0.2">
      <c r="B744" s="2">
        <v>37235</v>
      </c>
      <c r="C744" s="61">
        <v>5124.68</v>
      </c>
      <c r="D744" s="3">
        <f t="shared" si="14"/>
        <v>-1.4300744561966283E-2</v>
      </c>
    </row>
    <row r="745" spans="2:4" x14ac:dyDescent="0.2">
      <c r="B745" s="2">
        <v>37236</v>
      </c>
      <c r="C745" s="61">
        <v>5146.45</v>
      </c>
      <c r="D745" s="3">
        <f t="shared" si="14"/>
        <v>4.2480701234026697E-3</v>
      </c>
    </row>
    <row r="746" spans="2:4" x14ac:dyDescent="0.2">
      <c r="B746" s="2">
        <v>37237</v>
      </c>
      <c r="C746" s="61">
        <v>5062.5600000000004</v>
      </c>
      <c r="D746" s="3">
        <f t="shared" si="14"/>
        <v>-1.6300556694420321E-2</v>
      </c>
    </row>
    <row r="747" spans="2:4" x14ac:dyDescent="0.2">
      <c r="B747" s="2">
        <v>37238</v>
      </c>
      <c r="C747" s="61">
        <v>4966.05</v>
      </c>
      <c r="D747" s="3">
        <f t="shared" si="14"/>
        <v>-1.9063477766189441E-2</v>
      </c>
    </row>
    <row r="748" spans="2:4" x14ac:dyDescent="0.2">
      <c r="B748" s="2">
        <v>37239</v>
      </c>
      <c r="C748" s="61">
        <v>4909.42</v>
      </c>
      <c r="D748" s="3">
        <f t="shared" si="14"/>
        <v>-1.1403429284844058E-2</v>
      </c>
    </row>
    <row r="749" spans="2:4" x14ac:dyDescent="0.2">
      <c r="B749" s="2">
        <v>37242</v>
      </c>
      <c r="C749" s="61">
        <v>5067.99</v>
      </c>
      <c r="D749" s="3">
        <f t="shared" si="14"/>
        <v>3.2299131058251218E-2</v>
      </c>
    </row>
    <row r="750" spans="2:4" x14ac:dyDescent="0.2">
      <c r="B750" s="2">
        <v>37243</v>
      </c>
      <c r="C750" s="61">
        <v>5039.6400000000003</v>
      </c>
      <c r="D750" s="3">
        <f t="shared" si="14"/>
        <v>-5.5939336896875247E-3</v>
      </c>
    </row>
    <row r="751" spans="2:4" x14ac:dyDescent="0.2">
      <c r="B751" s="2">
        <v>37244</v>
      </c>
      <c r="C751" s="61">
        <v>4984.6899999999996</v>
      </c>
      <c r="D751" s="3">
        <f t="shared" si="14"/>
        <v>-1.0903556603249598E-2</v>
      </c>
    </row>
    <row r="752" spans="2:4" x14ac:dyDescent="0.2">
      <c r="B752" s="2">
        <v>37245</v>
      </c>
      <c r="C752" s="61">
        <v>4934.1400000000003</v>
      </c>
      <c r="D752" s="3">
        <f t="shared" si="14"/>
        <v>-1.0141051900920517E-2</v>
      </c>
    </row>
    <row r="753" spans="2:4" x14ac:dyDescent="0.2">
      <c r="B753" s="2">
        <v>37246</v>
      </c>
      <c r="C753" s="61">
        <v>5019.01</v>
      </c>
      <c r="D753" s="3">
        <f t="shared" si="14"/>
        <v>1.7200565853421335E-2</v>
      </c>
    </row>
    <row r="754" spans="2:4" x14ac:dyDescent="0.2">
      <c r="B754" s="2">
        <v>37252</v>
      </c>
      <c r="C754" s="61">
        <v>5117.13</v>
      </c>
      <c r="D754" s="3">
        <f t="shared" si="14"/>
        <v>1.9549672146498942E-2</v>
      </c>
    </row>
    <row r="755" spans="2:4" x14ac:dyDescent="0.2">
      <c r="B755" s="2">
        <v>37253</v>
      </c>
      <c r="C755" s="61">
        <v>5160.1000000000004</v>
      </c>
      <c r="D755" s="3">
        <f t="shared" si="14"/>
        <v>8.3972851969758011E-3</v>
      </c>
    </row>
    <row r="756" spans="2:4" x14ac:dyDescent="0.2">
      <c r="B756" s="2">
        <v>37258</v>
      </c>
      <c r="C756" s="61">
        <v>5167.88</v>
      </c>
      <c r="D756" s="3">
        <f t="shared" si="14"/>
        <v>1.5077227185518183E-3</v>
      </c>
    </row>
    <row r="757" spans="2:4" x14ac:dyDescent="0.2">
      <c r="B757" s="2">
        <v>37259</v>
      </c>
      <c r="C757" s="61">
        <v>5270.29</v>
      </c>
      <c r="D757" s="3">
        <f t="shared" si="14"/>
        <v>1.9816636609209182E-2</v>
      </c>
    </row>
    <row r="758" spans="2:4" x14ac:dyDescent="0.2">
      <c r="B758" s="2">
        <v>37260</v>
      </c>
      <c r="C758" s="61">
        <v>5318.73</v>
      </c>
      <c r="D758" s="3">
        <f t="shared" si="14"/>
        <v>9.1911450793029648E-3</v>
      </c>
    </row>
    <row r="759" spans="2:4" x14ac:dyDescent="0.2">
      <c r="B759" s="2">
        <v>37263</v>
      </c>
      <c r="C759" s="61">
        <v>5232.22</v>
      </c>
      <c r="D759" s="3">
        <f t="shared" si="14"/>
        <v>-1.6265161044083709E-2</v>
      </c>
    </row>
    <row r="760" spans="2:4" x14ac:dyDescent="0.2">
      <c r="B760" s="2">
        <v>37264</v>
      </c>
      <c r="C760" s="61">
        <v>5236.37</v>
      </c>
      <c r="D760" s="3">
        <f t="shared" si="14"/>
        <v>7.9316236702586806E-4</v>
      </c>
    </row>
    <row r="761" spans="2:4" x14ac:dyDescent="0.2">
      <c r="B761" s="2">
        <v>37265</v>
      </c>
      <c r="C761" s="61">
        <v>5288.21</v>
      </c>
      <c r="D761" s="3">
        <f t="shared" si="14"/>
        <v>9.8999879687646786E-3</v>
      </c>
    </row>
    <row r="762" spans="2:4" x14ac:dyDescent="0.2">
      <c r="B762" s="2">
        <v>37266</v>
      </c>
      <c r="C762" s="61">
        <v>5228.1099999999997</v>
      </c>
      <c r="D762" s="3">
        <f t="shared" si="14"/>
        <v>-1.1364904192533998E-2</v>
      </c>
    </row>
    <row r="763" spans="2:4" x14ac:dyDescent="0.2">
      <c r="B763" s="2">
        <v>37267</v>
      </c>
      <c r="C763" s="61">
        <v>5209.97</v>
      </c>
      <c r="D763" s="3">
        <f t="shared" si="14"/>
        <v>-3.4697051133200096E-3</v>
      </c>
    </row>
    <row r="764" spans="2:4" x14ac:dyDescent="0.2">
      <c r="B764" s="2">
        <v>37270</v>
      </c>
      <c r="C764" s="61">
        <v>5065.84</v>
      </c>
      <c r="D764" s="3">
        <f t="shared" si="14"/>
        <v>-2.7664266780806801E-2</v>
      </c>
    </row>
    <row r="765" spans="2:4" x14ac:dyDescent="0.2">
      <c r="B765" s="2">
        <v>37271</v>
      </c>
      <c r="C765" s="61">
        <v>5062.04</v>
      </c>
      <c r="D765" s="3">
        <f t="shared" si="14"/>
        <v>-7.5012238838967349E-4</v>
      </c>
    </row>
    <row r="766" spans="2:4" x14ac:dyDescent="0.2">
      <c r="B766" s="2">
        <v>37272</v>
      </c>
      <c r="C766" s="61">
        <v>4984.2</v>
      </c>
      <c r="D766" s="3">
        <f t="shared" si="14"/>
        <v>-1.537719970604734E-2</v>
      </c>
    </row>
    <row r="767" spans="2:4" x14ac:dyDescent="0.2">
      <c r="B767" s="2">
        <v>37273</v>
      </c>
      <c r="C767" s="61">
        <v>5133.3999999999996</v>
      </c>
      <c r="D767" s="3">
        <f t="shared" si="14"/>
        <v>2.9934593314874913E-2</v>
      </c>
    </row>
    <row r="768" spans="2:4" x14ac:dyDescent="0.2">
      <c r="B768" s="2">
        <v>37274</v>
      </c>
      <c r="C768" s="61">
        <v>5122.2299999999996</v>
      </c>
      <c r="D768" s="3">
        <f t="shared" si="14"/>
        <v>-2.1759457669381366E-3</v>
      </c>
    </row>
    <row r="769" spans="2:4" x14ac:dyDescent="0.2">
      <c r="B769" s="2">
        <v>37277</v>
      </c>
      <c r="C769" s="61">
        <v>5069.74</v>
      </c>
      <c r="D769" s="3">
        <f t="shared" si="14"/>
        <v>-1.0247489862813652E-2</v>
      </c>
    </row>
    <row r="770" spans="2:4" x14ac:dyDescent="0.2">
      <c r="B770" s="2">
        <v>37278</v>
      </c>
      <c r="C770" s="61">
        <v>5045.72</v>
      </c>
      <c r="D770" s="3">
        <f t="shared" si="14"/>
        <v>-4.7379155538547213E-3</v>
      </c>
    </row>
    <row r="771" spans="2:4" x14ac:dyDescent="0.2">
      <c r="B771" s="2">
        <v>37279</v>
      </c>
      <c r="C771" s="61">
        <v>5163.03</v>
      </c>
      <c r="D771" s="3">
        <f t="shared" si="14"/>
        <v>2.3249407418564516E-2</v>
      </c>
    </row>
    <row r="772" spans="2:4" x14ac:dyDescent="0.2">
      <c r="B772" s="2">
        <v>37280</v>
      </c>
      <c r="C772" s="61">
        <v>5170.4399999999996</v>
      </c>
      <c r="D772" s="3">
        <f t="shared" si="14"/>
        <v>1.4352037466371925E-3</v>
      </c>
    </row>
    <row r="773" spans="2:4" x14ac:dyDescent="0.2">
      <c r="B773" s="2">
        <v>37281</v>
      </c>
      <c r="C773" s="61">
        <v>5156.63</v>
      </c>
      <c r="D773" s="3">
        <f t="shared" ref="D773:D836" si="15">C773/C772-1</f>
        <v>-2.67095256883354E-3</v>
      </c>
    </row>
    <row r="774" spans="2:4" x14ac:dyDescent="0.2">
      <c r="B774" s="2">
        <v>37284</v>
      </c>
      <c r="C774" s="61">
        <v>5159.0200000000004</v>
      </c>
      <c r="D774" s="3">
        <f t="shared" si="15"/>
        <v>4.6348099437043544E-4</v>
      </c>
    </row>
    <row r="775" spans="2:4" x14ac:dyDescent="0.2">
      <c r="B775" s="2">
        <v>37285</v>
      </c>
      <c r="C775" s="61">
        <v>5084.5200000000004</v>
      </c>
      <c r="D775" s="3">
        <f t="shared" si="15"/>
        <v>-1.444072711483968E-2</v>
      </c>
    </row>
    <row r="776" spans="2:4" x14ac:dyDescent="0.2">
      <c r="B776" s="2">
        <v>37286</v>
      </c>
      <c r="C776" s="61">
        <v>5052.2</v>
      </c>
      <c r="D776" s="3">
        <f t="shared" si="15"/>
        <v>-6.3565488974378637E-3</v>
      </c>
    </row>
    <row r="777" spans="2:4" x14ac:dyDescent="0.2">
      <c r="B777" s="2">
        <v>37287</v>
      </c>
      <c r="C777" s="61">
        <v>5107.6099999999997</v>
      </c>
      <c r="D777" s="3">
        <f t="shared" si="15"/>
        <v>1.0967499307232398E-2</v>
      </c>
    </row>
    <row r="778" spans="2:4" x14ac:dyDescent="0.2">
      <c r="B778" s="2">
        <v>37288</v>
      </c>
      <c r="C778" s="61">
        <v>5097.0600000000004</v>
      </c>
      <c r="D778" s="3">
        <f t="shared" si="15"/>
        <v>-2.0655453333358054E-3</v>
      </c>
    </row>
    <row r="779" spans="2:4" x14ac:dyDescent="0.2">
      <c r="B779" s="2">
        <v>37291</v>
      </c>
      <c r="C779" s="61">
        <v>4984.4799999999996</v>
      </c>
      <c r="D779" s="3">
        <f t="shared" si="15"/>
        <v>-2.2087242449569167E-2</v>
      </c>
    </row>
    <row r="780" spans="2:4" x14ac:dyDescent="0.2">
      <c r="B780" s="2">
        <v>37292</v>
      </c>
      <c r="C780" s="61">
        <v>4936.75</v>
      </c>
      <c r="D780" s="3">
        <f t="shared" si="15"/>
        <v>-9.5757230443295205E-3</v>
      </c>
    </row>
    <row r="781" spans="2:4" x14ac:dyDescent="0.2">
      <c r="B781" s="2">
        <v>37293</v>
      </c>
      <c r="C781" s="61">
        <v>4804.41</v>
      </c>
      <c r="D781" s="3">
        <f t="shared" si="15"/>
        <v>-2.6807109940750529E-2</v>
      </c>
    </row>
    <row r="782" spans="2:4" x14ac:dyDescent="0.2">
      <c r="B782" s="2">
        <v>37294</v>
      </c>
      <c r="C782" s="61">
        <v>4862.62</v>
      </c>
      <c r="D782" s="3">
        <f t="shared" si="15"/>
        <v>1.21159518026146E-2</v>
      </c>
    </row>
    <row r="783" spans="2:4" x14ac:dyDescent="0.2">
      <c r="B783" s="2">
        <v>37295</v>
      </c>
      <c r="C783" s="61">
        <v>4835.95</v>
      </c>
      <c r="D783" s="3">
        <f t="shared" si="15"/>
        <v>-5.4846975498805683E-3</v>
      </c>
    </row>
    <row r="784" spans="2:4" x14ac:dyDescent="0.2">
      <c r="B784" s="2">
        <v>37298</v>
      </c>
      <c r="C784" s="61">
        <v>4940</v>
      </c>
      <c r="D784" s="3">
        <f t="shared" si="15"/>
        <v>2.151593792326234E-2</v>
      </c>
    </row>
    <row r="785" spans="2:4" x14ac:dyDescent="0.2">
      <c r="B785" s="2">
        <v>37299</v>
      </c>
      <c r="C785" s="61">
        <v>4884.78</v>
      </c>
      <c r="D785" s="3">
        <f t="shared" si="15"/>
        <v>-1.1178137651821962E-2</v>
      </c>
    </row>
    <row r="786" spans="2:4" x14ac:dyDescent="0.2">
      <c r="B786" s="2">
        <v>37300</v>
      </c>
      <c r="C786" s="61">
        <v>4935.3500000000004</v>
      </c>
      <c r="D786" s="3">
        <f t="shared" si="15"/>
        <v>1.0352564496251659E-2</v>
      </c>
    </row>
    <row r="787" spans="2:4" x14ac:dyDescent="0.2">
      <c r="B787" s="2">
        <v>37301</v>
      </c>
      <c r="C787" s="61">
        <v>4973.7700000000004</v>
      </c>
      <c r="D787" s="3">
        <f t="shared" si="15"/>
        <v>7.7846555968674735E-3</v>
      </c>
    </row>
    <row r="788" spans="2:4" x14ac:dyDescent="0.2">
      <c r="B788" s="2">
        <v>37302</v>
      </c>
      <c r="C788" s="61">
        <v>4862.6000000000004</v>
      </c>
      <c r="D788" s="3">
        <f t="shared" si="15"/>
        <v>-2.2351254682062116E-2</v>
      </c>
    </row>
    <row r="789" spans="2:4" x14ac:dyDescent="0.2">
      <c r="B789" s="2">
        <v>37305</v>
      </c>
      <c r="C789" s="61">
        <v>4871.76</v>
      </c>
      <c r="D789" s="3">
        <f t="shared" si="15"/>
        <v>1.8837658865626938E-3</v>
      </c>
    </row>
    <row r="790" spans="2:4" x14ac:dyDescent="0.2">
      <c r="B790" s="2">
        <v>37306</v>
      </c>
      <c r="C790" s="61">
        <v>4764.05</v>
      </c>
      <c r="D790" s="3">
        <f t="shared" si="15"/>
        <v>-2.2109052991116207E-2</v>
      </c>
    </row>
    <row r="791" spans="2:4" x14ac:dyDescent="0.2">
      <c r="B791" s="2">
        <v>37307</v>
      </c>
      <c r="C791" s="61">
        <v>4780.24</v>
      </c>
      <c r="D791" s="3">
        <f t="shared" si="15"/>
        <v>3.3983690347496598E-3</v>
      </c>
    </row>
    <row r="792" spans="2:4" x14ac:dyDescent="0.2">
      <c r="B792" s="2">
        <v>37308</v>
      </c>
      <c r="C792" s="61">
        <v>4850.7299999999996</v>
      </c>
      <c r="D792" s="3">
        <f t="shared" si="15"/>
        <v>1.474612153364685E-2</v>
      </c>
    </row>
    <row r="793" spans="2:4" x14ac:dyDescent="0.2">
      <c r="B793" s="2">
        <v>37309</v>
      </c>
      <c r="C793" s="61">
        <v>4745.58</v>
      </c>
      <c r="D793" s="3">
        <f t="shared" si="15"/>
        <v>-2.1677149624901748E-2</v>
      </c>
    </row>
    <row r="794" spans="2:4" x14ac:dyDescent="0.2">
      <c r="B794" s="2">
        <v>37312</v>
      </c>
      <c r="C794" s="61">
        <v>4863.54</v>
      </c>
      <c r="D794" s="3">
        <f t="shared" si="15"/>
        <v>2.4856814130201244E-2</v>
      </c>
    </row>
    <row r="795" spans="2:4" x14ac:dyDescent="0.2">
      <c r="B795" s="2">
        <v>37313</v>
      </c>
      <c r="C795" s="61">
        <v>4897.75</v>
      </c>
      <c r="D795" s="3">
        <f t="shared" si="15"/>
        <v>7.0339711403628602E-3</v>
      </c>
    </row>
    <row r="796" spans="2:4" x14ac:dyDescent="0.2">
      <c r="B796" s="2">
        <v>37314</v>
      </c>
      <c r="C796" s="61">
        <v>4960.22</v>
      </c>
      <c r="D796" s="3">
        <f t="shared" si="15"/>
        <v>1.2754836404471392E-2</v>
      </c>
    </row>
    <row r="797" spans="2:4" x14ac:dyDescent="0.2">
      <c r="B797" s="2">
        <v>37315</v>
      </c>
      <c r="C797" s="61">
        <v>5039.08</v>
      </c>
      <c r="D797" s="3">
        <f t="shared" si="15"/>
        <v>1.5898488373499386E-2</v>
      </c>
    </row>
    <row r="798" spans="2:4" x14ac:dyDescent="0.2">
      <c r="B798" s="2">
        <v>37316</v>
      </c>
      <c r="C798" s="61">
        <v>5097.41</v>
      </c>
      <c r="D798" s="3">
        <f t="shared" si="15"/>
        <v>1.1575525691197575E-2</v>
      </c>
    </row>
    <row r="799" spans="2:4" x14ac:dyDescent="0.2">
      <c r="B799" s="2">
        <v>37319</v>
      </c>
      <c r="C799" s="61">
        <v>5245.84</v>
      </c>
      <c r="D799" s="3">
        <f t="shared" si="15"/>
        <v>2.9118709305314017E-2</v>
      </c>
    </row>
    <row r="800" spans="2:4" x14ac:dyDescent="0.2">
      <c r="B800" s="2">
        <v>37320</v>
      </c>
      <c r="C800" s="61">
        <v>5228.67</v>
      </c>
      <c r="D800" s="3">
        <f t="shared" si="15"/>
        <v>-3.2730697085691096E-3</v>
      </c>
    </row>
    <row r="801" spans="2:4" x14ac:dyDescent="0.2">
      <c r="B801" s="2">
        <v>37321</v>
      </c>
      <c r="C801" s="61">
        <v>5285.26</v>
      </c>
      <c r="D801" s="3">
        <f t="shared" si="15"/>
        <v>1.0823020003174921E-2</v>
      </c>
    </row>
    <row r="802" spans="2:4" x14ac:dyDescent="0.2">
      <c r="B802" s="2">
        <v>37322</v>
      </c>
      <c r="C802" s="61">
        <v>5289.43</v>
      </c>
      <c r="D802" s="3">
        <f t="shared" si="15"/>
        <v>7.889867291297481E-4</v>
      </c>
    </row>
    <row r="803" spans="2:4" x14ac:dyDescent="0.2">
      <c r="B803" s="2">
        <v>37323</v>
      </c>
      <c r="C803" s="61">
        <v>5359.55</v>
      </c>
      <c r="D803" s="3">
        <f t="shared" si="15"/>
        <v>1.3256626895525647E-2</v>
      </c>
    </row>
    <row r="804" spans="2:4" x14ac:dyDescent="0.2">
      <c r="B804" s="2">
        <v>37326</v>
      </c>
      <c r="C804" s="61">
        <v>5340.67</v>
      </c>
      <c r="D804" s="3">
        <f t="shared" si="15"/>
        <v>-3.522683807409277E-3</v>
      </c>
    </row>
    <row r="805" spans="2:4" x14ac:dyDescent="0.2">
      <c r="B805" s="2">
        <v>37327</v>
      </c>
      <c r="C805" s="61">
        <v>5275.81</v>
      </c>
      <c r="D805" s="3">
        <f t="shared" si="15"/>
        <v>-1.2144543662124696E-2</v>
      </c>
    </row>
    <row r="806" spans="2:4" x14ac:dyDescent="0.2">
      <c r="B806" s="2">
        <v>37328</v>
      </c>
      <c r="C806" s="61">
        <v>5245.99</v>
      </c>
      <c r="D806" s="3">
        <f t="shared" si="15"/>
        <v>-5.6522126460203381E-3</v>
      </c>
    </row>
    <row r="807" spans="2:4" x14ac:dyDescent="0.2">
      <c r="B807" s="2">
        <v>37329</v>
      </c>
      <c r="C807" s="61">
        <v>5276.87</v>
      </c>
      <c r="D807" s="3">
        <f t="shared" si="15"/>
        <v>5.8864008509356136E-3</v>
      </c>
    </row>
    <row r="808" spans="2:4" x14ac:dyDescent="0.2">
      <c r="B808" s="2">
        <v>37330</v>
      </c>
      <c r="C808" s="61">
        <v>5401.11</v>
      </c>
      <c r="D808" s="3">
        <f t="shared" si="15"/>
        <v>2.3544260139059636E-2</v>
      </c>
    </row>
    <row r="809" spans="2:4" x14ac:dyDescent="0.2">
      <c r="B809" s="2">
        <v>37333</v>
      </c>
      <c r="C809" s="61">
        <v>5426.04</v>
      </c>
      <c r="D809" s="3">
        <f t="shared" si="15"/>
        <v>4.6157178802135324E-3</v>
      </c>
    </row>
    <row r="810" spans="2:4" x14ac:dyDescent="0.2">
      <c r="B810" s="2">
        <v>37334</v>
      </c>
      <c r="C810" s="61">
        <v>5462.55</v>
      </c>
      <c r="D810" s="3">
        <f t="shared" si="15"/>
        <v>6.7286639980539409E-3</v>
      </c>
    </row>
    <row r="811" spans="2:4" x14ac:dyDescent="0.2">
      <c r="B811" s="2">
        <v>37335</v>
      </c>
      <c r="C811" s="61">
        <v>5364.7</v>
      </c>
      <c r="D811" s="3">
        <f t="shared" si="15"/>
        <v>-1.7912879515977087E-2</v>
      </c>
    </row>
    <row r="812" spans="2:4" x14ac:dyDescent="0.2">
      <c r="B812" s="2">
        <v>37336</v>
      </c>
      <c r="C812" s="61">
        <v>5348.68</v>
      </c>
      <c r="D812" s="3">
        <f t="shared" si="15"/>
        <v>-2.9861874848545744E-3</v>
      </c>
    </row>
    <row r="813" spans="2:4" x14ac:dyDescent="0.2">
      <c r="B813" s="2">
        <v>37337</v>
      </c>
      <c r="C813" s="61">
        <v>5366.13</v>
      </c>
      <c r="D813" s="3">
        <f t="shared" si="15"/>
        <v>3.2624871931017374E-3</v>
      </c>
    </row>
    <row r="814" spans="2:4" x14ac:dyDescent="0.2">
      <c r="B814" s="2">
        <v>37340</v>
      </c>
      <c r="C814" s="61">
        <v>5317.38</v>
      </c>
      <c r="D814" s="3">
        <f t="shared" si="15"/>
        <v>-9.0847594076177707E-3</v>
      </c>
    </row>
    <row r="815" spans="2:4" x14ac:dyDescent="0.2">
      <c r="B815" s="2">
        <v>37341</v>
      </c>
      <c r="C815" s="61">
        <v>5390.59</v>
      </c>
      <c r="D815" s="3">
        <f t="shared" si="15"/>
        <v>1.3768058705603048E-2</v>
      </c>
    </row>
    <row r="816" spans="2:4" x14ac:dyDescent="0.2">
      <c r="B816" s="2">
        <v>37342</v>
      </c>
      <c r="C816" s="61">
        <v>5348</v>
      </c>
      <c r="D816" s="3">
        <f t="shared" si="15"/>
        <v>-7.9008049211681808E-3</v>
      </c>
    </row>
    <row r="817" spans="2:4" x14ac:dyDescent="0.2">
      <c r="B817" s="2">
        <v>37343</v>
      </c>
      <c r="C817" s="61">
        <v>5397.29</v>
      </c>
      <c r="D817" s="3">
        <f t="shared" si="15"/>
        <v>9.2165295437547368E-3</v>
      </c>
    </row>
    <row r="818" spans="2:4" x14ac:dyDescent="0.2">
      <c r="B818" s="2">
        <v>37348</v>
      </c>
      <c r="C818" s="61">
        <v>5311.08</v>
      </c>
      <c r="D818" s="3">
        <f t="shared" si="15"/>
        <v>-1.5972830809535932E-2</v>
      </c>
    </row>
    <row r="819" spans="2:4" x14ac:dyDescent="0.2">
      <c r="B819" s="2">
        <v>37349</v>
      </c>
      <c r="C819" s="61">
        <v>5281.84</v>
      </c>
      <c r="D819" s="3">
        <f t="shared" si="15"/>
        <v>-5.5054715801682308E-3</v>
      </c>
    </row>
    <row r="820" spans="2:4" x14ac:dyDescent="0.2">
      <c r="B820" s="2">
        <v>37350</v>
      </c>
      <c r="C820" s="61">
        <v>5254.95</v>
      </c>
      <c r="D820" s="3">
        <f t="shared" si="15"/>
        <v>-5.0910288838739159E-3</v>
      </c>
    </row>
    <row r="821" spans="2:4" x14ac:dyDescent="0.2">
      <c r="B821" s="2">
        <v>37351</v>
      </c>
      <c r="C821" s="61">
        <v>5260.53</v>
      </c>
      <c r="D821" s="3">
        <f t="shared" si="15"/>
        <v>1.061855964376468E-3</v>
      </c>
    </row>
    <row r="822" spans="2:4" x14ac:dyDescent="0.2">
      <c r="B822" s="2">
        <v>37354</v>
      </c>
      <c r="C822" s="61">
        <v>5180.33</v>
      </c>
      <c r="D822" s="3">
        <f t="shared" si="15"/>
        <v>-1.5245612134138553E-2</v>
      </c>
    </row>
    <row r="823" spans="2:4" x14ac:dyDescent="0.2">
      <c r="B823" s="2">
        <v>37355</v>
      </c>
      <c r="C823" s="61">
        <v>5170.25</v>
      </c>
      <c r="D823" s="3">
        <f t="shared" si="15"/>
        <v>-1.9458219843137003E-3</v>
      </c>
    </row>
    <row r="824" spans="2:4" x14ac:dyDescent="0.2">
      <c r="B824" s="2">
        <v>37356</v>
      </c>
      <c r="C824" s="61">
        <v>5265.36</v>
      </c>
      <c r="D824" s="3">
        <f t="shared" si="15"/>
        <v>1.8395628838063782E-2</v>
      </c>
    </row>
    <row r="825" spans="2:4" x14ac:dyDescent="0.2">
      <c r="B825" s="2">
        <v>37357</v>
      </c>
      <c r="C825" s="61">
        <v>5162.96</v>
      </c>
      <c r="D825" s="3">
        <f t="shared" si="15"/>
        <v>-1.944786301411483E-2</v>
      </c>
    </row>
    <row r="826" spans="2:4" x14ac:dyDescent="0.2">
      <c r="B826" s="2">
        <v>37358</v>
      </c>
      <c r="C826" s="61">
        <v>5189.6499999999996</v>
      </c>
      <c r="D826" s="3">
        <f t="shared" si="15"/>
        <v>5.1695151618451618E-3</v>
      </c>
    </row>
    <row r="827" spans="2:4" x14ac:dyDescent="0.2">
      <c r="B827" s="2">
        <v>37361</v>
      </c>
      <c r="C827" s="61">
        <v>5244.2</v>
      </c>
      <c r="D827" s="3">
        <f t="shared" si="15"/>
        <v>1.0511306157447997E-2</v>
      </c>
    </row>
    <row r="828" spans="2:4" x14ac:dyDescent="0.2">
      <c r="B828" s="2">
        <v>37362</v>
      </c>
      <c r="C828" s="61">
        <v>5343.88</v>
      </c>
      <c r="D828" s="3">
        <f t="shared" si="15"/>
        <v>1.9007665611532776E-2</v>
      </c>
    </row>
    <row r="829" spans="2:4" x14ac:dyDescent="0.2">
      <c r="B829" s="2">
        <v>37363</v>
      </c>
      <c r="C829" s="61">
        <v>5318.55</v>
      </c>
      <c r="D829" s="3">
        <f t="shared" si="15"/>
        <v>-4.7400016467435968E-3</v>
      </c>
    </row>
    <row r="830" spans="2:4" x14ac:dyDescent="0.2">
      <c r="B830" s="2">
        <v>37364</v>
      </c>
      <c r="C830" s="61">
        <v>5262.88</v>
      </c>
      <c r="D830" s="3">
        <f t="shared" si="15"/>
        <v>-1.0467138599806303E-2</v>
      </c>
    </row>
    <row r="831" spans="2:4" x14ac:dyDescent="0.2">
      <c r="B831" s="2">
        <v>37365</v>
      </c>
      <c r="C831" s="61">
        <v>5284.55</v>
      </c>
      <c r="D831" s="3">
        <f t="shared" si="15"/>
        <v>4.1175174049190577E-3</v>
      </c>
    </row>
    <row r="832" spans="2:4" x14ac:dyDescent="0.2">
      <c r="B832" s="2">
        <v>37368</v>
      </c>
      <c r="C832" s="61">
        <v>5205.4799999999996</v>
      </c>
      <c r="D832" s="3">
        <f t="shared" si="15"/>
        <v>-1.4962484979799684E-2</v>
      </c>
    </row>
    <row r="833" spans="2:4" x14ac:dyDescent="0.2">
      <c r="B833" s="2">
        <v>37369</v>
      </c>
      <c r="C833" s="61">
        <v>5192.1000000000004</v>
      </c>
      <c r="D833" s="3">
        <f t="shared" si="15"/>
        <v>-2.5703681504873899E-3</v>
      </c>
    </row>
    <row r="834" spans="2:4" x14ac:dyDescent="0.2">
      <c r="B834" s="2">
        <v>37370</v>
      </c>
      <c r="C834" s="61">
        <v>5160.1400000000003</v>
      </c>
      <c r="D834" s="3">
        <f t="shared" si="15"/>
        <v>-6.155505479478407E-3</v>
      </c>
    </row>
    <row r="835" spans="2:4" x14ac:dyDescent="0.2">
      <c r="B835" s="2">
        <v>37371</v>
      </c>
      <c r="C835" s="61">
        <v>5054.41</v>
      </c>
      <c r="D835" s="3">
        <f t="shared" si="15"/>
        <v>-2.0489754153957151E-2</v>
      </c>
    </row>
    <row r="836" spans="2:4" x14ac:dyDescent="0.2">
      <c r="B836" s="2">
        <v>37372</v>
      </c>
      <c r="C836" s="61">
        <v>5000.38</v>
      </c>
      <c r="D836" s="3">
        <f t="shared" si="15"/>
        <v>-1.0689674957116591E-2</v>
      </c>
    </row>
    <row r="837" spans="2:4" x14ac:dyDescent="0.2">
      <c r="B837" s="2">
        <v>37375</v>
      </c>
      <c r="C837" s="61">
        <v>5008.04</v>
      </c>
      <c r="D837" s="3">
        <f t="shared" ref="D837:D900" si="16">C837/C836-1</f>
        <v>1.531883576848081E-3</v>
      </c>
    </row>
    <row r="838" spans="2:4" x14ac:dyDescent="0.2">
      <c r="B838" s="2">
        <v>37376</v>
      </c>
      <c r="C838" s="61">
        <v>5041.2</v>
      </c>
      <c r="D838" s="3">
        <f t="shared" si="16"/>
        <v>6.6213528645937547E-3</v>
      </c>
    </row>
    <row r="839" spans="2:4" x14ac:dyDescent="0.2">
      <c r="B839" s="2">
        <v>37378</v>
      </c>
      <c r="C839" s="61">
        <v>4964.5600000000004</v>
      </c>
      <c r="D839" s="3">
        <f t="shared" si="16"/>
        <v>-1.5202729508846935E-2</v>
      </c>
    </row>
    <row r="840" spans="2:4" x14ac:dyDescent="0.2">
      <c r="B840" s="2">
        <v>37379</v>
      </c>
      <c r="C840" s="61">
        <v>4882.7700000000004</v>
      </c>
      <c r="D840" s="3">
        <f t="shared" si="16"/>
        <v>-1.6474773192387659E-2</v>
      </c>
    </row>
    <row r="841" spans="2:4" x14ac:dyDescent="0.2">
      <c r="B841" s="2">
        <v>37382</v>
      </c>
      <c r="C841" s="61">
        <v>4880.67</v>
      </c>
      <c r="D841" s="3">
        <f t="shared" si="16"/>
        <v>-4.3008374344899458E-4</v>
      </c>
    </row>
    <row r="842" spans="2:4" x14ac:dyDescent="0.2">
      <c r="B842" s="2">
        <v>37383</v>
      </c>
      <c r="C842" s="61">
        <v>4872.41</v>
      </c>
      <c r="D842" s="3">
        <f t="shared" si="16"/>
        <v>-1.6923905939143502E-3</v>
      </c>
    </row>
    <row r="843" spans="2:4" x14ac:dyDescent="0.2">
      <c r="B843" s="2">
        <v>37384</v>
      </c>
      <c r="C843" s="61">
        <v>5028.59</v>
      </c>
      <c r="D843" s="3">
        <f t="shared" si="16"/>
        <v>3.2053952766700755E-2</v>
      </c>
    </row>
    <row r="844" spans="2:4" x14ac:dyDescent="0.2">
      <c r="B844" s="2">
        <v>37385</v>
      </c>
      <c r="C844" s="61">
        <v>4966.4799999999996</v>
      </c>
      <c r="D844" s="3">
        <f t="shared" si="16"/>
        <v>-1.2351374838672546E-2</v>
      </c>
    </row>
    <row r="845" spans="2:4" x14ac:dyDescent="0.2">
      <c r="B845" s="2">
        <v>37386</v>
      </c>
      <c r="C845" s="61">
        <v>4871.7</v>
      </c>
      <c r="D845" s="3">
        <f t="shared" si="16"/>
        <v>-1.9083938725213745E-2</v>
      </c>
    </row>
    <row r="846" spans="2:4" x14ac:dyDescent="0.2">
      <c r="B846" s="2">
        <v>37389</v>
      </c>
      <c r="C846" s="61">
        <v>4975.4799999999996</v>
      </c>
      <c r="D846" s="3">
        <f t="shared" si="16"/>
        <v>2.1302625366915073E-2</v>
      </c>
    </row>
    <row r="847" spans="2:4" x14ac:dyDescent="0.2">
      <c r="B847" s="2">
        <v>37390</v>
      </c>
      <c r="C847" s="61">
        <v>5049.08</v>
      </c>
      <c r="D847" s="3">
        <f t="shared" si="16"/>
        <v>1.479254262905294E-2</v>
      </c>
    </row>
    <row r="848" spans="2:4" x14ac:dyDescent="0.2">
      <c r="B848" s="2">
        <v>37391</v>
      </c>
      <c r="C848" s="61">
        <v>5072.3900000000003</v>
      </c>
      <c r="D848" s="3">
        <f t="shared" si="16"/>
        <v>4.6166826431746077E-3</v>
      </c>
    </row>
    <row r="849" spans="2:4" x14ac:dyDescent="0.2">
      <c r="B849" s="2">
        <v>37392</v>
      </c>
      <c r="C849" s="61">
        <v>5047.45</v>
      </c>
      <c r="D849" s="3">
        <f t="shared" si="16"/>
        <v>-4.9168143616717952E-3</v>
      </c>
    </row>
    <row r="850" spans="2:4" x14ac:dyDescent="0.2">
      <c r="B850" s="2">
        <v>37393</v>
      </c>
      <c r="C850" s="61">
        <v>5036.41</v>
      </c>
      <c r="D850" s="3">
        <f t="shared" si="16"/>
        <v>-2.1872430633289586E-3</v>
      </c>
    </row>
    <row r="851" spans="2:4" x14ac:dyDescent="0.2">
      <c r="B851" s="2">
        <v>37396</v>
      </c>
      <c r="C851" s="61">
        <v>4998.99</v>
      </c>
      <c r="D851" s="3">
        <f t="shared" si="16"/>
        <v>-7.4298955009619583E-3</v>
      </c>
    </row>
    <row r="852" spans="2:4" x14ac:dyDescent="0.2">
      <c r="B852" s="2">
        <v>37397</v>
      </c>
      <c r="C852" s="61">
        <v>4984.6099999999997</v>
      </c>
      <c r="D852" s="3">
        <f t="shared" si="16"/>
        <v>-2.8765810693760496E-3</v>
      </c>
    </row>
    <row r="853" spans="2:4" x14ac:dyDescent="0.2">
      <c r="B853" s="2">
        <v>37398</v>
      </c>
      <c r="C853" s="61">
        <v>4919.5</v>
      </c>
      <c r="D853" s="3">
        <f t="shared" si="16"/>
        <v>-1.3062205468431731E-2</v>
      </c>
    </row>
    <row r="854" spans="2:4" x14ac:dyDescent="0.2">
      <c r="B854" s="2">
        <v>37399</v>
      </c>
      <c r="C854" s="61">
        <v>4879.5</v>
      </c>
      <c r="D854" s="3">
        <f t="shared" si="16"/>
        <v>-8.1309076125622992E-3</v>
      </c>
    </row>
    <row r="855" spans="2:4" x14ac:dyDescent="0.2">
      <c r="B855" s="2">
        <v>37400</v>
      </c>
      <c r="C855" s="61">
        <v>4899.13</v>
      </c>
      <c r="D855" s="3">
        <f t="shared" si="16"/>
        <v>4.0229531714315314E-3</v>
      </c>
    </row>
    <row r="856" spans="2:4" x14ac:dyDescent="0.2">
      <c r="B856" s="2">
        <v>37403</v>
      </c>
      <c r="C856" s="61">
        <v>4961.54</v>
      </c>
      <c r="D856" s="3">
        <f t="shared" si="16"/>
        <v>1.2738996515707868E-2</v>
      </c>
    </row>
    <row r="857" spans="2:4" x14ac:dyDescent="0.2">
      <c r="B857" s="2">
        <v>37404</v>
      </c>
      <c r="C857" s="61">
        <v>4918.58</v>
      </c>
      <c r="D857" s="3">
        <f t="shared" si="16"/>
        <v>-8.6586019663249525E-3</v>
      </c>
    </row>
    <row r="858" spans="2:4" x14ac:dyDescent="0.2">
      <c r="B858" s="2">
        <v>37405</v>
      </c>
      <c r="C858" s="61">
        <v>4881.8</v>
      </c>
      <c r="D858" s="3">
        <f t="shared" si="16"/>
        <v>-7.4777679736833802E-3</v>
      </c>
    </row>
    <row r="859" spans="2:4" x14ac:dyDescent="0.2">
      <c r="B859" s="2">
        <v>37406</v>
      </c>
      <c r="C859" s="61">
        <v>4761.96</v>
      </c>
      <c r="D859" s="3">
        <f t="shared" si="16"/>
        <v>-2.4548322340120499E-2</v>
      </c>
    </row>
    <row r="860" spans="2:4" x14ac:dyDescent="0.2">
      <c r="B860" s="2">
        <v>37407</v>
      </c>
      <c r="C860" s="61">
        <v>4818.3</v>
      </c>
      <c r="D860" s="3">
        <f t="shared" si="16"/>
        <v>1.1831262757352023E-2</v>
      </c>
    </row>
    <row r="861" spans="2:4" x14ac:dyDescent="0.2">
      <c r="B861" s="2">
        <v>37410</v>
      </c>
      <c r="C861" s="61">
        <v>4747.95</v>
      </c>
      <c r="D861" s="3">
        <f t="shared" si="16"/>
        <v>-1.4600585268663258E-2</v>
      </c>
    </row>
    <row r="862" spans="2:4" x14ac:dyDescent="0.2">
      <c r="B862" s="2">
        <v>37411</v>
      </c>
      <c r="C862" s="61">
        <v>4625.79</v>
      </c>
      <c r="D862" s="3">
        <f t="shared" si="16"/>
        <v>-2.5728998831074379E-2</v>
      </c>
    </row>
    <row r="863" spans="2:4" x14ac:dyDescent="0.2">
      <c r="B863" s="2">
        <v>37412</v>
      </c>
      <c r="C863" s="61">
        <v>4624.3100000000004</v>
      </c>
      <c r="D863" s="3">
        <f t="shared" si="16"/>
        <v>-3.1994534987522805E-4</v>
      </c>
    </row>
    <row r="864" spans="2:4" x14ac:dyDescent="0.2">
      <c r="B864" s="2">
        <v>37413</v>
      </c>
      <c r="C864" s="61">
        <v>4657.5200000000004</v>
      </c>
      <c r="D864" s="3">
        <f t="shared" si="16"/>
        <v>7.1816119594059202E-3</v>
      </c>
    </row>
    <row r="865" spans="2:4" x14ac:dyDescent="0.2">
      <c r="B865" s="2">
        <v>37414</v>
      </c>
      <c r="C865" s="61">
        <v>4610.18</v>
      </c>
      <c r="D865" s="3">
        <f t="shared" si="16"/>
        <v>-1.0164207561105476E-2</v>
      </c>
    </row>
    <row r="866" spans="2:4" x14ac:dyDescent="0.2">
      <c r="B866" s="2">
        <v>37417</v>
      </c>
      <c r="C866" s="61">
        <v>4589.26</v>
      </c>
      <c r="D866" s="3">
        <f t="shared" si="16"/>
        <v>-4.5377837741693572E-3</v>
      </c>
    </row>
    <row r="867" spans="2:4" x14ac:dyDescent="0.2">
      <c r="B867" s="2">
        <v>37418</v>
      </c>
      <c r="C867" s="61">
        <v>4606.09</v>
      </c>
      <c r="D867" s="3">
        <f t="shared" si="16"/>
        <v>3.6672579021455043E-3</v>
      </c>
    </row>
    <row r="868" spans="2:4" x14ac:dyDescent="0.2">
      <c r="B868" s="2">
        <v>37419</v>
      </c>
      <c r="C868" s="61">
        <v>4510.1899999999996</v>
      </c>
      <c r="D868" s="3">
        <f t="shared" si="16"/>
        <v>-2.082026187069741E-2</v>
      </c>
    </row>
    <row r="869" spans="2:4" x14ac:dyDescent="0.2">
      <c r="B869" s="2">
        <v>37420</v>
      </c>
      <c r="C869" s="61">
        <v>4470.1400000000003</v>
      </c>
      <c r="D869" s="3">
        <f t="shared" si="16"/>
        <v>-8.879891977943144E-3</v>
      </c>
    </row>
    <row r="870" spans="2:4" x14ac:dyDescent="0.2">
      <c r="B870" s="2">
        <v>37421</v>
      </c>
      <c r="C870" s="61">
        <v>4303.8500000000004</v>
      </c>
      <c r="D870" s="3">
        <f t="shared" si="16"/>
        <v>-3.7200177175658933E-2</v>
      </c>
    </row>
    <row r="871" spans="2:4" x14ac:dyDescent="0.2">
      <c r="B871" s="2">
        <v>37424</v>
      </c>
      <c r="C871" s="61">
        <v>4475.1000000000004</v>
      </c>
      <c r="D871" s="3">
        <f t="shared" si="16"/>
        <v>3.9789955504954788E-2</v>
      </c>
    </row>
    <row r="872" spans="2:4" x14ac:dyDescent="0.2">
      <c r="B872" s="2">
        <v>37425</v>
      </c>
      <c r="C872" s="61">
        <v>4433.8500000000004</v>
      </c>
      <c r="D872" s="3">
        <f t="shared" si="16"/>
        <v>-9.2176711134946965E-3</v>
      </c>
    </row>
    <row r="873" spans="2:4" x14ac:dyDescent="0.2">
      <c r="B873" s="2">
        <v>37426</v>
      </c>
      <c r="C873" s="61">
        <v>4354.82</v>
      </c>
      <c r="D873" s="3">
        <f t="shared" si="16"/>
        <v>-1.7824238528592717E-2</v>
      </c>
    </row>
    <row r="874" spans="2:4" x14ac:dyDescent="0.2">
      <c r="B874" s="2">
        <v>37427</v>
      </c>
      <c r="C874" s="61">
        <v>4245.68</v>
      </c>
      <c r="D874" s="3">
        <f t="shared" si="16"/>
        <v>-2.5061885451063248E-2</v>
      </c>
    </row>
    <row r="875" spans="2:4" x14ac:dyDescent="0.2">
      <c r="B875" s="2">
        <v>37428</v>
      </c>
      <c r="C875" s="61">
        <v>4232.3999999999996</v>
      </c>
      <c r="D875" s="3">
        <f t="shared" si="16"/>
        <v>-3.1278852857494766E-3</v>
      </c>
    </row>
    <row r="876" spans="2:4" x14ac:dyDescent="0.2">
      <c r="B876" s="2">
        <v>37431</v>
      </c>
      <c r="C876" s="61">
        <v>4127.21</v>
      </c>
      <c r="D876" s="3">
        <f t="shared" si="16"/>
        <v>-2.4853511010301421E-2</v>
      </c>
    </row>
    <row r="877" spans="2:4" x14ac:dyDescent="0.2">
      <c r="B877" s="2">
        <v>37432</v>
      </c>
      <c r="C877" s="61">
        <v>4202.97</v>
      </c>
      <c r="D877" s="3">
        <f t="shared" si="16"/>
        <v>1.8356226118855234E-2</v>
      </c>
    </row>
    <row r="878" spans="2:4" x14ac:dyDescent="0.2">
      <c r="B878" s="2">
        <v>37433</v>
      </c>
      <c r="C878" s="61">
        <v>4099.05</v>
      </c>
      <c r="D878" s="3">
        <f t="shared" si="16"/>
        <v>-2.4725372772111176E-2</v>
      </c>
    </row>
    <row r="879" spans="2:4" x14ac:dyDescent="0.2">
      <c r="B879" s="2">
        <v>37434</v>
      </c>
      <c r="C879" s="61">
        <v>4259.43</v>
      </c>
      <c r="D879" s="3">
        <f t="shared" si="16"/>
        <v>3.9126138983422987E-2</v>
      </c>
    </row>
    <row r="880" spans="2:4" x14ac:dyDescent="0.2">
      <c r="B880" s="2">
        <v>37435</v>
      </c>
      <c r="C880" s="61">
        <v>4382.5600000000004</v>
      </c>
      <c r="D880" s="3">
        <f t="shared" si="16"/>
        <v>2.890762379003764E-2</v>
      </c>
    </row>
    <row r="881" spans="2:4" x14ac:dyDescent="0.2">
      <c r="B881" s="2">
        <v>37438</v>
      </c>
      <c r="C881" s="61">
        <v>4366.8100000000004</v>
      </c>
      <c r="D881" s="3">
        <f t="shared" si="16"/>
        <v>-3.593789930999236E-3</v>
      </c>
    </row>
    <row r="882" spans="2:4" x14ac:dyDescent="0.2">
      <c r="B882" s="2">
        <v>37439</v>
      </c>
      <c r="C882" s="61">
        <v>4195.95</v>
      </c>
      <c r="D882" s="3">
        <f t="shared" si="16"/>
        <v>-3.9126959954749685E-2</v>
      </c>
    </row>
    <row r="883" spans="2:4" x14ac:dyDescent="0.2">
      <c r="B883" s="2">
        <v>37440</v>
      </c>
      <c r="C883" s="61">
        <v>4138.1499999999996</v>
      </c>
      <c r="D883" s="3">
        <f t="shared" si="16"/>
        <v>-1.377518797888444E-2</v>
      </c>
    </row>
    <row r="884" spans="2:4" x14ac:dyDescent="0.2">
      <c r="B884" s="2">
        <v>37441</v>
      </c>
      <c r="C884" s="61">
        <v>4258.62</v>
      </c>
      <c r="D884" s="3">
        <f t="shared" si="16"/>
        <v>2.9112042821067385E-2</v>
      </c>
    </row>
    <row r="885" spans="2:4" x14ac:dyDescent="0.2">
      <c r="B885" s="2">
        <v>37442</v>
      </c>
      <c r="C885" s="61">
        <v>4483.03</v>
      </c>
      <c r="D885" s="3">
        <f t="shared" si="16"/>
        <v>5.2695474120724617E-2</v>
      </c>
    </row>
    <row r="886" spans="2:4" x14ac:dyDescent="0.2">
      <c r="B886" s="2">
        <v>37445</v>
      </c>
      <c r="C886" s="61">
        <v>4442.33</v>
      </c>
      <c r="D886" s="3">
        <f t="shared" si="16"/>
        <v>-9.0786811598405626E-3</v>
      </c>
    </row>
    <row r="887" spans="2:4" x14ac:dyDescent="0.2">
      <c r="B887" s="2">
        <v>37446</v>
      </c>
      <c r="C887" s="61">
        <v>4369.76</v>
      </c>
      <c r="D887" s="3">
        <f t="shared" si="16"/>
        <v>-1.6336021862401018E-2</v>
      </c>
    </row>
    <row r="888" spans="2:4" x14ac:dyDescent="0.2">
      <c r="B888" s="2">
        <v>37447</v>
      </c>
      <c r="C888" s="61">
        <v>4190.22</v>
      </c>
      <c r="D888" s="3">
        <f t="shared" si="16"/>
        <v>-4.1086924682362413E-2</v>
      </c>
    </row>
    <row r="889" spans="2:4" x14ac:dyDescent="0.2">
      <c r="B889" s="2">
        <v>37448</v>
      </c>
      <c r="C889" s="61">
        <v>4118.5</v>
      </c>
      <c r="D889" s="3">
        <f t="shared" si="16"/>
        <v>-1.7116046412837593E-2</v>
      </c>
    </row>
    <row r="890" spans="2:4" x14ac:dyDescent="0.2">
      <c r="B890" s="2">
        <v>37449</v>
      </c>
      <c r="C890" s="61">
        <v>4130.8</v>
      </c>
      <c r="D890" s="3">
        <f t="shared" si="16"/>
        <v>2.9865242199831332E-3</v>
      </c>
    </row>
    <row r="891" spans="2:4" x14ac:dyDescent="0.2">
      <c r="B891" s="2">
        <v>37452</v>
      </c>
      <c r="C891" s="61">
        <v>3912.51</v>
      </c>
      <c r="D891" s="3">
        <f t="shared" si="16"/>
        <v>-5.2844485329718194E-2</v>
      </c>
    </row>
    <row r="892" spans="2:4" x14ac:dyDescent="0.2">
      <c r="B892" s="2">
        <v>37453</v>
      </c>
      <c r="C892" s="61">
        <v>3977.75</v>
      </c>
      <c r="D892" s="3">
        <f t="shared" si="16"/>
        <v>1.6674717764299629E-2</v>
      </c>
    </row>
    <row r="893" spans="2:4" x14ac:dyDescent="0.2">
      <c r="B893" s="2">
        <v>37454</v>
      </c>
      <c r="C893" s="61">
        <v>4092.82</v>
      </c>
      <c r="D893" s="3">
        <f t="shared" si="16"/>
        <v>2.8928414304569161E-2</v>
      </c>
    </row>
    <row r="894" spans="2:4" x14ac:dyDescent="0.2">
      <c r="B894" s="2">
        <v>37455</v>
      </c>
      <c r="C894" s="61">
        <v>4100.75</v>
      </c>
      <c r="D894" s="3">
        <f t="shared" si="16"/>
        <v>1.9375393982632438E-3</v>
      </c>
    </row>
    <row r="895" spans="2:4" x14ac:dyDescent="0.2">
      <c r="B895" s="2">
        <v>37456</v>
      </c>
      <c r="C895" s="61">
        <v>3891.88</v>
      </c>
      <c r="D895" s="3">
        <f t="shared" si="16"/>
        <v>-5.0934585136865218E-2</v>
      </c>
    </row>
    <row r="896" spans="2:4" x14ac:dyDescent="0.2">
      <c r="B896" s="2">
        <v>37459</v>
      </c>
      <c r="C896" s="61">
        <v>3691.43</v>
      </c>
      <c r="D896" s="3">
        <f t="shared" si="16"/>
        <v>-5.1504671264273383E-2</v>
      </c>
    </row>
    <row r="897" spans="2:4" x14ac:dyDescent="0.2">
      <c r="B897" s="2">
        <v>37460</v>
      </c>
      <c r="C897" s="61">
        <v>3515.83</v>
      </c>
      <c r="D897" s="3">
        <f t="shared" si="16"/>
        <v>-4.7569641033420651E-2</v>
      </c>
    </row>
    <row r="898" spans="2:4" x14ac:dyDescent="0.2">
      <c r="B898" s="2">
        <v>37461</v>
      </c>
      <c r="C898" s="61">
        <v>3632.66</v>
      </c>
      <c r="D898" s="3">
        <f t="shared" si="16"/>
        <v>3.3229706783320045E-2</v>
      </c>
    </row>
    <row r="899" spans="2:4" x14ac:dyDescent="0.2">
      <c r="B899" s="2">
        <v>37462</v>
      </c>
      <c r="C899" s="61">
        <v>3520.46</v>
      </c>
      <c r="D899" s="3">
        <f t="shared" si="16"/>
        <v>-3.0886457857327687E-2</v>
      </c>
    </row>
    <row r="900" spans="2:4" x14ac:dyDescent="0.2">
      <c r="B900" s="2">
        <v>37463</v>
      </c>
      <c r="C900" s="61">
        <v>3579</v>
      </c>
      <c r="D900" s="3">
        <f t="shared" si="16"/>
        <v>1.6628508774421569E-2</v>
      </c>
    </row>
    <row r="901" spans="2:4" x14ac:dyDescent="0.2">
      <c r="B901" s="2">
        <v>37466</v>
      </c>
      <c r="C901" s="61">
        <v>3859.78</v>
      </c>
      <c r="D901" s="3">
        <f t="shared" ref="D901:D964" si="17">C901/C900-1</f>
        <v>7.8452081587035538E-2</v>
      </c>
    </row>
    <row r="902" spans="2:4" x14ac:dyDescent="0.2">
      <c r="B902" s="2">
        <v>37467</v>
      </c>
      <c r="C902" s="61">
        <v>3878.94</v>
      </c>
      <c r="D902" s="3">
        <f t="shared" si="17"/>
        <v>4.9640134929969104E-3</v>
      </c>
    </row>
    <row r="903" spans="2:4" x14ac:dyDescent="0.2">
      <c r="B903" s="2">
        <v>37468</v>
      </c>
      <c r="C903" s="61">
        <v>3700.14</v>
      </c>
      <c r="D903" s="3">
        <f t="shared" si="17"/>
        <v>-4.6095067209082963E-2</v>
      </c>
    </row>
    <row r="904" spans="2:4" x14ac:dyDescent="0.2">
      <c r="B904" s="2">
        <v>37469</v>
      </c>
      <c r="C904" s="61">
        <v>3606.45</v>
      </c>
      <c r="D904" s="3">
        <f t="shared" si="17"/>
        <v>-2.5320663542460542E-2</v>
      </c>
    </row>
    <row r="905" spans="2:4" x14ac:dyDescent="0.2">
      <c r="B905" s="2">
        <v>37470</v>
      </c>
      <c r="C905" s="61">
        <v>3532.49</v>
      </c>
      <c r="D905" s="3">
        <f t="shared" si="17"/>
        <v>-2.0507701479294038E-2</v>
      </c>
    </row>
    <row r="906" spans="2:4" x14ac:dyDescent="0.2">
      <c r="B906" s="2">
        <v>37473</v>
      </c>
      <c r="C906" s="61">
        <v>3332.65</v>
      </c>
      <c r="D906" s="3">
        <f t="shared" si="17"/>
        <v>-5.657199312666128E-2</v>
      </c>
    </row>
    <row r="907" spans="2:4" x14ac:dyDescent="0.2">
      <c r="B907" s="2">
        <v>37474</v>
      </c>
      <c r="C907" s="61">
        <v>3568.64</v>
      </c>
      <c r="D907" s="3">
        <f t="shared" si="17"/>
        <v>7.081151636085381E-2</v>
      </c>
    </row>
    <row r="908" spans="2:4" x14ac:dyDescent="0.2">
      <c r="B908" s="2">
        <v>37475</v>
      </c>
      <c r="C908" s="61">
        <v>3465.54</v>
      </c>
      <c r="D908" s="3">
        <f t="shared" si="17"/>
        <v>-2.8890557747489165E-2</v>
      </c>
    </row>
    <row r="909" spans="2:4" x14ac:dyDescent="0.2">
      <c r="B909" s="2">
        <v>37476</v>
      </c>
      <c r="C909" s="61">
        <v>3679.26</v>
      </c>
      <c r="D909" s="3">
        <f t="shared" si="17"/>
        <v>6.1670042763898314E-2</v>
      </c>
    </row>
    <row r="910" spans="2:4" x14ac:dyDescent="0.2">
      <c r="B910" s="2">
        <v>37477</v>
      </c>
      <c r="C910" s="61">
        <v>3760.86</v>
      </c>
      <c r="D910" s="3">
        <f t="shared" si="17"/>
        <v>2.2178372824970261E-2</v>
      </c>
    </row>
    <row r="911" spans="2:4" x14ac:dyDescent="0.2">
      <c r="B911" s="2">
        <v>37480</v>
      </c>
      <c r="C911" s="61">
        <v>3647.13</v>
      </c>
      <c r="D911" s="3">
        <f t="shared" si="17"/>
        <v>-3.0240423732869615E-2</v>
      </c>
    </row>
    <row r="912" spans="2:4" x14ac:dyDescent="0.2">
      <c r="B912" s="2">
        <v>37481</v>
      </c>
      <c r="C912" s="61">
        <v>3683.21</v>
      </c>
      <c r="D912" s="3">
        <f t="shared" si="17"/>
        <v>9.8927101583985433E-3</v>
      </c>
    </row>
    <row r="913" spans="2:4" x14ac:dyDescent="0.2">
      <c r="B913" s="2">
        <v>37482</v>
      </c>
      <c r="C913" s="61">
        <v>3589.92</v>
      </c>
      <c r="D913" s="3">
        <f t="shared" si="17"/>
        <v>-2.5328449911897533E-2</v>
      </c>
    </row>
    <row r="914" spans="2:4" x14ac:dyDescent="0.2">
      <c r="B914" s="2">
        <v>37483</v>
      </c>
      <c r="C914" s="61">
        <v>3665.74</v>
      </c>
      <c r="D914" s="3">
        <f t="shared" si="17"/>
        <v>2.112024780496502E-2</v>
      </c>
    </row>
    <row r="915" spans="2:4" x14ac:dyDescent="0.2">
      <c r="B915" s="2">
        <v>37484</v>
      </c>
      <c r="C915" s="61">
        <v>3684.69</v>
      </c>
      <c r="D915" s="3">
        <f t="shared" si="17"/>
        <v>5.169488288858437E-3</v>
      </c>
    </row>
    <row r="916" spans="2:4" x14ac:dyDescent="0.2">
      <c r="B916" s="2">
        <v>37487</v>
      </c>
      <c r="C916" s="61">
        <v>3837.67</v>
      </c>
      <c r="D916" s="3">
        <f t="shared" si="17"/>
        <v>4.1517739619886695E-2</v>
      </c>
    </row>
    <row r="917" spans="2:4" x14ac:dyDescent="0.2">
      <c r="B917" s="2">
        <v>37488</v>
      </c>
      <c r="C917" s="61">
        <v>3768.51</v>
      </c>
      <c r="D917" s="3">
        <f t="shared" si="17"/>
        <v>-1.8021351497132354E-2</v>
      </c>
    </row>
    <row r="918" spans="2:4" x14ac:dyDescent="0.2">
      <c r="B918" s="2">
        <v>37489</v>
      </c>
      <c r="C918" s="61">
        <v>3868.17</v>
      </c>
      <c r="D918" s="3">
        <f t="shared" si="17"/>
        <v>2.6445465183852379E-2</v>
      </c>
    </row>
    <row r="919" spans="2:4" x14ac:dyDescent="0.2">
      <c r="B919" s="2">
        <v>37490</v>
      </c>
      <c r="C919" s="61">
        <v>3906.55</v>
      </c>
      <c r="D919" s="3">
        <f t="shared" si="17"/>
        <v>9.9220044620582648E-3</v>
      </c>
    </row>
    <row r="920" spans="2:4" x14ac:dyDescent="0.2">
      <c r="B920" s="2">
        <v>37491</v>
      </c>
      <c r="C920" s="61">
        <v>3828.26</v>
      </c>
      <c r="D920" s="3">
        <f t="shared" si="17"/>
        <v>-2.0040700874172868E-2</v>
      </c>
    </row>
    <row r="921" spans="2:4" x14ac:dyDescent="0.2">
      <c r="B921" s="2">
        <v>37494</v>
      </c>
      <c r="C921" s="61">
        <v>3783.84</v>
      </c>
      <c r="D921" s="3">
        <f t="shared" si="17"/>
        <v>-1.1603182646946708E-2</v>
      </c>
    </row>
    <row r="922" spans="2:4" x14ac:dyDescent="0.2">
      <c r="B922" s="2">
        <v>37495</v>
      </c>
      <c r="C922" s="61">
        <v>3851.34</v>
      </c>
      <c r="D922" s="3">
        <f t="shared" si="17"/>
        <v>1.7839020677407058E-2</v>
      </c>
    </row>
    <row r="923" spans="2:4" x14ac:dyDescent="0.2">
      <c r="B923" s="2">
        <v>37496</v>
      </c>
      <c r="C923" s="61">
        <v>3682.84</v>
      </c>
      <c r="D923" s="3">
        <f t="shared" si="17"/>
        <v>-4.3751006143316395E-2</v>
      </c>
    </row>
    <row r="924" spans="2:4" x14ac:dyDescent="0.2">
      <c r="B924" s="2">
        <v>37497</v>
      </c>
      <c r="C924" s="61">
        <v>3660.95</v>
      </c>
      <c r="D924" s="3">
        <f t="shared" si="17"/>
        <v>-5.9437825156672952E-3</v>
      </c>
    </row>
    <row r="925" spans="2:4" x14ac:dyDescent="0.2">
      <c r="B925" s="2">
        <v>37498</v>
      </c>
      <c r="C925" s="61">
        <v>3712.94</v>
      </c>
      <c r="D925" s="3">
        <f t="shared" si="17"/>
        <v>1.4201231920676349E-2</v>
      </c>
    </row>
    <row r="926" spans="2:4" x14ac:dyDescent="0.2">
      <c r="B926" s="2">
        <v>37501</v>
      </c>
      <c r="C926" s="61">
        <v>3609.41</v>
      </c>
      <c r="D926" s="3">
        <f t="shared" si="17"/>
        <v>-2.7883563968176261E-2</v>
      </c>
    </row>
    <row r="927" spans="2:4" x14ac:dyDescent="0.2">
      <c r="B927" s="2">
        <v>37502</v>
      </c>
      <c r="C927" s="61">
        <v>3398.99</v>
      </c>
      <c r="D927" s="3">
        <f t="shared" si="17"/>
        <v>-5.829761650796117E-2</v>
      </c>
    </row>
    <row r="928" spans="2:4" x14ac:dyDescent="0.2">
      <c r="B928" s="2">
        <v>37503</v>
      </c>
      <c r="C928" s="61">
        <v>3425.9</v>
      </c>
      <c r="D928" s="3">
        <f t="shared" si="17"/>
        <v>7.9170577142033682E-3</v>
      </c>
    </row>
    <row r="929" spans="2:4" x14ac:dyDescent="0.2">
      <c r="B929" s="2">
        <v>37504</v>
      </c>
      <c r="C929" s="61">
        <v>3354.71</v>
      </c>
      <c r="D929" s="3">
        <f t="shared" si="17"/>
        <v>-2.0779941037391669E-2</v>
      </c>
    </row>
    <row r="930" spans="2:4" x14ac:dyDescent="0.2">
      <c r="B930" s="2">
        <v>37505</v>
      </c>
      <c r="C930" s="61">
        <v>3485.68</v>
      </c>
      <c r="D930" s="3">
        <f t="shared" si="17"/>
        <v>3.9040632424263144E-2</v>
      </c>
    </row>
    <row r="931" spans="2:4" x14ac:dyDescent="0.2">
      <c r="B931" s="2">
        <v>37508</v>
      </c>
      <c r="C931" s="61">
        <v>3429.22</v>
      </c>
      <c r="D931" s="3">
        <f t="shared" si="17"/>
        <v>-1.6197700305248919E-2</v>
      </c>
    </row>
    <row r="932" spans="2:4" x14ac:dyDescent="0.2">
      <c r="B932" s="2">
        <v>37509</v>
      </c>
      <c r="C932" s="61">
        <v>3494.69</v>
      </c>
      <c r="D932" s="3">
        <f t="shared" si="17"/>
        <v>1.9091805133528927E-2</v>
      </c>
    </row>
    <row r="933" spans="2:4" x14ac:dyDescent="0.2">
      <c r="B933" s="2">
        <v>37510</v>
      </c>
      <c r="C933" s="61">
        <v>3584.69</v>
      </c>
      <c r="D933" s="3">
        <f t="shared" si="17"/>
        <v>2.5753357236264263E-2</v>
      </c>
    </row>
    <row r="934" spans="2:4" x14ac:dyDescent="0.2">
      <c r="B934" s="2">
        <v>37511</v>
      </c>
      <c r="C934" s="61">
        <v>3421.87</v>
      </c>
      <c r="D934" s="3">
        <f t="shared" si="17"/>
        <v>-4.5420942954620958E-2</v>
      </c>
    </row>
    <row r="935" spans="2:4" x14ac:dyDescent="0.2">
      <c r="B935" s="2">
        <v>37512</v>
      </c>
      <c r="C935" s="61">
        <v>3361.28</v>
      </c>
      <c r="D935" s="3">
        <f t="shared" si="17"/>
        <v>-1.7706692539459334E-2</v>
      </c>
    </row>
    <row r="936" spans="2:4" x14ac:dyDescent="0.2">
      <c r="B936" s="2">
        <v>37515</v>
      </c>
      <c r="C936" s="61">
        <v>3319.05</v>
      </c>
      <c r="D936" s="3">
        <f t="shared" si="17"/>
        <v>-1.2563666222391467E-2</v>
      </c>
    </row>
    <row r="937" spans="2:4" x14ac:dyDescent="0.2">
      <c r="B937" s="2">
        <v>37516</v>
      </c>
      <c r="C937" s="61">
        <v>3289.13</v>
      </c>
      <c r="D937" s="3">
        <f t="shared" si="17"/>
        <v>-9.0146276796071456E-3</v>
      </c>
    </row>
    <row r="938" spans="2:4" x14ac:dyDescent="0.2">
      <c r="B938" s="2">
        <v>37517</v>
      </c>
      <c r="C938" s="61">
        <v>3124.92</v>
      </c>
      <c r="D938" s="3">
        <f t="shared" si="17"/>
        <v>-4.9925056169868642E-2</v>
      </c>
    </row>
    <row r="939" spans="2:4" x14ac:dyDescent="0.2">
      <c r="B939" s="2">
        <v>37518</v>
      </c>
      <c r="C939" s="61">
        <v>3007.47</v>
      </c>
      <c r="D939" s="3">
        <f t="shared" si="17"/>
        <v>-3.7584962175031822E-2</v>
      </c>
    </row>
    <row r="940" spans="2:4" x14ac:dyDescent="0.2">
      <c r="B940" s="2">
        <v>37519</v>
      </c>
      <c r="C940" s="61">
        <v>3065.73</v>
      </c>
      <c r="D940" s="3">
        <f t="shared" si="17"/>
        <v>1.9371764306876038E-2</v>
      </c>
    </row>
    <row r="941" spans="2:4" x14ac:dyDescent="0.2">
      <c r="B941" s="2">
        <v>37522</v>
      </c>
      <c r="C941" s="61">
        <v>2914.25</v>
      </c>
      <c r="D941" s="3">
        <f t="shared" si="17"/>
        <v>-4.9410743933745005E-2</v>
      </c>
    </row>
    <row r="942" spans="2:4" x14ac:dyDescent="0.2">
      <c r="B942" s="2">
        <v>37523</v>
      </c>
      <c r="C942" s="61">
        <v>2873.21</v>
      </c>
      <c r="D942" s="3">
        <f t="shared" si="17"/>
        <v>-1.4082525521146083E-2</v>
      </c>
    </row>
    <row r="943" spans="2:4" x14ac:dyDescent="0.2">
      <c r="B943" s="2">
        <v>37524</v>
      </c>
      <c r="C943" s="61">
        <v>2962.5</v>
      </c>
      <c r="D943" s="3">
        <f t="shared" si="17"/>
        <v>3.1076739952875077E-2</v>
      </c>
    </row>
    <row r="944" spans="2:4" x14ac:dyDescent="0.2">
      <c r="B944" s="2">
        <v>37525</v>
      </c>
      <c r="C944" s="61">
        <v>3020.6</v>
      </c>
      <c r="D944" s="3">
        <f t="shared" si="17"/>
        <v>1.9611814345991574E-2</v>
      </c>
    </row>
    <row r="945" spans="2:4" x14ac:dyDescent="0.2">
      <c r="B945" s="2">
        <v>37526</v>
      </c>
      <c r="C945" s="61">
        <v>2918.9</v>
      </c>
      <c r="D945" s="3">
        <f t="shared" si="17"/>
        <v>-3.366880752168433E-2</v>
      </c>
    </row>
    <row r="946" spans="2:4" x14ac:dyDescent="0.2">
      <c r="B946" s="2">
        <v>37529</v>
      </c>
      <c r="C946" s="61">
        <v>2769.03</v>
      </c>
      <c r="D946" s="3">
        <f t="shared" si="17"/>
        <v>-5.1344684641474458E-2</v>
      </c>
    </row>
    <row r="947" spans="2:4" x14ac:dyDescent="0.2">
      <c r="B947" s="2">
        <v>37530</v>
      </c>
      <c r="C947" s="61">
        <v>2865.23</v>
      </c>
      <c r="D947" s="3">
        <f t="shared" si="17"/>
        <v>3.474140764094269E-2</v>
      </c>
    </row>
    <row r="948" spans="2:4" x14ac:dyDescent="0.2">
      <c r="B948" s="2">
        <v>37531</v>
      </c>
      <c r="C948" s="61">
        <v>2926.74</v>
      </c>
      <c r="D948" s="3">
        <f t="shared" si="17"/>
        <v>2.1467735574456359E-2</v>
      </c>
    </row>
    <row r="949" spans="2:4" x14ac:dyDescent="0.2">
      <c r="B949" s="2">
        <v>37532</v>
      </c>
      <c r="C949" s="61">
        <v>2813.3</v>
      </c>
      <c r="D949" s="3">
        <f t="shared" si="17"/>
        <v>-3.8759848842056188E-2</v>
      </c>
    </row>
    <row r="950" spans="2:4" x14ac:dyDescent="0.2">
      <c r="B950" s="2">
        <v>37533</v>
      </c>
      <c r="C950" s="61">
        <v>2714.62</v>
      </c>
      <c r="D950" s="3">
        <f t="shared" si="17"/>
        <v>-3.5076244979206028E-2</v>
      </c>
    </row>
    <row r="951" spans="2:4" x14ac:dyDescent="0.2">
      <c r="B951" s="2">
        <v>37536</v>
      </c>
      <c r="C951" s="61">
        <v>2667.39</v>
      </c>
      <c r="D951" s="3">
        <f t="shared" si="17"/>
        <v>-1.7398383567497455E-2</v>
      </c>
    </row>
    <row r="952" spans="2:4" x14ac:dyDescent="0.2">
      <c r="B952" s="2">
        <v>37537</v>
      </c>
      <c r="C952" s="61">
        <v>2622.09</v>
      </c>
      <c r="D952" s="3">
        <f t="shared" si="17"/>
        <v>-1.6982893390167786E-2</v>
      </c>
    </row>
    <row r="953" spans="2:4" x14ac:dyDescent="0.2">
      <c r="B953" s="2">
        <v>37538</v>
      </c>
      <c r="C953" s="61">
        <v>2597.88</v>
      </c>
      <c r="D953" s="3">
        <f t="shared" si="17"/>
        <v>-9.2330926856057927E-3</v>
      </c>
    </row>
    <row r="954" spans="2:4" x14ac:dyDescent="0.2">
      <c r="B954" s="2">
        <v>37539</v>
      </c>
      <c r="C954" s="61">
        <v>2733.19</v>
      </c>
      <c r="D954" s="3">
        <f t="shared" si="17"/>
        <v>5.2084776818020817E-2</v>
      </c>
    </row>
    <row r="955" spans="2:4" x14ac:dyDescent="0.2">
      <c r="B955" s="2">
        <v>37540</v>
      </c>
      <c r="C955" s="61">
        <v>2930.74</v>
      </c>
      <c r="D955" s="3">
        <f t="shared" si="17"/>
        <v>7.2278180441169404E-2</v>
      </c>
    </row>
    <row r="956" spans="2:4" x14ac:dyDescent="0.2">
      <c r="B956" s="2">
        <v>37543</v>
      </c>
      <c r="C956" s="61">
        <v>2850.11</v>
      </c>
      <c r="D956" s="3">
        <f t="shared" si="17"/>
        <v>-2.7511822952564713E-2</v>
      </c>
    </row>
    <row r="957" spans="2:4" x14ac:dyDescent="0.2">
      <c r="B957" s="2">
        <v>37544</v>
      </c>
      <c r="C957" s="61">
        <v>3048.27</v>
      </c>
      <c r="D957" s="3">
        <f t="shared" si="17"/>
        <v>6.9527141057713404E-2</v>
      </c>
    </row>
    <row r="958" spans="2:4" x14ac:dyDescent="0.2">
      <c r="B958" s="2">
        <v>37545</v>
      </c>
      <c r="C958" s="61">
        <v>3008.93</v>
      </c>
      <c r="D958" s="3">
        <f t="shared" si="17"/>
        <v>-1.2905680927214447E-2</v>
      </c>
    </row>
    <row r="959" spans="2:4" x14ac:dyDescent="0.2">
      <c r="B959" s="2">
        <v>37546</v>
      </c>
      <c r="C959" s="61">
        <v>3172.46</v>
      </c>
      <c r="D959" s="3">
        <f t="shared" si="17"/>
        <v>5.4348223454849576E-2</v>
      </c>
    </row>
    <row r="960" spans="2:4" x14ac:dyDescent="0.2">
      <c r="B960" s="2">
        <v>37547</v>
      </c>
      <c r="C960" s="61">
        <v>3163.67</v>
      </c>
      <c r="D960" s="3">
        <f t="shared" si="17"/>
        <v>-2.7707205134186452E-3</v>
      </c>
    </row>
    <row r="961" spans="2:4" x14ac:dyDescent="0.2">
      <c r="B961" s="2">
        <v>37550</v>
      </c>
      <c r="C961" s="61">
        <v>3282.67</v>
      </c>
      <c r="D961" s="3">
        <f t="shared" si="17"/>
        <v>3.76145426040011E-2</v>
      </c>
    </row>
    <row r="962" spans="2:4" x14ac:dyDescent="0.2">
      <c r="B962" s="2">
        <v>37551</v>
      </c>
      <c r="C962" s="61">
        <v>3155.97</v>
      </c>
      <c r="D962" s="3">
        <f t="shared" si="17"/>
        <v>-3.8596630182138436E-2</v>
      </c>
    </row>
    <row r="963" spans="2:4" x14ac:dyDescent="0.2">
      <c r="B963" s="2">
        <v>37552</v>
      </c>
      <c r="C963" s="61">
        <v>3015.42</v>
      </c>
      <c r="D963" s="3">
        <f t="shared" si="17"/>
        <v>-4.453464386543593E-2</v>
      </c>
    </row>
    <row r="964" spans="2:4" x14ac:dyDescent="0.2">
      <c r="B964" s="2">
        <v>37553</v>
      </c>
      <c r="C964" s="61">
        <v>3090.01</v>
      </c>
      <c r="D964" s="3">
        <f t="shared" si="17"/>
        <v>2.4736189320227364E-2</v>
      </c>
    </row>
    <row r="965" spans="2:4" x14ac:dyDescent="0.2">
      <c r="B965" s="2">
        <v>37554</v>
      </c>
      <c r="C965" s="61">
        <v>3102.01</v>
      </c>
      <c r="D965" s="3">
        <f t="shared" ref="D965:D1028" si="18">C965/C964-1</f>
        <v>3.8834825777263049E-3</v>
      </c>
    </row>
    <row r="966" spans="2:4" x14ac:dyDescent="0.2">
      <c r="B966" s="2">
        <v>37557</v>
      </c>
      <c r="C966" s="61">
        <v>3198.96</v>
      </c>
      <c r="D966" s="3">
        <f t="shared" si="18"/>
        <v>3.1253928904162009E-2</v>
      </c>
    </row>
    <row r="967" spans="2:4" x14ac:dyDescent="0.2">
      <c r="B967" s="2">
        <v>37558</v>
      </c>
      <c r="C967" s="61">
        <v>3022.01</v>
      </c>
      <c r="D967" s="3">
        <f t="shared" si="18"/>
        <v>-5.531485232700617E-2</v>
      </c>
    </row>
    <row r="968" spans="2:4" x14ac:dyDescent="0.2">
      <c r="B968" s="2">
        <v>37559</v>
      </c>
      <c r="C968" s="61">
        <v>3113.59</v>
      </c>
      <c r="D968" s="3">
        <f t="shared" si="18"/>
        <v>3.0304333870503353E-2</v>
      </c>
    </row>
    <row r="969" spans="2:4" x14ac:dyDescent="0.2">
      <c r="B969" s="2">
        <v>37560</v>
      </c>
      <c r="C969" s="61">
        <v>3152.85</v>
      </c>
      <c r="D969" s="3">
        <f t="shared" si="18"/>
        <v>1.2609238852899551E-2</v>
      </c>
    </row>
    <row r="970" spans="2:4" x14ac:dyDescent="0.2">
      <c r="B970" s="2">
        <v>37561</v>
      </c>
      <c r="C970" s="61">
        <v>3165.16</v>
      </c>
      <c r="D970" s="3">
        <f t="shared" si="18"/>
        <v>3.9044039519799956E-3</v>
      </c>
    </row>
    <row r="971" spans="2:4" x14ac:dyDescent="0.2">
      <c r="B971" s="2">
        <v>37564</v>
      </c>
      <c r="C971" s="61">
        <v>3327.94</v>
      </c>
      <c r="D971" s="3">
        <f t="shared" si="18"/>
        <v>5.1428679750786799E-2</v>
      </c>
    </row>
    <row r="972" spans="2:4" x14ac:dyDescent="0.2">
      <c r="B972" s="2">
        <v>37565</v>
      </c>
      <c r="C972" s="61">
        <v>3351.32</v>
      </c>
      <c r="D972" s="3">
        <f t="shared" si="18"/>
        <v>7.0253670438771287E-3</v>
      </c>
    </row>
    <row r="973" spans="2:4" x14ac:dyDescent="0.2">
      <c r="B973" s="2">
        <v>37566</v>
      </c>
      <c r="C973" s="61">
        <v>3298.84</v>
      </c>
      <c r="D973" s="3">
        <f t="shared" si="18"/>
        <v>-1.5659501330818948E-2</v>
      </c>
    </row>
    <row r="974" spans="2:4" x14ac:dyDescent="0.2">
      <c r="B974" s="2">
        <v>37567</v>
      </c>
      <c r="C974" s="61">
        <v>3155.66</v>
      </c>
      <c r="D974" s="3">
        <f t="shared" si="18"/>
        <v>-4.3403135647682278E-2</v>
      </c>
    </row>
    <row r="975" spans="2:4" x14ac:dyDescent="0.2">
      <c r="B975" s="2">
        <v>37568</v>
      </c>
      <c r="C975" s="61">
        <v>3079.1</v>
      </c>
      <c r="D975" s="3">
        <f t="shared" si="18"/>
        <v>-2.4261168820468582E-2</v>
      </c>
    </row>
    <row r="976" spans="2:4" x14ac:dyDescent="0.2">
      <c r="B976" s="2">
        <v>37571</v>
      </c>
      <c r="C976" s="61">
        <v>3042.06</v>
      </c>
      <c r="D976" s="3">
        <f t="shared" si="18"/>
        <v>-1.2029489136435978E-2</v>
      </c>
    </row>
    <row r="977" spans="2:4" x14ac:dyDescent="0.2">
      <c r="B977" s="2">
        <v>37572</v>
      </c>
      <c r="C977" s="61">
        <v>3115.88</v>
      </c>
      <c r="D977" s="3">
        <f t="shared" si="18"/>
        <v>2.4266451023319702E-2</v>
      </c>
    </row>
    <row r="978" spans="2:4" x14ac:dyDescent="0.2">
      <c r="B978" s="2">
        <v>37573</v>
      </c>
      <c r="C978" s="61">
        <v>3066.42</v>
      </c>
      <c r="D978" s="3">
        <f t="shared" si="18"/>
        <v>-1.5873525296224544E-2</v>
      </c>
    </row>
    <row r="979" spans="2:4" x14ac:dyDescent="0.2">
      <c r="B979" s="2">
        <v>37574</v>
      </c>
      <c r="C979" s="61">
        <v>3188.39</v>
      </c>
      <c r="D979" s="3">
        <f t="shared" si="18"/>
        <v>3.9776025462917586E-2</v>
      </c>
    </row>
    <row r="980" spans="2:4" x14ac:dyDescent="0.2">
      <c r="B980" s="2">
        <v>37575</v>
      </c>
      <c r="C980" s="61">
        <v>3191.76</v>
      </c>
      <c r="D980" s="3">
        <f t="shared" si="18"/>
        <v>1.0569597822098764E-3</v>
      </c>
    </row>
    <row r="981" spans="2:4" x14ac:dyDescent="0.2">
      <c r="B981" s="2">
        <v>37578</v>
      </c>
      <c r="C981" s="61">
        <v>3218.36</v>
      </c>
      <c r="D981" s="3">
        <f t="shared" si="18"/>
        <v>8.3339599468630343E-3</v>
      </c>
    </row>
    <row r="982" spans="2:4" x14ac:dyDescent="0.2">
      <c r="B982" s="2">
        <v>37579</v>
      </c>
      <c r="C982" s="61">
        <v>3206.93</v>
      </c>
      <c r="D982" s="3">
        <f t="shared" si="18"/>
        <v>-3.5514982786264415E-3</v>
      </c>
    </row>
    <row r="983" spans="2:4" x14ac:dyDescent="0.2">
      <c r="B983" s="2">
        <v>37580</v>
      </c>
      <c r="C983" s="61">
        <v>3212.99</v>
      </c>
      <c r="D983" s="3">
        <f t="shared" si="18"/>
        <v>1.8896577100218082E-3</v>
      </c>
    </row>
    <row r="984" spans="2:4" x14ac:dyDescent="0.2">
      <c r="B984" s="2">
        <v>37581</v>
      </c>
      <c r="C984" s="61">
        <v>3304.63</v>
      </c>
      <c r="D984" s="3">
        <f t="shared" si="18"/>
        <v>2.8521719644319043E-2</v>
      </c>
    </row>
    <row r="985" spans="2:4" x14ac:dyDescent="0.2">
      <c r="B985" s="2">
        <v>37582</v>
      </c>
      <c r="C985" s="61">
        <v>3320.88</v>
      </c>
      <c r="D985" s="3">
        <f t="shared" si="18"/>
        <v>4.9173432426625752E-3</v>
      </c>
    </row>
    <row r="986" spans="2:4" x14ac:dyDescent="0.2">
      <c r="B986" s="2">
        <v>37585</v>
      </c>
      <c r="C986" s="61">
        <v>3299.24</v>
      </c>
      <c r="D986" s="3">
        <f t="shared" si="18"/>
        <v>-6.5163450651635202E-3</v>
      </c>
    </row>
    <row r="987" spans="2:4" x14ac:dyDescent="0.2">
      <c r="B987" s="2">
        <v>37586</v>
      </c>
      <c r="C987" s="61">
        <v>3191.63</v>
      </c>
      <c r="D987" s="3">
        <f t="shared" si="18"/>
        <v>-3.2616602611510448E-2</v>
      </c>
    </row>
    <row r="988" spans="2:4" x14ac:dyDescent="0.2">
      <c r="B988" s="2">
        <v>37587</v>
      </c>
      <c r="C988" s="61">
        <v>3346.14</v>
      </c>
      <c r="D988" s="3">
        <f t="shared" si="18"/>
        <v>4.8411000021932216E-2</v>
      </c>
    </row>
    <row r="989" spans="2:4" x14ac:dyDescent="0.2">
      <c r="B989" s="2">
        <v>37588</v>
      </c>
      <c r="C989" s="61">
        <v>3360.76</v>
      </c>
      <c r="D989" s="3">
        <f t="shared" si="18"/>
        <v>4.3692134818029693E-3</v>
      </c>
    </row>
    <row r="990" spans="2:4" x14ac:dyDescent="0.2">
      <c r="B990" s="2">
        <v>37589</v>
      </c>
      <c r="C990" s="61">
        <v>3320.32</v>
      </c>
      <c r="D990" s="3">
        <f t="shared" si="18"/>
        <v>-1.2032992537402309E-2</v>
      </c>
    </row>
    <row r="991" spans="2:4" x14ac:dyDescent="0.2">
      <c r="B991" s="2">
        <v>37592</v>
      </c>
      <c r="C991" s="61">
        <v>3380.2</v>
      </c>
      <c r="D991" s="3">
        <f t="shared" si="18"/>
        <v>1.8034406322282148E-2</v>
      </c>
    </row>
    <row r="992" spans="2:4" x14ac:dyDescent="0.2">
      <c r="B992" s="2">
        <v>37593</v>
      </c>
      <c r="C992" s="61">
        <v>3280.49</v>
      </c>
      <c r="D992" s="3">
        <f t="shared" si="18"/>
        <v>-2.9498254541151403E-2</v>
      </c>
    </row>
    <row r="993" spans="2:4" x14ac:dyDescent="0.2">
      <c r="B993" s="2">
        <v>37594</v>
      </c>
      <c r="C993" s="61">
        <v>3320.75</v>
      </c>
      <c r="D993" s="3">
        <f t="shared" si="18"/>
        <v>1.2272556843642368E-2</v>
      </c>
    </row>
    <row r="994" spans="2:4" x14ac:dyDescent="0.2">
      <c r="B994" s="2">
        <v>37595</v>
      </c>
      <c r="C994" s="61">
        <v>3224.74</v>
      </c>
      <c r="D994" s="3">
        <f t="shared" si="18"/>
        <v>-2.8912143341112806E-2</v>
      </c>
    </row>
    <row r="995" spans="2:4" x14ac:dyDescent="0.2">
      <c r="B995" s="2">
        <v>37596</v>
      </c>
      <c r="C995" s="61">
        <v>3207.53</v>
      </c>
      <c r="D995" s="3">
        <f t="shared" si="18"/>
        <v>-5.3368643673596949E-3</v>
      </c>
    </row>
    <row r="996" spans="2:4" x14ac:dyDescent="0.2">
      <c r="B996" s="2">
        <v>37599</v>
      </c>
      <c r="C996" s="61">
        <v>3065.57</v>
      </c>
      <c r="D996" s="3">
        <f t="shared" si="18"/>
        <v>-4.4258354559427393E-2</v>
      </c>
    </row>
    <row r="997" spans="2:4" x14ac:dyDescent="0.2">
      <c r="B997" s="2">
        <v>37600</v>
      </c>
      <c r="C997" s="61">
        <v>3167.99</v>
      </c>
      <c r="D997" s="3">
        <f t="shared" si="18"/>
        <v>3.3409773712555824E-2</v>
      </c>
    </row>
    <row r="998" spans="2:4" x14ac:dyDescent="0.2">
      <c r="B998" s="2">
        <v>37601</v>
      </c>
      <c r="C998" s="61">
        <v>3196.05</v>
      </c>
      <c r="D998" s="3">
        <f t="shared" si="18"/>
        <v>8.8573511911338443E-3</v>
      </c>
    </row>
    <row r="999" spans="2:4" x14ac:dyDescent="0.2">
      <c r="B999" s="2">
        <v>37602</v>
      </c>
      <c r="C999" s="61">
        <v>3111.88</v>
      </c>
      <c r="D999" s="3">
        <f t="shared" si="18"/>
        <v>-2.633563304704245E-2</v>
      </c>
    </row>
    <row r="1000" spans="2:4" x14ac:dyDescent="0.2">
      <c r="B1000" s="2">
        <v>37603</v>
      </c>
      <c r="C1000" s="61">
        <v>3077.06</v>
      </c>
      <c r="D1000" s="3">
        <f t="shared" si="18"/>
        <v>-1.1189377482422214E-2</v>
      </c>
    </row>
    <row r="1001" spans="2:4" x14ac:dyDescent="0.2">
      <c r="B1001" s="2">
        <v>37606</v>
      </c>
      <c r="C1001" s="61">
        <v>3205.29</v>
      </c>
      <c r="D1001" s="3">
        <f t="shared" si="18"/>
        <v>4.1672895556147838E-2</v>
      </c>
    </row>
    <row r="1002" spans="2:4" x14ac:dyDescent="0.2">
      <c r="B1002" s="2">
        <v>37607</v>
      </c>
      <c r="C1002" s="61">
        <v>3139.97</v>
      </c>
      <c r="D1002" s="3">
        <f t="shared" si="18"/>
        <v>-2.0378811277606768E-2</v>
      </c>
    </row>
    <row r="1003" spans="2:4" x14ac:dyDescent="0.2">
      <c r="B1003" s="2">
        <v>37608</v>
      </c>
      <c r="C1003" s="61">
        <v>3022.69</v>
      </c>
      <c r="D1003" s="3">
        <f t="shared" si="18"/>
        <v>-3.7350675324923421E-2</v>
      </c>
    </row>
    <row r="1004" spans="2:4" x14ac:dyDescent="0.2">
      <c r="B1004" s="2">
        <v>37609</v>
      </c>
      <c r="C1004" s="61">
        <v>2961.41</v>
      </c>
      <c r="D1004" s="3">
        <f t="shared" si="18"/>
        <v>-2.0273332693726553E-2</v>
      </c>
    </row>
    <row r="1005" spans="2:4" x14ac:dyDescent="0.2">
      <c r="B1005" s="2">
        <v>37610</v>
      </c>
      <c r="C1005" s="61">
        <v>3024.22</v>
      </c>
      <c r="D1005" s="3">
        <f t="shared" si="18"/>
        <v>2.1209491424692972E-2</v>
      </c>
    </row>
    <row r="1006" spans="2:4" x14ac:dyDescent="0.2">
      <c r="B1006" s="2">
        <v>37613</v>
      </c>
      <c r="C1006" s="61">
        <v>3000.84</v>
      </c>
      <c r="D1006" s="3">
        <f t="shared" si="18"/>
        <v>-7.7309190468946021E-3</v>
      </c>
    </row>
    <row r="1007" spans="2:4" x14ac:dyDescent="0.2">
      <c r="B1007" s="2">
        <v>37617</v>
      </c>
      <c r="C1007" s="61">
        <v>2840</v>
      </c>
      <c r="D1007" s="3">
        <f t="shared" si="18"/>
        <v>-5.3598325802108771E-2</v>
      </c>
    </row>
    <row r="1008" spans="2:4" x14ac:dyDescent="0.2">
      <c r="B1008" s="2">
        <v>37620</v>
      </c>
      <c r="C1008" s="61">
        <v>2892.63</v>
      </c>
      <c r="D1008" s="3">
        <f t="shared" si="18"/>
        <v>1.8531690140845214E-2</v>
      </c>
    </row>
    <row r="1009" spans="2:4" x14ac:dyDescent="0.2">
      <c r="B1009" s="2">
        <v>37623</v>
      </c>
      <c r="C1009" s="61">
        <v>3105.04</v>
      </c>
      <c r="D1009" s="3">
        <f t="shared" si="18"/>
        <v>7.3431444740599261E-2</v>
      </c>
    </row>
    <row r="1010" spans="2:4" x14ac:dyDescent="0.2">
      <c r="B1010" s="2">
        <v>37624</v>
      </c>
      <c r="C1010" s="61">
        <v>3092.94</v>
      </c>
      <c r="D1010" s="3">
        <f t="shared" si="18"/>
        <v>-3.8968902171951925E-3</v>
      </c>
    </row>
    <row r="1011" spans="2:4" x14ac:dyDescent="0.2">
      <c r="B1011" s="2">
        <v>37627</v>
      </c>
      <c r="C1011" s="61">
        <v>3157.25</v>
      </c>
      <c r="D1011" s="3">
        <f t="shared" si="18"/>
        <v>2.0792514565429743E-2</v>
      </c>
    </row>
    <row r="1012" spans="2:4" x14ac:dyDescent="0.2">
      <c r="B1012" s="2">
        <v>37628</v>
      </c>
      <c r="C1012" s="61">
        <v>3112.77</v>
      </c>
      <c r="D1012" s="3">
        <f t="shared" si="18"/>
        <v>-1.4088209676142216E-2</v>
      </c>
    </row>
    <row r="1013" spans="2:4" x14ac:dyDescent="0.2">
      <c r="B1013" s="2">
        <v>37629</v>
      </c>
      <c r="C1013" s="61">
        <v>2993</v>
      </c>
      <c r="D1013" s="3">
        <f t="shared" si="18"/>
        <v>-3.8476983522714447E-2</v>
      </c>
    </row>
    <row r="1014" spans="2:4" x14ac:dyDescent="0.2">
      <c r="B1014" s="2">
        <v>37630</v>
      </c>
      <c r="C1014" s="61">
        <v>3037.68</v>
      </c>
      <c r="D1014" s="3">
        <f t="shared" si="18"/>
        <v>1.492816572001332E-2</v>
      </c>
    </row>
    <row r="1015" spans="2:4" x14ac:dyDescent="0.2">
      <c r="B1015" s="2">
        <v>37631</v>
      </c>
      <c r="C1015" s="61">
        <v>3037.33</v>
      </c>
      <c r="D1015" s="3">
        <f t="shared" si="18"/>
        <v>-1.1521950962578575E-4</v>
      </c>
    </row>
    <row r="1016" spans="2:4" x14ac:dyDescent="0.2">
      <c r="B1016" s="2">
        <v>37634</v>
      </c>
      <c r="C1016" s="61">
        <v>3060.65</v>
      </c>
      <c r="D1016" s="3">
        <f t="shared" si="18"/>
        <v>7.6777959589509059E-3</v>
      </c>
    </row>
    <row r="1017" spans="2:4" x14ac:dyDescent="0.2">
      <c r="B1017" s="2">
        <v>37635</v>
      </c>
      <c r="C1017" s="61">
        <v>3098.72</v>
      </c>
      <c r="D1017" s="3">
        <f t="shared" si="18"/>
        <v>1.2438534298269799E-2</v>
      </c>
    </row>
    <row r="1018" spans="2:4" x14ac:dyDescent="0.2">
      <c r="B1018" s="2">
        <v>37636</v>
      </c>
      <c r="C1018" s="61">
        <v>3049.4</v>
      </c>
      <c r="D1018" s="3">
        <f t="shared" si="18"/>
        <v>-1.5916249290029327E-2</v>
      </c>
    </row>
    <row r="1019" spans="2:4" x14ac:dyDescent="0.2">
      <c r="B1019" s="2">
        <v>37637</v>
      </c>
      <c r="C1019" s="61">
        <v>3054.11</v>
      </c>
      <c r="D1019" s="3">
        <f t="shared" si="18"/>
        <v>1.5445661441595426E-3</v>
      </c>
    </row>
    <row r="1020" spans="2:4" x14ac:dyDescent="0.2">
      <c r="B1020" s="2">
        <v>37638</v>
      </c>
      <c r="C1020" s="61">
        <v>2918.82</v>
      </c>
      <c r="D1020" s="3">
        <f t="shared" si="18"/>
        <v>-4.4297684104370849E-2</v>
      </c>
    </row>
    <row r="1021" spans="2:4" x14ac:dyDescent="0.2">
      <c r="B1021" s="2">
        <v>37641</v>
      </c>
      <c r="C1021" s="61">
        <v>2893.55</v>
      </c>
      <c r="D1021" s="3">
        <f t="shared" si="18"/>
        <v>-8.657608211537493E-3</v>
      </c>
    </row>
    <row r="1022" spans="2:4" x14ac:dyDescent="0.2">
      <c r="B1022" s="2">
        <v>37642</v>
      </c>
      <c r="C1022" s="61">
        <v>2870.57</v>
      </c>
      <c r="D1022" s="3">
        <f t="shared" si="18"/>
        <v>-7.941801593198683E-3</v>
      </c>
    </row>
    <row r="1023" spans="2:4" x14ac:dyDescent="0.2">
      <c r="B1023" s="2">
        <v>37643</v>
      </c>
      <c r="C1023" s="61">
        <v>2803.25</v>
      </c>
      <c r="D1023" s="3">
        <f t="shared" si="18"/>
        <v>-2.3451788320786537E-2</v>
      </c>
    </row>
    <row r="1024" spans="2:4" x14ac:dyDescent="0.2">
      <c r="B1024" s="2">
        <v>37644</v>
      </c>
      <c r="C1024" s="61">
        <v>2811.22</v>
      </c>
      <c r="D1024" s="3">
        <f t="shared" si="18"/>
        <v>2.8431285115491089E-3</v>
      </c>
    </row>
    <row r="1025" spans="2:4" x14ac:dyDescent="0.2">
      <c r="B1025" s="2">
        <v>37645</v>
      </c>
      <c r="C1025" s="61">
        <v>2717.82</v>
      </c>
      <c r="D1025" s="3">
        <f t="shared" si="18"/>
        <v>-3.3224009504770002E-2</v>
      </c>
    </row>
    <row r="1026" spans="2:4" x14ac:dyDescent="0.2">
      <c r="B1026" s="2">
        <v>37648</v>
      </c>
      <c r="C1026" s="61">
        <v>2643.8</v>
      </c>
      <c r="D1026" s="3">
        <f t="shared" si="18"/>
        <v>-2.7235063396398584E-2</v>
      </c>
    </row>
    <row r="1027" spans="2:4" x14ac:dyDescent="0.2">
      <c r="B1027" s="2">
        <v>37649</v>
      </c>
      <c r="C1027" s="61">
        <v>2671.36</v>
      </c>
      <c r="D1027" s="3">
        <f t="shared" si="18"/>
        <v>1.0424389136848511E-2</v>
      </c>
    </row>
    <row r="1028" spans="2:4" x14ac:dyDescent="0.2">
      <c r="B1028" s="2">
        <v>37650</v>
      </c>
      <c r="C1028" s="61">
        <v>2706.57</v>
      </c>
      <c r="D1028" s="3">
        <f t="shared" si="18"/>
        <v>1.3180552228078568E-2</v>
      </c>
    </row>
    <row r="1029" spans="2:4" x14ac:dyDescent="0.2">
      <c r="B1029" s="2">
        <v>37651</v>
      </c>
      <c r="C1029" s="61">
        <v>2693.78</v>
      </c>
      <c r="D1029" s="3">
        <f t="shared" ref="D1029:D1092" si="19">C1029/C1028-1</f>
        <v>-4.7255382273504454E-3</v>
      </c>
    </row>
    <row r="1030" spans="2:4" x14ac:dyDescent="0.2">
      <c r="B1030" s="2">
        <v>37652</v>
      </c>
      <c r="C1030" s="61">
        <v>2747.83</v>
      </c>
      <c r="D1030" s="3">
        <f t="shared" si="19"/>
        <v>2.0064741738375025E-2</v>
      </c>
    </row>
    <row r="1031" spans="2:4" x14ac:dyDescent="0.2">
      <c r="B1031" s="2">
        <v>37655</v>
      </c>
      <c r="C1031" s="61">
        <v>2751.99</v>
      </c>
      <c r="D1031" s="3">
        <f t="shared" si="19"/>
        <v>1.5139218947313182E-3</v>
      </c>
    </row>
    <row r="1032" spans="2:4" x14ac:dyDescent="0.2">
      <c r="B1032" s="2">
        <v>37656</v>
      </c>
      <c r="C1032" s="61">
        <v>2632.98</v>
      </c>
      <c r="D1032" s="3">
        <f t="shared" si="19"/>
        <v>-4.3245069931213354E-2</v>
      </c>
    </row>
    <row r="1033" spans="2:4" x14ac:dyDescent="0.2">
      <c r="B1033" s="2">
        <v>37657</v>
      </c>
      <c r="C1033" s="61">
        <v>2725.88</v>
      </c>
      <c r="D1033" s="3">
        <f t="shared" si="19"/>
        <v>3.5283215216219022E-2</v>
      </c>
    </row>
    <row r="1034" spans="2:4" x14ac:dyDescent="0.2">
      <c r="B1034" s="2">
        <v>37658</v>
      </c>
      <c r="C1034" s="61">
        <v>2649</v>
      </c>
      <c r="D1034" s="3">
        <f t="shared" si="19"/>
        <v>-2.8203736041205074E-2</v>
      </c>
    </row>
    <row r="1035" spans="2:4" x14ac:dyDescent="0.2">
      <c r="B1035" s="2">
        <v>37659</v>
      </c>
      <c r="C1035" s="61">
        <v>2569.34</v>
      </c>
      <c r="D1035" s="3">
        <f t="shared" si="19"/>
        <v>-3.0071725179312891E-2</v>
      </c>
    </row>
    <row r="1036" spans="2:4" x14ac:dyDescent="0.2">
      <c r="B1036" s="2">
        <v>37662</v>
      </c>
      <c r="C1036" s="61">
        <v>2586.09</v>
      </c>
      <c r="D1036" s="3">
        <f t="shared" si="19"/>
        <v>6.5191839149354447E-3</v>
      </c>
    </row>
    <row r="1037" spans="2:4" x14ac:dyDescent="0.2">
      <c r="B1037" s="2">
        <v>37663</v>
      </c>
      <c r="C1037" s="61">
        <v>2627</v>
      </c>
      <c r="D1037" s="3">
        <f t="shared" si="19"/>
        <v>1.581924836335924E-2</v>
      </c>
    </row>
    <row r="1038" spans="2:4" x14ac:dyDescent="0.2">
      <c r="B1038" s="2">
        <v>37664</v>
      </c>
      <c r="C1038" s="61">
        <v>2571.25</v>
      </c>
      <c r="D1038" s="3">
        <f t="shared" si="19"/>
        <v>-2.1221926151503645E-2</v>
      </c>
    </row>
    <row r="1039" spans="2:4" x14ac:dyDescent="0.2">
      <c r="B1039" s="2">
        <v>37665</v>
      </c>
      <c r="C1039" s="61">
        <v>2555.27</v>
      </c>
      <c r="D1039" s="3">
        <f t="shared" si="19"/>
        <v>-6.2148760330578146E-3</v>
      </c>
    </row>
    <row r="1040" spans="2:4" x14ac:dyDescent="0.2">
      <c r="B1040" s="2">
        <v>37666</v>
      </c>
      <c r="C1040" s="61">
        <v>2674.46</v>
      </c>
      <c r="D1040" s="3">
        <f t="shared" si="19"/>
        <v>4.664477726424221E-2</v>
      </c>
    </row>
    <row r="1041" spans="2:4" x14ac:dyDescent="0.2">
      <c r="B1041" s="2">
        <v>37669</v>
      </c>
      <c r="C1041" s="61">
        <v>2708.97</v>
      </c>
      <c r="D1041" s="3">
        <f t="shared" si="19"/>
        <v>1.2903539406085685E-2</v>
      </c>
    </row>
    <row r="1042" spans="2:4" x14ac:dyDescent="0.2">
      <c r="B1042" s="2">
        <v>37670</v>
      </c>
      <c r="C1042" s="61">
        <v>2740.14</v>
      </c>
      <c r="D1042" s="3">
        <f t="shared" si="19"/>
        <v>1.1506218230545207E-2</v>
      </c>
    </row>
    <row r="1043" spans="2:4" x14ac:dyDescent="0.2">
      <c r="B1043" s="2">
        <v>37671</v>
      </c>
      <c r="C1043" s="61">
        <v>2624.65</v>
      </c>
      <c r="D1043" s="3">
        <f t="shared" si="19"/>
        <v>-4.2147481515542928E-2</v>
      </c>
    </row>
    <row r="1044" spans="2:4" x14ac:dyDescent="0.2">
      <c r="B1044" s="2">
        <v>37672</v>
      </c>
      <c r="C1044" s="61">
        <v>2591.2600000000002</v>
      </c>
      <c r="D1044" s="3">
        <f t="shared" si="19"/>
        <v>-1.2721696226163481E-2</v>
      </c>
    </row>
    <row r="1045" spans="2:4" x14ac:dyDescent="0.2">
      <c r="B1045" s="2">
        <v>37673</v>
      </c>
      <c r="C1045" s="61">
        <v>2648.87</v>
      </c>
      <c r="D1045" s="3">
        <f t="shared" si="19"/>
        <v>2.2232427467718363E-2</v>
      </c>
    </row>
    <row r="1046" spans="2:4" x14ac:dyDescent="0.2">
      <c r="B1046" s="2">
        <v>37676</v>
      </c>
      <c r="C1046" s="61">
        <v>2571.35</v>
      </c>
      <c r="D1046" s="3">
        <f t="shared" si="19"/>
        <v>-2.926530935833016E-2</v>
      </c>
    </row>
    <row r="1047" spans="2:4" x14ac:dyDescent="0.2">
      <c r="B1047" s="2">
        <v>37677</v>
      </c>
      <c r="C1047" s="61">
        <v>2485.5</v>
      </c>
      <c r="D1047" s="3">
        <f t="shared" si="19"/>
        <v>-3.3387131273455495E-2</v>
      </c>
    </row>
    <row r="1048" spans="2:4" x14ac:dyDescent="0.2">
      <c r="B1048" s="2">
        <v>37678</v>
      </c>
      <c r="C1048" s="61">
        <v>2450.1999999999998</v>
      </c>
      <c r="D1048" s="3">
        <f t="shared" si="19"/>
        <v>-1.4202373767853604E-2</v>
      </c>
    </row>
    <row r="1049" spans="2:4" x14ac:dyDescent="0.2">
      <c r="B1049" s="2">
        <v>37679</v>
      </c>
      <c r="C1049" s="61">
        <v>2513.2199999999998</v>
      </c>
      <c r="D1049" s="3">
        <f t="shared" si="19"/>
        <v>2.572034935923595E-2</v>
      </c>
    </row>
    <row r="1050" spans="2:4" x14ac:dyDescent="0.2">
      <c r="B1050" s="2">
        <v>37680</v>
      </c>
      <c r="C1050" s="61">
        <v>2547.0500000000002</v>
      </c>
      <c r="D1050" s="3">
        <f t="shared" si="19"/>
        <v>1.3460819188133355E-2</v>
      </c>
    </row>
    <row r="1051" spans="2:4" x14ac:dyDescent="0.2">
      <c r="B1051" s="2">
        <v>37683</v>
      </c>
      <c r="C1051" s="61">
        <v>2549.65</v>
      </c>
      <c r="D1051" s="3">
        <f t="shared" si="19"/>
        <v>1.0207887556192841E-3</v>
      </c>
    </row>
    <row r="1052" spans="2:4" x14ac:dyDescent="0.2">
      <c r="B1052" s="2">
        <v>37684</v>
      </c>
      <c r="C1052" s="61">
        <v>2501.0300000000002</v>
      </c>
      <c r="D1052" s="3">
        <f t="shared" si="19"/>
        <v>-1.9069284019375132E-2</v>
      </c>
    </row>
    <row r="1053" spans="2:4" x14ac:dyDescent="0.2">
      <c r="B1053" s="2">
        <v>37685</v>
      </c>
      <c r="C1053" s="61">
        <v>2498.02</v>
      </c>
      <c r="D1053" s="3">
        <f t="shared" si="19"/>
        <v>-1.2035041562876714E-3</v>
      </c>
    </row>
    <row r="1054" spans="2:4" x14ac:dyDescent="0.2">
      <c r="B1054" s="2">
        <v>37686</v>
      </c>
      <c r="C1054" s="61">
        <v>2437.5100000000002</v>
      </c>
      <c r="D1054" s="3">
        <f t="shared" si="19"/>
        <v>-2.4223184762331651E-2</v>
      </c>
    </row>
    <row r="1055" spans="2:4" x14ac:dyDescent="0.2">
      <c r="B1055" s="2">
        <v>37687</v>
      </c>
      <c r="C1055" s="61">
        <v>2431.66</v>
      </c>
      <c r="D1055" s="3">
        <f t="shared" si="19"/>
        <v>-2.3999901538866997E-3</v>
      </c>
    </row>
    <row r="1056" spans="2:4" x14ac:dyDescent="0.2">
      <c r="B1056" s="2">
        <v>37690</v>
      </c>
      <c r="C1056" s="61">
        <v>2329.04</v>
      </c>
      <c r="D1056" s="3">
        <f t="shared" si="19"/>
        <v>-4.2201623582244219E-2</v>
      </c>
    </row>
    <row r="1057" spans="2:4" x14ac:dyDescent="0.2">
      <c r="B1057" s="2">
        <v>37691</v>
      </c>
      <c r="C1057" s="61">
        <v>2305.3000000000002</v>
      </c>
      <c r="D1057" s="3">
        <f t="shared" si="19"/>
        <v>-1.0193040909559192E-2</v>
      </c>
    </row>
    <row r="1058" spans="2:4" x14ac:dyDescent="0.2">
      <c r="B1058" s="2">
        <v>37692</v>
      </c>
      <c r="C1058" s="61">
        <v>2202.96</v>
      </c>
      <c r="D1058" s="3">
        <f t="shared" si="19"/>
        <v>-4.439335444410708E-2</v>
      </c>
    </row>
    <row r="1059" spans="2:4" x14ac:dyDescent="0.2">
      <c r="B1059" s="2">
        <v>37693</v>
      </c>
      <c r="C1059" s="61">
        <v>2354.31</v>
      </c>
      <c r="D1059" s="3">
        <f t="shared" si="19"/>
        <v>6.8703017757925755E-2</v>
      </c>
    </row>
    <row r="1060" spans="2:4" x14ac:dyDescent="0.2">
      <c r="B1060" s="2">
        <v>37694</v>
      </c>
      <c r="C1060" s="61">
        <v>2403.19</v>
      </c>
      <c r="D1060" s="3">
        <f t="shared" si="19"/>
        <v>2.076192175202074E-2</v>
      </c>
    </row>
    <row r="1061" spans="2:4" x14ac:dyDescent="0.2">
      <c r="B1061" s="2">
        <v>37697</v>
      </c>
      <c r="C1061" s="61">
        <v>2487.12</v>
      </c>
      <c r="D1061" s="3">
        <f t="shared" si="19"/>
        <v>3.4924412967763718E-2</v>
      </c>
    </row>
    <row r="1062" spans="2:4" x14ac:dyDescent="0.2">
      <c r="B1062" s="2">
        <v>37698</v>
      </c>
      <c r="C1062" s="61">
        <v>2584.61</v>
      </c>
      <c r="D1062" s="3">
        <f t="shared" si="19"/>
        <v>3.9197947827205759E-2</v>
      </c>
    </row>
    <row r="1063" spans="2:4" x14ac:dyDescent="0.2">
      <c r="B1063" s="2">
        <v>37699</v>
      </c>
      <c r="C1063" s="61">
        <v>2615.2199999999998</v>
      </c>
      <c r="D1063" s="3">
        <f t="shared" si="19"/>
        <v>1.1843179435195195E-2</v>
      </c>
    </row>
    <row r="1064" spans="2:4" x14ac:dyDescent="0.2">
      <c r="B1064" s="2">
        <v>37700</v>
      </c>
      <c r="C1064" s="61">
        <v>2604.85</v>
      </c>
      <c r="D1064" s="3">
        <f t="shared" si="19"/>
        <v>-3.9652495774733509E-3</v>
      </c>
    </row>
    <row r="1065" spans="2:4" x14ac:dyDescent="0.2">
      <c r="B1065" s="2">
        <v>37701</v>
      </c>
      <c r="C1065" s="61">
        <v>2715.06</v>
      </c>
      <c r="D1065" s="3">
        <f t="shared" si="19"/>
        <v>4.230953797723469E-2</v>
      </c>
    </row>
    <row r="1066" spans="2:4" x14ac:dyDescent="0.2">
      <c r="B1066" s="2">
        <v>37704</v>
      </c>
      <c r="C1066" s="61">
        <v>2548.37</v>
      </c>
      <c r="D1066" s="3">
        <f t="shared" si="19"/>
        <v>-6.139459164806671E-2</v>
      </c>
    </row>
    <row r="1067" spans="2:4" x14ac:dyDescent="0.2">
      <c r="B1067" s="2">
        <v>37705</v>
      </c>
      <c r="C1067" s="61">
        <v>2636.1</v>
      </c>
      <c r="D1067" s="3">
        <f t="shared" si="19"/>
        <v>3.4425927161283454E-2</v>
      </c>
    </row>
    <row r="1068" spans="2:4" x14ac:dyDescent="0.2">
      <c r="B1068" s="2">
        <v>37706</v>
      </c>
      <c r="C1068" s="61">
        <v>2579.33</v>
      </c>
      <c r="D1068" s="3">
        <f t="shared" si="19"/>
        <v>-2.1535601836045637E-2</v>
      </c>
    </row>
    <row r="1069" spans="2:4" x14ac:dyDescent="0.2">
      <c r="B1069" s="2">
        <v>37707</v>
      </c>
      <c r="C1069" s="61">
        <v>2584.0500000000002</v>
      </c>
      <c r="D1069" s="3">
        <f t="shared" si="19"/>
        <v>1.8299325793909027E-3</v>
      </c>
    </row>
    <row r="1070" spans="2:4" x14ac:dyDescent="0.2">
      <c r="B1070" s="2">
        <v>37708</v>
      </c>
      <c r="C1070" s="61">
        <v>2520.84</v>
      </c>
      <c r="D1070" s="3">
        <f t="shared" si="19"/>
        <v>-2.4461600975213327E-2</v>
      </c>
    </row>
    <row r="1071" spans="2:4" x14ac:dyDescent="0.2">
      <c r="B1071" s="2">
        <v>37711</v>
      </c>
      <c r="C1071" s="61">
        <v>2423.87</v>
      </c>
      <c r="D1071" s="3">
        <f t="shared" si="19"/>
        <v>-3.8467336284730536E-2</v>
      </c>
    </row>
    <row r="1072" spans="2:4" x14ac:dyDescent="0.2">
      <c r="B1072" s="2">
        <v>37712</v>
      </c>
      <c r="C1072" s="61">
        <v>2450.19</v>
      </c>
      <c r="D1072" s="3">
        <f t="shared" si="19"/>
        <v>1.0858668162896601E-2</v>
      </c>
    </row>
    <row r="1073" spans="2:4" x14ac:dyDescent="0.2">
      <c r="B1073" s="2">
        <v>37713</v>
      </c>
      <c r="C1073" s="61">
        <v>2589.35</v>
      </c>
      <c r="D1073" s="3">
        <f t="shared" si="19"/>
        <v>5.6795595443618563E-2</v>
      </c>
    </row>
    <row r="1074" spans="2:4" x14ac:dyDescent="0.2">
      <c r="B1074" s="2">
        <v>37714</v>
      </c>
      <c r="C1074" s="61">
        <v>2569.81</v>
      </c>
      <c r="D1074" s="3">
        <f t="shared" si="19"/>
        <v>-7.5462954023209905E-3</v>
      </c>
    </row>
    <row r="1075" spans="2:4" x14ac:dyDescent="0.2">
      <c r="B1075" s="2">
        <v>37715</v>
      </c>
      <c r="C1075" s="61">
        <v>2654.07</v>
      </c>
      <c r="D1075" s="3">
        <f t="shared" si="19"/>
        <v>3.2788416264237563E-2</v>
      </c>
    </row>
    <row r="1076" spans="2:4" x14ac:dyDescent="0.2">
      <c r="B1076" s="2">
        <v>37718</v>
      </c>
      <c r="C1076" s="61">
        <v>2808.94</v>
      </c>
      <c r="D1076" s="3">
        <f t="shared" si="19"/>
        <v>5.8351889739155283E-2</v>
      </c>
    </row>
    <row r="1077" spans="2:4" x14ac:dyDescent="0.2">
      <c r="B1077" s="2">
        <v>37719</v>
      </c>
      <c r="C1077" s="61">
        <v>2767.79</v>
      </c>
      <c r="D1077" s="3">
        <f t="shared" si="19"/>
        <v>-1.4649654317999028E-2</v>
      </c>
    </row>
    <row r="1078" spans="2:4" x14ac:dyDescent="0.2">
      <c r="B1078" s="2">
        <v>37720</v>
      </c>
      <c r="C1078" s="61">
        <v>2734.1</v>
      </c>
      <c r="D1078" s="3">
        <f t="shared" si="19"/>
        <v>-1.2172166240935978E-2</v>
      </c>
    </row>
    <row r="1079" spans="2:4" x14ac:dyDescent="0.2">
      <c r="B1079" s="2">
        <v>37721</v>
      </c>
      <c r="C1079" s="61">
        <v>2697.1</v>
      </c>
      <c r="D1079" s="3">
        <f t="shared" si="19"/>
        <v>-1.3532789583409532E-2</v>
      </c>
    </row>
    <row r="1080" spans="2:4" x14ac:dyDescent="0.2">
      <c r="B1080" s="2">
        <v>37722</v>
      </c>
      <c r="C1080" s="61">
        <v>2733.95</v>
      </c>
      <c r="D1080" s="3">
        <f t="shared" si="19"/>
        <v>1.366282303214561E-2</v>
      </c>
    </row>
    <row r="1081" spans="2:4" x14ac:dyDescent="0.2">
      <c r="B1081" s="2">
        <v>37725</v>
      </c>
      <c r="C1081" s="61">
        <v>2776.78</v>
      </c>
      <c r="D1081" s="3">
        <f t="shared" si="19"/>
        <v>1.5665977797692188E-2</v>
      </c>
    </row>
    <row r="1082" spans="2:4" x14ac:dyDescent="0.2">
      <c r="B1082" s="2">
        <v>37726</v>
      </c>
      <c r="C1082" s="61">
        <v>2834.12</v>
      </c>
      <c r="D1082" s="3">
        <f t="shared" si="19"/>
        <v>2.0649817414415184E-2</v>
      </c>
    </row>
    <row r="1083" spans="2:4" x14ac:dyDescent="0.2">
      <c r="B1083" s="2">
        <v>37727</v>
      </c>
      <c r="C1083" s="61">
        <v>2824.68</v>
      </c>
      <c r="D1083" s="3">
        <f t="shared" si="19"/>
        <v>-3.3308399079785556E-3</v>
      </c>
    </row>
    <row r="1084" spans="2:4" x14ac:dyDescent="0.2">
      <c r="B1084" s="2">
        <v>37728</v>
      </c>
      <c r="C1084" s="61">
        <v>2899.78</v>
      </c>
      <c r="D1084" s="3">
        <f t="shared" si="19"/>
        <v>2.6587082430576281E-2</v>
      </c>
    </row>
    <row r="1085" spans="2:4" x14ac:dyDescent="0.2">
      <c r="B1085" s="2">
        <v>37733</v>
      </c>
      <c r="C1085" s="61">
        <v>2960.96</v>
      </c>
      <c r="D1085" s="3">
        <f t="shared" si="19"/>
        <v>2.1098152273620663E-2</v>
      </c>
    </row>
    <row r="1086" spans="2:4" x14ac:dyDescent="0.2">
      <c r="B1086" s="2">
        <v>37734</v>
      </c>
      <c r="C1086" s="61">
        <v>2974.4</v>
      </c>
      <c r="D1086" s="3">
        <f t="shared" si="19"/>
        <v>4.5390684102453172E-3</v>
      </c>
    </row>
    <row r="1087" spans="2:4" x14ac:dyDescent="0.2">
      <c r="B1087" s="2">
        <v>37735</v>
      </c>
      <c r="C1087" s="61">
        <v>2891.62</v>
      </c>
      <c r="D1087" s="3">
        <f t="shared" si="19"/>
        <v>-2.783082302313078E-2</v>
      </c>
    </row>
    <row r="1088" spans="2:4" x14ac:dyDescent="0.2">
      <c r="B1088" s="2">
        <v>37736</v>
      </c>
      <c r="C1088" s="61">
        <v>2838.23</v>
      </c>
      <c r="D1088" s="3">
        <f t="shared" si="19"/>
        <v>-1.8463698549601948E-2</v>
      </c>
    </row>
    <row r="1089" spans="2:4" x14ac:dyDescent="0.2">
      <c r="B1089" s="2">
        <v>37739</v>
      </c>
      <c r="C1089" s="61">
        <v>2953.92</v>
      </c>
      <c r="D1089" s="3">
        <f t="shared" si="19"/>
        <v>4.0761319554792896E-2</v>
      </c>
    </row>
    <row r="1090" spans="2:4" x14ac:dyDescent="0.2">
      <c r="B1090" s="2">
        <v>37740</v>
      </c>
      <c r="C1090" s="61">
        <v>2908.96</v>
      </c>
      <c r="D1090" s="3">
        <f t="shared" si="19"/>
        <v>-1.5220452822012787E-2</v>
      </c>
    </row>
    <row r="1091" spans="2:4" x14ac:dyDescent="0.2">
      <c r="B1091" s="2">
        <v>37741</v>
      </c>
      <c r="C1091" s="61">
        <v>2942.04</v>
      </c>
      <c r="D1091" s="3">
        <f t="shared" si="19"/>
        <v>1.1371761729277896E-2</v>
      </c>
    </row>
    <row r="1092" spans="2:4" x14ac:dyDescent="0.2">
      <c r="B1092" s="2">
        <v>37743</v>
      </c>
      <c r="C1092" s="61">
        <v>2986</v>
      </c>
      <c r="D1092" s="3">
        <f t="shared" si="19"/>
        <v>1.4942013024975775E-2</v>
      </c>
    </row>
    <row r="1093" spans="2:4" x14ac:dyDescent="0.2">
      <c r="B1093" s="2">
        <v>37746</v>
      </c>
      <c r="C1093" s="61">
        <v>3013.04</v>
      </c>
      <c r="D1093" s="3">
        <f t="shared" ref="D1093:D1156" si="20">C1093/C1092-1</f>
        <v>9.0555927662423485E-3</v>
      </c>
    </row>
    <row r="1094" spans="2:4" x14ac:dyDescent="0.2">
      <c r="B1094" s="2">
        <v>37747</v>
      </c>
      <c r="C1094" s="61">
        <v>3066.95</v>
      </c>
      <c r="D1094" s="3">
        <f t="shared" si="20"/>
        <v>1.7892228447016878E-2</v>
      </c>
    </row>
    <row r="1095" spans="2:4" x14ac:dyDescent="0.2">
      <c r="B1095" s="2">
        <v>37748</v>
      </c>
      <c r="C1095" s="61">
        <v>3005.64</v>
      </c>
      <c r="D1095" s="3">
        <f t="shared" si="20"/>
        <v>-1.9990544351880524E-2</v>
      </c>
    </row>
    <row r="1096" spans="2:4" x14ac:dyDescent="0.2">
      <c r="B1096" s="2">
        <v>37749</v>
      </c>
      <c r="C1096" s="61">
        <v>2886.08</v>
      </c>
      <c r="D1096" s="3">
        <f t="shared" si="20"/>
        <v>-3.9778549659972517E-2</v>
      </c>
    </row>
    <row r="1097" spans="2:4" x14ac:dyDescent="0.2">
      <c r="B1097" s="2">
        <v>37750</v>
      </c>
      <c r="C1097" s="61">
        <v>2956.59</v>
      </c>
      <c r="D1097" s="3">
        <f t="shared" si="20"/>
        <v>2.4431062202018072E-2</v>
      </c>
    </row>
    <row r="1098" spans="2:4" x14ac:dyDescent="0.2">
      <c r="B1098" s="2">
        <v>37753</v>
      </c>
      <c r="C1098" s="61">
        <v>2937.26</v>
      </c>
      <c r="D1098" s="3">
        <f t="shared" si="20"/>
        <v>-6.5379372858597185E-3</v>
      </c>
    </row>
    <row r="1099" spans="2:4" x14ac:dyDescent="0.2">
      <c r="B1099" s="2">
        <v>37754</v>
      </c>
      <c r="C1099" s="61">
        <v>2909.95</v>
      </c>
      <c r="D1099" s="3">
        <f t="shared" si="20"/>
        <v>-9.2977809250799348E-3</v>
      </c>
    </row>
    <row r="1100" spans="2:4" x14ac:dyDescent="0.2">
      <c r="B1100" s="2">
        <v>37755</v>
      </c>
      <c r="C1100" s="61">
        <v>2926.03</v>
      </c>
      <c r="D1100" s="3">
        <f t="shared" si="20"/>
        <v>5.5258681420644606E-3</v>
      </c>
    </row>
    <row r="1101" spans="2:4" x14ac:dyDescent="0.2">
      <c r="B1101" s="2">
        <v>37756</v>
      </c>
      <c r="C1101" s="61">
        <v>2989.38</v>
      </c>
      <c r="D1101" s="3">
        <f t="shared" si="20"/>
        <v>2.1650495722873586E-2</v>
      </c>
    </row>
    <row r="1102" spans="2:4" x14ac:dyDescent="0.2">
      <c r="B1102" s="2">
        <v>37757</v>
      </c>
      <c r="C1102" s="61">
        <v>2989.08</v>
      </c>
      <c r="D1102" s="3">
        <f t="shared" si="20"/>
        <v>-1.0035525761198372E-4</v>
      </c>
    </row>
    <row r="1103" spans="2:4" x14ac:dyDescent="0.2">
      <c r="B1103" s="2">
        <v>37760</v>
      </c>
      <c r="C1103" s="61">
        <v>2850.68</v>
      </c>
      <c r="D1103" s="3">
        <f t="shared" si="20"/>
        <v>-4.6301872147951895E-2</v>
      </c>
    </row>
    <row r="1104" spans="2:4" x14ac:dyDescent="0.2">
      <c r="B1104" s="2">
        <v>37761</v>
      </c>
      <c r="C1104" s="61">
        <v>2838.93</v>
      </c>
      <c r="D1104" s="3">
        <f t="shared" si="20"/>
        <v>-4.1218235649037593E-3</v>
      </c>
    </row>
    <row r="1105" spans="2:4" x14ac:dyDescent="0.2">
      <c r="B1105" s="2">
        <v>37762</v>
      </c>
      <c r="C1105" s="61">
        <v>2827.25</v>
      </c>
      <c r="D1105" s="3">
        <f t="shared" si="20"/>
        <v>-4.1142261344943032E-3</v>
      </c>
    </row>
    <row r="1106" spans="2:4" x14ac:dyDescent="0.2">
      <c r="B1106" s="2">
        <v>37763</v>
      </c>
      <c r="C1106" s="61">
        <v>2865.21</v>
      </c>
      <c r="D1106" s="3">
        <f t="shared" si="20"/>
        <v>1.3426474489344864E-2</v>
      </c>
    </row>
    <row r="1107" spans="2:4" x14ac:dyDescent="0.2">
      <c r="B1107" s="2">
        <v>37764</v>
      </c>
      <c r="C1107" s="61">
        <v>2822.83</v>
      </c>
      <c r="D1107" s="3">
        <f t="shared" si="20"/>
        <v>-1.4791236942492958E-2</v>
      </c>
    </row>
    <row r="1108" spans="2:4" x14ac:dyDescent="0.2">
      <c r="B1108" s="2">
        <v>37767</v>
      </c>
      <c r="C1108" s="61">
        <v>2828.28</v>
      </c>
      <c r="D1108" s="3">
        <f t="shared" si="20"/>
        <v>1.9306865804884499E-3</v>
      </c>
    </row>
    <row r="1109" spans="2:4" x14ac:dyDescent="0.2">
      <c r="B1109" s="2">
        <v>37768</v>
      </c>
      <c r="C1109" s="61">
        <v>2873.6</v>
      </c>
      <c r="D1109" s="3">
        <f t="shared" si="20"/>
        <v>1.6023873166730151E-2</v>
      </c>
    </row>
    <row r="1110" spans="2:4" x14ac:dyDescent="0.2">
      <c r="B1110" s="2">
        <v>37769</v>
      </c>
      <c r="C1110" s="61">
        <v>2919.54</v>
      </c>
      <c r="D1110" s="3">
        <f t="shared" si="20"/>
        <v>1.5986915367483423E-2</v>
      </c>
    </row>
    <row r="1111" spans="2:4" x14ac:dyDescent="0.2">
      <c r="B1111" s="2">
        <v>37770</v>
      </c>
      <c r="C1111" s="61">
        <v>2906.71</v>
      </c>
      <c r="D1111" s="3">
        <f t="shared" si="20"/>
        <v>-4.3945279050808805E-3</v>
      </c>
    </row>
    <row r="1112" spans="2:4" x14ac:dyDescent="0.2">
      <c r="B1112" s="2">
        <v>37771</v>
      </c>
      <c r="C1112" s="61">
        <v>2982.68</v>
      </c>
      <c r="D1112" s="3">
        <f t="shared" si="20"/>
        <v>2.6136078246539851E-2</v>
      </c>
    </row>
    <row r="1113" spans="2:4" x14ac:dyDescent="0.2">
      <c r="B1113" s="2">
        <v>37774</v>
      </c>
      <c r="C1113" s="61">
        <v>3064.56</v>
      </c>
      <c r="D1113" s="3">
        <f t="shared" si="20"/>
        <v>2.74518218514892E-2</v>
      </c>
    </row>
    <row r="1114" spans="2:4" x14ac:dyDescent="0.2">
      <c r="B1114" s="2">
        <v>37775</v>
      </c>
      <c r="C1114" s="61">
        <v>3026.82</v>
      </c>
      <c r="D1114" s="3">
        <f t="shared" si="20"/>
        <v>-1.2314981596052821E-2</v>
      </c>
    </row>
    <row r="1115" spans="2:4" x14ac:dyDescent="0.2">
      <c r="B1115" s="2">
        <v>37776</v>
      </c>
      <c r="C1115" s="61">
        <v>3080.02</v>
      </c>
      <c r="D1115" s="3">
        <f t="shared" si="20"/>
        <v>1.7576202086678316E-2</v>
      </c>
    </row>
    <row r="1116" spans="2:4" x14ac:dyDescent="0.2">
      <c r="B1116" s="2">
        <v>37777</v>
      </c>
      <c r="C1116" s="61">
        <v>3039.76</v>
      </c>
      <c r="D1116" s="3">
        <f t="shared" si="20"/>
        <v>-1.3071343692573345E-2</v>
      </c>
    </row>
    <row r="1117" spans="2:4" x14ac:dyDescent="0.2">
      <c r="B1117" s="2">
        <v>37778</v>
      </c>
      <c r="C1117" s="61">
        <v>3127.46</v>
      </c>
      <c r="D1117" s="3">
        <f t="shared" si="20"/>
        <v>2.8850961918046147E-2</v>
      </c>
    </row>
    <row r="1118" spans="2:4" x14ac:dyDescent="0.2">
      <c r="B1118" s="2">
        <v>37781</v>
      </c>
      <c r="C1118" s="61">
        <v>3094.76</v>
      </c>
      <c r="D1118" s="3">
        <f t="shared" si="20"/>
        <v>-1.0455769218471134E-2</v>
      </c>
    </row>
    <row r="1119" spans="2:4" x14ac:dyDescent="0.2">
      <c r="B1119" s="2">
        <v>37782</v>
      </c>
      <c r="C1119" s="61">
        <v>3140.34</v>
      </c>
      <c r="D1119" s="3">
        <f t="shared" si="20"/>
        <v>1.4728121082087098E-2</v>
      </c>
    </row>
    <row r="1120" spans="2:4" x14ac:dyDescent="0.2">
      <c r="B1120" s="2">
        <v>37783</v>
      </c>
      <c r="C1120" s="61">
        <v>3178.15</v>
      </c>
      <c r="D1120" s="3">
        <f t="shared" si="20"/>
        <v>1.204009756905311E-2</v>
      </c>
    </row>
    <row r="1121" spans="2:4" x14ac:dyDescent="0.2">
      <c r="B1121" s="2">
        <v>37784</v>
      </c>
      <c r="C1121" s="61">
        <v>3219.47</v>
      </c>
      <c r="D1121" s="3">
        <f t="shared" si="20"/>
        <v>1.300127432625886E-2</v>
      </c>
    </row>
    <row r="1122" spans="2:4" x14ac:dyDescent="0.2">
      <c r="B1122" s="2">
        <v>37785</v>
      </c>
      <c r="C1122" s="61">
        <v>3168.71</v>
      </c>
      <c r="D1122" s="3">
        <f t="shared" si="20"/>
        <v>-1.5766570273989089E-2</v>
      </c>
    </row>
    <row r="1123" spans="2:4" x14ac:dyDescent="0.2">
      <c r="B1123" s="2">
        <v>37788</v>
      </c>
      <c r="C1123" s="61">
        <v>3264.5</v>
      </c>
      <c r="D1123" s="3">
        <f t="shared" si="20"/>
        <v>3.0229967399982849E-2</v>
      </c>
    </row>
    <row r="1124" spans="2:4" x14ac:dyDescent="0.2">
      <c r="B1124" s="2">
        <v>37789</v>
      </c>
      <c r="C1124" s="61">
        <v>3286.48</v>
      </c>
      <c r="D1124" s="3">
        <f t="shared" si="20"/>
        <v>6.7330372185634424E-3</v>
      </c>
    </row>
    <row r="1125" spans="2:4" x14ac:dyDescent="0.2">
      <c r="B1125" s="2">
        <v>37790</v>
      </c>
      <c r="C1125" s="61">
        <v>3304.15</v>
      </c>
      <c r="D1125" s="3">
        <f t="shared" si="20"/>
        <v>5.3765731116575122E-3</v>
      </c>
    </row>
    <row r="1126" spans="2:4" x14ac:dyDescent="0.2">
      <c r="B1126" s="2">
        <v>37791</v>
      </c>
      <c r="C1126" s="61">
        <v>3247.11</v>
      </c>
      <c r="D1126" s="3">
        <f t="shared" si="20"/>
        <v>-1.7263138780019061E-2</v>
      </c>
    </row>
    <row r="1127" spans="2:4" x14ac:dyDescent="0.2">
      <c r="B1127" s="2">
        <v>37792</v>
      </c>
      <c r="C1127" s="61">
        <v>3238.98</v>
      </c>
      <c r="D1127" s="3">
        <f t="shared" si="20"/>
        <v>-2.5037648863143191E-3</v>
      </c>
    </row>
    <row r="1128" spans="2:4" x14ac:dyDescent="0.2">
      <c r="B1128" s="2">
        <v>37795</v>
      </c>
      <c r="C1128" s="61">
        <v>3186.39</v>
      </c>
      <c r="D1128" s="3">
        <f t="shared" si="20"/>
        <v>-1.6236593001500488E-2</v>
      </c>
    </row>
    <row r="1129" spans="2:4" x14ac:dyDescent="0.2">
      <c r="B1129" s="2">
        <v>37796</v>
      </c>
      <c r="C1129" s="61">
        <v>3217.34</v>
      </c>
      <c r="D1129" s="3">
        <f t="shared" si="20"/>
        <v>9.7131863958901388E-3</v>
      </c>
    </row>
    <row r="1130" spans="2:4" x14ac:dyDescent="0.2">
      <c r="B1130" s="2">
        <v>37797</v>
      </c>
      <c r="C1130" s="61">
        <v>3198.82</v>
      </c>
      <c r="D1130" s="3">
        <f t="shared" si="20"/>
        <v>-5.7563080059924721E-3</v>
      </c>
    </row>
    <row r="1131" spans="2:4" x14ac:dyDescent="0.2">
      <c r="B1131" s="2">
        <v>37798</v>
      </c>
      <c r="C1131" s="61">
        <v>3241.22</v>
      </c>
      <c r="D1131" s="3">
        <f t="shared" si="20"/>
        <v>1.3254887739853949E-2</v>
      </c>
    </row>
    <row r="1132" spans="2:4" x14ac:dyDescent="0.2">
      <c r="B1132" s="2">
        <v>37799</v>
      </c>
      <c r="C1132" s="61">
        <v>3224.66</v>
      </c>
      <c r="D1132" s="3">
        <f t="shared" si="20"/>
        <v>-5.1091872813323613E-3</v>
      </c>
    </row>
    <row r="1133" spans="2:4" x14ac:dyDescent="0.2">
      <c r="B1133" s="2">
        <v>37802</v>
      </c>
      <c r="C1133" s="61">
        <v>3220.58</v>
      </c>
      <c r="D1133" s="3">
        <f t="shared" si="20"/>
        <v>-1.2652496697326265E-3</v>
      </c>
    </row>
    <row r="1134" spans="2:4" x14ac:dyDescent="0.2">
      <c r="B1134" s="2">
        <v>37803</v>
      </c>
      <c r="C1134" s="61">
        <v>3146.55</v>
      </c>
      <c r="D1134" s="3">
        <f t="shared" si="20"/>
        <v>-2.2986542796639031E-2</v>
      </c>
    </row>
    <row r="1135" spans="2:4" x14ac:dyDescent="0.2">
      <c r="B1135" s="2">
        <v>37804</v>
      </c>
      <c r="C1135" s="61">
        <v>3241.04</v>
      </c>
      <c r="D1135" s="3">
        <f t="shared" si="20"/>
        <v>3.0029715084775255E-2</v>
      </c>
    </row>
    <row r="1136" spans="2:4" x14ac:dyDescent="0.2">
      <c r="B1136" s="2">
        <v>37805</v>
      </c>
      <c r="C1136" s="61">
        <v>3241.92</v>
      </c>
      <c r="D1136" s="3">
        <f t="shared" si="20"/>
        <v>2.7151778441480978E-4</v>
      </c>
    </row>
    <row r="1137" spans="2:4" x14ac:dyDescent="0.2">
      <c r="B1137" s="2">
        <v>37806</v>
      </c>
      <c r="C1137" s="61">
        <v>3239.61</v>
      </c>
      <c r="D1137" s="3">
        <f t="shared" si="20"/>
        <v>-7.1254071661230878E-4</v>
      </c>
    </row>
    <row r="1138" spans="2:4" x14ac:dyDescent="0.2">
      <c r="B1138" s="2">
        <v>37809</v>
      </c>
      <c r="C1138" s="61">
        <v>3332.87</v>
      </c>
      <c r="D1138" s="3">
        <f t="shared" si="20"/>
        <v>2.878741576918209E-2</v>
      </c>
    </row>
    <row r="1139" spans="2:4" x14ac:dyDescent="0.2">
      <c r="B1139" s="2">
        <v>37810</v>
      </c>
      <c r="C1139" s="61">
        <v>3344.46</v>
      </c>
      <c r="D1139" s="3">
        <f t="shared" si="20"/>
        <v>3.4774833701884944E-3</v>
      </c>
    </row>
    <row r="1140" spans="2:4" x14ac:dyDescent="0.2">
      <c r="B1140" s="2">
        <v>37811</v>
      </c>
      <c r="C1140" s="61">
        <v>3322.43</v>
      </c>
      <c r="D1140" s="3">
        <f t="shared" si="20"/>
        <v>-6.5870125521011458E-3</v>
      </c>
    </row>
    <row r="1141" spans="2:4" x14ac:dyDescent="0.2">
      <c r="B1141" s="2">
        <v>37812</v>
      </c>
      <c r="C1141" s="61">
        <v>3269.84</v>
      </c>
      <c r="D1141" s="3">
        <f t="shared" si="20"/>
        <v>-1.5828775926054028E-2</v>
      </c>
    </row>
    <row r="1142" spans="2:4" x14ac:dyDescent="0.2">
      <c r="B1142" s="2">
        <v>37813</v>
      </c>
      <c r="C1142" s="61">
        <v>3326.51</v>
      </c>
      <c r="D1142" s="3">
        <f t="shared" si="20"/>
        <v>1.7331123235387658E-2</v>
      </c>
    </row>
    <row r="1143" spans="2:4" x14ac:dyDescent="0.2">
      <c r="B1143" s="2">
        <v>37816</v>
      </c>
      <c r="C1143" s="61">
        <v>3396.07</v>
      </c>
      <c r="D1143" s="3">
        <f t="shared" si="20"/>
        <v>2.0910804416640838E-2</v>
      </c>
    </row>
    <row r="1144" spans="2:4" x14ac:dyDescent="0.2">
      <c r="B1144" s="2">
        <v>37817</v>
      </c>
      <c r="C1144" s="61">
        <v>3384.69</v>
      </c>
      <c r="D1144" s="3">
        <f t="shared" si="20"/>
        <v>-3.3509321068175835E-3</v>
      </c>
    </row>
    <row r="1145" spans="2:4" x14ac:dyDescent="0.2">
      <c r="B1145" s="2">
        <v>37818</v>
      </c>
      <c r="C1145" s="61">
        <v>3387.64</v>
      </c>
      <c r="D1145" s="3">
        <f t="shared" si="20"/>
        <v>8.7157169489660014E-4</v>
      </c>
    </row>
    <row r="1146" spans="2:4" x14ac:dyDescent="0.2">
      <c r="B1146" s="2">
        <v>37819</v>
      </c>
      <c r="C1146" s="61">
        <v>3330.68</v>
      </c>
      <c r="D1146" s="3">
        <f t="shared" si="20"/>
        <v>-1.6814065248963894E-2</v>
      </c>
    </row>
    <row r="1147" spans="2:4" x14ac:dyDescent="0.2">
      <c r="B1147" s="2">
        <v>37820</v>
      </c>
      <c r="C1147" s="61">
        <v>3366.71</v>
      </c>
      <c r="D1147" s="3">
        <f t="shared" si="20"/>
        <v>1.0817610818211421E-2</v>
      </c>
    </row>
    <row r="1148" spans="2:4" x14ac:dyDescent="0.2">
      <c r="B1148" s="2">
        <v>37823</v>
      </c>
      <c r="C1148" s="61">
        <v>3287</v>
      </c>
      <c r="D1148" s="3">
        <f t="shared" si="20"/>
        <v>-2.3675932884032247E-2</v>
      </c>
    </row>
    <row r="1149" spans="2:4" x14ac:dyDescent="0.2">
      <c r="B1149" s="2">
        <v>37824</v>
      </c>
      <c r="C1149" s="61">
        <v>3318.15</v>
      </c>
      <c r="D1149" s="3">
        <f t="shared" si="20"/>
        <v>9.4767264983268706E-3</v>
      </c>
    </row>
    <row r="1150" spans="2:4" x14ac:dyDescent="0.2">
      <c r="B1150" s="2">
        <v>37825</v>
      </c>
      <c r="C1150" s="61">
        <v>3304.48</v>
      </c>
      <c r="D1150" s="3">
        <f t="shared" si="20"/>
        <v>-4.1197655319982207E-3</v>
      </c>
    </row>
    <row r="1151" spans="2:4" x14ac:dyDescent="0.2">
      <c r="B1151" s="2">
        <v>37826</v>
      </c>
      <c r="C1151" s="61">
        <v>3374.82</v>
      </c>
      <c r="D1151" s="3">
        <f t="shared" si="20"/>
        <v>2.1286253813005418E-2</v>
      </c>
    </row>
    <row r="1152" spans="2:4" x14ac:dyDescent="0.2">
      <c r="B1152" s="2">
        <v>37827</v>
      </c>
      <c r="C1152" s="61">
        <v>3356.89</v>
      </c>
      <c r="D1152" s="3">
        <f t="shared" si="20"/>
        <v>-5.312875945976514E-3</v>
      </c>
    </row>
    <row r="1153" spans="2:4" x14ac:dyDescent="0.2">
      <c r="B1153" s="2">
        <v>37830</v>
      </c>
      <c r="C1153" s="61">
        <v>3417.77</v>
      </c>
      <c r="D1153" s="3">
        <f t="shared" si="20"/>
        <v>1.813583406069319E-2</v>
      </c>
    </row>
    <row r="1154" spans="2:4" x14ac:dyDescent="0.2">
      <c r="B1154" s="2">
        <v>37831</v>
      </c>
      <c r="C1154" s="61">
        <v>3428.12</v>
      </c>
      <c r="D1154" s="3">
        <f t="shared" si="20"/>
        <v>3.0282903764735636E-3</v>
      </c>
    </row>
    <row r="1155" spans="2:4" x14ac:dyDescent="0.2">
      <c r="B1155" s="2">
        <v>37832</v>
      </c>
      <c r="C1155" s="61">
        <v>3429.03</v>
      </c>
      <c r="D1155" s="3">
        <f t="shared" si="20"/>
        <v>2.6545161779645277E-4</v>
      </c>
    </row>
    <row r="1156" spans="2:4" x14ac:dyDescent="0.2">
      <c r="B1156" s="2">
        <v>37833</v>
      </c>
      <c r="C1156" s="61">
        <v>3487.86</v>
      </c>
      <c r="D1156" s="3">
        <f t="shared" si="20"/>
        <v>1.7156455324100373E-2</v>
      </c>
    </row>
    <row r="1157" spans="2:4" x14ac:dyDescent="0.2">
      <c r="B1157" s="2">
        <v>37834</v>
      </c>
      <c r="C1157" s="61">
        <v>3438.89</v>
      </c>
      <c r="D1157" s="3">
        <f t="shared" ref="D1157:D1220" si="21">C1157/C1156-1</f>
        <v>-1.4040127757421583E-2</v>
      </c>
    </row>
    <row r="1158" spans="2:4" x14ac:dyDescent="0.2">
      <c r="B1158" s="2">
        <v>37837</v>
      </c>
      <c r="C1158" s="61">
        <v>3405.31</v>
      </c>
      <c r="D1158" s="3">
        <f t="shared" si="21"/>
        <v>-9.7647787512831208E-3</v>
      </c>
    </row>
    <row r="1159" spans="2:4" x14ac:dyDescent="0.2">
      <c r="B1159" s="2">
        <v>37838</v>
      </c>
      <c r="C1159" s="61">
        <v>3438.36</v>
      </c>
      <c r="D1159" s="3">
        <f t="shared" si="21"/>
        <v>9.7054306362711618E-3</v>
      </c>
    </row>
    <row r="1160" spans="2:4" x14ac:dyDescent="0.2">
      <c r="B1160" s="2">
        <v>37839</v>
      </c>
      <c r="C1160" s="61">
        <v>3375.66</v>
      </c>
      <c r="D1160" s="3">
        <f t="shared" si="21"/>
        <v>-1.8235437825009693E-2</v>
      </c>
    </row>
    <row r="1161" spans="2:4" x14ac:dyDescent="0.2">
      <c r="B1161" s="2">
        <v>37840</v>
      </c>
      <c r="C1161" s="61">
        <v>3331.89</v>
      </c>
      <c r="D1161" s="3">
        <f t="shared" si="21"/>
        <v>-1.2966353246476214E-2</v>
      </c>
    </row>
    <row r="1162" spans="2:4" x14ac:dyDescent="0.2">
      <c r="B1162" s="2">
        <v>37841</v>
      </c>
      <c r="C1162" s="61">
        <v>3332.24</v>
      </c>
      <c r="D1162" s="3">
        <f t="shared" si="21"/>
        <v>1.0504548469492114E-4</v>
      </c>
    </row>
    <row r="1163" spans="2:4" x14ac:dyDescent="0.2">
      <c r="B1163" s="2">
        <v>37844</v>
      </c>
      <c r="C1163" s="61">
        <v>3339.58</v>
      </c>
      <c r="D1163" s="3">
        <f t="shared" si="21"/>
        <v>2.2027224929777045E-3</v>
      </c>
    </row>
    <row r="1164" spans="2:4" x14ac:dyDescent="0.2">
      <c r="B1164" s="2">
        <v>37845</v>
      </c>
      <c r="C1164" s="61">
        <v>3381.71</v>
      </c>
      <c r="D1164" s="3">
        <f t="shared" si="21"/>
        <v>1.2615358817575917E-2</v>
      </c>
    </row>
    <row r="1165" spans="2:4" x14ac:dyDescent="0.2">
      <c r="B1165" s="2">
        <v>37846</v>
      </c>
      <c r="C1165" s="61">
        <v>3398.89</v>
      </c>
      <c r="D1165" s="3">
        <f t="shared" si="21"/>
        <v>5.0802700408965062E-3</v>
      </c>
    </row>
    <row r="1166" spans="2:4" x14ac:dyDescent="0.2">
      <c r="B1166" s="2">
        <v>37847</v>
      </c>
      <c r="C1166" s="61">
        <v>3452.7</v>
      </c>
      <c r="D1166" s="3">
        <f t="shared" si="21"/>
        <v>1.5831639152782184E-2</v>
      </c>
    </row>
    <row r="1167" spans="2:4" x14ac:dyDescent="0.2">
      <c r="B1167" s="2">
        <v>37848</v>
      </c>
      <c r="C1167" s="61">
        <v>3443.93</v>
      </c>
      <c r="D1167" s="3">
        <f t="shared" si="21"/>
        <v>-2.5400411272337164E-3</v>
      </c>
    </row>
    <row r="1168" spans="2:4" x14ac:dyDescent="0.2">
      <c r="B1168" s="2">
        <v>37851</v>
      </c>
      <c r="C1168" s="61">
        <v>3507.23</v>
      </c>
      <c r="D1168" s="3">
        <f t="shared" si="21"/>
        <v>1.8380164521346387E-2</v>
      </c>
    </row>
    <row r="1169" spans="2:4" x14ac:dyDescent="0.2">
      <c r="B1169" s="2">
        <v>37852</v>
      </c>
      <c r="C1169" s="61">
        <v>3504.53</v>
      </c>
      <c r="D1169" s="3">
        <f t="shared" si="21"/>
        <v>-7.6983830544330445E-4</v>
      </c>
    </row>
    <row r="1170" spans="2:4" x14ac:dyDescent="0.2">
      <c r="B1170" s="2">
        <v>37853</v>
      </c>
      <c r="C1170" s="61">
        <v>3501.23</v>
      </c>
      <c r="D1170" s="3">
        <f t="shared" si="21"/>
        <v>-9.4163839373617719E-4</v>
      </c>
    </row>
    <row r="1171" spans="2:4" x14ac:dyDescent="0.2">
      <c r="B1171" s="2">
        <v>37854</v>
      </c>
      <c r="C1171" s="61">
        <v>3565.47</v>
      </c>
      <c r="D1171" s="3">
        <f t="shared" si="21"/>
        <v>1.834783775987292E-2</v>
      </c>
    </row>
    <row r="1172" spans="2:4" x14ac:dyDescent="0.2">
      <c r="B1172" s="2">
        <v>37855</v>
      </c>
      <c r="C1172" s="61">
        <v>3549.05</v>
      </c>
      <c r="D1172" s="3">
        <f t="shared" si="21"/>
        <v>-4.6052834549160648E-3</v>
      </c>
    </row>
    <row r="1173" spans="2:4" x14ac:dyDescent="0.2">
      <c r="B1173" s="2">
        <v>37858</v>
      </c>
      <c r="C1173" s="61">
        <v>3500.09</v>
      </c>
      <c r="D1173" s="3">
        <f t="shared" si="21"/>
        <v>-1.3795240979980528E-2</v>
      </c>
    </row>
    <row r="1174" spans="2:4" x14ac:dyDescent="0.2">
      <c r="B1174" s="2">
        <v>37859</v>
      </c>
      <c r="C1174" s="61">
        <v>3455.48</v>
      </c>
      <c r="D1174" s="3">
        <f t="shared" si="21"/>
        <v>-1.2745386547203141E-2</v>
      </c>
    </row>
    <row r="1175" spans="2:4" x14ac:dyDescent="0.2">
      <c r="B1175" s="2">
        <v>37860</v>
      </c>
      <c r="C1175" s="61">
        <v>3483.08</v>
      </c>
      <c r="D1175" s="3">
        <f t="shared" si="21"/>
        <v>7.9873129058769532E-3</v>
      </c>
    </row>
    <row r="1176" spans="2:4" x14ac:dyDescent="0.2">
      <c r="B1176" s="2">
        <v>37861</v>
      </c>
      <c r="C1176" s="61">
        <v>3492.67</v>
      </c>
      <c r="D1176" s="3">
        <f t="shared" si="21"/>
        <v>2.7533102885952676E-3</v>
      </c>
    </row>
    <row r="1177" spans="2:4" x14ac:dyDescent="0.2">
      <c r="B1177" s="2">
        <v>37862</v>
      </c>
      <c r="C1177" s="61">
        <v>3484.58</v>
      </c>
      <c r="D1177" s="3">
        <f t="shared" si="21"/>
        <v>-2.3162795225429855E-3</v>
      </c>
    </row>
    <row r="1178" spans="2:4" x14ac:dyDescent="0.2">
      <c r="B1178" s="2">
        <v>37865</v>
      </c>
      <c r="C1178" s="61">
        <v>3571.22</v>
      </c>
      <c r="D1178" s="3">
        <f t="shared" si="21"/>
        <v>2.4863828639319463E-2</v>
      </c>
    </row>
    <row r="1179" spans="2:4" x14ac:dyDescent="0.2">
      <c r="B1179" s="2">
        <v>37866</v>
      </c>
      <c r="C1179" s="61">
        <v>3567.2</v>
      </c>
      <c r="D1179" s="3">
        <f t="shared" si="21"/>
        <v>-1.125665738879178E-3</v>
      </c>
    </row>
    <row r="1180" spans="2:4" x14ac:dyDescent="0.2">
      <c r="B1180" s="2">
        <v>37867</v>
      </c>
      <c r="C1180" s="61">
        <v>3647.51</v>
      </c>
      <c r="D1180" s="3">
        <f t="shared" si="21"/>
        <v>2.2513455931823412E-2</v>
      </c>
    </row>
    <row r="1181" spans="2:4" x14ac:dyDescent="0.2">
      <c r="B1181" s="2">
        <v>37868</v>
      </c>
      <c r="C1181" s="61">
        <v>3668.67</v>
      </c>
      <c r="D1181" s="3">
        <f t="shared" si="21"/>
        <v>5.8012178170860906E-3</v>
      </c>
    </row>
    <row r="1182" spans="2:4" x14ac:dyDescent="0.2">
      <c r="B1182" s="2">
        <v>37869</v>
      </c>
      <c r="C1182" s="61">
        <v>3607.71</v>
      </c>
      <c r="D1182" s="3">
        <f t="shared" si="21"/>
        <v>-1.661637596186083E-2</v>
      </c>
    </row>
    <row r="1183" spans="2:4" x14ac:dyDescent="0.2">
      <c r="B1183" s="2">
        <v>37872</v>
      </c>
      <c r="C1183" s="61">
        <v>3641.53</v>
      </c>
      <c r="D1183" s="3">
        <f t="shared" si="21"/>
        <v>9.3743676736766091E-3</v>
      </c>
    </row>
    <row r="1184" spans="2:4" x14ac:dyDescent="0.2">
      <c r="B1184" s="2">
        <v>37873</v>
      </c>
      <c r="C1184" s="61">
        <v>3594.4</v>
      </c>
      <c r="D1184" s="3">
        <f t="shared" si="21"/>
        <v>-1.2942362138991026E-2</v>
      </c>
    </row>
    <row r="1185" spans="2:4" x14ac:dyDescent="0.2">
      <c r="B1185" s="2">
        <v>37874</v>
      </c>
      <c r="C1185" s="61">
        <v>3536.87</v>
      </c>
      <c r="D1185" s="3">
        <f t="shared" si="21"/>
        <v>-1.6005452926775021E-2</v>
      </c>
    </row>
    <row r="1186" spans="2:4" x14ac:dyDescent="0.2">
      <c r="B1186" s="2">
        <v>37875</v>
      </c>
      <c r="C1186" s="61">
        <v>3566.85</v>
      </c>
      <c r="D1186" s="3">
        <f t="shared" si="21"/>
        <v>8.476421242511023E-3</v>
      </c>
    </row>
    <row r="1187" spans="2:4" x14ac:dyDescent="0.2">
      <c r="B1187" s="2">
        <v>37876</v>
      </c>
      <c r="C1187" s="61">
        <v>3508.06</v>
      </c>
      <c r="D1187" s="3">
        <f t="shared" si="21"/>
        <v>-1.6482330347505458E-2</v>
      </c>
    </row>
    <row r="1188" spans="2:4" x14ac:dyDescent="0.2">
      <c r="B1188" s="2">
        <v>37879</v>
      </c>
      <c r="C1188" s="61">
        <v>3516.31</v>
      </c>
      <c r="D1188" s="3">
        <f t="shared" si="21"/>
        <v>2.3517271654418526E-3</v>
      </c>
    </row>
    <row r="1189" spans="2:4" x14ac:dyDescent="0.2">
      <c r="B1189" s="2">
        <v>37880</v>
      </c>
      <c r="C1189" s="61">
        <v>3564.75</v>
      </c>
      <c r="D1189" s="3">
        <f t="shared" si="21"/>
        <v>1.3775804749865728E-2</v>
      </c>
    </row>
    <row r="1190" spans="2:4" x14ac:dyDescent="0.2">
      <c r="B1190" s="2">
        <v>37881</v>
      </c>
      <c r="C1190" s="61">
        <v>3561.03</v>
      </c>
      <c r="D1190" s="3">
        <f t="shared" si="21"/>
        <v>-1.0435514411949454E-3</v>
      </c>
    </row>
    <row r="1191" spans="2:4" x14ac:dyDescent="0.2">
      <c r="B1191" s="2">
        <v>37882</v>
      </c>
      <c r="C1191" s="61">
        <v>3612.02</v>
      </c>
      <c r="D1191" s="3">
        <f t="shared" si="21"/>
        <v>1.4318890882693891E-2</v>
      </c>
    </row>
    <row r="1192" spans="2:4" x14ac:dyDescent="0.2">
      <c r="B1192" s="2">
        <v>37883</v>
      </c>
      <c r="C1192" s="61">
        <v>3578.7</v>
      </c>
      <c r="D1192" s="3">
        <f t="shared" si="21"/>
        <v>-9.2247551231721125E-3</v>
      </c>
    </row>
    <row r="1193" spans="2:4" x14ac:dyDescent="0.2">
      <c r="B1193" s="2">
        <v>37886</v>
      </c>
      <c r="C1193" s="61">
        <v>3456.27</v>
      </c>
      <c r="D1193" s="3">
        <f t="shared" si="21"/>
        <v>-3.4210746919272284E-2</v>
      </c>
    </row>
    <row r="1194" spans="2:4" x14ac:dyDescent="0.2">
      <c r="B1194" s="2">
        <v>37887</v>
      </c>
      <c r="C1194" s="61">
        <v>3411.02</v>
      </c>
      <c r="D1194" s="3">
        <f t="shared" si="21"/>
        <v>-1.3092148472196863E-2</v>
      </c>
    </row>
    <row r="1195" spans="2:4" x14ac:dyDescent="0.2">
      <c r="B1195" s="2">
        <v>37888</v>
      </c>
      <c r="C1195" s="61">
        <v>3307.34</v>
      </c>
      <c r="D1195" s="3">
        <f t="shared" si="21"/>
        <v>-3.0395600143065638E-2</v>
      </c>
    </row>
    <row r="1196" spans="2:4" x14ac:dyDescent="0.2">
      <c r="B1196" s="2">
        <v>37889</v>
      </c>
      <c r="C1196" s="61">
        <v>3326.27</v>
      </c>
      <c r="D1196" s="3">
        <f t="shared" si="21"/>
        <v>5.7236328892704691E-3</v>
      </c>
    </row>
    <row r="1197" spans="2:4" x14ac:dyDescent="0.2">
      <c r="B1197" s="2">
        <v>37890</v>
      </c>
      <c r="C1197" s="61">
        <v>3324.85</v>
      </c>
      <c r="D1197" s="3">
        <f t="shared" si="21"/>
        <v>-4.2690461087047105E-4</v>
      </c>
    </row>
    <row r="1198" spans="2:4" x14ac:dyDescent="0.2">
      <c r="B1198" s="2">
        <v>37893</v>
      </c>
      <c r="C1198" s="61">
        <v>3323.38</v>
      </c>
      <c r="D1198" s="3">
        <f t="shared" si="21"/>
        <v>-4.4212520865594129E-4</v>
      </c>
    </row>
    <row r="1199" spans="2:4" x14ac:dyDescent="0.2">
      <c r="B1199" s="2">
        <v>37894</v>
      </c>
      <c r="C1199" s="61">
        <v>3256.78</v>
      </c>
      <c r="D1199" s="3">
        <f t="shared" si="21"/>
        <v>-2.0039838959131973E-2</v>
      </c>
    </row>
    <row r="1200" spans="2:4" x14ac:dyDescent="0.2">
      <c r="B1200" s="2">
        <v>37895</v>
      </c>
      <c r="C1200" s="61">
        <v>3329.83</v>
      </c>
      <c r="D1200" s="3">
        <f t="shared" si="21"/>
        <v>2.2430130374173185E-2</v>
      </c>
    </row>
    <row r="1201" spans="2:4" x14ac:dyDescent="0.2">
      <c r="B1201" s="2">
        <v>37896</v>
      </c>
      <c r="C1201" s="61">
        <v>3276.64</v>
      </c>
      <c r="D1201" s="3">
        <f t="shared" si="21"/>
        <v>-1.5973788451662752E-2</v>
      </c>
    </row>
    <row r="1202" spans="2:4" x14ac:dyDescent="0.2">
      <c r="B1202" s="2">
        <v>37897</v>
      </c>
      <c r="C1202" s="61">
        <v>3419</v>
      </c>
      <c r="D1202" s="3">
        <f t="shared" si="21"/>
        <v>4.3446945651643087E-2</v>
      </c>
    </row>
    <row r="1203" spans="2:4" x14ac:dyDescent="0.2">
      <c r="B1203" s="2">
        <v>37900</v>
      </c>
      <c r="C1203" s="61">
        <v>3404.91</v>
      </c>
      <c r="D1203" s="3">
        <f t="shared" si="21"/>
        <v>-4.1210880374379366E-3</v>
      </c>
    </row>
    <row r="1204" spans="2:4" x14ac:dyDescent="0.2">
      <c r="B1204" s="2">
        <v>37901</v>
      </c>
      <c r="C1204" s="61">
        <v>3355.78</v>
      </c>
      <c r="D1204" s="3">
        <f t="shared" si="21"/>
        <v>-1.4429162591669042E-2</v>
      </c>
    </row>
    <row r="1205" spans="2:4" x14ac:dyDescent="0.2">
      <c r="B1205" s="2">
        <v>37902</v>
      </c>
      <c r="C1205" s="61">
        <v>3395.33</v>
      </c>
      <c r="D1205" s="3">
        <f t="shared" si="21"/>
        <v>1.1785635530338512E-2</v>
      </c>
    </row>
    <row r="1206" spans="2:4" x14ac:dyDescent="0.2">
      <c r="B1206" s="2">
        <v>37903</v>
      </c>
      <c r="C1206" s="61">
        <v>3481.9</v>
      </c>
      <c r="D1206" s="3">
        <f t="shared" si="21"/>
        <v>2.5496785290384238E-2</v>
      </c>
    </row>
    <row r="1207" spans="2:4" x14ac:dyDescent="0.2">
      <c r="B1207" s="2">
        <v>37904</v>
      </c>
      <c r="C1207" s="61">
        <v>3471.25</v>
      </c>
      <c r="D1207" s="3">
        <f t="shared" si="21"/>
        <v>-3.0586748614263026E-3</v>
      </c>
    </row>
    <row r="1208" spans="2:4" x14ac:dyDescent="0.2">
      <c r="B1208" s="2">
        <v>37907</v>
      </c>
      <c r="C1208" s="61">
        <v>3538.39</v>
      </c>
      <c r="D1208" s="3">
        <f t="shared" si="21"/>
        <v>1.9341735685991956E-2</v>
      </c>
    </row>
    <row r="1209" spans="2:4" x14ac:dyDescent="0.2">
      <c r="B1209" s="2">
        <v>37908</v>
      </c>
      <c r="C1209" s="61">
        <v>3538.13</v>
      </c>
      <c r="D1209" s="3">
        <f t="shared" si="21"/>
        <v>-7.3479746438231963E-5</v>
      </c>
    </row>
    <row r="1210" spans="2:4" x14ac:dyDescent="0.2">
      <c r="B1210" s="2">
        <v>37909</v>
      </c>
      <c r="C1210" s="61">
        <v>3570.58</v>
      </c>
      <c r="D1210" s="3">
        <f t="shared" si="21"/>
        <v>9.1715115046648865E-3</v>
      </c>
    </row>
    <row r="1211" spans="2:4" x14ac:dyDescent="0.2">
      <c r="B1211" s="2">
        <v>37910</v>
      </c>
      <c r="C1211" s="61">
        <v>3577.72</v>
      </c>
      <c r="D1211" s="3">
        <f t="shared" si="21"/>
        <v>1.9996751228090748E-3</v>
      </c>
    </row>
    <row r="1212" spans="2:4" x14ac:dyDescent="0.2">
      <c r="B1212" s="2">
        <v>37911</v>
      </c>
      <c r="C1212" s="61">
        <v>3516.67</v>
      </c>
      <c r="D1212" s="3">
        <f t="shared" si="21"/>
        <v>-1.7063940163008717E-2</v>
      </c>
    </row>
    <row r="1213" spans="2:4" x14ac:dyDescent="0.2">
      <c r="B1213" s="2">
        <v>37914</v>
      </c>
      <c r="C1213" s="61">
        <v>3559.33</v>
      </c>
      <c r="D1213" s="3">
        <f t="shared" si="21"/>
        <v>1.2130794188820682E-2</v>
      </c>
    </row>
    <row r="1214" spans="2:4" x14ac:dyDescent="0.2">
      <c r="B1214" s="2">
        <v>37915</v>
      </c>
      <c r="C1214" s="61">
        <v>3580.08</v>
      </c>
      <c r="D1214" s="3">
        <f t="shared" si="21"/>
        <v>5.8297488572287559E-3</v>
      </c>
    </row>
    <row r="1215" spans="2:4" x14ac:dyDescent="0.2">
      <c r="B1215" s="2">
        <v>37916</v>
      </c>
      <c r="C1215" s="61">
        <v>3490.6</v>
      </c>
      <c r="D1215" s="3">
        <f t="shared" si="21"/>
        <v>-2.4993854885924316E-2</v>
      </c>
    </row>
    <row r="1216" spans="2:4" x14ac:dyDescent="0.2">
      <c r="B1216" s="2">
        <v>37917</v>
      </c>
      <c r="C1216" s="61">
        <v>3497.14</v>
      </c>
      <c r="D1216" s="3">
        <f t="shared" si="21"/>
        <v>1.8736033919670714E-3</v>
      </c>
    </row>
    <row r="1217" spans="2:4" x14ac:dyDescent="0.2">
      <c r="B1217" s="2">
        <v>37918</v>
      </c>
      <c r="C1217" s="61">
        <v>3452.64</v>
      </c>
      <c r="D1217" s="3">
        <f t="shared" si="21"/>
        <v>-1.2724683598597686E-2</v>
      </c>
    </row>
    <row r="1218" spans="2:4" x14ac:dyDescent="0.2">
      <c r="B1218" s="2">
        <v>37921</v>
      </c>
      <c r="C1218" s="61">
        <v>3517.1</v>
      </c>
      <c r="D1218" s="3">
        <f t="shared" si="21"/>
        <v>1.8669771537142665E-2</v>
      </c>
    </row>
    <row r="1219" spans="2:4" x14ac:dyDescent="0.2">
      <c r="B1219" s="2">
        <v>37922</v>
      </c>
      <c r="C1219" s="61">
        <v>3586.93</v>
      </c>
      <c r="D1219" s="3">
        <f t="shared" si="21"/>
        <v>1.9854425521025787E-2</v>
      </c>
    </row>
    <row r="1220" spans="2:4" x14ac:dyDescent="0.2">
      <c r="B1220" s="2">
        <v>37923</v>
      </c>
      <c r="C1220" s="61">
        <v>3615.42</v>
      </c>
      <c r="D1220" s="3">
        <f t="shared" si="21"/>
        <v>7.9427253946968701E-3</v>
      </c>
    </row>
    <row r="1221" spans="2:4" x14ac:dyDescent="0.2">
      <c r="B1221" s="2">
        <v>37924</v>
      </c>
      <c r="C1221" s="61">
        <v>3639.66</v>
      </c>
      <c r="D1221" s="3">
        <f t="shared" ref="D1221:D1284" si="22">C1221/C1220-1</f>
        <v>6.7046152314254037E-3</v>
      </c>
    </row>
    <row r="1222" spans="2:4" x14ac:dyDescent="0.2">
      <c r="B1222" s="2">
        <v>37925</v>
      </c>
      <c r="C1222" s="61">
        <v>3655.99</v>
      </c>
      <c r="D1222" s="3">
        <f t="shared" si="22"/>
        <v>4.4866828220218036E-3</v>
      </c>
    </row>
    <row r="1223" spans="2:4" x14ac:dyDescent="0.2">
      <c r="B1223" s="2">
        <v>37928</v>
      </c>
      <c r="C1223" s="61">
        <v>3744.5</v>
      </c>
      <c r="D1223" s="3">
        <f t="shared" si="22"/>
        <v>2.4209584818339236E-2</v>
      </c>
    </row>
    <row r="1224" spans="2:4" x14ac:dyDescent="0.2">
      <c r="B1224" s="2">
        <v>37929</v>
      </c>
      <c r="C1224" s="61">
        <v>3741.71</v>
      </c>
      <c r="D1224" s="3">
        <f t="shared" si="22"/>
        <v>-7.4509280277734735E-4</v>
      </c>
    </row>
    <row r="1225" spans="2:4" x14ac:dyDescent="0.2">
      <c r="B1225" s="2">
        <v>37930</v>
      </c>
      <c r="C1225" s="61">
        <v>3717.7</v>
      </c>
      <c r="D1225" s="3">
        <f t="shared" si="22"/>
        <v>-6.4168521879034435E-3</v>
      </c>
    </row>
    <row r="1226" spans="2:4" x14ac:dyDescent="0.2">
      <c r="B1226" s="2">
        <v>37931</v>
      </c>
      <c r="C1226" s="61">
        <v>3733.93</v>
      </c>
      <c r="D1226" s="3">
        <f t="shared" si="22"/>
        <v>4.3656023885736417E-3</v>
      </c>
    </row>
    <row r="1227" spans="2:4" x14ac:dyDescent="0.2">
      <c r="B1227" s="2">
        <v>37932</v>
      </c>
      <c r="C1227" s="61">
        <v>3782.56</v>
      </c>
      <c r="D1227" s="3">
        <f t="shared" si="22"/>
        <v>1.3023811373003902E-2</v>
      </c>
    </row>
    <row r="1228" spans="2:4" x14ac:dyDescent="0.2">
      <c r="B1228" s="2">
        <v>37935</v>
      </c>
      <c r="C1228" s="61">
        <v>3746.24</v>
      </c>
      <c r="D1228" s="3">
        <f t="shared" si="22"/>
        <v>-9.6019626919335854E-3</v>
      </c>
    </row>
    <row r="1229" spans="2:4" x14ac:dyDescent="0.2">
      <c r="B1229" s="2">
        <v>37936</v>
      </c>
      <c r="C1229" s="61">
        <v>3729.87</v>
      </c>
      <c r="D1229" s="3">
        <f t="shared" si="22"/>
        <v>-4.3697147006064307E-3</v>
      </c>
    </row>
    <row r="1230" spans="2:4" x14ac:dyDescent="0.2">
      <c r="B1230" s="2">
        <v>37937</v>
      </c>
      <c r="C1230" s="61">
        <v>3748.34</v>
      </c>
      <c r="D1230" s="3">
        <f t="shared" si="22"/>
        <v>4.9519152142032397E-3</v>
      </c>
    </row>
    <row r="1231" spans="2:4" x14ac:dyDescent="0.2">
      <c r="B1231" s="2">
        <v>37938</v>
      </c>
      <c r="C1231" s="61">
        <v>3765.59</v>
      </c>
      <c r="D1231" s="3">
        <f t="shared" si="22"/>
        <v>4.6020371684531991E-3</v>
      </c>
    </row>
    <row r="1232" spans="2:4" x14ac:dyDescent="0.2">
      <c r="B1232" s="2">
        <v>37939</v>
      </c>
      <c r="C1232" s="61">
        <v>3797.4</v>
      </c>
      <c r="D1232" s="3">
        <f t="shared" si="22"/>
        <v>8.4475473962910552E-3</v>
      </c>
    </row>
    <row r="1233" spans="2:4" x14ac:dyDescent="0.2">
      <c r="B1233" s="2">
        <v>37942</v>
      </c>
      <c r="C1233" s="61">
        <v>3674.54</v>
      </c>
      <c r="D1233" s="3">
        <f t="shared" si="22"/>
        <v>-3.2353715700215946E-2</v>
      </c>
    </row>
    <row r="1234" spans="2:4" x14ac:dyDescent="0.2">
      <c r="B1234" s="2">
        <v>37943</v>
      </c>
      <c r="C1234" s="61">
        <v>3666.28</v>
      </c>
      <c r="D1234" s="3">
        <f t="shared" si="22"/>
        <v>-2.2479004174671413E-3</v>
      </c>
    </row>
    <row r="1235" spans="2:4" x14ac:dyDescent="0.2">
      <c r="B1235" s="2">
        <v>37944</v>
      </c>
      <c r="C1235" s="61">
        <v>3652.29</v>
      </c>
      <c r="D1235" s="3">
        <f t="shared" si="22"/>
        <v>-3.8158569449142643E-3</v>
      </c>
    </row>
    <row r="1236" spans="2:4" x14ac:dyDescent="0.2">
      <c r="B1236" s="2">
        <v>37945</v>
      </c>
      <c r="C1236" s="61">
        <v>3638.04</v>
      </c>
      <c r="D1236" s="3">
        <f t="shared" si="22"/>
        <v>-3.9016616971817575E-3</v>
      </c>
    </row>
    <row r="1237" spans="2:4" x14ac:dyDescent="0.2">
      <c r="B1237" s="2">
        <v>37946</v>
      </c>
      <c r="C1237" s="61">
        <v>3642.25</v>
      </c>
      <c r="D1237" s="3">
        <f t="shared" si="22"/>
        <v>1.1572165231827913E-3</v>
      </c>
    </row>
    <row r="1238" spans="2:4" x14ac:dyDescent="0.2">
      <c r="B1238" s="2">
        <v>37949</v>
      </c>
      <c r="C1238" s="61">
        <v>3737.09</v>
      </c>
      <c r="D1238" s="3">
        <f t="shared" si="22"/>
        <v>2.6038849612190385E-2</v>
      </c>
    </row>
    <row r="1239" spans="2:4" x14ac:dyDescent="0.2">
      <c r="B1239" s="2">
        <v>37950</v>
      </c>
      <c r="C1239" s="61">
        <v>3733.16</v>
      </c>
      <c r="D1239" s="3">
        <f t="shared" si="22"/>
        <v>-1.0516203784228795E-3</v>
      </c>
    </row>
    <row r="1240" spans="2:4" x14ac:dyDescent="0.2">
      <c r="B1240" s="2">
        <v>37951</v>
      </c>
      <c r="C1240" s="61">
        <v>3712.98</v>
      </c>
      <c r="D1240" s="3">
        <f t="shared" si="22"/>
        <v>-5.4056081175196669E-3</v>
      </c>
    </row>
    <row r="1241" spans="2:4" x14ac:dyDescent="0.2">
      <c r="B1241" s="2">
        <v>37952</v>
      </c>
      <c r="C1241" s="61">
        <v>3744.99</v>
      </c>
      <c r="D1241" s="3">
        <f t="shared" si="22"/>
        <v>8.6211075739701659E-3</v>
      </c>
    </row>
    <row r="1242" spans="2:4" x14ac:dyDescent="0.2">
      <c r="B1242" s="2">
        <v>37953</v>
      </c>
      <c r="C1242" s="61">
        <v>3745.95</v>
      </c>
      <c r="D1242" s="3">
        <f t="shared" si="22"/>
        <v>2.5634247354466844E-4</v>
      </c>
    </row>
    <row r="1243" spans="2:4" x14ac:dyDescent="0.2">
      <c r="B1243" s="2">
        <v>37956</v>
      </c>
      <c r="C1243" s="61">
        <v>3821.2</v>
      </c>
      <c r="D1243" s="3">
        <f t="shared" si="22"/>
        <v>2.0088362097732126E-2</v>
      </c>
    </row>
    <row r="1244" spans="2:4" x14ac:dyDescent="0.2">
      <c r="B1244" s="2">
        <v>37957</v>
      </c>
      <c r="C1244" s="61">
        <v>3809.26</v>
      </c>
      <c r="D1244" s="3">
        <f t="shared" si="22"/>
        <v>-3.1246728776299637E-3</v>
      </c>
    </row>
    <row r="1245" spans="2:4" x14ac:dyDescent="0.2">
      <c r="B1245" s="2">
        <v>37958</v>
      </c>
      <c r="C1245" s="61">
        <v>3875.66</v>
      </c>
      <c r="D1245" s="3">
        <f t="shared" si="22"/>
        <v>1.7431207111092251E-2</v>
      </c>
    </row>
    <row r="1246" spans="2:4" x14ac:dyDescent="0.2">
      <c r="B1246" s="2">
        <v>37959</v>
      </c>
      <c r="C1246" s="61">
        <v>3874.78</v>
      </c>
      <c r="D1246" s="3">
        <f t="shared" si="22"/>
        <v>-2.2705810107170876E-4</v>
      </c>
    </row>
    <row r="1247" spans="2:4" x14ac:dyDescent="0.2">
      <c r="B1247" s="2">
        <v>37960</v>
      </c>
      <c r="C1247" s="61">
        <v>3841.73</v>
      </c>
      <c r="D1247" s="3">
        <f t="shared" si="22"/>
        <v>-8.5295165144860796E-3</v>
      </c>
    </row>
    <row r="1248" spans="2:4" x14ac:dyDescent="0.2">
      <c r="B1248" s="2">
        <v>37963</v>
      </c>
      <c r="C1248" s="61">
        <v>3806.54</v>
      </c>
      <c r="D1248" s="3">
        <f t="shared" si="22"/>
        <v>-9.1599357581090279E-3</v>
      </c>
    </row>
    <row r="1249" spans="2:4" x14ac:dyDescent="0.2">
      <c r="B1249" s="2">
        <v>37964</v>
      </c>
      <c r="C1249" s="61">
        <v>3846.18</v>
      </c>
      <c r="D1249" s="3">
        <f t="shared" si="22"/>
        <v>1.0413656496450763E-2</v>
      </c>
    </row>
    <row r="1250" spans="2:4" x14ac:dyDescent="0.2">
      <c r="B1250" s="2">
        <v>37965</v>
      </c>
      <c r="C1250" s="61">
        <v>3820.92</v>
      </c>
      <c r="D1250" s="3">
        <f t="shared" si="22"/>
        <v>-6.5675553406235876E-3</v>
      </c>
    </row>
    <row r="1251" spans="2:4" x14ac:dyDescent="0.2">
      <c r="B1251" s="2">
        <v>37966</v>
      </c>
      <c r="C1251" s="61">
        <v>3858.85</v>
      </c>
      <c r="D1251" s="3">
        <f t="shared" si="22"/>
        <v>9.9269285931136153E-3</v>
      </c>
    </row>
    <row r="1252" spans="2:4" x14ac:dyDescent="0.2">
      <c r="B1252" s="2">
        <v>37967</v>
      </c>
      <c r="C1252" s="61">
        <v>3860.13</v>
      </c>
      <c r="D1252" s="3">
        <f t="shared" si="22"/>
        <v>3.3170504165758175E-4</v>
      </c>
    </row>
    <row r="1253" spans="2:4" x14ac:dyDescent="0.2">
      <c r="B1253" s="2">
        <v>37970</v>
      </c>
      <c r="C1253" s="61">
        <v>3875.47</v>
      </c>
      <c r="D1253" s="3">
        <f t="shared" si="22"/>
        <v>3.973959426236906E-3</v>
      </c>
    </row>
    <row r="1254" spans="2:4" x14ac:dyDescent="0.2">
      <c r="B1254" s="2">
        <v>37971</v>
      </c>
      <c r="C1254" s="61">
        <v>3865.98</v>
      </c>
      <c r="D1254" s="3">
        <f t="shared" si="22"/>
        <v>-2.4487352501760817E-3</v>
      </c>
    </row>
    <row r="1255" spans="2:4" x14ac:dyDescent="0.2">
      <c r="B1255" s="2">
        <v>37972</v>
      </c>
      <c r="C1255" s="61">
        <v>3847.57</v>
      </c>
      <c r="D1255" s="3">
        <f t="shared" si="22"/>
        <v>-4.762052571404829E-3</v>
      </c>
    </row>
    <row r="1256" spans="2:4" x14ac:dyDescent="0.2">
      <c r="B1256" s="2">
        <v>37973</v>
      </c>
      <c r="C1256" s="61">
        <v>3870.88</v>
      </c>
      <c r="D1256" s="3">
        <f t="shared" si="22"/>
        <v>6.0583693084206303E-3</v>
      </c>
    </row>
    <row r="1257" spans="2:4" x14ac:dyDescent="0.2">
      <c r="B1257" s="2">
        <v>37974</v>
      </c>
      <c r="C1257" s="61">
        <v>3898.42</v>
      </c>
      <c r="D1257" s="3">
        <f t="shared" si="22"/>
        <v>7.1146612656554087E-3</v>
      </c>
    </row>
    <row r="1258" spans="2:4" x14ac:dyDescent="0.2">
      <c r="B1258" s="2">
        <v>37977</v>
      </c>
      <c r="C1258" s="61">
        <v>3876.94</v>
      </c>
      <c r="D1258" s="3">
        <f t="shared" si="22"/>
        <v>-5.5099245335289426E-3</v>
      </c>
    </row>
    <row r="1259" spans="2:4" x14ac:dyDescent="0.2">
      <c r="B1259" s="2">
        <v>37978</v>
      </c>
      <c r="C1259" s="61">
        <v>3903.34</v>
      </c>
      <c r="D1259" s="3">
        <f t="shared" si="22"/>
        <v>6.8094940855416564E-3</v>
      </c>
    </row>
    <row r="1260" spans="2:4" x14ac:dyDescent="0.2">
      <c r="B1260" s="2">
        <v>37984</v>
      </c>
      <c r="C1260" s="61">
        <v>3952.72</v>
      </c>
      <c r="D1260" s="3">
        <f t="shared" si="22"/>
        <v>1.2650704268651891E-2</v>
      </c>
    </row>
    <row r="1261" spans="2:4" x14ac:dyDescent="0.2">
      <c r="B1261" s="2">
        <v>37985</v>
      </c>
      <c r="C1261" s="61">
        <v>3965.16</v>
      </c>
      <c r="D1261" s="3">
        <f t="shared" si="22"/>
        <v>3.1471999028516162E-3</v>
      </c>
    </row>
    <row r="1262" spans="2:4" x14ac:dyDescent="0.2">
      <c r="B1262" s="2">
        <v>37988</v>
      </c>
      <c r="C1262" s="61">
        <v>4018.5</v>
      </c>
      <c r="D1262" s="3">
        <f t="shared" si="22"/>
        <v>1.3452168386647756E-2</v>
      </c>
    </row>
    <row r="1263" spans="2:4" x14ac:dyDescent="0.2">
      <c r="B1263" s="2">
        <v>37991</v>
      </c>
      <c r="C1263" s="61">
        <v>4035.9</v>
      </c>
      <c r="D1263" s="3">
        <f t="shared" si="22"/>
        <v>4.3299738708473257E-3</v>
      </c>
    </row>
    <row r="1264" spans="2:4" x14ac:dyDescent="0.2">
      <c r="B1264" s="2">
        <v>37992</v>
      </c>
      <c r="C1264" s="61">
        <v>4035.44</v>
      </c>
      <c r="D1264" s="3">
        <f t="shared" si="22"/>
        <v>-1.1397705592308682E-4</v>
      </c>
    </row>
    <row r="1265" spans="2:4" x14ac:dyDescent="0.2">
      <c r="B1265" s="2">
        <v>37993</v>
      </c>
      <c r="C1265" s="61">
        <v>4004.4</v>
      </c>
      <c r="D1265" s="3">
        <f t="shared" si="22"/>
        <v>-7.6918502071645634E-3</v>
      </c>
    </row>
    <row r="1266" spans="2:4" x14ac:dyDescent="0.2">
      <c r="B1266" s="2">
        <v>37994</v>
      </c>
      <c r="C1266" s="61">
        <v>4045.43</v>
      </c>
      <c r="D1266" s="3">
        <f t="shared" si="22"/>
        <v>1.0246229147937269E-2</v>
      </c>
    </row>
    <row r="1267" spans="2:4" x14ac:dyDescent="0.2">
      <c r="B1267" s="2">
        <v>37995</v>
      </c>
      <c r="C1267" s="61">
        <v>4016.18</v>
      </c>
      <c r="D1267" s="3">
        <f t="shared" si="22"/>
        <v>-7.2303809483788006E-3</v>
      </c>
    </row>
    <row r="1268" spans="2:4" x14ac:dyDescent="0.2">
      <c r="B1268" s="2">
        <v>37998</v>
      </c>
      <c r="C1268" s="61">
        <v>3995.91</v>
      </c>
      <c r="D1268" s="3">
        <f t="shared" si="22"/>
        <v>-5.0470845430234945E-3</v>
      </c>
    </row>
    <row r="1269" spans="2:4" x14ac:dyDescent="0.2">
      <c r="B1269" s="2">
        <v>37999</v>
      </c>
      <c r="C1269" s="61">
        <v>3996.22</v>
      </c>
      <c r="D1269" s="3">
        <f t="shared" si="22"/>
        <v>7.7579324859744503E-5</v>
      </c>
    </row>
    <row r="1270" spans="2:4" x14ac:dyDescent="0.2">
      <c r="B1270" s="2">
        <v>38000</v>
      </c>
      <c r="C1270" s="61">
        <v>4055.21</v>
      </c>
      <c r="D1270" s="3">
        <f t="shared" si="22"/>
        <v>1.4761449569843599E-2</v>
      </c>
    </row>
    <row r="1271" spans="2:4" x14ac:dyDescent="0.2">
      <c r="B1271" s="2">
        <v>38001</v>
      </c>
      <c r="C1271" s="61">
        <v>4068.75</v>
      </c>
      <c r="D1271" s="3">
        <f t="shared" si="22"/>
        <v>3.3389146308082651E-3</v>
      </c>
    </row>
    <row r="1272" spans="2:4" x14ac:dyDescent="0.2">
      <c r="B1272" s="2">
        <v>38002</v>
      </c>
      <c r="C1272" s="61">
        <v>4111.6400000000003</v>
      </c>
      <c r="D1272" s="3">
        <f t="shared" si="22"/>
        <v>1.0541321044546859E-2</v>
      </c>
    </row>
    <row r="1273" spans="2:4" x14ac:dyDescent="0.2">
      <c r="B1273" s="2">
        <v>38005</v>
      </c>
      <c r="C1273" s="61">
        <v>4139.92</v>
      </c>
      <c r="D1273" s="3">
        <f t="shared" si="22"/>
        <v>6.8780340691305675E-3</v>
      </c>
    </row>
    <row r="1274" spans="2:4" x14ac:dyDescent="0.2">
      <c r="B1274" s="2">
        <v>38006</v>
      </c>
      <c r="C1274" s="61">
        <v>4106.41</v>
      </c>
      <c r="D1274" s="3">
        <f t="shared" si="22"/>
        <v>-8.0943593112910994E-3</v>
      </c>
    </row>
    <row r="1275" spans="2:4" x14ac:dyDescent="0.2">
      <c r="B1275" s="2">
        <v>38007</v>
      </c>
      <c r="C1275" s="61">
        <v>4138.04</v>
      </c>
      <c r="D1275" s="3">
        <f t="shared" si="22"/>
        <v>7.7025918015980466E-3</v>
      </c>
    </row>
    <row r="1276" spans="2:4" x14ac:dyDescent="0.2">
      <c r="B1276" s="2">
        <v>38008</v>
      </c>
      <c r="C1276" s="61">
        <v>4139.8599999999997</v>
      </c>
      <c r="D1276" s="3">
        <f t="shared" si="22"/>
        <v>4.3982175136036972E-4</v>
      </c>
    </row>
    <row r="1277" spans="2:4" x14ac:dyDescent="0.2">
      <c r="B1277" s="2">
        <v>38009</v>
      </c>
      <c r="C1277" s="61">
        <v>4151.83</v>
      </c>
      <c r="D1277" s="3">
        <f t="shared" si="22"/>
        <v>2.8914021247095079E-3</v>
      </c>
    </row>
    <row r="1278" spans="2:4" x14ac:dyDescent="0.2">
      <c r="B1278" s="2">
        <v>38012</v>
      </c>
      <c r="C1278" s="61">
        <v>4128.68</v>
      </c>
      <c r="D1278" s="3">
        <f t="shared" si="22"/>
        <v>-5.5758545027131401E-3</v>
      </c>
    </row>
    <row r="1279" spans="2:4" x14ac:dyDescent="0.2">
      <c r="B1279" s="2">
        <v>38013</v>
      </c>
      <c r="C1279" s="61">
        <v>4134.42</v>
      </c>
      <c r="D1279" s="3">
        <f t="shared" si="22"/>
        <v>1.3902748578238366E-3</v>
      </c>
    </row>
    <row r="1280" spans="2:4" x14ac:dyDescent="0.2">
      <c r="B1280" s="2">
        <v>38014</v>
      </c>
      <c r="C1280" s="61">
        <v>4150.24</v>
      </c>
      <c r="D1280" s="3">
        <f t="shared" si="22"/>
        <v>3.8264133784182697E-3</v>
      </c>
    </row>
    <row r="1281" spans="2:4" x14ac:dyDescent="0.2">
      <c r="B1281" s="2">
        <v>38015</v>
      </c>
      <c r="C1281" s="61">
        <v>4095.71</v>
      </c>
      <c r="D1281" s="3">
        <f t="shared" si="22"/>
        <v>-1.3138999190408174E-2</v>
      </c>
    </row>
    <row r="1282" spans="2:4" x14ac:dyDescent="0.2">
      <c r="B1282" s="2">
        <v>38016</v>
      </c>
      <c r="C1282" s="61">
        <v>4058.6</v>
      </c>
      <c r="D1282" s="3">
        <f t="shared" si="22"/>
        <v>-9.0607000983956576E-3</v>
      </c>
    </row>
    <row r="1283" spans="2:4" x14ac:dyDescent="0.2">
      <c r="B1283" s="2">
        <v>38019</v>
      </c>
      <c r="C1283" s="61">
        <v>4071.6</v>
      </c>
      <c r="D1283" s="3">
        <f t="shared" si="22"/>
        <v>3.2030749519538215E-3</v>
      </c>
    </row>
    <row r="1284" spans="2:4" x14ac:dyDescent="0.2">
      <c r="B1284" s="2">
        <v>38020</v>
      </c>
      <c r="C1284" s="61">
        <v>4057.51</v>
      </c>
      <c r="D1284" s="3">
        <f t="shared" si="22"/>
        <v>-3.4605560467628749E-3</v>
      </c>
    </row>
    <row r="1285" spans="2:4" x14ac:dyDescent="0.2">
      <c r="B1285" s="2">
        <v>38021</v>
      </c>
      <c r="C1285" s="61">
        <v>4028.37</v>
      </c>
      <c r="D1285" s="3">
        <f t="shared" ref="D1285:D1348" si="23">C1285/C1284-1</f>
        <v>-7.181744468898521E-3</v>
      </c>
    </row>
    <row r="1286" spans="2:4" x14ac:dyDescent="0.2">
      <c r="B1286" s="2">
        <v>38022</v>
      </c>
      <c r="C1286" s="61">
        <v>4014.79</v>
      </c>
      <c r="D1286" s="3">
        <f t="shared" si="23"/>
        <v>-3.3710905403425695E-3</v>
      </c>
    </row>
    <row r="1287" spans="2:4" x14ac:dyDescent="0.2">
      <c r="B1287" s="2">
        <v>38023</v>
      </c>
      <c r="C1287" s="61">
        <v>4044.99</v>
      </c>
      <c r="D1287" s="3">
        <f t="shared" si="23"/>
        <v>7.5221867146226806E-3</v>
      </c>
    </row>
    <row r="1288" spans="2:4" x14ac:dyDescent="0.2">
      <c r="B1288" s="2">
        <v>38026</v>
      </c>
      <c r="C1288" s="61">
        <v>4098.97</v>
      </c>
      <c r="D1288" s="3">
        <f t="shared" si="23"/>
        <v>1.3344903201244041E-2</v>
      </c>
    </row>
    <row r="1289" spans="2:4" x14ac:dyDescent="0.2">
      <c r="B1289" s="2">
        <v>38027</v>
      </c>
      <c r="C1289" s="61">
        <v>4110.8</v>
      </c>
      <c r="D1289" s="3">
        <f t="shared" si="23"/>
        <v>2.8860908960055554E-3</v>
      </c>
    </row>
    <row r="1290" spans="2:4" x14ac:dyDescent="0.2">
      <c r="B1290" s="2">
        <v>38028</v>
      </c>
      <c r="C1290" s="61">
        <v>4122.16</v>
      </c>
      <c r="D1290" s="3">
        <f t="shared" si="23"/>
        <v>2.7634523693684798E-3</v>
      </c>
    </row>
    <row r="1291" spans="2:4" x14ac:dyDescent="0.2">
      <c r="B1291" s="2">
        <v>38029</v>
      </c>
      <c r="C1291" s="61">
        <v>4121.6499999999996</v>
      </c>
      <c r="D1291" s="3">
        <f t="shared" si="23"/>
        <v>-1.2372154404494129E-4</v>
      </c>
    </row>
    <row r="1292" spans="2:4" x14ac:dyDescent="0.2">
      <c r="B1292" s="2">
        <v>38030</v>
      </c>
      <c r="C1292" s="61">
        <v>4057.05</v>
      </c>
      <c r="D1292" s="3">
        <f t="shared" si="23"/>
        <v>-1.5673334708187103E-2</v>
      </c>
    </row>
    <row r="1293" spans="2:4" x14ac:dyDescent="0.2">
      <c r="B1293" s="2">
        <v>38033</v>
      </c>
      <c r="C1293" s="61">
        <v>4070.46</v>
      </c>
      <c r="D1293" s="3">
        <f t="shared" si="23"/>
        <v>3.3053573409249637E-3</v>
      </c>
    </row>
    <row r="1294" spans="2:4" x14ac:dyDescent="0.2">
      <c r="B1294" s="2">
        <v>38034</v>
      </c>
      <c r="C1294" s="61">
        <v>4095.86</v>
      </c>
      <c r="D1294" s="3">
        <f t="shared" si="23"/>
        <v>6.2400809736491425E-3</v>
      </c>
    </row>
    <row r="1295" spans="2:4" x14ac:dyDescent="0.2">
      <c r="B1295" s="2">
        <v>38035</v>
      </c>
      <c r="C1295" s="61">
        <v>4095.34</v>
      </c>
      <c r="D1295" s="3">
        <f t="shared" si="23"/>
        <v>-1.2695746436641731E-4</v>
      </c>
    </row>
    <row r="1296" spans="2:4" x14ac:dyDescent="0.2">
      <c r="B1296" s="2">
        <v>38036</v>
      </c>
      <c r="C1296" s="61">
        <v>4141.53</v>
      </c>
      <c r="D1296" s="3">
        <f t="shared" si="23"/>
        <v>1.127867283302475E-2</v>
      </c>
    </row>
    <row r="1297" spans="2:4" x14ac:dyDescent="0.2">
      <c r="B1297" s="2">
        <v>38037</v>
      </c>
      <c r="C1297" s="61">
        <v>4073.35</v>
      </c>
      <c r="D1297" s="3">
        <f t="shared" si="23"/>
        <v>-1.6462515060859162E-2</v>
      </c>
    </row>
    <row r="1298" spans="2:4" x14ac:dyDescent="0.2">
      <c r="B1298" s="2">
        <v>38040</v>
      </c>
      <c r="C1298" s="61">
        <v>4068.71</v>
      </c>
      <c r="D1298" s="3">
        <f t="shared" si="23"/>
        <v>-1.1391115420967823E-3</v>
      </c>
    </row>
    <row r="1299" spans="2:4" x14ac:dyDescent="0.2">
      <c r="B1299" s="2">
        <v>38041</v>
      </c>
      <c r="C1299" s="61">
        <v>3991.42</v>
      </c>
      <c r="D1299" s="3">
        <f t="shared" si="23"/>
        <v>-1.8996192896519992E-2</v>
      </c>
    </row>
    <row r="1300" spans="2:4" x14ac:dyDescent="0.2">
      <c r="B1300" s="2">
        <v>38042</v>
      </c>
      <c r="C1300" s="61">
        <v>3995.34</v>
      </c>
      <c r="D1300" s="3">
        <f t="shared" si="23"/>
        <v>9.8210661869702065E-4</v>
      </c>
    </row>
    <row r="1301" spans="2:4" x14ac:dyDescent="0.2">
      <c r="B1301" s="2">
        <v>38043</v>
      </c>
      <c r="C1301" s="61">
        <v>4007.81</v>
      </c>
      <c r="D1301" s="3">
        <f t="shared" si="23"/>
        <v>3.1211361235838897E-3</v>
      </c>
    </row>
    <row r="1302" spans="2:4" x14ac:dyDescent="0.2">
      <c r="B1302" s="2">
        <v>38044</v>
      </c>
      <c r="C1302" s="61">
        <v>4018.16</v>
      </c>
      <c r="D1302" s="3">
        <f t="shared" si="23"/>
        <v>2.5824577512407743E-3</v>
      </c>
    </row>
    <row r="1303" spans="2:4" x14ac:dyDescent="0.2">
      <c r="B1303" s="2">
        <v>38047</v>
      </c>
      <c r="C1303" s="61">
        <v>4054.43</v>
      </c>
      <c r="D1303" s="3">
        <f t="shared" si="23"/>
        <v>9.0265196010113069E-3</v>
      </c>
    </row>
    <row r="1304" spans="2:4" x14ac:dyDescent="0.2">
      <c r="B1304" s="2">
        <v>38048</v>
      </c>
      <c r="C1304" s="61">
        <v>4100.34</v>
      </c>
      <c r="D1304" s="3">
        <f t="shared" si="23"/>
        <v>1.1323416608499892E-2</v>
      </c>
    </row>
    <row r="1305" spans="2:4" x14ac:dyDescent="0.2">
      <c r="B1305" s="2">
        <v>38049</v>
      </c>
      <c r="C1305" s="61">
        <v>4071.7</v>
      </c>
      <c r="D1305" s="3">
        <f t="shared" si="23"/>
        <v>-6.9847866274505011E-3</v>
      </c>
    </row>
    <row r="1306" spans="2:4" x14ac:dyDescent="0.2">
      <c r="B1306" s="2">
        <v>38050</v>
      </c>
      <c r="C1306" s="61">
        <v>4133.78</v>
      </c>
      <c r="D1306" s="3">
        <f t="shared" si="23"/>
        <v>1.5246702851388738E-2</v>
      </c>
    </row>
    <row r="1307" spans="2:4" x14ac:dyDescent="0.2">
      <c r="B1307" s="2">
        <v>38051</v>
      </c>
      <c r="C1307" s="61">
        <v>4126.1400000000003</v>
      </c>
      <c r="D1307" s="3">
        <f t="shared" si="23"/>
        <v>-1.8481873732998366E-3</v>
      </c>
    </row>
    <row r="1308" spans="2:4" x14ac:dyDescent="0.2">
      <c r="B1308" s="2">
        <v>38054</v>
      </c>
      <c r="C1308" s="61">
        <v>4145.99</v>
      </c>
      <c r="D1308" s="3">
        <f t="shared" si="23"/>
        <v>4.8107916842374809E-3</v>
      </c>
    </row>
    <row r="1309" spans="2:4" x14ac:dyDescent="0.2">
      <c r="B1309" s="2">
        <v>38055</v>
      </c>
      <c r="C1309" s="61">
        <v>4087.55</v>
      </c>
      <c r="D1309" s="3">
        <f t="shared" si="23"/>
        <v>-1.4095547746135306E-2</v>
      </c>
    </row>
    <row r="1310" spans="2:4" x14ac:dyDescent="0.2">
      <c r="B1310" s="2">
        <v>38056</v>
      </c>
      <c r="C1310" s="61">
        <v>4044.7</v>
      </c>
      <c r="D1310" s="3">
        <f t="shared" si="23"/>
        <v>-1.0483052195080278E-2</v>
      </c>
    </row>
    <row r="1311" spans="2:4" x14ac:dyDescent="0.2">
      <c r="B1311" s="2">
        <v>38057</v>
      </c>
      <c r="C1311" s="61">
        <v>3904.95</v>
      </c>
      <c r="D1311" s="3">
        <f t="shared" si="23"/>
        <v>-3.4551388236457536E-2</v>
      </c>
    </row>
    <row r="1312" spans="2:4" x14ac:dyDescent="0.2">
      <c r="B1312" s="2">
        <v>38058</v>
      </c>
      <c r="C1312" s="61">
        <v>3915.38</v>
      </c>
      <c r="D1312" s="3">
        <f t="shared" si="23"/>
        <v>2.6709688984494218E-3</v>
      </c>
    </row>
    <row r="1313" spans="2:4" x14ac:dyDescent="0.2">
      <c r="B1313" s="2">
        <v>38061</v>
      </c>
      <c r="C1313" s="61">
        <v>3810.76</v>
      </c>
      <c r="D1313" s="3">
        <f t="shared" si="23"/>
        <v>-2.6720267253753094E-2</v>
      </c>
    </row>
    <row r="1314" spans="2:4" x14ac:dyDescent="0.2">
      <c r="B1314" s="2">
        <v>38062</v>
      </c>
      <c r="C1314" s="61">
        <v>3822.37</v>
      </c>
      <c r="D1314" s="3">
        <f t="shared" si="23"/>
        <v>3.0466363664989338E-3</v>
      </c>
    </row>
    <row r="1315" spans="2:4" x14ac:dyDescent="0.2">
      <c r="B1315" s="2">
        <v>38063</v>
      </c>
      <c r="C1315" s="61">
        <v>3896.79</v>
      </c>
      <c r="D1315" s="3">
        <f t="shared" si="23"/>
        <v>1.9469596088290686E-2</v>
      </c>
    </row>
    <row r="1316" spans="2:4" x14ac:dyDescent="0.2">
      <c r="B1316" s="2">
        <v>38064</v>
      </c>
      <c r="C1316" s="61">
        <v>3827.43</v>
      </c>
      <c r="D1316" s="3">
        <f t="shared" si="23"/>
        <v>-1.7799265549336751E-2</v>
      </c>
    </row>
    <row r="1317" spans="2:4" x14ac:dyDescent="0.2">
      <c r="B1317" s="2">
        <v>38065</v>
      </c>
      <c r="C1317" s="61">
        <v>3819.15</v>
      </c>
      <c r="D1317" s="3">
        <f t="shared" si="23"/>
        <v>-2.1633315305570333E-3</v>
      </c>
    </row>
    <row r="1318" spans="2:4" x14ac:dyDescent="0.2">
      <c r="B1318" s="2">
        <v>38068</v>
      </c>
      <c r="C1318" s="61">
        <v>3729.23</v>
      </c>
      <c r="D1318" s="3">
        <f t="shared" si="23"/>
        <v>-2.3544505976460739E-2</v>
      </c>
    </row>
    <row r="1319" spans="2:4" x14ac:dyDescent="0.2">
      <c r="B1319" s="2">
        <v>38069</v>
      </c>
      <c r="C1319" s="61">
        <v>3728.82</v>
      </c>
      <c r="D1319" s="3">
        <f t="shared" si="23"/>
        <v>-1.0994226690219655E-4</v>
      </c>
    </row>
    <row r="1320" spans="2:4" x14ac:dyDescent="0.2">
      <c r="B1320" s="2">
        <v>38070</v>
      </c>
      <c r="C1320" s="61">
        <v>3726.07</v>
      </c>
      <c r="D1320" s="3">
        <f t="shared" si="23"/>
        <v>-7.3749872613859679E-4</v>
      </c>
    </row>
    <row r="1321" spans="2:4" x14ac:dyDescent="0.2">
      <c r="B1321" s="2">
        <v>38071</v>
      </c>
      <c r="C1321" s="61">
        <v>3811.92</v>
      </c>
      <c r="D1321" s="3">
        <f t="shared" si="23"/>
        <v>2.3040361560571876E-2</v>
      </c>
    </row>
    <row r="1322" spans="2:4" x14ac:dyDescent="0.2">
      <c r="B1322" s="2">
        <v>38072</v>
      </c>
      <c r="C1322" s="61">
        <v>3822.33</v>
      </c>
      <c r="D1322" s="3">
        <f t="shared" si="23"/>
        <v>2.7309072593337813E-3</v>
      </c>
    </row>
    <row r="1323" spans="2:4" x14ac:dyDescent="0.2">
      <c r="B1323" s="2">
        <v>38075</v>
      </c>
      <c r="C1323" s="61">
        <v>3881.25</v>
      </c>
      <c r="D1323" s="3">
        <f t="shared" si="23"/>
        <v>1.5414681620896209E-2</v>
      </c>
    </row>
    <row r="1324" spans="2:4" x14ac:dyDescent="0.2">
      <c r="B1324" s="2">
        <v>38076</v>
      </c>
      <c r="C1324" s="61">
        <v>3874.04</v>
      </c>
      <c r="D1324" s="3">
        <f t="shared" si="23"/>
        <v>-1.8576489533010943E-3</v>
      </c>
    </row>
    <row r="1325" spans="2:4" x14ac:dyDescent="0.2">
      <c r="B1325" s="2">
        <v>38077</v>
      </c>
      <c r="C1325" s="61">
        <v>3856.7</v>
      </c>
      <c r="D1325" s="3">
        <f t="shared" si="23"/>
        <v>-4.4759475895964629E-3</v>
      </c>
    </row>
    <row r="1326" spans="2:4" x14ac:dyDescent="0.2">
      <c r="B1326" s="2">
        <v>38078</v>
      </c>
      <c r="C1326" s="61">
        <v>3924.85</v>
      </c>
      <c r="D1326" s="3">
        <f t="shared" si="23"/>
        <v>1.7670547359141198E-2</v>
      </c>
    </row>
    <row r="1327" spans="2:4" x14ac:dyDescent="0.2">
      <c r="B1327" s="2">
        <v>38079</v>
      </c>
      <c r="C1327" s="61">
        <v>4007.6</v>
      </c>
      <c r="D1327" s="3">
        <f t="shared" si="23"/>
        <v>2.1083608290762612E-2</v>
      </c>
    </row>
    <row r="1328" spans="2:4" x14ac:dyDescent="0.2">
      <c r="B1328" s="2">
        <v>38082</v>
      </c>
      <c r="C1328" s="61">
        <v>4048.6</v>
      </c>
      <c r="D1328" s="3">
        <f t="shared" si="23"/>
        <v>1.023056193232863E-2</v>
      </c>
    </row>
    <row r="1329" spans="2:4" x14ac:dyDescent="0.2">
      <c r="B1329" s="2">
        <v>38083</v>
      </c>
      <c r="C1329" s="61">
        <v>4022.81</v>
      </c>
      <c r="D1329" s="3">
        <f t="shared" si="23"/>
        <v>-6.3701032455663054E-3</v>
      </c>
    </row>
    <row r="1330" spans="2:4" x14ac:dyDescent="0.2">
      <c r="B1330" s="2">
        <v>38084</v>
      </c>
      <c r="C1330" s="61">
        <v>4001.16</v>
      </c>
      <c r="D1330" s="3">
        <f t="shared" si="23"/>
        <v>-5.3818102271795398E-3</v>
      </c>
    </row>
    <row r="1331" spans="2:4" x14ac:dyDescent="0.2">
      <c r="B1331" s="2">
        <v>38085</v>
      </c>
      <c r="C1331" s="61">
        <v>4013.53</v>
      </c>
      <c r="D1331" s="3">
        <f t="shared" si="23"/>
        <v>3.0916034350039201E-3</v>
      </c>
    </row>
    <row r="1332" spans="2:4" x14ac:dyDescent="0.2">
      <c r="B1332" s="2">
        <v>38090</v>
      </c>
      <c r="C1332" s="61">
        <v>4071.42</v>
      </c>
      <c r="D1332" s="3">
        <f t="shared" si="23"/>
        <v>1.44237117948538E-2</v>
      </c>
    </row>
    <row r="1333" spans="2:4" x14ac:dyDescent="0.2">
      <c r="B1333" s="2">
        <v>38091</v>
      </c>
      <c r="C1333" s="61">
        <v>4012.77</v>
      </c>
      <c r="D1333" s="3">
        <f t="shared" si="23"/>
        <v>-1.4405293484828441E-2</v>
      </c>
    </row>
    <row r="1334" spans="2:4" x14ac:dyDescent="0.2">
      <c r="B1334" s="2">
        <v>38092</v>
      </c>
      <c r="C1334" s="61">
        <v>4004.61</v>
      </c>
      <c r="D1334" s="3">
        <f t="shared" si="23"/>
        <v>-2.0335080256281834E-3</v>
      </c>
    </row>
    <row r="1335" spans="2:4" x14ac:dyDescent="0.2">
      <c r="B1335" s="2">
        <v>38093</v>
      </c>
      <c r="C1335" s="61">
        <v>4033.98</v>
      </c>
      <c r="D1335" s="3">
        <f t="shared" si="23"/>
        <v>7.334047510244357E-3</v>
      </c>
    </row>
    <row r="1336" spans="2:4" x14ac:dyDescent="0.2">
      <c r="B1336" s="2">
        <v>38096</v>
      </c>
      <c r="C1336" s="61">
        <v>4025.07</v>
      </c>
      <c r="D1336" s="3">
        <f t="shared" si="23"/>
        <v>-2.2087367810449399E-3</v>
      </c>
    </row>
    <row r="1337" spans="2:4" x14ac:dyDescent="0.2">
      <c r="B1337" s="2">
        <v>38097</v>
      </c>
      <c r="C1337" s="61">
        <v>4061.13</v>
      </c>
      <c r="D1337" s="3">
        <f t="shared" si="23"/>
        <v>8.9588504050861495E-3</v>
      </c>
    </row>
    <row r="1338" spans="2:4" x14ac:dyDescent="0.2">
      <c r="B1338" s="2">
        <v>38098</v>
      </c>
      <c r="C1338" s="61">
        <v>4026.15</v>
      </c>
      <c r="D1338" s="3">
        <f t="shared" si="23"/>
        <v>-8.6133662305811765E-3</v>
      </c>
    </row>
    <row r="1339" spans="2:4" x14ac:dyDescent="0.2">
      <c r="B1339" s="2">
        <v>38099</v>
      </c>
      <c r="C1339" s="61">
        <v>4059.15</v>
      </c>
      <c r="D1339" s="3">
        <f t="shared" si="23"/>
        <v>8.1964159308520745E-3</v>
      </c>
    </row>
    <row r="1340" spans="2:4" x14ac:dyDescent="0.2">
      <c r="B1340" s="2">
        <v>38100</v>
      </c>
      <c r="C1340" s="61">
        <v>4103.62</v>
      </c>
      <c r="D1340" s="3">
        <f t="shared" si="23"/>
        <v>1.0955495608686583E-2</v>
      </c>
    </row>
    <row r="1341" spans="2:4" x14ac:dyDescent="0.2">
      <c r="B1341" s="2">
        <v>38103</v>
      </c>
      <c r="C1341" s="61">
        <v>4125.83</v>
      </c>
      <c r="D1341" s="3">
        <f t="shared" si="23"/>
        <v>5.412294510700244E-3</v>
      </c>
    </row>
    <row r="1342" spans="2:4" x14ac:dyDescent="0.2">
      <c r="B1342" s="2">
        <v>38104</v>
      </c>
      <c r="C1342" s="61">
        <v>4134.1000000000004</v>
      </c>
      <c r="D1342" s="3">
        <f t="shared" si="23"/>
        <v>2.0044451661849205E-3</v>
      </c>
    </row>
    <row r="1343" spans="2:4" x14ac:dyDescent="0.2">
      <c r="B1343" s="2">
        <v>38105</v>
      </c>
      <c r="C1343" s="61">
        <v>4065.74</v>
      </c>
      <c r="D1343" s="3">
        <f t="shared" si="23"/>
        <v>-1.6535642582424348E-2</v>
      </c>
    </row>
    <row r="1344" spans="2:4" x14ac:dyDescent="0.2">
      <c r="B1344" s="2">
        <v>38106</v>
      </c>
      <c r="C1344" s="61">
        <v>4008.91</v>
      </c>
      <c r="D1344" s="3">
        <f t="shared" si="23"/>
        <v>-1.3977775263543601E-2</v>
      </c>
    </row>
    <row r="1345" spans="2:4" x14ac:dyDescent="0.2">
      <c r="B1345" s="2">
        <v>38107</v>
      </c>
      <c r="C1345" s="61">
        <v>3985.21</v>
      </c>
      <c r="D1345" s="3">
        <f t="shared" si="23"/>
        <v>-5.9118313955662805E-3</v>
      </c>
    </row>
    <row r="1346" spans="2:4" x14ac:dyDescent="0.2">
      <c r="B1346" s="2">
        <v>38110</v>
      </c>
      <c r="C1346" s="61">
        <v>4007.65</v>
      </c>
      <c r="D1346" s="3">
        <f t="shared" si="23"/>
        <v>5.6308199567902673E-3</v>
      </c>
    </row>
    <row r="1347" spans="2:4" x14ac:dyDescent="0.2">
      <c r="B1347" s="2">
        <v>38111</v>
      </c>
      <c r="C1347" s="61">
        <v>3990.75</v>
      </c>
      <c r="D1347" s="3">
        <f t="shared" si="23"/>
        <v>-4.2169351115990406E-3</v>
      </c>
    </row>
    <row r="1348" spans="2:4" x14ac:dyDescent="0.2">
      <c r="B1348" s="2">
        <v>38112</v>
      </c>
      <c r="C1348" s="61">
        <v>4022.1</v>
      </c>
      <c r="D1348" s="3">
        <f t="shared" si="23"/>
        <v>7.8556662281525913E-3</v>
      </c>
    </row>
    <row r="1349" spans="2:4" x14ac:dyDescent="0.2">
      <c r="B1349" s="2">
        <v>38113</v>
      </c>
      <c r="C1349" s="61">
        <v>3909.46</v>
      </c>
      <c r="D1349" s="3">
        <f t="shared" ref="D1349:D1412" si="24">C1349/C1348-1</f>
        <v>-2.8005270878396882E-2</v>
      </c>
    </row>
    <row r="1350" spans="2:4" x14ac:dyDescent="0.2">
      <c r="B1350" s="2">
        <v>38114</v>
      </c>
      <c r="C1350" s="61">
        <v>3895.64</v>
      </c>
      <c r="D1350" s="3">
        <f t="shared" si="24"/>
        <v>-3.5350150660193869E-3</v>
      </c>
    </row>
    <row r="1351" spans="2:4" x14ac:dyDescent="0.2">
      <c r="B1351" s="2">
        <v>38117</v>
      </c>
      <c r="C1351" s="61">
        <v>3784.61</v>
      </c>
      <c r="D1351" s="3">
        <f t="shared" si="24"/>
        <v>-2.8501093530202914E-2</v>
      </c>
    </row>
    <row r="1352" spans="2:4" x14ac:dyDescent="0.2">
      <c r="B1352" s="2">
        <v>38118</v>
      </c>
      <c r="C1352" s="61">
        <v>3849.84</v>
      </c>
      <c r="D1352" s="3">
        <f t="shared" si="24"/>
        <v>1.7235593627877188E-2</v>
      </c>
    </row>
    <row r="1353" spans="2:4" x14ac:dyDescent="0.2">
      <c r="B1353" s="2">
        <v>38119</v>
      </c>
      <c r="C1353" s="61">
        <v>3776.24</v>
      </c>
      <c r="D1353" s="3">
        <f t="shared" si="24"/>
        <v>-1.9117677617771167E-2</v>
      </c>
    </row>
    <row r="1354" spans="2:4" x14ac:dyDescent="0.2">
      <c r="B1354" s="2">
        <v>38120</v>
      </c>
      <c r="C1354" s="61">
        <v>3824.93</v>
      </c>
      <c r="D1354" s="3">
        <f t="shared" si="24"/>
        <v>1.2893777937842854E-2</v>
      </c>
    </row>
    <row r="1355" spans="2:4" x14ac:dyDescent="0.2">
      <c r="B1355" s="2">
        <v>38121</v>
      </c>
      <c r="C1355" s="61">
        <v>3803.1</v>
      </c>
      <c r="D1355" s="3">
        <f t="shared" si="24"/>
        <v>-5.7072939896939401E-3</v>
      </c>
    </row>
    <row r="1356" spans="2:4" x14ac:dyDescent="0.2">
      <c r="B1356" s="2">
        <v>38124</v>
      </c>
      <c r="C1356" s="61">
        <v>3754.37</v>
      </c>
      <c r="D1356" s="3">
        <f t="shared" si="24"/>
        <v>-1.2813231311298634E-2</v>
      </c>
    </row>
    <row r="1357" spans="2:4" x14ac:dyDescent="0.2">
      <c r="B1357" s="2">
        <v>38125</v>
      </c>
      <c r="C1357" s="61">
        <v>3789.24</v>
      </c>
      <c r="D1357" s="3">
        <f t="shared" si="24"/>
        <v>9.2878432333520777E-3</v>
      </c>
    </row>
    <row r="1358" spans="2:4" x14ac:dyDescent="0.2">
      <c r="B1358" s="2">
        <v>38126</v>
      </c>
      <c r="C1358" s="61">
        <v>3872.26</v>
      </c>
      <c r="D1358" s="3">
        <f t="shared" si="24"/>
        <v>2.1909406635631568E-2</v>
      </c>
    </row>
    <row r="1359" spans="2:4" x14ac:dyDescent="0.2">
      <c r="B1359" s="2">
        <v>38127</v>
      </c>
      <c r="C1359" s="61">
        <v>3839.32</v>
      </c>
      <c r="D1359" s="3">
        <f t="shared" si="24"/>
        <v>-8.5066601932721753E-3</v>
      </c>
    </row>
    <row r="1360" spans="2:4" x14ac:dyDescent="0.2">
      <c r="B1360" s="2">
        <v>38128</v>
      </c>
      <c r="C1360" s="61">
        <v>3831.84</v>
      </c>
      <c r="D1360" s="3">
        <f t="shared" si="24"/>
        <v>-1.9482616713376588E-3</v>
      </c>
    </row>
    <row r="1361" spans="2:4" x14ac:dyDescent="0.2">
      <c r="B1361" s="2">
        <v>38131</v>
      </c>
      <c r="C1361" s="61">
        <v>3867.84</v>
      </c>
      <c r="D1361" s="3">
        <f t="shared" si="24"/>
        <v>9.3949642991355553E-3</v>
      </c>
    </row>
    <row r="1362" spans="2:4" x14ac:dyDescent="0.2">
      <c r="B1362" s="2">
        <v>38132</v>
      </c>
      <c r="C1362" s="61">
        <v>3828.07</v>
      </c>
      <c r="D1362" s="3">
        <f t="shared" si="24"/>
        <v>-1.0282224704227683E-2</v>
      </c>
    </row>
    <row r="1363" spans="2:4" x14ac:dyDescent="0.2">
      <c r="B1363" s="2">
        <v>38133</v>
      </c>
      <c r="C1363" s="61">
        <v>3867.52</v>
      </c>
      <c r="D1363" s="3">
        <f t="shared" si="24"/>
        <v>1.0305454184484475E-2</v>
      </c>
    </row>
    <row r="1364" spans="2:4" x14ac:dyDescent="0.2">
      <c r="B1364" s="2">
        <v>38134</v>
      </c>
      <c r="C1364" s="61">
        <v>3913.33</v>
      </c>
      <c r="D1364" s="3">
        <f t="shared" si="24"/>
        <v>1.1844799768327086E-2</v>
      </c>
    </row>
    <row r="1365" spans="2:4" x14ac:dyDescent="0.2">
      <c r="B1365" s="2">
        <v>38135</v>
      </c>
      <c r="C1365" s="61">
        <v>3902.72</v>
      </c>
      <c r="D1365" s="3">
        <f t="shared" si="24"/>
        <v>-2.7112459209931439E-3</v>
      </c>
    </row>
    <row r="1366" spans="2:4" x14ac:dyDescent="0.2">
      <c r="B1366" s="2">
        <v>38138</v>
      </c>
      <c r="C1366" s="61">
        <v>3921.41</v>
      </c>
      <c r="D1366" s="3">
        <f t="shared" si="24"/>
        <v>4.7889676943260184E-3</v>
      </c>
    </row>
    <row r="1367" spans="2:4" x14ac:dyDescent="0.2">
      <c r="B1367" s="2">
        <v>38139</v>
      </c>
      <c r="C1367" s="61">
        <v>3864.18</v>
      </c>
      <c r="D1367" s="3">
        <f t="shared" si="24"/>
        <v>-1.4594240337021613E-2</v>
      </c>
    </row>
    <row r="1368" spans="2:4" x14ac:dyDescent="0.2">
      <c r="B1368" s="2">
        <v>38140</v>
      </c>
      <c r="C1368" s="61">
        <v>3888.31</v>
      </c>
      <c r="D1368" s="3">
        <f t="shared" si="24"/>
        <v>6.2445331221629985E-3</v>
      </c>
    </row>
    <row r="1369" spans="2:4" x14ac:dyDescent="0.2">
      <c r="B1369" s="2">
        <v>38141</v>
      </c>
      <c r="C1369" s="61">
        <v>3917.08</v>
      </c>
      <c r="D1369" s="3">
        <f t="shared" si="24"/>
        <v>7.3991014090954987E-3</v>
      </c>
    </row>
    <row r="1370" spans="2:4" x14ac:dyDescent="0.2">
      <c r="B1370" s="2">
        <v>38142</v>
      </c>
      <c r="C1370" s="61">
        <v>3961.93</v>
      </c>
      <c r="D1370" s="3">
        <f t="shared" si="24"/>
        <v>1.1449855504610529E-2</v>
      </c>
    </row>
    <row r="1371" spans="2:4" x14ac:dyDescent="0.2">
      <c r="B1371" s="2">
        <v>38145</v>
      </c>
      <c r="C1371" s="61">
        <v>4017.81</v>
      </c>
      <c r="D1371" s="3">
        <f t="shared" si="24"/>
        <v>1.4104237076374426E-2</v>
      </c>
    </row>
    <row r="1372" spans="2:4" x14ac:dyDescent="0.2">
      <c r="B1372" s="2">
        <v>38146</v>
      </c>
      <c r="C1372" s="61">
        <v>4018.95</v>
      </c>
      <c r="D1372" s="3">
        <f t="shared" si="24"/>
        <v>2.8373666251013674E-4</v>
      </c>
    </row>
    <row r="1373" spans="2:4" x14ac:dyDescent="0.2">
      <c r="B1373" s="2">
        <v>38147</v>
      </c>
      <c r="C1373" s="61">
        <v>3997.76</v>
      </c>
      <c r="D1373" s="3">
        <f t="shared" si="24"/>
        <v>-5.2725214297265621E-3</v>
      </c>
    </row>
    <row r="1374" spans="2:4" x14ac:dyDescent="0.2">
      <c r="B1374" s="2">
        <v>38148</v>
      </c>
      <c r="C1374" s="61">
        <v>4021.64</v>
      </c>
      <c r="D1374" s="3">
        <f t="shared" si="24"/>
        <v>5.9733450732408766E-3</v>
      </c>
    </row>
    <row r="1375" spans="2:4" x14ac:dyDescent="0.2">
      <c r="B1375" s="2">
        <v>38149</v>
      </c>
      <c r="C1375" s="61">
        <v>4014.56</v>
      </c>
      <c r="D1375" s="3">
        <f t="shared" si="24"/>
        <v>-1.760475825782537E-3</v>
      </c>
    </row>
    <row r="1376" spans="2:4" x14ac:dyDescent="0.2">
      <c r="B1376" s="2">
        <v>38152</v>
      </c>
      <c r="C1376" s="61">
        <v>3948.65</v>
      </c>
      <c r="D1376" s="3">
        <f t="shared" si="24"/>
        <v>-1.6417739428480349E-2</v>
      </c>
    </row>
    <row r="1377" spans="2:4" x14ac:dyDescent="0.2">
      <c r="B1377" s="2">
        <v>38153</v>
      </c>
      <c r="C1377" s="61">
        <v>3987.3</v>
      </c>
      <c r="D1377" s="3">
        <f t="shared" si="24"/>
        <v>9.7881554455321318E-3</v>
      </c>
    </row>
    <row r="1378" spans="2:4" x14ac:dyDescent="0.2">
      <c r="B1378" s="2">
        <v>38154</v>
      </c>
      <c r="C1378" s="61">
        <v>4003.24</v>
      </c>
      <c r="D1378" s="3">
        <f t="shared" si="24"/>
        <v>3.9976926742406604E-3</v>
      </c>
    </row>
    <row r="1379" spans="2:4" x14ac:dyDescent="0.2">
      <c r="B1379" s="2">
        <v>38155</v>
      </c>
      <c r="C1379" s="61">
        <v>3985.46</v>
      </c>
      <c r="D1379" s="3">
        <f t="shared" si="24"/>
        <v>-4.4414024640040406E-3</v>
      </c>
    </row>
    <row r="1380" spans="2:4" x14ac:dyDescent="0.2">
      <c r="B1380" s="2">
        <v>38156</v>
      </c>
      <c r="C1380" s="61">
        <v>3999.79</v>
      </c>
      <c r="D1380" s="3">
        <f t="shared" si="24"/>
        <v>3.5955698965739469E-3</v>
      </c>
    </row>
    <row r="1381" spans="2:4" x14ac:dyDescent="0.2">
      <c r="B1381" s="2">
        <v>38159</v>
      </c>
      <c r="C1381" s="61">
        <v>3989.31</v>
      </c>
      <c r="D1381" s="3">
        <f t="shared" si="24"/>
        <v>-2.6201375572217911E-3</v>
      </c>
    </row>
    <row r="1382" spans="2:4" x14ac:dyDescent="0.2">
      <c r="B1382" s="2">
        <v>38160</v>
      </c>
      <c r="C1382" s="61">
        <v>3928.39</v>
      </c>
      <c r="D1382" s="3">
        <f t="shared" si="24"/>
        <v>-1.5270811243047078E-2</v>
      </c>
    </row>
    <row r="1383" spans="2:4" x14ac:dyDescent="0.2">
      <c r="B1383" s="2">
        <v>38161</v>
      </c>
      <c r="C1383" s="61">
        <v>3945.1</v>
      </c>
      <c r="D1383" s="3">
        <f t="shared" si="24"/>
        <v>4.25365098679098E-3</v>
      </c>
    </row>
    <row r="1384" spans="2:4" x14ac:dyDescent="0.2">
      <c r="B1384" s="2">
        <v>38162</v>
      </c>
      <c r="C1384" s="61">
        <v>4007.05</v>
      </c>
      <c r="D1384" s="3">
        <f t="shared" si="24"/>
        <v>1.570302400446133E-2</v>
      </c>
    </row>
    <row r="1385" spans="2:4" x14ac:dyDescent="0.2">
      <c r="B1385" s="2">
        <v>38163</v>
      </c>
      <c r="C1385" s="61">
        <v>4013.35</v>
      </c>
      <c r="D1385" s="3">
        <f t="shared" si="24"/>
        <v>1.5722289464816797E-3</v>
      </c>
    </row>
    <row r="1386" spans="2:4" x14ac:dyDescent="0.2">
      <c r="B1386" s="2">
        <v>38166</v>
      </c>
      <c r="C1386" s="61">
        <v>4069.35</v>
      </c>
      <c r="D1386" s="3">
        <f t="shared" si="24"/>
        <v>1.3953430425953428E-2</v>
      </c>
    </row>
    <row r="1387" spans="2:4" x14ac:dyDescent="0.2">
      <c r="B1387" s="2">
        <v>38167</v>
      </c>
      <c r="C1387" s="61">
        <v>4069.73</v>
      </c>
      <c r="D1387" s="3">
        <f t="shared" si="24"/>
        <v>9.3381006794679422E-5</v>
      </c>
    </row>
    <row r="1388" spans="2:4" x14ac:dyDescent="0.2">
      <c r="B1388" s="2">
        <v>38168</v>
      </c>
      <c r="C1388" s="61">
        <v>4052.73</v>
      </c>
      <c r="D1388" s="3">
        <f t="shared" si="24"/>
        <v>-4.1771812872106739E-3</v>
      </c>
    </row>
    <row r="1389" spans="2:4" x14ac:dyDescent="0.2">
      <c r="B1389" s="2">
        <v>38169</v>
      </c>
      <c r="C1389" s="61">
        <v>4035.02</v>
      </c>
      <c r="D1389" s="3">
        <f t="shared" si="24"/>
        <v>-4.3698938740058813E-3</v>
      </c>
    </row>
    <row r="1390" spans="2:4" x14ac:dyDescent="0.2">
      <c r="B1390" s="2">
        <v>38170</v>
      </c>
      <c r="C1390" s="61">
        <v>3998.77</v>
      </c>
      <c r="D1390" s="3">
        <f t="shared" si="24"/>
        <v>-8.9838464245530769E-3</v>
      </c>
    </row>
    <row r="1391" spans="2:4" x14ac:dyDescent="0.2">
      <c r="B1391" s="2">
        <v>38173</v>
      </c>
      <c r="C1391" s="61">
        <v>3995.73</v>
      </c>
      <c r="D1391" s="3">
        <f t="shared" si="24"/>
        <v>-7.6023377188483288E-4</v>
      </c>
    </row>
    <row r="1392" spans="2:4" x14ac:dyDescent="0.2">
      <c r="B1392" s="2">
        <v>38174</v>
      </c>
      <c r="C1392" s="61">
        <v>3944.88</v>
      </c>
      <c r="D1392" s="3">
        <f t="shared" si="24"/>
        <v>-1.2726085095839834E-2</v>
      </c>
    </row>
    <row r="1393" spans="2:4" x14ac:dyDescent="0.2">
      <c r="B1393" s="2">
        <v>38175</v>
      </c>
      <c r="C1393" s="61">
        <v>3930.58</v>
      </c>
      <c r="D1393" s="3">
        <f t="shared" si="24"/>
        <v>-3.624951836304291E-3</v>
      </c>
    </row>
    <row r="1394" spans="2:4" x14ac:dyDescent="0.2">
      <c r="B1394" s="2">
        <v>38176</v>
      </c>
      <c r="C1394" s="61">
        <v>3934.48</v>
      </c>
      <c r="D1394" s="3">
        <f t="shared" si="24"/>
        <v>9.9221997771326009E-4</v>
      </c>
    </row>
    <row r="1395" spans="2:4" x14ac:dyDescent="0.2">
      <c r="B1395" s="2">
        <v>38177</v>
      </c>
      <c r="C1395" s="61">
        <v>3924.49</v>
      </c>
      <c r="D1395" s="3">
        <f t="shared" si="24"/>
        <v>-2.539090299099267E-3</v>
      </c>
    </row>
    <row r="1396" spans="2:4" x14ac:dyDescent="0.2">
      <c r="B1396" s="2">
        <v>38180</v>
      </c>
      <c r="C1396" s="61">
        <v>3893.24</v>
      </c>
      <c r="D1396" s="3">
        <f t="shared" si="24"/>
        <v>-7.9628180986573982E-3</v>
      </c>
    </row>
    <row r="1397" spans="2:4" x14ac:dyDescent="0.2">
      <c r="B1397" s="2">
        <v>38181</v>
      </c>
      <c r="C1397" s="61">
        <v>3903.88</v>
      </c>
      <c r="D1397" s="3">
        <f t="shared" si="24"/>
        <v>2.7329422280673032E-3</v>
      </c>
    </row>
    <row r="1398" spans="2:4" x14ac:dyDescent="0.2">
      <c r="B1398" s="2">
        <v>38182</v>
      </c>
      <c r="C1398" s="61">
        <v>3898.84</v>
      </c>
      <c r="D1398" s="3">
        <f t="shared" si="24"/>
        <v>-1.2910232896502505E-3</v>
      </c>
    </row>
    <row r="1399" spans="2:4" x14ac:dyDescent="0.2">
      <c r="B1399" s="2">
        <v>38183</v>
      </c>
      <c r="C1399" s="61">
        <v>3847.19</v>
      </c>
      <c r="D1399" s="3">
        <f t="shared" si="24"/>
        <v>-1.3247530034574462E-2</v>
      </c>
    </row>
    <row r="1400" spans="2:4" x14ac:dyDescent="0.2">
      <c r="B1400" s="2">
        <v>38184</v>
      </c>
      <c r="C1400" s="61">
        <v>3845.93</v>
      </c>
      <c r="D1400" s="3">
        <f t="shared" si="24"/>
        <v>-3.2751176832968021E-4</v>
      </c>
    </row>
    <row r="1401" spans="2:4" x14ac:dyDescent="0.2">
      <c r="B1401" s="2">
        <v>38187</v>
      </c>
      <c r="C1401" s="61">
        <v>3812.63</v>
      </c>
      <c r="D1401" s="3">
        <f t="shared" si="24"/>
        <v>-8.6585039249283957E-3</v>
      </c>
    </row>
    <row r="1402" spans="2:4" x14ac:dyDescent="0.2">
      <c r="B1402" s="2">
        <v>38188</v>
      </c>
      <c r="C1402" s="61">
        <v>3837.6</v>
      </c>
      <c r="D1402" s="3">
        <f t="shared" si="24"/>
        <v>6.5492848768435863E-3</v>
      </c>
    </row>
    <row r="1403" spans="2:4" x14ac:dyDescent="0.2">
      <c r="B1403" s="2">
        <v>38189</v>
      </c>
      <c r="C1403" s="61">
        <v>3877.48</v>
      </c>
      <c r="D1403" s="3">
        <f t="shared" si="24"/>
        <v>1.0391911611423943E-2</v>
      </c>
    </row>
    <row r="1404" spans="2:4" x14ac:dyDescent="0.2">
      <c r="B1404" s="2">
        <v>38190</v>
      </c>
      <c r="C1404" s="61">
        <v>3801.05</v>
      </c>
      <c r="D1404" s="3">
        <f t="shared" si="24"/>
        <v>-1.971125576405286E-2</v>
      </c>
    </row>
    <row r="1405" spans="2:4" x14ac:dyDescent="0.2">
      <c r="B1405" s="2">
        <v>38191</v>
      </c>
      <c r="C1405" s="61">
        <v>3797.33</v>
      </c>
      <c r="D1405" s="3">
        <f t="shared" si="24"/>
        <v>-9.7867694452857812E-4</v>
      </c>
    </row>
    <row r="1406" spans="2:4" x14ac:dyDescent="0.2">
      <c r="B1406" s="2">
        <v>38194</v>
      </c>
      <c r="C1406" s="61">
        <v>3752.59</v>
      </c>
      <c r="D1406" s="3">
        <f t="shared" si="24"/>
        <v>-1.1781962589503592E-2</v>
      </c>
    </row>
    <row r="1407" spans="2:4" x14ac:dyDescent="0.2">
      <c r="B1407" s="2">
        <v>38195</v>
      </c>
      <c r="C1407" s="61">
        <v>3814.08</v>
      </c>
      <c r="D1407" s="3">
        <f t="shared" si="24"/>
        <v>1.6386016058242303E-2</v>
      </c>
    </row>
    <row r="1408" spans="2:4" x14ac:dyDescent="0.2">
      <c r="B1408" s="2">
        <v>38196</v>
      </c>
      <c r="C1408" s="61">
        <v>3807.21</v>
      </c>
      <c r="D1408" s="3">
        <f t="shared" si="24"/>
        <v>-1.801220739994891E-3</v>
      </c>
    </row>
    <row r="1409" spans="2:4" x14ac:dyDescent="0.2">
      <c r="B1409" s="2">
        <v>38197</v>
      </c>
      <c r="C1409" s="61">
        <v>3889.68</v>
      </c>
      <c r="D1409" s="3">
        <f t="shared" si="24"/>
        <v>2.1661531672799716E-2</v>
      </c>
    </row>
    <row r="1410" spans="2:4" x14ac:dyDescent="0.2">
      <c r="B1410" s="2">
        <v>38198</v>
      </c>
      <c r="C1410" s="61">
        <v>3895.61</v>
      </c>
      <c r="D1410" s="3">
        <f t="shared" si="24"/>
        <v>1.5245470064375599E-3</v>
      </c>
    </row>
    <row r="1411" spans="2:4" x14ac:dyDescent="0.2">
      <c r="B1411" s="2">
        <v>38201</v>
      </c>
      <c r="C1411" s="61">
        <v>3862.71</v>
      </c>
      <c r="D1411" s="3">
        <f t="shared" si="24"/>
        <v>-8.4454039290381422E-3</v>
      </c>
    </row>
    <row r="1412" spans="2:4" x14ac:dyDescent="0.2">
      <c r="B1412" s="2">
        <v>38202</v>
      </c>
      <c r="C1412" s="61">
        <v>3877.32</v>
      </c>
      <c r="D1412" s="3">
        <f t="shared" si="24"/>
        <v>3.7823186312200274E-3</v>
      </c>
    </row>
    <row r="1413" spans="2:4" x14ac:dyDescent="0.2">
      <c r="B1413" s="2">
        <v>38203</v>
      </c>
      <c r="C1413" s="61">
        <v>3823.74</v>
      </c>
      <c r="D1413" s="3">
        <f t="shared" ref="D1413:D1476" si="25">C1413/C1412-1</f>
        <v>-1.3818823310946859E-2</v>
      </c>
    </row>
    <row r="1414" spans="2:4" x14ac:dyDescent="0.2">
      <c r="B1414" s="2">
        <v>38204</v>
      </c>
      <c r="C1414" s="61">
        <v>3829.03</v>
      </c>
      <c r="D1414" s="3">
        <f t="shared" si="25"/>
        <v>1.3834622646937689E-3</v>
      </c>
    </row>
    <row r="1415" spans="2:4" x14ac:dyDescent="0.2">
      <c r="B1415" s="2">
        <v>38205</v>
      </c>
      <c r="C1415" s="61">
        <v>3727.74</v>
      </c>
      <c r="D1415" s="3">
        <f t="shared" si="25"/>
        <v>-2.6453174824955794E-2</v>
      </c>
    </row>
    <row r="1416" spans="2:4" x14ac:dyDescent="0.2">
      <c r="B1416" s="2">
        <v>38208</v>
      </c>
      <c r="C1416" s="61">
        <v>3690.33</v>
      </c>
      <c r="D1416" s="3">
        <f t="shared" si="25"/>
        <v>-1.0035571150348477E-2</v>
      </c>
    </row>
    <row r="1417" spans="2:4" x14ac:dyDescent="0.2">
      <c r="B1417" s="2">
        <v>38209</v>
      </c>
      <c r="C1417" s="61">
        <v>3720.64</v>
      </c>
      <c r="D1417" s="3">
        <f t="shared" si="25"/>
        <v>8.2133576130047903E-3</v>
      </c>
    </row>
    <row r="1418" spans="2:4" x14ac:dyDescent="0.2">
      <c r="B1418" s="2">
        <v>38210</v>
      </c>
      <c r="C1418" s="61">
        <v>3678.91</v>
      </c>
      <c r="D1418" s="3">
        <f t="shared" si="25"/>
        <v>-1.1215812333361996E-2</v>
      </c>
    </row>
    <row r="1419" spans="2:4" x14ac:dyDescent="0.2">
      <c r="B1419" s="2">
        <v>38211</v>
      </c>
      <c r="C1419" s="61">
        <v>3658.11</v>
      </c>
      <c r="D1419" s="3">
        <f t="shared" si="25"/>
        <v>-5.6538485584044507E-3</v>
      </c>
    </row>
    <row r="1420" spans="2:4" x14ac:dyDescent="0.2">
      <c r="B1420" s="2">
        <v>38212</v>
      </c>
      <c r="C1420" s="61">
        <v>3646.99</v>
      </c>
      <c r="D1420" s="3">
        <f t="shared" si="25"/>
        <v>-3.0398211098081607E-3</v>
      </c>
    </row>
    <row r="1421" spans="2:4" x14ac:dyDescent="0.2">
      <c r="B1421" s="2">
        <v>38215</v>
      </c>
      <c r="C1421" s="61">
        <v>3699.11</v>
      </c>
      <c r="D1421" s="3">
        <f t="shared" si="25"/>
        <v>1.4291237431416137E-2</v>
      </c>
    </row>
    <row r="1422" spans="2:4" x14ac:dyDescent="0.2">
      <c r="B1422" s="2">
        <v>38216</v>
      </c>
      <c r="C1422" s="61">
        <v>3705.73</v>
      </c>
      <c r="D1422" s="3">
        <f t="shared" si="25"/>
        <v>1.789619665270914E-3</v>
      </c>
    </row>
    <row r="1423" spans="2:4" x14ac:dyDescent="0.2">
      <c r="B1423" s="2">
        <v>38217</v>
      </c>
      <c r="C1423" s="61">
        <v>3726.5</v>
      </c>
      <c r="D1423" s="3">
        <f t="shared" si="25"/>
        <v>5.6048335955398709E-3</v>
      </c>
    </row>
    <row r="1424" spans="2:4" x14ac:dyDescent="0.2">
      <c r="B1424" s="2">
        <v>38218</v>
      </c>
      <c r="C1424" s="61">
        <v>3722.99</v>
      </c>
      <c r="D1424" s="3">
        <f t="shared" si="25"/>
        <v>-9.4190258956128314E-4</v>
      </c>
    </row>
    <row r="1425" spans="2:4" x14ac:dyDescent="0.2">
      <c r="B1425" s="2">
        <v>38219</v>
      </c>
      <c r="C1425" s="61">
        <v>3712.61</v>
      </c>
      <c r="D1425" s="3">
        <f t="shared" si="25"/>
        <v>-2.7880816225667182E-3</v>
      </c>
    </row>
    <row r="1426" spans="2:4" x14ac:dyDescent="0.2">
      <c r="B1426" s="2">
        <v>38222</v>
      </c>
      <c r="C1426" s="61">
        <v>3772.14</v>
      </c>
      <c r="D1426" s="3">
        <f t="shared" si="25"/>
        <v>1.6034541737483865E-2</v>
      </c>
    </row>
    <row r="1427" spans="2:4" x14ac:dyDescent="0.2">
      <c r="B1427" s="2">
        <v>38223</v>
      </c>
      <c r="C1427" s="61">
        <v>3771</v>
      </c>
      <c r="D1427" s="3">
        <f t="shared" si="25"/>
        <v>-3.0221571839850192E-4</v>
      </c>
    </row>
    <row r="1428" spans="2:4" x14ac:dyDescent="0.2">
      <c r="B1428" s="2">
        <v>38224</v>
      </c>
      <c r="C1428" s="61">
        <v>3788.88</v>
      </c>
      <c r="D1428" s="3">
        <f t="shared" si="25"/>
        <v>4.7414478918059721E-3</v>
      </c>
    </row>
    <row r="1429" spans="2:4" x14ac:dyDescent="0.2">
      <c r="B1429" s="2">
        <v>38225</v>
      </c>
      <c r="C1429" s="61">
        <v>3832.28</v>
      </c>
      <c r="D1429" s="3">
        <f t="shared" si="25"/>
        <v>1.1454572327442403E-2</v>
      </c>
    </row>
    <row r="1430" spans="2:4" x14ac:dyDescent="0.2">
      <c r="B1430" s="2">
        <v>38226</v>
      </c>
      <c r="C1430" s="61">
        <v>3851.18</v>
      </c>
      <c r="D1430" s="3">
        <f t="shared" si="25"/>
        <v>4.9317899527172582E-3</v>
      </c>
    </row>
    <row r="1431" spans="2:4" x14ac:dyDescent="0.2">
      <c r="B1431" s="2">
        <v>38229</v>
      </c>
      <c r="C1431" s="61">
        <v>3838.85</v>
      </c>
      <c r="D1431" s="3">
        <f t="shared" si="25"/>
        <v>-3.201616128043816E-3</v>
      </c>
    </row>
    <row r="1432" spans="2:4" x14ac:dyDescent="0.2">
      <c r="B1432" s="2">
        <v>38230</v>
      </c>
      <c r="C1432" s="61">
        <v>3785.21</v>
      </c>
      <c r="D1432" s="3">
        <f t="shared" si="25"/>
        <v>-1.3972934602810683E-2</v>
      </c>
    </row>
    <row r="1433" spans="2:4" x14ac:dyDescent="0.2">
      <c r="B1433" s="2">
        <v>38231</v>
      </c>
      <c r="C1433" s="61">
        <v>3817.62</v>
      </c>
      <c r="D1433" s="3">
        <f t="shared" si="25"/>
        <v>8.5622726348075773E-3</v>
      </c>
    </row>
    <row r="1434" spans="2:4" x14ac:dyDescent="0.2">
      <c r="B1434" s="2">
        <v>38232</v>
      </c>
      <c r="C1434" s="61">
        <v>3833.45</v>
      </c>
      <c r="D1434" s="3">
        <f t="shared" si="25"/>
        <v>4.1465625180086008E-3</v>
      </c>
    </row>
    <row r="1435" spans="2:4" x14ac:dyDescent="0.2">
      <c r="B1435" s="2">
        <v>38233</v>
      </c>
      <c r="C1435" s="61">
        <v>3866.99</v>
      </c>
      <c r="D1435" s="3">
        <f t="shared" si="25"/>
        <v>8.7492989343802563E-3</v>
      </c>
    </row>
    <row r="1436" spans="2:4" x14ac:dyDescent="0.2">
      <c r="B1436" s="2">
        <v>38236</v>
      </c>
      <c r="C1436" s="61">
        <v>3887.58</v>
      </c>
      <c r="D1436" s="3">
        <f t="shared" si="25"/>
        <v>5.3245547570590634E-3</v>
      </c>
    </row>
    <row r="1437" spans="2:4" x14ac:dyDescent="0.2">
      <c r="B1437" s="2">
        <v>38237</v>
      </c>
      <c r="C1437" s="61">
        <v>3889.04</v>
      </c>
      <c r="D1437" s="3">
        <f t="shared" si="25"/>
        <v>3.7555497250219005E-4</v>
      </c>
    </row>
    <row r="1438" spans="2:4" x14ac:dyDescent="0.2">
      <c r="B1438" s="2">
        <v>38238</v>
      </c>
      <c r="C1438" s="61">
        <v>3884.16</v>
      </c>
      <c r="D1438" s="3">
        <f t="shared" si="25"/>
        <v>-1.2548083845884683E-3</v>
      </c>
    </row>
    <row r="1439" spans="2:4" x14ac:dyDescent="0.2">
      <c r="B1439" s="2">
        <v>38239</v>
      </c>
      <c r="C1439" s="61">
        <v>3851.22</v>
      </c>
      <c r="D1439" s="3">
        <f t="shared" si="25"/>
        <v>-8.4805981216016235E-3</v>
      </c>
    </row>
    <row r="1440" spans="2:4" x14ac:dyDescent="0.2">
      <c r="B1440" s="2">
        <v>38240</v>
      </c>
      <c r="C1440" s="61">
        <v>3886.03</v>
      </c>
      <c r="D1440" s="3">
        <f t="shared" si="25"/>
        <v>9.0386942319578001E-3</v>
      </c>
    </row>
    <row r="1441" spans="2:4" x14ac:dyDescent="0.2">
      <c r="B1441" s="2">
        <v>38243</v>
      </c>
      <c r="C1441" s="61">
        <v>3953.31</v>
      </c>
      <c r="D1441" s="3">
        <f t="shared" si="25"/>
        <v>1.7313299176794805E-2</v>
      </c>
    </row>
    <row r="1442" spans="2:4" x14ac:dyDescent="0.2">
      <c r="B1442" s="2">
        <v>38244</v>
      </c>
      <c r="C1442" s="61">
        <v>3947.75</v>
      </c>
      <c r="D1442" s="3">
        <f t="shared" si="25"/>
        <v>-1.4064163953749764E-3</v>
      </c>
    </row>
    <row r="1443" spans="2:4" x14ac:dyDescent="0.2">
      <c r="B1443" s="2">
        <v>38245</v>
      </c>
      <c r="C1443" s="61">
        <v>3941.75</v>
      </c>
      <c r="D1443" s="3">
        <f t="shared" si="25"/>
        <v>-1.5198530808688826E-3</v>
      </c>
    </row>
    <row r="1444" spans="2:4" x14ac:dyDescent="0.2">
      <c r="B1444" s="2">
        <v>38246</v>
      </c>
      <c r="C1444" s="61">
        <v>3963.65</v>
      </c>
      <c r="D1444" s="3">
        <f t="shared" si="25"/>
        <v>5.5559079089237962E-3</v>
      </c>
    </row>
    <row r="1445" spans="2:4" x14ac:dyDescent="0.2">
      <c r="B1445" s="2">
        <v>38247</v>
      </c>
      <c r="C1445" s="61">
        <v>3988.07</v>
      </c>
      <c r="D1445" s="3">
        <f t="shared" si="25"/>
        <v>6.1609879782524857E-3</v>
      </c>
    </row>
    <row r="1446" spans="2:4" x14ac:dyDescent="0.2">
      <c r="B1446" s="2">
        <v>38250</v>
      </c>
      <c r="C1446" s="61">
        <v>3977.68</v>
      </c>
      <c r="D1446" s="3">
        <f t="shared" si="25"/>
        <v>-2.605270218426492E-3</v>
      </c>
    </row>
    <row r="1447" spans="2:4" x14ac:dyDescent="0.2">
      <c r="B1447" s="2">
        <v>38251</v>
      </c>
      <c r="C1447" s="61">
        <v>3991.02</v>
      </c>
      <c r="D1447" s="3">
        <f t="shared" si="25"/>
        <v>3.3537137225720937E-3</v>
      </c>
    </row>
    <row r="1448" spans="2:4" x14ac:dyDescent="0.2">
      <c r="B1448" s="2">
        <v>38252</v>
      </c>
      <c r="C1448" s="61">
        <v>3942.35</v>
      </c>
      <c r="D1448" s="3">
        <f t="shared" si="25"/>
        <v>-1.2194877499987489E-2</v>
      </c>
    </row>
    <row r="1449" spans="2:4" x14ac:dyDescent="0.2">
      <c r="B1449" s="2">
        <v>38253</v>
      </c>
      <c r="C1449" s="61">
        <v>3905.66</v>
      </c>
      <c r="D1449" s="3">
        <f t="shared" si="25"/>
        <v>-9.3066318312681195E-3</v>
      </c>
    </row>
    <row r="1450" spans="2:4" x14ac:dyDescent="0.2">
      <c r="B1450" s="2">
        <v>38254</v>
      </c>
      <c r="C1450" s="61">
        <v>3910.3</v>
      </c>
      <c r="D1450" s="3">
        <f t="shared" si="25"/>
        <v>1.1880194384561449E-3</v>
      </c>
    </row>
    <row r="1451" spans="2:4" x14ac:dyDescent="0.2">
      <c r="B1451" s="2">
        <v>38257</v>
      </c>
      <c r="C1451" s="61">
        <v>3874.37</v>
      </c>
      <c r="D1451" s="3">
        <f t="shared" si="25"/>
        <v>-9.1885533079304471E-3</v>
      </c>
    </row>
    <row r="1452" spans="2:4" x14ac:dyDescent="0.2">
      <c r="B1452" s="2">
        <v>38258</v>
      </c>
      <c r="C1452" s="61">
        <v>3882.27</v>
      </c>
      <c r="D1452" s="3">
        <f t="shared" si="25"/>
        <v>2.0390411860509161E-3</v>
      </c>
    </row>
    <row r="1453" spans="2:4" x14ac:dyDescent="0.2">
      <c r="B1453" s="2">
        <v>38259</v>
      </c>
      <c r="C1453" s="61">
        <v>3920.36</v>
      </c>
      <c r="D1453" s="3">
        <f t="shared" si="25"/>
        <v>9.8112702104697913E-3</v>
      </c>
    </row>
    <row r="1454" spans="2:4" x14ac:dyDescent="0.2">
      <c r="B1454" s="2">
        <v>38260</v>
      </c>
      <c r="C1454" s="61">
        <v>3892.9</v>
      </c>
      <c r="D1454" s="3">
        <f t="shared" si="25"/>
        <v>-7.0044587741941999E-3</v>
      </c>
    </row>
    <row r="1455" spans="2:4" x14ac:dyDescent="0.2">
      <c r="B1455" s="2">
        <v>38261</v>
      </c>
      <c r="C1455" s="61">
        <v>3994.96</v>
      </c>
      <c r="D1455" s="3">
        <f t="shared" si="25"/>
        <v>2.6216959079349511E-2</v>
      </c>
    </row>
    <row r="1456" spans="2:4" x14ac:dyDescent="0.2">
      <c r="B1456" s="2">
        <v>38264</v>
      </c>
      <c r="C1456" s="61">
        <v>4033.28</v>
      </c>
      <c r="D1456" s="3">
        <f t="shared" si="25"/>
        <v>9.5920860283957854E-3</v>
      </c>
    </row>
    <row r="1457" spans="2:4" x14ac:dyDescent="0.2">
      <c r="B1457" s="2">
        <v>38265</v>
      </c>
      <c r="C1457" s="61">
        <v>4048.71</v>
      </c>
      <c r="D1457" s="3">
        <f t="shared" si="25"/>
        <v>3.8256704220882565E-3</v>
      </c>
    </row>
    <row r="1458" spans="2:4" x14ac:dyDescent="0.2">
      <c r="B1458" s="2">
        <v>38266</v>
      </c>
      <c r="C1458" s="61">
        <v>4049.66</v>
      </c>
      <c r="D1458" s="3">
        <f t="shared" si="25"/>
        <v>2.3464263926031848E-4</v>
      </c>
    </row>
    <row r="1459" spans="2:4" x14ac:dyDescent="0.2">
      <c r="B1459" s="2">
        <v>38267</v>
      </c>
      <c r="C1459" s="61">
        <v>4043.36</v>
      </c>
      <c r="D1459" s="3">
        <f t="shared" si="25"/>
        <v>-1.5556861563685853E-3</v>
      </c>
    </row>
    <row r="1460" spans="2:4" x14ac:dyDescent="0.2">
      <c r="B1460" s="2">
        <v>38268</v>
      </c>
      <c r="C1460" s="61">
        <v>4015.54</v>
      </c>
      <c r="D1460" s="3">
        <f t="shared" si="25"/>
        <v>-6.8804162874441799E-3</v>
      </c>
    </row>
    <row r="1461" spans="2:4" x14ac:dyDescent="0.2">
      <c r="B1461" s="2">
        <v>38271</v>
      </c>
      <c r="C1461" s="61">
        <v>4017.82</v>
      </c>
      <c r="D1461" s="3">
        <f t="shared" si="25"/>
        <v>5.6779411984453354E-4</v>
      </c>
    </row>
    <row r="1462" spans="2:4" x14ac:dyDescent="0.2">
      <c r="B1462" s="2">
        <v>38272</v>
      </c>
      <c r="C1462" s="61">
        <v>3957.6</v>
      </c>
      <c r="D1462" s="3">
        <f t="shared" si="25"/>
        <v>-1.49882274467249E-2</v>
      </c>
    </row>
    <row r="1463" spans="2:4" x14ac:dyDescent="0.2">
      <c r="B1463" s="2">
        <v>38273</v>
      </c>
      <c r="C1463" s="61">
        <v>3976.03</v>
      </c>
      <c r="D1463" s="3">
        <f t="shared" si="25"/>
        <v>4.6568627450980227E-3</v>
      </c>
    </row>
    <row r="1464" spans="2:4" x14ac:dyDescent="0.2">
      <c r="B1464" s="2">
        <v>38274</v>
      </c>
      <c r="C1464" s="61">
        <v>3940.46</v>
      </c>
      <c r="D1464" s="3">
        <f t="shared" si="25"/>
        <v>-8.9461095615476216E-3</v>
      </c>
    </row>
    <row r="1465" spans="2:4" x14ac:dyDescent="0.2">
      <c r="B1465" s="2">
        <v>38275</v>
      </c>
      <c r="C1465" s="61">
        <v>3922.11</v>
      </c>
      <c r="D1465" s="3">
        <f t="shared" si="25"/>
        <v>-4.6568167168299368E-3</v>
      </c>
    </row>
    <row r="1466" spans="2:4" x14ac:dyDescent="0.2">
      <c r="B1466" s="2">
        <v>38278</v>
      </c>
      <c r="C1466" s="61">
        <v>3915.17</v>
      </c>
      <c r="D1466" s="3">
        <f t="shared" si="25"/>
        <v>-1.7694557266370037E-3</v>
      </c>
    </row>
    <row r="1467" spans="2:4" x14ac:dyDescent="0.2">
      <c r="B1467" s="2">
        <v>38279</v>
      </c>
      <c r="C1467" s="61">
        <v>3964.13</v>
      </c>
      <c r="D1467" s="3">
        <f t="shared" si="25"/>
        <v>1.2505204116296298E-2</v>
      </c>
    </row>
    <row r="1468" spans="2:4" x14ac:dyDescent="0.2">
      <c r="B1468" s="2">
        <v>38280</v>
      </c>
      <c r="C1468" s="61">
        <v>3912.4</v>
      </c>
      <c r="D1468" s="3">
        <f t="shared" si="25"/>
        <v>-1.3049521584811763E-2</v>
      </c>
    </row>
    <row r="1469" spans="2:4" x14ac:dyDescent="0.2">
      <c r="B1469" s="2">
        <v>38281</v>
      </c>
      <c r="C1469" s="61">
        <v>3934.06</v>
      </c>
      <c r="D1469" s="3">
        <f t="shared" si="25"/>
        <v>5.5362437378589924E-3</v>
      </c>
    </row>
    <row r="1470" spans="2:4" x14ac:dyDescent="0.2">
      <c r="B1470" s="2">
        <v>38282</v>
      </c>
      <c r="C1470" s="61">
        <v>3935.14</v>
      </c>
      <c r="D1470" s="3">
        <f t="shared" si="25"/>
        <v>2.7452555375351295E-4</v>
      </c>
    </row>
    <row r="1471" spans="2:4" x14ac:dyDescent="0.2">
      <c r="B1471" s="2">
        <v>38285</v>
      </c>
      <c r="C1471" s="61">
        <v>3854.41</v>
      </c>
      <c r="D1471" s="3">
        <f t="shared" si="25"/>
        <v>-2.051515320928865E-2</v>
      </c>
    </row>
    <row r="1472" spans="2:4" x14ac:dyDescent="0.2">
      <c r="B1472" s="2">
        <v>38286</v>
      </c>
      <c r="C1472" s="61">
        <v>3862.26</v>
      </c>
      <c r="D1472" s="3">
        <f t="shared" si="25"/>
        <v>2.0366281739618852E-3</v>
      </c>
    </row>
    <row r="1473" spans="2:4" x14ac:dyDescent="0.2">
      <c r="B1473" s="2">
        <v>38287</v>
      </c>
      <c r="C1473" s="61">
        <v>3929.03</v>
      </c>
      <c r="D1473" s="3">
        <f t="shared" si="25"/>
        <v>1.728780558533094E-2</v>
      </c>
    </row>
    <row r="1474" spans="2:4" x14ac:dyDescent="0.2">
      <c r="B1474" s="2">
        <v>38288</v>
      </c>
      <c r="C1474" s="61">
        <v>3959.59</v>
      </c>
      <c r="D1474" s="3">
        <f t="shared" si="25"/>
        <v>7.7780011860433262E-3</v>
      </c>
    </row>
    <row r="1475" spans="2:4" x14ac:dyDescent="0.2">
      <c r="B1475" s="2">
        <v>38289</v>
      </c>
      <c r="C1475" s="61">
        <v>3960.25</v>
      </c>
      <c r="D1475" s="3">
        <f t="shared" si="25"/>
        <v>1.6668392434571189E-4</v>
      </c>
    </row>
    <row r="1476" spans="2:4" x14ac:dyDescent="0.2">
      <c r="B1476" s="2">
        <v>38292</v>
      </c>
      <c r="C1476" s="61">
        <v>4012.64</v>
      </c>
      <c r="D1476" s="3">
        <f t="shared" si="25"/>
        <v>1.3228962818003787E-2</v>
      </c>
    </row>
    <row r="1477" spans="2:4" x14ac:dyDescent="0.2">
      <c r="B1477" s="2">
        <v>38293</v>
      </c>
      <c r="C1477" s="61">
        <v>4037.57</v>
      </c>
      <c r="D1477" s="3">
        <f t="shared" ref="D1477:D1540" si="26">C1477/C1476-1</f>
        <v>6.2128673392081168E-3</v>
      </c>
    </row>
    <row r="1478" spans="2:4" x14ac:dyDescent="0.2">
      <c r="B1478" s="2">
        <v>38294</v>
      </c>
      <c r="C1478" s="61">
        <v>4039.04</v>
      </c>
      <c r="D1478" s="3">
        <f t="shared" si="26"/>
        <v>3.6408037507706936E-4</v>
      </c>
    </row>
    <row r="1479" spans="2:4" x14ac:dyDescent="0.2">
      <c r="B1479" s="2">
        <v>38295</v>
      </c>
      <c r="C1479" s="61">
        <v>4041.38</v>
      </c>
      <c r="D1479" s="3">
        <f t="shared" si="26"/>
        <v>5.7934558707017914E-4</v>
      </c>
    </row>
    <row r="1480" spans="2:4" x14ac:dyDescent="0.2">
      <c r="B1480" s="2">
        <v>38296</v>
      </c>
      <c r="C1480" s="61">
        <v>4063.58</v>
      </c>
      <c r="D1480" s="3">
        <f t="shared" si="26"/>
        <v>5.4931731240317472E-3</v>
      </c>
    </row>
    <row r="1481" spans="2:4" x14ac:dyDescent="0.2">
      <c r="B1481" s="2">
        <v>38299</v>
      </c>
      <c r="C1481" s="61">
        <v>4068.97</v>
      </c>
      <c r="D1481" s="3">
        <f t="shared" si="26"/>
        <v>1.3264166080155793E-3</v>
      </c>
    </row>
    <row r="1482" spans="2:4" x14ac:dyDescent="0.2">
      <c r="B1482" s="2">
        <v>38300</v>
      </c>
      <c r="C1482" s="61">
        <v>4065.33</v>
      </c>
      <c r="D1482" s="3">
        <f t="shared" si="26"/>
        <v>-8.9457528563741118E-4</v>
      </c>
    </row>
    <row r="1483" spans="2:4" x14ac:dyDescent="0.2">
      <c r="B1483" s="2">
        <v>38301</v>
      </c>
      <c r="C1483" s="61">
        <v>4089.13</v>
      </c>
      <c r="D1483" s="3">
        <f t="shared" si="26"/>
        <v>5.8543832849977662E-3</v>
      </c>
    </row>
    <row r="1484" spans="2:4" x14ac:dyDescent="0.2">
      <c r="B1484" s="2">
        <v>38302</v>
      </c>
      <c r="C1484" s="61">
        <v>4130.8100000000004</v>
      </c>
      <c r="D1484" s="3">
        <f t="shared" si="26"/>
        <v>1.0192877213490492E-2</v>
      </c>
    </row>
    <row r="1485" spans="2:4" x14ac:dyDescent="0.2">
      <c r="B1485" s="2">
        <v>38303</v>
      </c>
      <c r="C1485" s="61">
        <v>4143.3500000000004</v>
      </c>
      <c r="D1485" s="3">
        <f t="shared" si="26"/>
        <v>3.0357242284200225E-3</v>
      </c>
    </row>
    <row r="1486" spans="2:4" x14ac:dyDescent="0.2">
      <c r="B1486" s="2">
        <v>38306</v>
      </c>
      <c r="C1486" s="61">
        <v>4134.34</v>
      </c>
      <c r="D1486" s="3">
        <f t="shared" si="26"/>
        <v>-2.1745688874944546E-3</v>
      </c>
    </row>
    <row r="1487" spans="2:4" x14ac:dyDescent="0.2">
      <c r="B1487" s="2">
        <v>38307</v>
      </c>
      <c r="C1487" s="61">
        <v>4117.22</v>
      </c>
      <c r="D1487" s="3">
        <f t="shared" si="26"/>
        <v>-4.1409269677868954E-3</v>
      </c>
    </row>
    <row r="1488" spans="2:4" x14ac:dyDescent="0.2">
      <c r="B1488" s="2">
        <v>38308</v>
      </c>
      <c r="C1488" s="61">
        <v>4183.41</v>
      </c>
      <c r="D1488" s="3">
        <f t="shared" si="26"/>
        <v>1.6076381636152437E-2</v>
      </c>
    </row>
    <row r="1489" spans="2:4" x14ac:dyDescent="0.2">
      <c r="B1489" s="2">
        <v>38309</v>
      </c>
      <c r="C1489" s="61">
        <v>4178.68</v>
      </c>
      <c r="D1489" s="3">
        <f t="shared" si="26"/>
        <v>-1.1306565696403981E-3</v>
      </c>
    </row>
    <row r="1490" spans="2:4" x14ac:dyDescent="0.2">
      <c r="B1490" s="2">
        <v>38310</v>
      </c>
      <c r="C1490" s="61">
        <v>4134.8900000000003</v>
      </c>
      <c r="D1490" s="3">
        <f t="shared" si="26"/>
        <v>-1.0479385834761157E-2</v>
      </c>
    </row>
    <row r="1491" spans="2:4" x14ac:dyDescent="0.2">
      <c r="B1491" s="2">
        <v>38313</v>
      </c>
      <c r="C1491" s="61">
        <v>4123.9799999999996</v>
      </c>
      <c r="D1491" s="3">
        <f t="shared" si="26"/>
        <v>-2.6385224274407815E-3</v>
      </c>
    </row>
    <row r="1492" spans="2:4" x14ac:dyDescent="0.2">
      <c r="B1492" s="2">
        <v>38314</v>
      </c>
      <c r="C1492" s="61">
        <v>4113.37</v>
      </c>
      <c r="D1492" s="3">
        <f t="shared" si="26"/>
        <v>-2.5727573848562946E-3</v>
      </c>
    </row>
    <row r="1493" spans="2:4" x14ac:dyDescent="0.2">
      <c r="B1493" s="2">
        <v>38315</v>
      </c>
      <c r="C1493" s="61">
        <v>4125.3</v>
      </c>
      <c r="D1493" s="3">
        <f t="shared" si="26"/>
        <v>2.9002982955581569E-3</v>
      </c>
    </row>
    <row r="1494" spans="2:4" x14ac:dyDescent="0.2">
      <c r="B1494" s="2">
        <v>38316</v>
      </c>
      <c r="C1494" s="61">
        <v>4160.3500000000004</v>
      </c>
      <c r="D1494" s="3">
        <f t="shared" si="26"/>
        <v>8.4963517804765853E-3</v>
      </c>
    </row>
    <row r="1495" spans="2:4" x14ac:dyDescent="0.2">
      <c r="B1495" s="2">
        <v>38317</v>
      </c>
      <c r="C1495" s="61">
        <v>4154.2700000000004</v>
      </c>
      <c r="D1495" s="3">
        <f t="shared" si="26"/>
        <v>-1.4614155059069489E-3</v>
      </c>
    </row>
    <row r="1496" spans="2:4" x14ac:dyDescent="0.2">
      <c r="B1496" s="2">
        <v>38320</v>
      </c>
      <c r="C1496" s="61">
        <v>4146.9799999999996</v>
      </c>
      <c r="D1496" s="3">
        <f t="shared" si="26"/>
        <v>-1.7548209432706185E-3</v>
      </c>
    </row>
    <row r="1497" spans="2:4" x14ac:dyDescent="0.2">
      <c r="B1497" s="2">
        <v>38321</v>
      </c>
      <c r="C1497" s="61">
        <v>4126</v>
      </c>
      <c r="D1497" s="3">
        <f t="shared" si="26"/>
        <v>-5.0591032510404199E-3</v>
      </c>
    </row>
    <row r="1498" spans="2:4" x14ac:dyDescent="0.2">
      <c r="B1498" s="2">
        <v>38322</v>
      </c>
      <c r="C1498" s="61">
        <v>4186.03</v>
      </c>
      <c r="D1498" s="3">
        <f t="shared" si="26"/>
        <v>1.4549200193892275E-2</v>
      </c>
    </row>
    <row r="1499" spans="2:4" x14ac:dyDescent="0.2">
      <c r="B1499" s="2">
        <v>38323</v>
      </c>
      <c r="C1499" s="61">
        <v>4216.3999999999996</v>
      </c>
      <c r="D1499" s="3">
        <f t="shared" si="26"/>
        <v>7.2550841728320492E-3</v>
      </c>
    </row>
    <row r="1500" spans="2:4" x14ac:dyDescent="0.2">
      <c r="B1500" s="2">
        <v>38324</v>
      </c>
      <c r="C1500" s="61">
        <v>4208.87</v>
      </c>
      <c r="D1500" s="3">
        <f t="shared" si="26"/>
        <v>-1.7858836922493015E-3</v>
      </c>
    </row>
    <row r="1501" spans="2:4" x14ac:dyDescent="0.2">
      <c r="B1501" s="2">
        <v>38327</v>
      </c>
      <c r="C1501" s="61">
        <v>4193.91</v>
      </c>
      <c r="D1501" s="3">
        <f t="shared" si="26"/>
        <v>-3.5543982113964701E-3</v>
      </c>
    </row>
    <row r="1502" spans="2:4" x14ac:dyDescent="0.2">
      <c r="B1502" s="2">
        <v>38328</v>
      </c>
      <c r="C1502" s="61">
        <v>4212.62</v>
      </c>
      <c r="D1502" s="3">
        <f t="shared" si="26"/>
        <v>4.4612306892612974E-3</v>
      </c>
    </row>
    <row r="1503" spans="2:4" x14ac:dyDescent="0.2">
      <c r="B1503" s="2">
        <v>38329</v>
      </c>
      <c r="C1503" s="61">
        <v>4201.3500000000004</v>
      </c>
      <c r="D1503" s="3">
        <f t="shared" si="26"/>
        <v>-2.6752947097055113E-3</v>
      </c>
    </row>
    <row r="1504" spans="2:4" x14ac:dyDescent="0.2">
      <c r="B1504" s="2">
        <v>38330</v>
      </c>
      <c r="C1504" s="61">
        <v>4150.41</v>
      </c>
      <c r="D1504" s="3">
        <f t="shared" si="26"/>
        <v>-1.2124674211860587E-2</v>
      </c>
    </row>
    <row r="1505" spans="2:4" x14ac:dyDescent="0.2">
      <c r="B1505" s="2">
        <v>38331</v>
      </c>
      <c r="C1505" s="61">
        <v>4174.55</v>
      </c>
      <c r="D1505" s="3">
        <f t="shared" si="26"/>
        <v>5.8162928481764187E-3</v>
      </c>
    </row>
    <row r="1506" spans="2:4" x14ac:dyDescent="0.2">
      <c r="B1506" s="2">
        <v>38334</v>
      </c>
      <c r="C1506" s="61">
        <v>4219.24</v>
      </c>
      <c r="D1506" s="3">
        <f t="shared" si="26"/>
        <v>1.0705345486339723E-2</v>
      </c>
    </row>
    <row r="1507" spans="2:4" x14ac:dyDescent="0.2">
      <c r="B1507" s="2">
        <v>38335</v>
      </c>
      <c r="C1507" s="61">
        <v>4231.3</v>
      </c>
      <c r="D1507" s="3">
        <f t="shared" si="26"/>
        <v>2.8583346763872974E-3</v>
      </c>
    </row>
    <row r="1508" spans="2:4" x14ac:dyDescent="0.2">
      <c r="B1508" s="2">
        <v>38336</v>
      </c>
      <c r="C1508" s="61">
        <v>4213.6899999999996</v>
      </c>
      <c r="D1508" s="3">
        <f t="shared" si="26"/>
        <v>-4.1618415144283327E-3</v>
      </c>
    </row>
    <row r="1509" spans="2:4" x14ac:dyDescent="0.2">
      <c r="B1509" s="2">
        <v>38337</v>
      </c>
      <c r="C1509" s="61">
        <v>4233.71</v>
      </c>
      <c r="D1509" s="3">
        <f t="shared" si="26"/>
        <v>4.7511800820658756E-3</v>
      </c>
    </row>
    <row r="1510" spans="2:4" x14ac:dyDescent="0.2">
      <c r="B1510" s="2">
        <v>38338</v>
      </c>
      <c r="C1510" s="61">
        <v>4182.2700000000004</v>
      </c>
      <c r="D1510" s="3">
        <f t="shared" si="26"/>
        <v>-1.2150100030469679E-2</v>
      </c>
    </row>
    <row r="1511" spans="2:4" x14ac:dyDescent="0.2">
      <c r="B1511" s="2">
        <v>38341</v>
      </c>
      <c r="C1511" s="61">
        <v>4211.55</v>
      </c>
      <c r="D1511" s="3">
        <f t="shared" si="26"/>
        <v>7.0009827199104535E-3</v>
      </c>
    </row>
    <row r="1512" spans="2:4" x14ac:dyDescent="0.2">
      <c r="B1512" s="2">
        <v>38342</v>
      </c>
      <c r="C1512" s="61">
        <v>4214.3900000000003</v>
      </c>
      <c r="D1512" s="3">
        <f t="shared" si="26"/>
        <v>6.7433605204736402E-4</v>
      </c>
    </row>
    <row r="1513" spans="2:4" x14ac:dyDescent="0.2">
      <c r="B1513" s="2">
        <v>38343</v>
      </c>
      <c r="C1513" s="61">
        <v>4241.28</v>
      </c>
      <c r="D1513" s="3">
        <f t="shared" si="26"/>
        <v>6.3805200752657942E-3</v>
      </c>
    </row>
    <row r="1514" spans="2:4" x14ac:dyDescent="0.2">
      <c r="B1514" s="2">
        <v>38344</v>
      </c>
      <c r="C1514" s="61">
        <v>4251.62</v>
      </c>
      <c r="D1514" s="3">
        <f t="shared" si="26"/>
        <v>2.4379432624113129E-3</v>
      </c>
    </row>
    <row r="1515" spans="2:4" x14ac:dyDescent="0.2">
      <c r="B1515" s="2">
        <v>38348</v>
      </c>
      <c r="C1515" s="61">
        <v>4235.3599999999997</v>
      </c>
      <c r="D1515" s="3">
        <f t="shared" si="26"/>
        <v>-3.8244245722807158E-3</v>
      </c>
    </row>
    <row r="1516" spans="2:4" x14ac:dyDescent="0.2">
      <c r="B1516" s="2">
        <v>38349</v>
      </c>
      <c r="C1516" s="61">
        <v>4261.79</v>
      </c>
      <c r="D1516" s="3">
        <f t="shared" si="26"/>
        <v>6.2403195950286872E-3</v>
      </c>
    </row>
    <row r="1517" spans="2:4" x14ac:dyDescent="0.2">
      <c r="B1517" s="2">
        <v>38350</v>
      </c>
      <c r="C1517" s="61">
        <v>4247.75</v>
      </c>
      <c r="D1517" s="3">
        <f t="shared" si="26"/>
        <v>-3.2943903852606926E-3</v>
      </c>
    </row>
    <row r="1518" spans="2:4" x14ac:dyDescent="0.2">
      <c r="B1518" s="2">
        <v>38351</v>
      </c>
      <c r="C1518" s="61">
        <v>4256.08</v>
      </c>
      <c r="D1518" s="3">
        <f t="shared" si="26"/>
        <v>1.9610381966923551E-3</v>
      </c>
    </row>
    <row r="1519" spans="2:4" x14ac:dyDescent="0.2">
      <c r="B1519" s="2">
        <v>38355</v>
      </c>
      <c r="C1519" s="61">
        <v>4291.53</v>
      </c>
      <c r="D1519" s="3">
        <f t="shared" si="26"/>
        <v>8.3292607281817421E-3</v>
      </c>
    </row>
    <row r="1520" spans="2:4" x14ac:dyDescent="0.2">
      <c r="B1520" s="2">
        <v>38356</v>
      </c>
      <c r="C1520" s="61">
        <v>4290.5</v>
      </c>
      <c r="D1520" s="3">
        <f t="shared" si="26"/>
        <v>-2.4000764296172594E-4</v>
      </c>
    </row>
    <row r="1521" spans="2:4" x14ac:dyDescent="0.2">
      <c r="B1521" s="2">
        <v>38357</v>
      </c>
      <c r="C1521" s="61">
        <v>4258.24</v>
      </c>
      <c r="D1521" s="3">
        <f t="shared" si="26"/>
        <v>-7.5189371868080723E-3</v>
      </c>
    </row>
    <row r="1522" spans="2:4" x14ac:dyDescent="0.2">
      <c r="B1522" s="2">
        <v>38358</v>
      </c>
      <c r="C1522" s="61">
        <v>4300.9399999999996</v>
      </c>
      <c r="D1522" s="3">
        <f t="shared" si="26"/>
        <v>1.0027617043661285E-2</v>
      </c>
    </row>
    <row r="1523" spans="2:4" x14ac:dyDescent="0.2">
      <c r="B1523" s="2">
        <v>38359</v>
      </c>
      <c r="C1523" s="61">
        <v>4316.3999999999996</v>
      </c>
      <c r="D1523" s="3">
        <f t="shared" si="26"/>
        <v>3.5945630490079594E-3</v>
      </c>
    </row>
    <row r="1524" spans="2:4" x14ac:dyDescent="0.2">
      <c r="B1524" s="2">
        <v>38362</v>
      </c>
      <c r="C1524" s="61">
        <v>4307.37</v>
      </c>
      <c r="D1524" s="3">
        <f t="shared" si="26"/>
        <v>-2.0920211287183132E-3</v>
      </c>
    </row>
    <row r="1525" spans="2:4" x14ac:dyDescent="0.2">
      <c r="B1525" s="2">
        <v>38363</v>
      </c>
      <c r="C1525" s="61">
        <v>4258.01</v>
      </c>
      <c r="D1525" s="3">
        <f t="shared" si="26"/>
        <v>-1.1459428839407759E-2</v>
      </c>
    </row>
    <row r="1526" spans="2:4" x14ac:dyDescent="0.2">
      <c r="B1526" s="2">
        <v>38364</v>
      </c>
      <c r="C1526" s="61">
        <v>4208.82</v>
      </c>
      <c r="D1526" s="3">
        <f t="shared" si="26"/>
        <v>-1.1552344874718568E-2</v>
      </c>
    </row>
    <row r="1527" spans="2:4" x14ac:dyDescent="0.2">
      <c r="B1527" s="2">
        <v>38365</v>
      </c>
      <c r="C1527" s="61">
        <v>4212.1400000000003</v>
      </c>
      <c r="D1527" s="3">
        <f t="shared" si="26"/>
        <v>7.8881966917099255E-4</v>
      </c>
    </row>
    <row r="1528" spans="2:4" x14ac:dyDescent="0.2">
      <c r="B1528" s="2">
        <v>38366</v>
      </c>
      <c r="C1528" s="61">
        <v>4232.3599999999997</v>
      </c>
      <c r="D1528" s="3">
        <f t="shared" si="26"/>
        <v>4.8004102427743334E-3</v>
      </c>
    </row>
    <row r="1529" spans="2:4" x14ac:dyDescent="0.2">
      <c r="B1529" s="2">
        <v>38369</v>
      </c>
      <c r="C1529" s="61">
        <v>4245.51</v>
      </c>
      <c r="D1529" s="3">
        <f t="shared" si="26"/>
        <v>3.1070135810755684E-3</v>
      </c>
    </row>
    <row r="1530" spans="2:4" x14ac:dyDescent="0.2">
      <c r="B1530" s="2">
        <v>38370</v>
      </c>
      <c r="C1530" s="61">
        <v>4250.71</v>
      </c>
      <c r="D1530" s="3">
        <f t="shared" si="26"/>
        <v>1.2248234016642989E-3</v>
      </c>
    </row>
    <row r="1531" spans="2:4" x14ac:dyDescent="0.2">
      <c r="B1531" s="2">
        <v>38371</v>
      </c>
      <c r="C1531" s="61">
        <v>4245.55</v>
      </c>
      <c r="D1531" s="3">
        <f t="shared" si="26"/>
        <v>-1.2139148518717224E-3</v>
      </c>
    </row>
    <row r="1532" spans="2:4" x14ac:dyDescent="0.2">
      <c r="B1532" s="2">
        <v>38372</v>
      </c>
      <c r="C1532" s="61">
        <v>4220.43</v>
      </c>
      <c r="D1532" s="3">
        <f t="shared" si="26"/>
        <v>-5.9167834556181909E-3</v>
      </c>
    </row>
    <row r="1533" spans="2:4" x14ac:dyDescent="0.2">
      <c r="B1533" s="2">
        <v>38373</v>
      </c>
      <c r="C1533" s="61">
        <v>4213.7</v>
      </c>
      <c r="D1533" s="3">
        <f t="shared" si="26"/>
        <v>-1.5946242444491165E-3</v>
      </c>
    </row>
    <row r="1534" spans="2:4" x14ac:dyDescent="0.2">
      <c r="B1534" s="2">
        <v>38376</v>
      </c>
      <c r="C1534" s="61">
        <v>4201.8900000000003</v>
      </c>
      <c r="D1534" s="3">
        <f t="shared" si="26"/>
        <v>-2.802762417827398E-3</v>
      </c>
    </row>
    <row r="1535" spans="2:4" x14ac:dyDescent="0.2">
      <c r="B1535" s="2">
        <v>38377</v>
      </c>
      <c r="C1535" s="61">
        <v>4233.95</v>
      </c>
      <c r="D1535" s="3">
        <f t="shared" si="26"/>
        <v>7.6298998783879135E-3</v>
      </c>
    </row>
    <row r="1536" spans="2:4" x14ac:dyDescent="0.2">
      <c r="B1536" s="2">
        <v>38378</v>
      </c>
      <c r="C1536" s="61">
        <v>4214.12</v>
      </c>
      <c r="D1536" s="3">
        <f t="shared" si="26"/>
        <v>-4.6835697162224132E-3</v>
      </c>
    </row>
    <row r="1537" spans="2:4" x14ac:dyDescent="0.2">
      <c r="B1537" s="2">
        <v>38379</v>
      </c>
      <c r="C1537" s="61">
        <v>4216.41</v>
      </c>
      <c r="D1537" s="3">
        <f t="shared" si="26"/>
        <v>5.4341119854206532E-4</v>
      </c>
    </row>
    <row r="1538" spans="2:4" x14ac:dyDescent="0.2">
      <c r="B1538" s="2">
        <v>38380</v>
      </c>
      <c r="C1538" s="61">
        <v>4201.8100000000004</v>
      </c>
      <c r="D1538" s="3">
        <f t="shared" si="26"/>
        <v>-3.4626613635769798E-3</v>
      </c>
    </row>
    <row r="1539" spans="2:4" x14ac:dyDescent="0.2">
      <c r="B1539" s="2">
        <v>38383</v>
      </c>
      <c r="C1539" s="61">
        <v>4254.8500000000004</v>
      </c>
      <c r="D1539" s="3">
        <f t="shared" si="26"/>
        <v>1.2623131460013592E-2</v>
      </c>
    </row>
    <row r="1540" spans="2:4" x14ac:dyDescent="0.2">
      <c r="B1540" s="2">
        <v>38384</v>
      </c>
      <c r="C1540" s="61">
        <v>4279.97</v>
      </c>
      <c r="D1540" s="3">
        <f t="shared" si="26"/>
        <v>5.9038508995616912E-3</v>
      </c>
    </row>
    <row r="1541" spans="2:4" x14ac:dyDescent="0.2">
      <c r="B1541" s="2">
        <v>38385</v>
      </c>
      <c r="C1541" s="61">
        <v>4296.3100000000004</v>
      </c>
      <c r="D1541" s="3">
        <f t="shared" ref="D1541:D1604" si="27">C1541/C1540-1</f>
        <v>3.8177837695123618E-3</v>
      </c>
    </row>
    <row r="1542" spans="2:4" x14ac:dyDescent="0.2">
      <c r="B1542" s="2">
        <v>38386</v>
      </c>
      <c r="C1542" s="61">
        <v>4281.6400000000003</v>
      </c>
      <c r="D1542" s="3">
        <f t="shared" si="27"/>
        <v>-3.4145580742543924E-3</v>
      </c>
    </row>
    <row r="1543" spans="2:4" x14ac:dyDescent="0.2">
      <c r="B1543" s="2">
        <v>38387</v>
      </c>
      <c r="C1543" s="61">
        <v>4339.28</v>
      </c>
      <c r="D1543" s="3">
        <f t="shared" si="27"/>
        <v>1.3462131332853566E-2</v>
      </c>
    </row>
    <row r="1544" spans="2:4" x14ac:dyDescent="0.2">
      <c r="B1544" s="2">
        <v>38390</v>
      </c>
      <c r="C1544" s="61">
        <v>4366.3500000000004</v>
      </c>
      <c r="D1544" s="3">
        <f t="shared" si="27"/>
        <v>6.2383621245922782E-3</v>
      </c>
    </row>
    <row r="1545" spans="2:4" x14ac:dyDescent="0.2">
      <c r="B1545" s="2">
        <v>38391</v>
      </c>
      <c r="C1545" s="61">
        <v>4371.3900000000003</v>
      </c>
      <c r="D1545" s="3">
        <f t="shared" si="27"/>
        <v>1.1542821807688508E-3</v>
      </c>
    </row>
    <row r="1546" spans="2:4" x14ac:dyDescent="0.2">
      <c r="B1546" s="2">
        <v>38392</v>
      </c>
      <c r="C1546" s="61">
        <v>4353.1499999999996</v>
      </c>
      <c r="D1546" s="3">
        <f t="shared" si="27"/>
        <v>-4.1725858365418977E-3</v>
      </c>
    </row>
    <row r="1547" spans="2:4" x14ac:dyDescent="0.2">
      <c r="B1547" s="2">
        <v>38393</v>
      </c>
      <c r="C1547" s="61">
        <v>4342.01</v>
      </c>
      <c r="D1547" s="3">
        <f t="shared" si="27"/>
        <v>-2.5590664231647242E-3</v>
      </c>
    </row>
    <row r="1548" spans="2:4" x14ac:dyDescent="0.2">
      <c r="B1548" s="2">
        <v>38394</v>
      </c>
      <c r="C1548" s="61">
        <v>4387.8</v>
      </c>
      <c r="D1548" s="3">
        <f t="shared" si="27"/>
        <v>1.0545807126192797E-2</v>
      </c>
    </row>
    <row r="1549" spans="2:4" x14ac:dyDescent="0.2">
      <c r="B1549" s="2">
        <v>38397</v>
      </c>
      <c r="C1549" s="61">
        <v>4386.3999999999996</v>
      </c>
      <c r="D1549" s="3">
        <f t="shared" si="27"/>
        <v>-3.190665025754047E-4</v>
      </c>
    </row>
    <row r="1550" spans="2:4" x14ac:dyDescent="0.2">
      <c r="B1550" s="2">
        <v>38398</v>
      </c>
      <c r="C1550" s="61">
        <v>4402.03</v>
      </c>
      <c r="D1550" s="3">
        <f t="shared" si="27"/>
        <v>3.563286521977016E-3</v>
      </c>
    </row>
    <row r="1551" spans="2:4" x14ac:dyDescent="0.2">
      <c r="B1551" s="2">
        <v>38399</v>
      </c>
      <c r="C1551" s="61">
        <v>4368.7700000000004</v>
      </c>
      <c r="D1551" s="3">
        <f t="shared" si="27"/>
        <v>-7.5556050276802678E-3</v>
      </c>
    </row>
    <row r="1552" spans="2:4" x14ac:dyDescent="0.2">
      <c r="B1552" s="2">
        <v>38400</v>
      </c>
      <c r="C1552" s="61">
        <v>4369.68</v>
      </c>
      <c r="D1552" s="3">
        <f t="shared" si="27"/>
        <v>2.082966143788223E-4</v>
      </c>
    </row>
    <row r="1553" spans="2:4" x14ac:dyDescent="0.2">
      <c r="B1553" s="2">
        <v>38401</v>
      </c>
      <c r="C1553" s="61">
        <v>4359.47</v>
      </c>
      <c r="D1553" s="3">
        <f t="shared" si="27"/>
        <v>-2.3365555372475422E-3</v>
      </c>
    </row>
    <row r="1554" spans="2:4" x14ac:dyDescent="0.2">
      <c r="B1554" s="2">
        <v>38404</v>
      </c>
      <c r="C1554" s="61">
        <v>4353.34</v>
      </c>
      <c r="D1554" s="3">
        <f t="shared" si="27"/>
        <v>-1.4061342319134917E-3</v>
      </c>
    </row>
    <row r="1555" spans="2:4" x14ac:dyDescent="0.2">
      <c r="B1555" s="2">
        <v>38405</v>
      </c>
      <c r="C1555" s="61">
        <v>4323.21</v>
      </c>
      <c r="D1555" s="3">
        <f t="shared" si="27"/>
        <v>-6.9211226322777319E-3</v>
      </c>
    </row>
    <row r="1556" spans="2:4" x14ac:dyDescent="0.2">
      <c r="B1556" s="2">
        <v>38406</v>
      </c>
      <c r="C1556" s="61">
        <v>4310.66</v>
      </c>
      <c r="D1556" s="3">
        <f t="shared" si="27"/>
        <v>-2.9029355502045995E-3</v>
      </c>
    </row>
    <row r="1557" spans="2:4" x14ac:dyDescent="0.2">
      <c r="B1557" s="2">
        <v>38407</v>
      </c>
      <c r="C1557" s="61">
        <v>4304.29</v>
      </c>
      <c r="D1557" s="3">
        <f t="shared" si="27"/>
        <v>-1.4777319482399687E-3</v>
      </c>
    </row>
    <row r="1558" spans="2:4" x14ac:dyDescent="0.2">
      <c r="B1558" s="2">
        <v>38408</v>
      </c>
      <c r="C1558" s="61">
        <v>4348.6400000000003</v>
      </c>
      <c r="D1558" s="3">
        <f t="shared" si="27"/>
        <v>1.0303673776627553E-2</v>
      </c>
    </row>
    <row r="1559" spans="2:4" x14ac:dyDescent="0.2">
      <c r="B1559" s="2">
        <v>38411</v>
      </c>
      <c r="C1559" s="61">
        <v>4350.49</v>
      </c>
      <c r="D1559" s="3">
        <f t="shared" si="27"/>
        <v>4.2542036130832628E-4</v>
      </c>
    </row>
    <row r="1560" spans="2:4" x14ac:dyDescent="0.2">
      <c r="B1560" s="2">
        <v>38412</v>
      </c>
      <c r="C1560" s="61">
        <v>4383.62</v>
      </c>
      <c r="D1560" s="3">
        <f t="shared" si="27"/>
        <v>7.6152341460387074E-3</v>
      </c>
    </row>
    <row r="1561" spans="2:4" x14ac:dyDescent="0.2">
      <c r="B1561" s="2">
        <v>38413</v>
      </c>
      <c r="C1561" s="61">
        <v>4393.43</v>
      </c>
      <c r="D1561" s="3">
        <f t="shared" si="27"/>
        <v>2.237876458269783E-3</v>
      </c>
    </row>
    <row r="1562" spans="2:4" x14ac:dyDescent="0.2">
      <c r="B1562" s="2">
        <v>38414</v>
      </c>
      <c r="C1562" s="61">
        <v>4373.2700000000004</v>
      </c>
      <c r="D1562" s="3">
        <f t="shared" si="27"/>
        <v>-4.5886699002828379E-3</v>
      </c>
    </row>
    <row r="1563" spans="2:4" x14ac:dyDescent="0.2">
      <c r="B1563" s="2">
        <v>38415</v>
      </c>
      <c r="C1563" s="61">
        <v>4423.5200000000004</v>
      </c>
      <c r="D1563" s="3">
        <f t="shared" si="27"/>
        <v>1.1490257861966002E-2</v>
      </c>
    </row>
    <row r="1564" spans="2:4" x14ac:dyDescent="0.2">
      <c r="B1564" s="2">
        <v>38418</v>
      </c>
      <c r="C1564" s="61">
        <v>4428.09</v>
      </c>
      <c r="D1564" s="3">
        <f t="shared" si="27"/>
        <v>1.0331139002421885E-3</v>
      </c>
    </row>
    <row r="1565" spans="2:4" x14ac:dyDescent="0.2">
      <c r="B1565" s="2">
        <v>38419</v>
      </c>
      <c r="C1565" s="61">
        <v>4396.5</v>
      </c>
      <c r="D1565" s="3">
        <f t="shared" si="27"/>
        <v>-7.1340013414361581E-3</v>
      </c>
    </row>
    <row r="1566" spans="2:4" x14ac:dyDescent="0.2">
      <c r="B1566" s="2">
        <v>38420</v>
      </c>
      <c r="C1566" s="61">
        <v>4375.6000000000004</v>
      </c>
      <c r="D1566" s="3">
        <f t="shared" si="27"/>
        <v>-4.7537814170361958E-3</v>
      </c>
    </row>
    <row r="1567" spans="2:4" x14ac:dyDescent="0.2">
      <c r="B1567" s="2">
        <v>38421</v>
      </c>
      <c r="C1567" s="61">
        <v>4337.68</v>
      </c>
      <c r="D1567" s="3">
        <f t="shared" si="27"/>
        <v>-8.6662400585062471E-3</v>
      </c>
    </row>
    <row r="1568" spans="2:4" x14ac:dyDescent="0.2">
      <c r="B1568" s="2">
        <v>38422</v>
      </c>
      <c r="C1568" s="61">
        <v>4360.49</v>
      </c>
      <c r="D1568" s="3">
        <f t="shared" si="27"/>
        <v>5.2585714022241881E-3</v>
      </c>
    </row>
    <row r="1569" spans="2:4" x14ac:dyDescent="0.2">
      <c r="B1569" s="2">
        <v>38425</v>
      </c>
      <c r="C1569" s="61">
        <v>4367.3</v>
      </c>
      <c r="D1569" s="3">
        <f t="shared" si="27"/>
        <v>1.5617510876071439E-3</v>
      </c>
    </row>
    <row r="1570" spans="2:4" x14ac:dyDescent="0.2">
      <c r="B1570" s="2">
        <v>38426</v>
      </c>
      <c r="C1570" s="61">
        <v>4387.6899999999996</v>
      </c>
      <c r="D1570" s="3">
        <f t="shared" si="27"/>
        <v>4.6687884963247939E-3</v>
      </c>
    </row>
    <row r="1571" spans="2:4" x14ac:dyDescent="0.2">
      <c r="B1571" s="2">
        <v>38427</v>
      </c>
      <c r="C1571" s="61">
        <v>4309.1099999999997</v>
      </c>
      <c r="D1571" s="3">
        <f t="shared" si="27"/>
        <v>-1.7909195955046919E-2</v>
      </c>
    </row>
    <row r="1572" spans="2:4" x14ac:dyDescent="0.2">
      <c r="B1572" s="2">
        <v>38428</v>
      </c>
      <c r="C1572" s="61">
        <v>4315.92</v>
      </c>
      <c r="D1572" s="3">
        <f t="shared" si="27"/>
        <v>1.5803727451841887E-3</v>
      </c>
    </row>
    <row r="1573" spans="2:4" x14ac:dyDescent="0.2">
      <c r="B1573" s="2">
        <v>38429</v>
      </c>
      <c r="C1573" s="61">
        <v>4327.18</v>
      </c>
      <c r="D1573" s="3">
        <f t="shared" si="27"/>
        <v>2.6089454855511285E-3</v>
      </c>
    </row>
    <row r="1574" spans="2:4" x14ac:dyDescent="0.2">
      <c r="B1574" s="2">
        <v>38432</v>
      </c>
      <c r="C1574" s="61">
        <v>4296.3599999999997</v>
      </c>
      <c r="D1574" s="3">
        <f t="shared" si="27"/>
        <v>-7.1224215308817174E-3</v>
      </c>
    </row>
    <row r="1575" spans="2:4" x14ac:dyDescent="0.2">
      <c r="B1575" s="2">
        <v>38433</v>
      </c>
      <c r="C1575" s="61">
        <v>4320.6899999999996</v>
      </c>
      <c r="D1575" s="3">
        <f t="shared" si="27"/>
        <v>5.6629332737478943E-3</v>
      </c>
    </row>
    <row r="1576" spans="2:4" x14ac:dyDescent="0.2">
      <c r="B1576" s="2">
        <v>38434</v>
      </c>
      <c r="C1576" s="61">
        <v>4317.2</v>
      </c>
      <c r="D1576" s="3">
        <f t="shared" si="27"/>
        <v>-8.0774135612593501E-4</v>
      </c>
    </row>
    <row r="1577" spans="2:4" x14ac:dyDescent="0.2">
      <c r="B1577" s="2">
        <v>38435</v>
      </c>
      <c r="C1577" s="61">
        <v>4343.6000000000004</v>
      </c>
      <c r="D1577" s="3">
        <f t="shared" si="27"/>
        <v>6.1150745853795208E-3</v>
      </c>
    </row>
    <row r="1578" spans="2:4" x14ac:dyDescent="0.2">
      <c r="B1578" s="2">
        <v>38440</v>
      </c>
      <c r="C1578" s="61">
        <v>4351.8900000000003</v>
      </c>
      <c r="D1578" s="3">
        <f t="shared" si="27"/>
        <v>1.908555115572419E-3</v>
      </c>
    </row>
    <row r="1579" spans="2:4" x14ac:dyDescent="0.2">
      <c r="B1579" s="2">
        <v>38441</v>
      </c>
      <c r="C1579" s="61">
        <v>4347.5200000000004</v>
      </c>
      <c r="D1579" s="3">
        <f t="shared" si="27"/>
        <v>-1.0041614103297736E-3</v>
      </c>
    </row>
    <row r="1580" spans="2:4" x14ac:dyDescent="0.2">
      <c r="B1580" s="2">
        <v>38442</v>
      </c>
      <c r="C1580" s="61">
        <v>4348.7700000000004</v>
      </c>
      <c r="D1580" s="3">
        <f t="shared" si="27"/>
        <v>2.8752024142497667E-4</v>
      </c>
    </row>
    <row r="1581" spans="2:4" x14ac:dyDescent="0.2">
      <c r="B1581" s="2">
        <v>38443</v>
      </c>
      <c r="C1581" s="61">
        <v>4373.53</v>
      </c>
      <c r="D1581" s="3">
        <f t="shared" si="27"/>
        <v>5.6935639272712724E-3</v>
      </c>
    </row>
    <row r="1582" spans="2:4" x14ac:dyDescent="0.2">
      <c r="B1582" s="2">
        <v>38446</v>
      </c>
      <c r="C1582" s="61">
        <v>4341.3900000000003</v>
      </c>
      <c r="D1582" s="3">
        <f t="shared" si="27"/>
        <v>-7.3487548959305649E-3</v>
      </c>
    </row>
    <row r="1583" spans="2:4" x14ac:dyDescent="0.2">
      <c r="B1583" s="2">
        <v>38447</v>
      </c>
      <c r="C1583" s="61">
        <v>4362.6099999999997</v>
      </c>
      <c r="D1583" s="3">
        <f t="shared" si="27"/>
        <v>4.8878354628354437E-3</v>
      </c>
    </row>
    <row r="1584" spans="2:4" x14ac:dyDescent="0.2">
      <c r="B1584" s="2">
        <v>38448</v>
      </c>
      <c r="C1584" s="61">
        <v>4379.18</v>
      </c>
      <c r="D1584" s="3">
        <f t="shared" si="27"/>
        <v>3.7981850314376953E-3</v>
      </c>
    </row>
    <row r="1585" spans="2:4" x14ac:dyDescent="0.2">
      <c r="B1585" s="2">
        <v>38449</v>
      </c>
      <c r="C1585" s="61">
        <v>4389.5200000000004</v>
      </c>
      <c r="D1585" s="3">
        <f t="shared" si="27"/>
        <v>2.3611726396266519E-3</v>
      </c>
    </row>
    <row r="1586" spans="2:4" x14ac:dyDescent="0.2">
      <c r="B1586" s="2">
        <v>38450</v>
      </c>
      <c r="C1586" s="61">
        <v>4400.68</v>
      </c>
      <c r="D1586" s="3">
        <f t="shared" si="27"/>
        <v>2.5424192166796367E-3</v>
      </c>
    </row>
    <row r="1587" spans="2:4" x14ac:dyDescent="0.2">
      <c r="B1587" s="2">
        <v>38453</v>
      </c>
      <c r="C1587" s="61">
        <v>4396.09</v>
      </c>
      <c r="D1587" s="3">
        <f t="shared" si="27"/>
        <v>-1.0430206240854556E-3</v>
      </c>
    </row>
    <row r="1588" spans="2:4" x14ac:dyDescent="0.2">
      <c r="B1588" s="2">
        <v>38454</v>
      </c>
      <c r="C1588" s="61">
        <v>4372.12</v>
      </c>
      <c r="D1588" s="3">
        <f t="shared" si="27"/>
        <v>-5.4525726270391317E-3</v>
      </c>
    </row>
    <row r="1589" spans="2:4" x14ac:dyDescent="0.2">
      <c r="B1589" s="2">
        <v>38455</v>
      </c>
      <c r="C1589" s="61">
        <v>4405.6899999999996</v>
      </c>
      <c r="D1589" s="3">
        <f t="shared" si="27"/>
        <v>7.6781973047399532E-3</v>
      </c>
    </row>
    <row r="1590" spans="2:4" x14ac:dyDescent="0.2">
      <c r="B1590" s="2">
        <v>38456</v>
      </c>
      <c r="C1590" s="61">
        <v>4402.05</v>
      </c>
      <c r="D1590" s="3">
        <f t="shared" si="27"/>
        <v>-8.2620429490032343E-4</v>
      </c>
    </row>
    <row r="1591" spans="2:4" x14ac:dyDescent="0.2">
      <c r="B1591" s="2">
        <v>38457</v>
      </c>
      <c r="C1591" s="61">
        <v>4312.25</v>
      </c>
      <c r="D1591" s="3">
        <f t="shared" si="27"/>
        <v>-2.0399586556263616E-2</v>
      </c>
    </row>
    <row r="1592" spans="2:4" x14ac:dyDescent="0.2">
      <c r="B1592" s="2">
        <v>38460</v>
      </c>
      <c r="C1592" s="61">
        <v>4202.2</v>
      </c>
      <c r="D1592" s="3">
        <f t="shared" si="27"/>
        <v>-2.5520320018551867E-2</v>
      </c>
    </row>
    <row r="1593" spans="2:4" x14ac:dyDescent="0.2">
      <c r="B1593" s="2">
        <v>38461</v>
      </c>
      <c r="C1593" s="61">
        <v>4204.6099999999997</v>
      </c>
      <c r="D1593" s="3">
        <f t="shared" si="27"/>
        <v>5.7350911427334061E-4</v>
      </c>
    </row>
    <row r="1594" spans="2:4" x14ac:dyDescent="0.2">
      <c r="B1594" s="2">
        <v>38462</v>
      </c>
      <c r="C1594" s="61">
        <v>4178.62</v>
      </c>
      <c r="D1594" s="3">
        <f t="shared" si="27"/>
        <v>-6.1813105139358893E-3</v>
      </c>
    </row>
    <row r="1595" spans="2:4" x14ac:dyDescent="0.2">
      <c r="B1595" s="2">
        <v>38463</v>
      </c>
      <c r="C1595" s="61">
        <v>4193.7</v>
      </c>
      <c r="D1595" s="3">
        <f t="shared" si="27"/>
        <v>3.6088469398987133E-3</v>
      </c>
    </row>
    <row r="1596" spans="2:4" x14ac:dyDescent="0.2">
      <c r="B1596" s="2">
        <v>38464</v>
      </c>
      <c r="C1596" s="61">
        <v>4223.04</v>
      </c>
      <c r="D1596" s="3">
        <f t="shared" si="27"/>
        <v>6.9962085986121636E-3</v>
      </c>
    </row>
    <row r="1597" spans="2:4" x14ac:dyDescent="0.2">
      <c r="B1597" s="2">
        <v>38467</v>
      </c>
      <c r="C1597" s="61">
        <v>4246.96</v>
      </c>
      <c r="D1597" s="3">
        <f t="shared" si="27"/>
        <v>5.6641660983556275E-3</v>
      </c>
    </row>
    <row r="1598" spans="2:4" x14ac:dyDescent="0.2">
      <c r="B1598" s="2">
        <v>38468</v>
      </c>
      <c r="C1598" s="61">
        <v>4233.76</v>
      </c>
      <c r="D1598" s="3">
        <f t="shared" si="27"/>
        <v>-3.1081055625670206E-3</v>
      </c>
    </row>
    <row r="1599" spans="2:4" x14ac:dyDescent="0.2">
      <c r="B1599" s="2">
        <v>38469</v>
      </c>
      <c r="C1599" s="61">
        <v>4189.0200000000004</v>
      </c>
      <c r="D1599" s="3">
        <f t="shared" si="27"/>
        <v>-1.0567438872302604E-2</v>
      </c>
    </row>
    <row r="1600" spans="2:4" x14ac:dyDescent="0.2">
      <c r="B1600" s="2">
        <v>38470</v>
      </c>
      <c r="C1600" s="61">
        <v>4178.1000000000004</v>
      </c>
      <c r="D1600" s="3">
        <f t="shared" si="27"/>
        <v>-2.6068149591074175E-3</v>
      </c>
    </row>
    <row r="1601" spans="2:4" x14ac:dyDescent="0.2">
      <c r="B1601" s="2">
        <v>38471</v>
      </c>
      <c r="C1601" s="61">
        <v>4184.84</v>
      </c>
      <c r="D1601" s="3">
        <f t="shared" si="27"/>
        <v>1.6131734520474783E-3</v>
      </c>
    </row>
    <row r="1602" spans="2:4" x14ac:dyDescent="0.2">
      <c r="B1602" s="2">
        <v>38474</v>
      </c>
      <c r="C1602" s="61">
        <v>4224.0200000000004</v>
      </c>
      <c r="D1602" s="3">
        <f t="shared" si="27"/>
        <v>9.3623651083434289E-3</v>
      </c>
    </row>
    <row r="1603" spans="2:4" x14ac:dyDescent="0.2">
      <c r="B1603" s="2">
        <v>38475</v>
      </c>
      <c r="C1603" s="61">
        <v>4245.54</v>
      </c>
      <c r="D1603" s="3">
        <f t="shared" si="27"/>
        <v>5.0946728471927827E-3</v>
      </c>
    </row>
    <row r="1604" spans="2:4" x14ac:dyDescent="0.2">
      <c r="B1604" s="2">
        <v>38476</v>
      </c>
      <c r="C1604" s="61">
        <v>4264.3500000000004</v>
      </c>
      <c r="D1604" s="3">
        <f t="shared" si="27"/>
        <v>4.4305318051414133E-3</v>
      </c>
    </row>
    <row r="1605" spans="2:4" x14ac:dyDescent="0.2">
      <c r="B1605" s="2">
        <v>38477</v>
      </c>
      <c r="C1605" s="61">
        <v>4299.51</v>
      </c>
      <c r="D1605" s="3">
        <f t="shared" ref="D1605:D1668" si="28">C1605/C1604-1</f>
        <v>8.2451018326357151E-3</v>
      </c>
    </row>
    <row r="1606" spans="2:4" x14ac:dyDescent="0.2">
      <c r="B1606" s="2">
        <v>38478</v>
      </c>
      <c r="C1606" s="61">
        <v>4311.0600000000004</v>
      </c>
      <c r="D1606" s="3">
        <f t="shared" si="28"/>
        <v>2.6863526308811281E-3</v>
      </c>
    </row>
    <row r="1607" spans="2:4" x14ac:dyDescent="0.2">
      <c r="B1607" s="2">
        <v>38481</v>
      </c>
      <c r="C1607" s="61">
        <v>4292.41</v>
      </c>
      <c r="D1607" s="3">
        <f t="shared" si="28"/>
        <v>-4.3260822164388202E-3</v>
      </c>
    </row>
    <row r="1608" spans="2:4" x14ac:dyDescent="0.2">
      <c r="B1608" s="2">
        <v>38482</v>
      </c>
      <c r="C1608" s="61">
        <v>4251.13</v>
      </c>
      <c r="D1608" s="3">
        <f t="shared" si="28"/>
        <v>-9.6169750792677311E-3</v>
      </c>
    </row>
    <row r="1609" spans="2:4" x14ac:dyDescent="0.2">
      <c r="B1609" s="2">
        <v>38483</v>
      </c>
      <c r="C1609" s="61">
        <v>4244.16</v>
      </c>
      <c r="D1609" s="3">
        <f t="shared" si="28"/>
        <v>-1.6395640688476876E-3</v>
      </c>
    </row>
    <row r="1610" spans="2:4" x14ac:dyDescent="0.2">
      <c r="B1610" s="2">
        <v>38484</v>
      </c>
      <c r="C1610" s="61">
        <v>4267.05</v>
      </c>
      <c r="D1610" s="3">
        <f t="shared" si="28"/>
        <v>5.3932933725402421E-3</v>
      </c>
    </row>
    <row r="1611" spans="2:4" x14ac:dyDescent="0.2">
      <c r="B1611" s="2">
        <v>38485</v>
      </c>
      <c r="C1611" s="61">
        <v>4275.7</v>
      </c>
      <c r="D1611" s="3">
        <f t="shared" si="28"/>
        <v>2.0271616221978483E-3</v>
      </c>
    </row>
    <row r="1612" spans="2:4" x14ac:dyDescent="0.2">
      <c r="B1612" s="2">
        <v>38488</v>
      </c>
      <c r="C1612" s="61">
        <v>4262.18</v>
      </c>
      <c r="D1612" s="3">
        <f t="shared" si="28"/>
        <v>-3.1620553359682502E-3</v>
      </c>
    </row>
    <row r="1613" spans="2:4" x14ac:dyDescent="0.2">
      <c r="B1613" s="2">
        <v>38489</v>
      </c>
      <c r="C1613" s="61">
        <v>4251.7700000000004</v>
      </c>
      <c r="D1613" s="3">
        <f t="shared" si="28"/>
        <v>-2.4424120989727793E-3</v>
      </c>
    </row>
    <row r="1614" spans="2:4" x14ac:dyDescent="0.2">
      <c r="B1614" s="2">
        <v>38490</v>
      </c>
      <c r="C1614" s="61">
        <v>4324.6000000000004</v>
      </c>
      <c r="D1614" s="3">
        <f t="shared" si="28"/>
        <v>1.7129336723294086E-2</v>
      </c>
    </row>
    <row r="1615" spans="2:4" x14ac:dyDescent="0.2">
      <c r="B1615" s="2">
        <v>38491</v>
      </c>
      <c r="C1615" s="61">
        <v>4360.42</v>
      </c>
      <c r="D1615" s="3">
        <f t="shared" si="28"/>
        <v>8.2828469685056749E-3</v>
      </c>
    </row>
    <row r="1616" spans="2:4" x14ac:dyDescent="0.2">
      <c r="B1616" s="2">
        <v>38492</v>
      </c>
      <c r="C1616" s="61">
        <v>4360.68</v>
      </c>
      <c r="D1616" s="3">
        <f t="shared" si="28"/>
        <v>5.9627283610419468E-5</v>
      </c>
    </row>
    <row r="1617" spans="2:4" x14ac:dyDescent="0.2">
      <c r="B1617" s="2">
        <v>38495</v>
      </c>
      <c r="C1617" s="61">
        <v>4406.95</v>
      </c>
      <c r="D1617" s="3">
        <f t="shared" si="28"/>
        <v>1.0610730436537263E-2</v>
      </c>
    </row>
    <row r="1618" spans="2:4" x14ac:dyDescent="0.2">
      <c r="B1618" s="2">
        <v>38496</v>
      </c>
      <c r="C1618" s="61">
        <v>4396.6400000000003</v>
      </c>
      <c r="D1618" s="3">
        <f t="shared" si="28"/>
        <v>-2.339486492925813E-3</v>
      </c>
    </row>
    <row r="1619" spans="2:4" x14ac:dyDescent="0.2">
      <c r="B1619" s="2">
        <v>38497</v>
      </c>
      <c r="C1619" s="61">
        <v>4389.54</v>
      </c>
      <c r="D1619" s="3">
        <f t="shared" si="28"/>
        <v>-1.6148695367371735E-3</v>
      </c>
    </row>
    <row r="1620" spans="2:4" x14ac:dyDescent="0.2">
      <c r="B1620" s="2">
        <v>38498</v>
      </c>
      <c r="C1620" s="61">
        <v>4436.6000000000004</v>
      </c>
      <c r="D1620" s="3">
        <f t="shared" si="28"/>
        <v>1.0720941146452834E-2</v>
      </c>
    </row>
    <row r="1621" spans="2:4" x14ac:dyDescent="0.2">
      <c r="B1621" s="2">
        <v>38499</v>
      </c>
      <c r="C1621" s="61">
        <v>4444.71</v>
      </c>
      <c r="D1621" s="3">
        <f t="shared" si="28"/>
        <v>1.8279763783075609E-3</v>
      </c>
    </row>
    <row r="1622" spans="2:4" x14ac:dyDescent="0.2">
      <c r="B1622" s="2">
        <v>38502</v>
      </c>
      <c r="C1622" s="61">
        <v>4480.43</v>
      </c>
      <c r="D1622" s="3">
        <f t="shared" si="28"/>
        <v>8.0365198179408459E-3</v>
      </c>
    </row>
    <row r="1623" spans="2:4" x14ac:dyDescent="0.2">
      <c r="B1623" s="2">
        <v>38503</v>
      </c>
      <c r="C1623" s="61">
        <v>4460.63</v>
      </c>
      <c r="D1623" s="3">
        <f t="shared" si="28"/>
        <v>-4.4192186910632092E-3</v>
      </c>
    </row>
    <row r="1624" spans="2:4" x14ac:dyDescent="0.2">
      <c r="B1624" s="2">
        <v>38504</v>
      </c>
      <c r="C1624" s="61">
        <v>4527.17</v>
      </c>
      <c r="D1624" s="3">
        <f t="shared" si="28"/>
        <v>1.4917175376572445E-2</v>
      </c>
    </row>
    <row r="1625" spans="2:4" x14ac:dyDescent="0.2">
      <c r="B1625" s="2">
        <v>38505</v>
      </c>
      <c r="C1625" s="61">
        <v>4532.17</v>
      </c>
      <c r="D1625" s="3">
        <f t="shared" si="28"/>
        <v>1.1044427313311456E-3</v>
      </c>
    </row>
    <row r="1626" spans="2:4" x14ac:dyDescent="0.2">
      <c r="B1626" s="2">
        <v>38506</v>
      </c>
      <c r="C1626" s="61">
        <v>4510.3900000000003</v>
      </c>
      <c r="D1626" s="3">
        <f t="shared" si="28"/>
        <v>-4.8056449780127242E-3</v>
      </c>
    </row>
    <row r="1627" spans="2:4" x14ac:dyDescent="0.2">
      <c r="B1627" s="2">
        <v>38509</v>
      </c>
      <c r="C1627" s="61">
        <v>4497.26</v>
      </c>
      <c r="D1627" s="3">
        <f t="shared" si="28"/>
        <v>-2.911056471835094E-3</v>
      </c>
    </row>
    <row r="1628" spans="2:4" x14ac:dyDescent="0.2">
      <c r="B1628" s="2">
        <v>38510</v>
      </c>
      <c r="C1628" s="61">
        <v>4566.01</v>
      </c>
      <c r="D1628" s="3">
        <f t="shared" si="28"/>
        <v>1.5287085914534648E-2</v>
      </c>
    </row>
    <row r="1629" spans="2:4" x14ac:dyDescent="0.2">
      <c r="B1629" s="2">
        <v>38511</v>
      </c>
      <c r="C1629" s="61">
        <v>4557.29</v>
      </c>
      <c r="D1629" s="3">
        <f t="shared" si="28"/>
        <v>-1.9097636667463336E-3</v>
      </c>
    </row>
    <row r="1630" spans="2:4" x14ac:dyDescent="0.2">
      <c r="B1630" s="2">
        <v>38512</v>
      </c>
      <c r="C1630" s="61">
        <v>4562.75</v>
      </c>
      <c r="D1630" s="3">
        <f t="shared" si="28"/>
        <v>1.198080438155058E-3</v>
      </c>
    </row>
    <row r="1631" spans="2:4" x14ac:dyDescent="0.2">
      <c r="B1631" s="2">
        <v>38513</v>
      </c>
      <c r="C1631" s="61">
        <v>4586.1000000000004</v>
      </c>
      <c r="D1631" s="3">
        <f t="shared" si="28"/>
        <v>5.1175278066954988E-3</v>
      </c>
    </row>
    <row r="1632" spans="2:4" x14ac:dyDescent="0.2">
      <c r="B1632" s="2">
        <v>38516</v>
      </c>
      <c r="C1632" s="61">
        <v>4599.21</v>
      </c>
      <c r="D1632" s="3">
        <f t="shared" si="28"/>
        <v>2.8586380584809667E-3</v>
      </c>
    </row>
    <row r="1633" spans="2:4" x14ac:dyDescent="0.2">
      <c r="B1633" s="2">
        <v>38517</v>
      </c>
      <c r="C1633" s="61">
        <v>4591.6899999999996</v>
      </c>
      <c r="D1633" s="3">
        <f t="shared" si="28"/>
        <v>-1.6350634130645192E-3</v>
      </c>
    </row>
    <row r="1634" spans="2:4" x14ac:dyDescent="0.2">
      <c r="B1634" s="2">
        <v>38518</v>
      </c>
      <c r="C1634" s="61">
        <v>4548.42</v>
      </c>
      <c r="D1634" s="3">
        <f t="shared" si="28"/>
        <v>-9.4235455790786515E-3</v>
      </c>
    </row>
    <row r="1635" spans="2:4" x14ac:dyDescent="0.2">
      <c r="B1635" s="2">
        <v>38519</v>
      </c>
      <c r="C1635" s="61">
        <v>4579.87</v>
      </c>
      <c r="D1635" s="3">
        <f t="shared" si="28"/>
        <v>6.9144889873846704E-3</v>
      </c>
    </row>
    <row r="1636" spans="2:4" x14ac:dyDescent="0.2">
      <c r="B1636" s="2">
        <v>38520</v>
      </c>
      <c r="C1636" s="61">
        <v>4604.57</v>
      </c>
      <c r="D1636" s="3">
        <f t="shared" si="28"/>
        <v>5.3931661815727061E-3</v>
      </c>
    </row>
    <row r="1637" spans="2:4" x14ac:dyDescent="0.2">
      <c r="B1637" s="2">
        <v>38523</v>
      </c>
      <c r="C1637" s="61">
        <v>4586.8599999999997</v>
      </c>
      <c r="D1637" s="3">
        <f t="shared" si="28"/>
        <v>-3.8461789048706008E-3</v>
      </c>
    </row>
    <row r="1638" spans="2:4" x14ac:dyDescent="0.2">
      <c r="B1638" s="2">
        <v>38524</v>
      </c>
      <c r="C1638" s="61">
        <v>4608.1099999999997</v>
      </c>
      <c r="D1638" s="3">
        <f t="shared" si="28"/>
        <v>4.6327989081855758E-3</v>
      </c>
    </row>
    <row r="1639" spans="2:4" x14ac:dyDescent="0.2">
      <c r="B1639" s="2">
        <v>38525</v>
      </c>
      <c r="C1639" s="61">
        <v>4619.6000000000004</v>
      </c>
      <c r="D1639" s="3">
        <f t="shared" si="28"/>
        <v>2.4934300613486116E-3</v>
      </c>
    </row>
    <row r="1640" spans="2:4" x14ac:dyDescent="0.2">
      <c r="B1640" s="2">
        <v>38526</v>
      </c>
      <c r="C1640" s="61">
        <v>4627.4799999999996</v>
      </c>
      <c r="D1640" s="3">
        <f t="shared" si="28"/>
        <v>1.705775391808606E-3</v>
      </c>
    </row>
    <row r="1641" spans="2:4" x14ac:dyDescent="0.2">
      <c r="B1641" s="2">
        <v>38527</v>
      </c>
      <c r="C1641" s="61">
        <v>4566.4799999999996</v>
      </c>
      <c r="D1641" s="3">
        <f t="shared" si="28"/>
        <v>-1.3182120722293744E-2</v>
      </c>
    </row>
    <row r="1642" spans="2:4" x14ac:dyDescent="0.2">
      <c r="B1642" s="2">
        <v>38530</v>
      </c>
      <c r="C1642" s="61">
        <v>4523.82</v>
      </c>
      <c r="D1642" s="3">
        <f t="shared" si="28"/>
        <v>-9.3419877016870378E-3</v>
      </c>
    </row>
    <row r="1643" spans="2:4" x14ac:dyDescent="0.2">
      <c r="B1643" s="2">
        <v>38531</v>
      </c>
      <c r="C1643" s="61">
        <v>4557.46</v>
      </c>
      <c r="D1643" s="3">
        <f t="shared" si="28"/>
        <v>7.4361933056577012E-3</v>
      </c>
    </row>
    <row r="1644" spans="2:4" x14ac:dyDescent="0.2">
      <c r="B1644" s="2">
        <v>38532</v>
      </c>
      <c r="C1644" s="61">
        <v>4583.63</v>
      </c>
      <c r="D1644" s="3">
        <f t="shared" si="28"/>
        <v>5.7422336125825257E-3</v>
      </c>
    </row>
    <row r="1645" spans="2:4" x14ac:dyDescent="0.2">
      <c r="B1645" s="2">
        <v>38533</v>
      </c>
      <c r="C1645" s="61">
        <v>4586.28</v>
      </c>
      <c r="D1645" s="3">
        <f t="shared" si="28"/>
        <v>5.7814439647163596E-4</v>
      </c>
    </row>
    <row r="1646" spans="2:4" x14ac:dyDescent="0.2">
      <c r="B1646" s="2">
        <v>38534</v>
      </c>
      <c r="C1646" s="61">
        <v>4617.07</v>
      </c>
      <c r="D1646" s="3">
        <f t="shared" si="28"/>
        <v>6.7135020103439302E-3</v>
      </c>
    </row>
    <row r="1647" spans="2:4" x14ac:dyDescent="0.2">
      <c r="B1647" s="2">
        <v>38537</v>
      </c>
      <c r="C1647" s="61">
        <v>4623.41</v>
      </c>
      <c r="D1647" s="3">
        <f t="shared" si="28"/>
        <v>1.3731652324959764E-3</v>
      </c>
    </row>
    <row r="1648" spans="2:4" x14ac:dyDescent="0.2">
      <c r="B1648" s="2">
        <v>38538</v>
      </c>
      <c r="C1648" s="61">
        <v>4603.6499999999996</v>
      </c>
      <c r="D1648" s="3">
        <f t="shared" si="28"/>
        <v>-4.2739017305408744E-3</v>
      </c>
    </row>
    <row r="1649" spans="2:4" x14ac:dyDescent="0.2">
      <c r="B1649" s="2">
        <v>38539</v>
      </c>
      <c r="C1649" s="61">
        <v>4615.49</v>
      </c>
      <c r="D1649" s="3">
        <f t="shared" si="28"/>
        <v>2.5718723187035941E-3</v>
      </c>
    </row>
    <row r="1650" spans="2:4" x14ac:dyDescent="0.2">
      <c r="B1650" s="2">
        <v>38540</v>
      </c>
      <c r="C1650" s="61">
        <v>4530.18</v>
      </c>
      <c r="D1650" s="3">
        <f t="shared" si="28"/>
        <v>-1.8483411295441954E-2</v>
      </c>
    </row>
    <row r="1651" spans="2:4" x14ac:dyDescent="0.2">
      <c r="B1651" s="2">
        <v>38541</v>
      </c>
      <c r="C1651" s="61">
        <v>4597.97</v>
      </c>
      <c r="D1651" s="3">
        <f t="shared" si="28"/>
        <v>1.4964085312283437E-2</v>
      </c>
    </row>
    <row r="1652" spans="2:4" x14ac:dyDescent="0.2">
      <c r="B1652" s="2">
        <v>38544</v>
      </c>
      <c r="C1652" s="61">
        <v>4663.38</v>
      </c>
      <c r="D1652" s="3">
        <f t="shared" si="28"/>
        <v>1.4225843143822026E-2</v>
      </c>
    </row>
    <row r="1653" spans="2:4" x14ac:dyDescent="0.2">
      <c r="B1653" s="2">
        <v>38545</v>
      </c>
      <c r="C1653" s="61">
        <v>4653.03</v>
      </c>
      <c r="D1653" s="3">
        <f t="shared" si="28"/>
        <v>-2.2194202488324821E-3</v>
      </c>
    </row>
    <row r="1654" spans="2:4" x14ac:dyDescent="0.2">
      <c r="B1654" s="2">
        <v>38546</v>
      </c>
      <c r="C1654" s="61">
        <v>4679.8900000000003</v>
      </c>
      <c r="D1654" s="3">
        <f t="shared" si="28"/>
        <v>5.7725825967167577E-3</v>
      </c>
    </row>
    <row r="1655" spans="2:4" x14ac:dyDescent="0.2">
      <c r="B1655" s="2">
        <v>38547</v>
      </c>
      <c r="C1655" s="61">
        <v>4699.2700000000004</v>
      </c>
      <c r="D1655" s="3">
        <f t="shared" si="28"/>
        <v>4.1411229751127099E-3</v>
      </c>
    </row>
    <row r="1656" spans="2:4" x14ac:dyDescent="0.2">
      <c r="B1656" s="2">
        <v>38548</v>
      </c>
      <c r="C1656" s="61">
        <v>4712.8999999999996</v>
      </c>
      <c r="D1656" s="3">
        <f t="shared" si="28"/>
        <v>2.9004504955023602E-3</v>
      </c>
    </row>
    <row r="1657" spans="2:4" x14ac:dyDescent="0.2">
      <c r="B1657" s="2">
        <v>38551</v>
      </c>
      <c r="C1657" s="61">
        <v>4719.57</v>
      </c>
      <c r="D1657" s="3">
        <f t="shared" si="28"/>
        <v>1.4152644868339337E-3</v>
      </c>
    </row>
    <row r="1658" spans="2:4" x14ac:dyDescent="0.2">
      <c r="B1658" s="2">
        <v>38552</v>
      </c>
      <c r="C1658" s="61">
        <v>4770.54</v>
      </c>
      <c r="D1658" s="3">
        <f t="shared" si="28"/>
        <v>1.0799712685689578E-2</v>
      </c>
    </row>
    <row r="1659" spans="2:4" x14ac:dyDescent="0.2">
      <c r="B1659" s="2">
        <v>38553</v>
      </c>
      <c r="C1659" s="61">
        <v>4784.5</v>
      </c>
      <c r="D1659" s="3">
        <f t="shared" si="28"/>
        <v>2.9262934594407319E-3</v>
      </c>
    </row>
    <row r="1660" spans="2:4" x14ac:dyDescent="0.2">
      <c r="B1660" s="2">
        <v>38554</v>
      </c>
      <c r="C1660" s="61">
        <v>4829.87</v>
      </c>
      <c r="D1660" s="3">
        <f t="shared" si="28"/>
        <v>9.4827045668304244E-3</v>
      </c>
    </row>
    <row r="1661" spans="2:4" x14ac:dyDescent="0.2">
      <c r="B1661" s="2">
        <v>38555</v>
      </c>
      <c r="C1661" s="61">
        <v>4836.8999999999996</v>
      </c>
      <c r="D1661" s="3">
        <f t="shared" si="28"/>
        <v>1.4555257180834946E-3</v>
      </c>
    </row>
    <row r="1662" spans="2:4" x14ac:dyDescent="0.2">
      <c r="B1662" s="2">
        <v>38558</v>
      </c>
      <c r="C1662" s="61">
        <v>4842.7</v>
      </c>
      <c r="D1662" s="3">
        <f t="shared" si="28"/>
        <v>1.1991151357275687E-3</v>
      </c>
    </row>
    <row r="1663" spans="2:4" x14ac:dyDescent="0.2">
      <c r="B1663" s="2">
        <v>38559</v>
      </c>
      <c r="C1663" s="61">
        <v>4843.49</v>
      </c>
      <c r="D1663" s="3">
        <f t="shared" si="28"/>
        <v>1.6313213703100793E-4</v>
      </c>
    </row>
    <row r="1664" spans="2:4" x14ac:dyDescent="0.2">
      <c r="B1664" s="2">
        <v>38560</v>
      </c>
      <c r="C1664" s="61">
        <v>4855.3500000000004</v>
      </c>
      <c r="D1664" s="3">
        <f t="shared" si="28"/>
        <v>2.4486475661147367E-3</v>
      </c>
    </row>
    <row r="1665" spans="2:4" x14ac:dyDescent="0.2">
      <c r="B1665" s="2">
        <v>38561</v>
      </c>
      <c r="C1665" s="61">
        <v>4892.5</v>
      </c>
      <c r="D1665" s="3">
        <f t="shared" si="28"/>
        <v>7.6513536614248867E-3</v>
      </c>
    </row>
    <row r="1666" spans="2:4" x14ac:dyDescent="0.2">
      <c r="B1666" s="2">
        <v>38562</v>
      </c>
      <c r="C1666" s="61">
        <v>4886.5</v>
      </c>
      <c r="D1666" s="3">
        <f t="shared" si="28"/>
        <v>-1.226366888093966E-3</v>
      </c>
    </row>
    <row r="1667" spans="2:4" x14ac:dyDescent="0.2">
      <c r="B1667" s="2">
        <v>38565</v>
      </c>
      <c r="C1667" s="61">
        <v>4890.8500000000004</v>
      </c>
      <c r="D1667" s="3">
        <f t="shared" si="28"/>
        <v>8.902077151335952E-4</v>
      </c>
    </row>
    <row r="1668" spans="2:4" x14ac:dyDescent="0.2">
      <c r="B1668" s="2">
        <v>38566</v>
      </c>
      <c r="C1668" s="61">
        <v>4932.87</v>
      </c>
      <c r="D1668" s="3">
        <f t="shared" si="28"/>
        <v>8.5915536154246297E-3</v>
      </c>
    </row>
    <row r="1669" spans="2:4" x14ac:dyDescent="0.2">
      <c r="B1669" s="2">
        <v>38567</v>
      </c>
      <c r="C1669" s="61">
        <v>4923.12</v>
      </c>
      <c r="D1669" s="3">
        <f t="shared" ref="D1669:D1732" si="29">C1669/C1668-1</f>
        <v>-1.9765369855682113E-3</v>
      </c>
    </row>
    <row r="1670" spans="2:4" x14ac:dyDescent="0.2">
      <c r="B1670" s="2">
        <v>38568</v>
      </c>
      <c r="C1670" s="61">
        <v>4874.0600000000004</v>
      </c>
      <c r="D1670" s="3">
        <f t="shared" si="29"/>
        <v>-9.9652253042784578E-3</v>
      </c>
    </row>
    <row r="1671" spans="2:4" x14ac:dyDescent="0.2">
      <c r="B1671" s="2">
        <v>38569</v>
      </c>
      <c r="C1671" s="61">
        <v>4827.18</v>
      </c>
      <c r="D1671" s="3">
        <f t="shared" si="29"/>
        <v>-9.6182648551721428E-3</v>
      </c>
    </row>
    <row r="1672" spans="2:4" x14ac:dyDescent="0.2">
      <c r="B1672" s="2">
        <v>38572</v>
      </c>
      <c r="C1672" s="61">
        <v>4837.8599999999997</v>
      </c>
      <c r="D1672" s="3">
        <f t="shared" si="29"/>
        <v>2.2124718779907848E-3</v>
      </c>
    </row>
    <row r="1673" spans="2:4" x14ac:dyDescent="0.2">
      <c r="B1673" s="2">
        <v>38573</v>
      </c>
      <c r="C1673" s="61">
        <v>4909.4799999999996</v>
      </c>
      <c r="D1673" s="3">
        <f t="shared" si="29"/>
        <v>1.4804066260702076E-2</v>
      </c>
    </row>
    <row r="1674" spans="2:4" x14ac:dyDescent="0.2">
      <c r="B1674" s="2">
        <v>38574</v>
      </c>
      <c r="C1674" s="61">
        <v>4990.57</v>
      </c>
      <c r="D1674" s="3">
        <f t="shared" si="29"/>
        <v>1.651702420622958E-2</v>
      </c>
    </row>
    <row r="1675" spans="2:4" x14ac:dyDescent="0.2">
      <c r="B1675" s="2">
        <v>38575</v>
      </c>
      <c r="C1675" s="61">
        <v>4953.93</v>
      </c>
      <c r="D1675" s="3">
        <f t="shared" si="29"/>
        <v>-7.3418467229192652E-3</v>
      </c>
    </row>
    <row r="1676" spans="2:4" x14ac:dyDescent="0.2">
      <c r="B1676" s="2">
        <v>38576</v>
      </c>
      <c r="C1676" s="61">
        <v>4937.33</v>
      </c>
      <c r="D1676" s="3">
        <f t="shared" si="29"/>
        <v>-3.3508749618990086E-3</v>
      </c>
    </row>
    <row r="1677" spans="2:4" x14ac:dyDescent="0.2">
      <c r="B1677" s="2">
        <v>38579</v>
      </c>
      <c r="C1677" s="61">
        <v>4922.34</v>
      </c>
      <c r="D1677" s="3">
        <f t="shared" si="29"/>
        <v>-3.0360538995772846E-3</v>
      </c>
    </row>
    <row r="1678" spans="2:4" x14ac:dyDescent="0.2">
      <c r="B1678" s="2">
        <v>38580</v>
      </c>
      <c r="C1678" s="61">
        <v>4883.8100000000004</v>
      </c>
      <c r="D1678" s="3">
        <f t="shared" si="29"/>
        <v>-7.8275779405729828E-3</v>
      </c>
    </row>
    <row r="1679" spans="2:4" x14ac:dyDescent="0.2">
      <c r="B1679" s="2">
        <v>38581</v>
      </c>
      <c r="C1679" s="61">
        <v>4871.46</v>
      </c>
      <c r="D1679" s="3">
        <f t="shared" si="29"/>
        <v>-2.5287634039817819E-3</v>
      </c>
    </row>
    <row r="1680" spans="2:4" x14ac:dyDescent="0.2">
      <c r="B1680" s="2">
        <v>38582</v>
      </c>
      <c r="C1680" s="61">
        <v>4851.2700000000004</v>
      </c>
      <c r="D1680" s="3">
        <f t="shared" si="29"/>
        <v>-4.1445480410389202E-3</v>
      </c>
    </row>
    <row r="1681" spans="2:4" x14ac:dyDescent="0.2">
      <c r="B1681" s="2">
        <v>38583</v>
      </c>
      <c r="C1681" s="61">
        <v>4929.91</v>
      </c>
      <c r="D1681" s="3">
        <f t="shared" si="29"/>
        <v>1.6210188259981217E-2</v>
      </c>
    </row>
    <row r="1682" spans="2:4" x14ac:dyDescent="0.2">
      <c r="B1682" s="2">
        <v>38586</v>
      </c>
      <c r="C1682" s="61">
        <v>4941.6899999999996</v>
      </c>
      <c r="D1682" s="3">
        <f t="shared" si="29"/>
        <v>2.3894959542871685E-3</v>
      </c>
    </row>
    <row r="1683" spans="2:4" x14ac:dyDescent="0.2">
      <c r="B1683" s="2">
        <v>38587</v>
      </c>
      <c r="C1683" s="61">
        <v>4917.74</v>
      </c>
      <c r="D1683" s="3">
        <f t="shared" si="29"/>
        <v>-4.8465201176115524E-3</v>
      </c>
    </row>
    <row r="1684" spans="2:4" x14ac:dyDescent="0.2">
      <c r="B1684" s="2">
        <v>38588</v>
      </c>
      <c r="C1684" s="61">
        <v>4915.95</v>
      </c>
      <c r="D1684" s="3">
        <f t="shared" si="29"/>
        <v>-3.6398833610562509E-4</v>
      </c>
    </row>
    <row r="1685" spans="2:4" x14ac:dyDescent="0.2">
      <c r="B1685" s="2">
        <v>38589</v>
      </c>
      <c r="C1685" s="61">
        <v>4856.01</v>
      </c>
      <c r="D1685" s="3">
        <f t="shared" si="29"/>
        <v>-1.2192963720135341E-2</v>
      </c>
    </row>
    <row r="1686" spans="2:4" x14ac:dyDescent="0.2">
      <c r="B1686" s="2">
        <v>38590</v>
      </c>
      <c r="C1686" s="61">
        <v>4783.8</v>
      </c>
      <c r="D1686" s="3">
        <f t="shared" si="29"/>
        <v>-1.4870232969042441E-2</v>
      </c>
    </row>
    <row r="1687" spans="2:4" x14ac:dyDescent="0.2">
      <c r="B1687" s="2">
        <v>38593</v>
      </c>
      <c r="C1687" s="61">
        <v>4812.24</v>
      </c>
      <c r="D1687" s="3">
        <f t="shared" si="29"/>
        <v>5.9450645930012591E-3</v>
      </c>
    </row>
    <row r="1688" spans="2:4" x14ac:dyDescent="0.2">
      <c r="B1688" s="2">
        <v>38594</v>
      </c>
      <c r="C1688" s="61">
        <v>4791.72</v>
      </c>
      <c r="D1688" s="3">
        <f t="shared" si="29"/>
        <v>-4.2641264774823107E-3</v>
      </c>
    </row>
    <row r="1689" spans="2:4" x14ac:dyDescent="0.2">
      <c r="B1689" s="2">
        <v>38595</v>
      </c>
      <c r="C1689" s="61">
        <v>4829.6899999999996</v>
      </c>
      <c r="D1689" s="3">
        <f t="shared" si="29"/>
        <v>7.9240857145241872E-3</v>
      </c>
    </row>
    <row r="1690" spans="2:4" x14ac:dyDescent="0.2">
      <c r="B1690" s="2">
        <v>38596</v>
      </c>
      <c r="C1690" s="61">
        <v>4842.9399999999996</v>
      </c>
      <c r="D1690" s="3">
        <f t="shared" si="29"/>
        <v>2.7434473020007122E-3</v>
      </c>
    </row>
    <row r="1691" spans="2:4" x14ac:dyDescent="0.2">
      <c r="B1691" s="2">
        <v>38597</v>
      </c>
      <c r="C1691" s="61">
        <v>4837.8100000000004</v>
      </c>
      <c r="D1691" s="3">
        <f t="shared" si="29"/>
        <v>-1.0592739121275674E-3</v>
      </c>
    </row>
    <row r="1692" spans="2:4" x14ac:dyDescent="0.2">
      <c r="B1692" s="2">
        <v>38600</v>
      </c>
      <c r="C1692" s="61">
        <v>4909.8900000000003</v>
      </c>
      <c r="D1692" s="3">
        <f t="shared" si="29"/>
        <v>1.4899303610518055E-2</v>
      </c>
    </row>
    <row r="1693" spans="2:4" x14ac:dyDescent="0.2">
      <c r="B1693" s="2">
        <v>38601</v>
      </c>
      <c r="C1693" s="61">
        <v>4968.28</v>
      </c>
      <c r="D1693" s="3">
        <f t="shared" si="29"/>
        <v>1.1892323453274845E-2</v>
      </c>
    </row>
    <row r="1694" spans="2:4" x14ac:dyDescent="0.2">
      <c r="B1694" s="2">
        <v>38602</v>
      </c>
      <c r="C1694" s="61">
        <v>4988.1400000000003</v>
      </c>
      <c r="D1694" s="3">
        <f t="shared" si="29"/>
        <v>3.9973592470634589E-3</v>
      </c>
    </row>
    <row r="1695" spans="2:4" x14ac:dyDescent="0.2">
      <c r="B1695" s="2">
        <v>38603</v>
      </c>
      <c r="C1695" s="61">
        <v>4992.75</v>
      </c>
      <c r="D1695" s="3">
        <f t="shared" si="29"/>
        <v>9.2419218386008417E-4</v>
      </c>
    </row>
    <row r="1696" spans="2:4" x14ac:dyDescent="0.2">
      <c r="B1696" s="2">
        <v>38604</v>
      </c>
      <c r="C1696" s="61">
        <v>5005.93</v>
      </c>
      <c r="D1696" s="3">
        <f t="shared" si="29"/>
        <v>2.6398277502379663E-3</v>
      </c>
    </row>
    <row r="1697" spans="2:4" x14ac:dyDescent="0.2">
      <c r="B1697" s="2">
        <v>38607</v>
      </c>
      <c r="C1697" s="61">
        <v>4989.9799999999996</v>
      </c>
      <c r="D1697" s="3">
        <f t="shared" si="29"/>
        <v>-3.1862211417260644E-3</v>
      </c>
    </row>
    <row r="1698" spans="2:4" x14ac:dyDescent="0.2">
      <c r="B1698" s="2">
        <v>38608</v>
      </c>
      <c r="C1698" s="61">
        <v>4901.88</v>
      </c>
      <c r="D1698" s="3">
        <f t="shared" si="29"/>
        <v>-1.7655381384294011E-2</v>
      </c>
    </row>
    <row r="1699" spans="2:4" x14ac:dyDescent="0.2">
      <c r="B1699" s="2">
        <v>38609</v>
      </c>
      <c r="C1699" s="61">
        <v>4911.17</v>
      </c>
      <c r="D1699" s="3">
        <f t="shared" si="29"/>
        <v>1.8951912327516141E-3</v>
      </c>
    </row>
    <row r="1700" spans="2:4" x14ac:dyDescent="0.2">
      <c r="B1700" s="2">
        <v>38610</v>
      </c>
      <c r="C1700" s="61">
        <v>4905.9799999999996</v>
      </c>
      <c r="D1700" s="3">
        <f t="shared" si="29"/>
        <v>-1.0567746585845583E-3</v>
      </c>
    </row>
    <row r="1701" spans="2:4" x14ac:dyDescent="0.2">
      <c r="B1701" s="2">
        <v>38611</v>
      </c>
      <c r="C1701" s="61">
        <v>4986.5</v>
      </c>
      <c r="D1701" s="3">
        <f t="shared" si="29"/>
        <v>1.6412622962181045E-2</v>
      </c>
    </row>
    <row r="1702" spans="2:4" x14ac:dyDescent="0.2">
      <c r="B1702" s="2">
        <v>38614</v>
      </c>
      <c r="C1702" s="61">
        <v>4926.13</v>
      </c>
      <c r="D1702" s="3">
        <f t="shared" si="29"/>
        <v>-1.2106688057755943E-2</v>
      </c>
    </row>
    <row r="1703" spans="2:4" x14ac:dyDescent="0.2">
      <c r="B1703" s="2">
        <v>38615</v>
      </c>
      <c r="C1703" s="61">
        <v>4962.8599999999997</v>
      </c>
      <c r="D1703" s="3">
        <f t="shared" si="29"/>
        <v>7.4561572674693988E-3</v>
      </c>
    </row>
    <row r="1704" spans="2:4" x14ac:dyDescent="0.2">
      <c r="B1704" s="2">
        <v>38616</v>
      </c>
      <c r="C1704" s="61">
        <v>4875.22</v>
      </c>
      <c r="D1704" s="3">
        <f t="shared" si="29"/>
        <v>-1.7659172332082584E-2</v>
      </c>
    </row>
    <row r="1705" spans="2:4" x14ac:dyDescent="0.2">
      <c r="B1705" s="2">
        <v>38617</v>
      </c>
      <c r="C1705" s="61">
        <v>4849.01</v>
      </c>
      <c r="D1705" s="3">
        <f t="shared" si="29"/>
        <v>-5.3761676396142377E-3</v>
      </c>
    </row>
    <row r="1706" spans="2:4" x14ac:dyDescent="0.2">
      <c r="B1706" s="2">
        <v>38618</v>
      </c>
      <c r="C1706" s="61">
        <v>4882.58</v>
      </c>
      <c r="D1706" s="3">
        <f t="shared" si="29"/>
        <v>6.9230626457770228E-3</v>
      </c>
    </row>
    <row r="1707" spans="2:4" x14ac:dyDescent="0.2">
      <c r="B1707" s="2">
        <v>38621</v>
      </c>
      <c r="C1707" s="61">
        <v>4998.16</v>
      </c>
      <c r="D1707" s="3">
        <f t="shared" si="29"/>
        <v>2.3671911161721848E-2</v>
      </c>
    </row>
    <row r="1708" spans="2:4" x14ac:dyDescent="0.2">
      <c r="B1708" s="2">
        <v>38622</v>
      </c>
      <c r="C1708" s="61">
        <v>4965.88</v>
      </c>
      <c r="D1708" s="3">
        <f t="shared" si="29"/>
        <v>-6.4583766826191713E-3</v>
      </c>
    </row>
    <row r="1709" spans="2:4" x14ac:dyDescent="0.2">
      <c r="B1709" s="2">
        <v>38623</v>
      </c>
      <c r="C1709" s="61">
        <v>5048.74</v>
      </c>
      <c r="D1709" s="3">
        <f t="shared" si="29"/>
        <v>1.668586433824415E-2</v>
      </c>
    </row>
    <row r="1710" spans="2:4" x14ac:dyDescent="0.2">
      <c r="B1710" s="2">
        <v>38624</v>
      </c>
      <c r="C1710" s="61">
        <v>5021.17</v>
      </c>
      <c r="D1710" s="3">
        <f t="shared" si="29"/>
        <v>-5.4607684293506153E-3</v>
      </c>
    </row>
    <row r="1711" spans="2:4" x14ac:dyDescent="0.2">
      <c r="B1711" s="2">
        <v>38625</v>
      </c>
      <c r="C1711" s="61">
        <v>5044.12</v>
      </c>
      <c r="D1711" s="3">
        <f t="shared" si="29"/>
        <v>4.5706478768892111E-3</v>
      </c>
    </row>
    <row r="1712" spans="2:4" x14ac:dyDescent="0.2">
      <c r="B1712" s="2">
        <v>38628</v>
      </c>
      <c r="C1712" s="61">
        <v>5082.07</v>
      </c>
      <c r="D1712" s="3">
        <f t="shared" si="29"/>
        <v>7.5236116507932937E-3</v>
      </c>
    </row>
    <row r="1713" spans="2:4" x14ac:dyDescent="0.2">
      <c r="B1713" s="2">
        <v>38629</v>
      </c>
      <c r="C1713" s="61">
        <v>5138.0200000000004</v>
      </c>
      <c r="D1713" s="3">
        <f t="shared" si="29"/>
        <v>1.1009293457193703E-2</v>
      </c>
    </row>
    <row r="1714" spans="2:4" x14ac:dyDescent="0.2">
      <c r="B1714" s="2">
        <v>38630</v>
      </c>
      <c r="C1714" s="61">
        <v>5069.42</v>
      </c>
      <c r="D1714" s="3">
        <f t="shared" si="29"/>
        <v>-1.3351446666225564E-2</v>
      </c>
    </row>
    <row r="1715" spans="2:4" x14ac:dyDescent="0.2">
      <c r="B1715" s="2">
        <v>38631</v>
      </c>
      <c r="C1715" s="61">
        <v>5017.2700000000004</v>
      </c>
      <c r="D1715" s="3">
        <f t="shared" si="29"/>
        <v>-1.0287172891573326E-2</v>
      </c>
    </row>
    <row r="1716" spans="2:4" x14ac:dyDescent="0.2">
      <c r="B1716" s="2">
        <v>38632</v>
      </c>
      <c r="C1716" s="61">
        <v>5007.7700000000004</v>
      </c>
      <c r="D1716" s="3">
        <f t="shared" si="29"/>
        <v>-1.8934599891973214E-3</v>
      </c>
    </row>
    <row r="1717" spans="2:4" x14ac:dyDescent="0.2">
      <c r="B1717" s="2">
        <v>38635</v>
      </c>
      <c r="C1717" s="61">
        <v>5022.79</v>
      </c>
      <c r="D1717" s="3">
        <f t="shared" si="29"/>
        <v>2.9993390271516596E-3</v>
      </c>
    </row>
    <row r="1718" spans="2:4" x14ac:dyDescent="0.2">
      <c r="B1718" s="2">
        <v>38636</v>
      </c>
      <c r="C1718" s="61">
        <v>5032.46</v>
      </c>
      <c r="D1718" s="3">
        <f t="shared" si="29"/>
        <v>1.9252248252465964E-3</v>
      </c>
    </row>
    <row r="1719" spans="2:4" x14ac:dyDescent="0.2">
      <c r="B1719" s="2">
        <v>38637</v>
      </c>
      <c r="C1719" s="61">
        <v>4981.7700000000004</v>
      </c>
      <c r="D1719" s="3">
        <f t="shared" si="29"/>
        <v>-1.0072608624807633E-2</v>
      </c>
    </row>
    <row r="1720" spans="2:4" x14ac:dyDescent="0.2">
      <c r="B1720" s="2">
        <v>38638</v>
      </c>
      <c r="C1720" s="61">
        <v>4950.07</v>
      </c>
      <c r="D1720" s="3">
        <f t="shared" si="29"/>
        <v>-6.3632002280314959E-3</v>
      </c>
    </row>
    <row r="1721" spans="2:4" x14ac:dyDescent="0.2">
      <c r="B1721" s="2">
        <v>38639</v>
      </c>
      <c r="C1721" s="61">
        <v>4975.5600000000004</v>
      </c>
      <c r="D1721" s="3">
        <f t="shared" si="29"/>
        <v>5.1494221293841846E-3</v>
      </c>
    </row>
    <row r="1722" spans="2:4" x14ac:dyDescent="0.2">
      <c r="B1722" s="2">
        <v>38642</v>
      </c>
      <c r="C1722" s="61">
        <v>4978.83</v>
      </c>
      <c r="D1722" s="3">
        <f t="shared" si="29"/>
        <v>6.5721245447747378E-4</v>
      </c>
    </row>
    <row r="1723" spans="2:4" x14ac:dyDescent="0.2">
      <c r="B1723" s="2">
        <v>38643</v>
      </c>
      <c r="C1723" s="61">
        <v>4947.18</v>
      </c>
      <c r="D1723" s="3">
        <f t="shared" si="29"/>
        <v>-6.3569151788672729E-3</v>
      </c>
    </row>
    <row r="1724" spans="2:4" x14ac:dyDescent="0.2">
      <c r="B1724" s="2">
        <v>38644</v>
      </c>
      <c r="C1724" s="61">
        <v>4845.9799999999996</v>
      </c>
      <c r="D1724" s="3">
        <f t="shared" si="29"/>
        <v>-2.0456098221613317E-2</v>
      </c>
    </row>
    <row r="1725" spans="2:4" x14ac:dyDescent="0.2">
      <c r="B1725" s="2">
        <v>38645</v>
      </c>
      <c r="C1725" s="61">
        <v>4864.25</v>
      </c>
      <c r="D1725" s="3">
        <f t="shared" si="29"/>
        <v>3.7701352461216864E-3</v>
      </c>
    </row>
    <row r="1726" spans="2:4" x14ac:dyDescent="0.2">
      <c r="B1726" s="2">
        <v>38646</v>
      </c>
      <c r="C1726" s="61">
        <v>4838.3999999999996</v>
      </c>
      <c r="D1726" s="3">
        <f t="shared" si="29"/>
        <v>-5.3142827774066426E-3</v>
      </c>
    </row>
    <row r="1727" spans="2:4" x14ac:dyDescent="0.2">
      <c r="B1727" s="2">
        <v>38649</v>
      </c>
      <c r="C1727" s="61">
        <v>4901.79</v>
      </c>
      <c r="D1727" s="3">
        <f t="shared" si="29"/>
        <v>1.3101438492063577E-2</v>
      </c>
    </row>
    <row r="1728" spans="2:4" x14ac:dyDescent="0.2">
      <c r="B1728" s="2">
        <v>38650</v>
      </c>
      <c r="C1728" s="61">
        <v>4872.97</v>
      </c>
      <c r="D1728" s="3">
        <f t="shared" si="29"/>
        <v>-5.8794848412517808E-3</v>
      </c>
    </row>
    <row r="1729" spans="2:4" x14ac:dyDescent="0.2">
      <c r="B1729" s="2">
        <v>38651</v>
      </c>
      <c r="C1729" s="61">
        <v>4900.79</v>
      </c>
      <c r="D1729" s="3">
        <f t="shared" si="29"/>
        <v>5.7090439711304786E-3</v>
      </c>
    </row>
    <row r="1730" spans="2:4" x14ac:dyDescent="0.2">
      <c r="B1730" s="2">
        <v>38652</v>
      </c>
      <c r="C1730" s="61">
        <v>4806.05</v>
      </c>
      <c r="D1730" s="3">
        <f t="shared" si="29"/>
        <v>-1.9331577153887336E-2</v>
      </c>
    </row>
    <row r="1731" spans="2:4" x14ac:dyDescent="0.2">
      <c r="B1731" s="2">
        <v>38653</v>
      </c>
      <c r="C1731" s="61">
        <v>4825.6400000000003</v>
      </c>
      <c r="D1731" s="3">
        <f t="shared" si="29"/>
        <v>4.0761123999959459E-3</v>
      </c>
    </row>
    <row r="1732" spans="2:4" x14ac:dyDescent="0.2">
      <c r="B1732" s="2">
        <v>38656</v>
      </c>
      <c r="C1732" s="61">
        <v>4929.07</v>
      </c>
      <c r="D1732" s="3">
        <f t="shared" si="29"/>
        <v>2.1433426447061921E-2</v>
      </c>
    </row>
    <row r="1733" spans="2:4" x14ac:dyDescent="0.2">
      <c r="B1733" s="2">
        <v>38657</v>
      </c>
      <c r="C1733" s="61">
        <v>4922.55</v>
      </c>
      <c r="D1733" s="3">
        <f t="shared" ref="D1733:D1796" si="30">C1733/C1732-1</f>
        <v>-1.3227647406102161E-3</v>
      </c>
    </row>
    <row r="1734" spans="2:4" x14ac:dyDescent="0.2">
      <c r="B1734" s="2">
        <v>38658</v>
      </c>
      <c r="C1734" s="61">
        <v>4954.83</v>
      </c>
      <c r="D1734" s="3">
        <f t="shared" si="30"/>
        <v>6.5575768656489508E-3</v>
      </c>
    </row>
    <row r="1735" spans="2:4" x14ac:dyDescent="0.2">
      <c r="B1735" s="2">
        <v>38659</v>
      </c>
      <c r="C1735" s="61">
        <v>5011</v>
      </c>
      <c r="D1735" s="3">
        <f t="shared" si="30"/>
        <v>1.1336413156455505E-2</v>
      </c>
    </row>
    <row r="1736" spans="2:4" x14ac:dyDescent="0.2">
      <c r="B1736" s="2">
        <v>38660</v>
      </c>
      <c r="C1736" s="61">
        <v>4995.24</v>
      </c>
      <c r="D1736" s="3">
        <f t="shared" si="30"/>
        <v>-3.1450808221912263E-3</v>
      </c>
    </row>
    <row r="1737" spans="2:4" x14ac:dyDescent="0.2">
      <c r="B1737" s="2">
        <v>38663</v>
      </c>
      <c r="C1737" s="61">
        <v>5024.2</v>
      </c>
      <c r="D1737" s="3">
        <f t="shared" si="30"/>
        <v>5.7975192383148411E-3</v>
      </c>
    </row>
    <row r="1738" spans="2:4" x14ac:dyDescent="0.2">
      <c r="B1738" s="2">
        <v>38664</v>
      </c>
      <c r="C1738" s="61">
        <v>5008.83</v>
      </c>
      <c r="D1738" s="3">
        <f t="shared" si="30"/>
        <v>-3.0591935034433027E-3</v>
      </c>
    </row>
    <row r="1739" spans="2:4" x14ac:dyDescent="0.2">
      <c r="B1739" s="2">
        <v>38665</v>
      </c>
      <c r="C1739" s="61">
        <v>5011.38</v>
      </c>
      <c r="D1739" s="3">
        <f t="shared" si="30"/>
        <v>5.0910092776157434E-4</v>
      </c>
    </row>
    <row r="1740" spans="2:4" x14ac:dyDescent="0.2">
      <c r="B1740" s="2">
        <v>38666</v>
      </c>
      <c r="C1740" s="61">
        <v>5015.55</v>
      </c>
      <c r="D1740" s="3">
        <f t="shared" si="30"/>
        <v>8.321061264562335E-4</v>
      </c>
    </row>
    <row r="1741" spans="2:4" x14ac:dyDescent="0.2">
      <c r="B1741" s="2">
        <v>38667</v>
      </c>
      <c r="C1741" s="61">
        <v>5090.75</v>
      </c>
      <c r="D1741" s="3">
        <f t="shared" si="30"/>
        <v>1.4993370617379931E-2</v>
      </c>
    </row>
    <row r="1742" spans="2:4" x14ac:dyDescent="0.2">
      <c r="B1742" s="2">
        <v>38670</v>
      </c>
      <c r="C1742" s="61">
        <v>5092.43</v>
      </c>
      <c r="D1742" s="3">
        <f t="shared" si="30"/>
        <v>3.300103128223153E-4</v>
      </c>
    </row>
    <row r="1743" spans="2:4" x14ac:dyDescent="0.2">
      <c r="B1743" s="2">
        <v>38671</v>
      </c>
      <c r="C1743" s="61">
        <v>5110.6099999999997</v>
      </c>
      <c r="D1743" s="3">
        <f t="shared" si="30"/>
        <v>3.5700048896105674E-3</v>
      </c>
    </row>
    <row r="1744" spans="2:4" x14ac:dyDescent="0.2">
      <c r="B1744" s="2">
        <v>38672</v>
      </c>
      <c r="C1744" s="61">
        <v>5081.46</v>
      </c>
      <c r="D1744" s="3">
        <f t="shared" si="30"/>
        <v>-5.7038200919263815E-3</v>
      </c>
    </row>
    <row r="1745" spans="2:4" x14ac:dyDescent="0.2">
      <c r="B1745" s="2">
        <v>38673</v>
      </c>
      <c r="C1745" s="61">
        <v>5099.72</v>
      </c>
      <c r="D1745" s="3">
        <f t="shared" si="30"/>
        <v>3.5934554242285088E-3</v>
      </c>
    </row>
    <row r="1746" spans="2:4" x14ac:dyDescent="0.2">
      <c r="B1746" s="2">
        <v>38674</v>
      </c>
      <c r="C1746" s="61">
        <v>5123.5</v>
      </c>
      <c r="D1746" s="3">
        <f t="shared" si="30"/>
        <v>4.6630011059429766E-3</v>
      </c>
    </row>
    <row r="1747" spans="2:4" x14ac:dyDescent="0.2">
      <c r="B1747" s="2">
        <v>38677</v>
      </c>
      <c r="C1747" s="61">
        <v>5170.6099999999997</v>
      </c>
      <c r="D1747" s="3">
        <f t="shared" si="30"/>
        <v>9.1948863081876553E-3</v>
      </c>
    </row>
    <row r="1748" spans="2:4" x14ac:dyDescent="0.2">
      <c r="B1748" s="2">
        <v>38678</v>
      </c>
      <c r="C1748" s="61">
        <v>5174.72</v>
      </c>
      <c r="D1748" s="3">
        <f t="shared" si="30"/>
        <v>7.94877200175792E-4</v>
      </c>
    </row>
    <row r="1749" spans="2:4" x14ac:dyDescent="0.2">
      <c r="B1749" s="2">
        <v>38679</v>
      </c>
      <c r="C1749" s="61">
        <v>5196.08</v>
      </c>
      <c r="D1749" s="3">
        <f t="shared" si="30"/>
        <v>4.1277595695998759E-3</v>
      </c>
    </row>
    <row r="1750" spans="2:4" x14ac:dyDescent="0.2">
      <c r="B1750" s="2">
        <v>38680</v>
      </c>
      <c r="C1750" s="61">
        <v>5187.9799999999996</v>
      </c>
      <c r="D1750" s="3">
        <f t="shared" si="30"/>
        <v>-1.5588674539268599E-3</v>
      </c>
    </row>
    <row r="1751" spans="2:4" x14ac:dyDescent="0.2">
      <c r="B1751" s="2">
        <v>38681</v>
      </c>
      <c r="C1751" s="61">
        <v>5194.2700000000004</v>
      </c>
      <c r="D1751" s="3">
        <f t="shared" si="30"/>
        <v>1.2124179353045772E-3</v>
      </c>
    </row>
    <row r="1752" spans="2:4" x14ac:dyDescent="0.2">
      <c r="B1752" s="2">
        <v>38684</v>
      </c>
      <c r="C1752" s="61">
        <v>5176.59</v>
      </c>
      <c r="D1752" s="3">
        <f t="shared" si="30"/>
        <v>-3.4037506714129639E-3</v>
      </c>
    </row>
    <row r="1753" spans="2:4" x14ac:dyDescent="0.2">
      <c r="B1753" s="2">
        <v>38685</v>
      </c>
      <c r="C1753" s="61">
        <v>5199.4799999999996</v>
      </c>
      <c r="D1753" s="3">
        <f t="shared" si="30"/>
        <v>4.4218298146074808E-3</v>
      </c>
    </row>
    <row r="1754" spans="2:4" x14ac:dyDescent="0.2">
      <c r="B1754" s="2">
        <v>38686</v>
      </c>
      <c r="C1754" s="61">
        <v>5193.3999999999996</v>
      </c>
      <c r="D1754" s="3">
        <f t="shared" si="30"/>
        <v>-1.1693477040011224E-3</v>
      </c>
    </row>
    <row r="1755" spans="2:4" x14ac:dyDescent="0.2">
      <c r="B1755" s="2">
        <v>38687</v>
      </c>
      <c r="C1755" s="61">
        <v>5266.55</v>
      </c>
      <c r="D1755" s="3">
        <f t="shared" si="30"/>
        <v>1.4085185042554071E-2</v>
      </c>
    </row>
    <row r="1756" spans="2:4" x14ac:dyDescent="0.2">
      <c r="B1756" s="2">
        <v>38688</v>
      </c>
      <c r="C1756" s="61">
        <v>5307.99</v>
      </c>
      <c r="D1756" s="3">
        <f t="shared" si="30"/>
        <v>7.8685287332314058E-3</v>
      </c>
    </row>
    <row r="1757" spans="2:4" x14ac:dyDescent="0.2">
      <c r="B1757" s="2">
        <v>38691</v>
      </c>
      <c r="C1757" s="61">
        <v>5266.86</v>
      </c>
      <c r="D1757" s="3">
        <f t="shared" si="30"/>
        <v>-7.7486958340162726E-3</v>
      </c>
    </row>
    <row r="1758" spans="2:4" x14ac:dyDescent="0.2">
      <c r="B1758" s="2">
        <v>38692</v>
      </c>
      <c r="C1758" s="61">
        <v>5300.85</v>
      </c>
      <c r="D1758" s="3">
        <f t="shared" si="30"/>
        <v>6.4535605654982842E-3</v>
      </c>
    </row>
    <row r="1759" spans="2:4" x14ac:dyDescent="0.2">
      <c r="B1759" s="2">
        <v>38693</v>
      </c>
      <c r="C1759" s="61">
        <v>5266.75</v>
      </c>
      <c r="D1759" s="3">
        <f t="shared" si="30"/>
        <v>-6.4329305677391924E-3</v>
      </c>
    </row>
    <row r="1760" spans="2:4" x14ac:dyDescent="0.2">
      <c r="B1760" s="2">
        <v>38694</v>
      </c>
      <c r="C1760" s="61">
        <v>5286.75</v>
      </c>
      <c r="D1760" s="3">
        <f t="shared" si="30"/>
        <v>3.7974082688565503E-3</v>
      </c>
    </row>
    <row r="1761" spans="2:4" x14ac:dyDescent="0.2">
      <c r="B1761" s="2">
        <v>38695</v>
      </c>
      <c r="C1761" s="61">
        <v>5282.13</v>
      </c>
      <c r="D1761" s="3">
        <f t="shared" si="30"/>
        <v>-8.7388282025813169E-4</v>
      </c>
    </row>
    <row r="1762" spans="2:4" x14ac:dyDescent="0.2">
      <c r="B1762" s="2">
        <v>38698</v>
      </c>
      <c r="C1762" s="61">
        <v>5301.21</v>
      </c>
      <c r="D1762" s="3">
        <f t="shared" si="30"/>
        <v>3.6121791777181667E-3</v>
      </c>
    </row>
    <row r="1763" spans="2:4" x14ac:dyDescent="0.2">
      <c r="B1763" s="2">
        <v>38699</v>
      </c>
      <c r="C1763" s="61">
        <v>5310.28</v>
      </c>
      <c r="D1763" s="3">
        <f t="shared" si="30"/>
        <v>1.7109301461364357E-3</v>
      </c>
    </row>
    <row r="1764" spans="2:4" x14ac:dyDescent="0.2">
      <c r="B1764" s="2">
        <v>38700</v>
      </c>
      <c r="C1764" s="61">
        <v>5286.76</v>
      </c>
      <c r="D1764" s="3">
        <f t="shared" si="30"/>
        <v>-4.4291449791723503E-3</v>
      </c>
    </row>
    <row r="1765" spans="2:4" x14ac:dyDescent="0.2">
      <c r="B1765" s="2">
        <v>38701</v>
      </c>
      <c r="C1765" s="61">
        <v>5295.82</v>
      </c>
      <c r="D1765" s="3">
        <f t="shared" si="30"/>
        <v>1.7137150163804016E-3</v>
      </c>
    </row>
    <row r="1766" spans="2:4" x14ac:dyDescent="0.2">
      <c r="B1766" s="2">
        <v>38702</v>
      </c>
      <c r="C1766" s="61">
        <v>5353.66</v>
      </c>
      <c r="D1766" s="3">
        <f t="shared" si="30"/>
        <v>1.0921821360997841E-2</v>
      </c>
    </row>
    <row r="1767" spans="2:4" x14ac:dyDescent="0.2">
      <c r="B1767" s="2">
        <v>38705</v>
      </c>
      <c r="C1767" s="61">
        <v>5350.18</v>
      </c>
      <c r="D1767" s="3">
        <f t="shared" si="30"/>
        <v>-6.5002260136048928E-4</v>
      </c>
    </row>
    <row r="1768" spans="2:4" x14ac:dyDescent="0.2">
      <c r="B1768" s="2">
        <v>38706</v>
      </c>
      <c r="C1768" s="61">
        <v>5356.6</v>
      </c>
      <c r="D1768" s="3">
        <f t="shared" si="30"/>
        <v>1.1999596275265034E-3</v>
      </c>
    </row>
    <row r="1769" spans="2:4" x14ac:dyDescent="0.2">
      <c r="B1769" s="2">
        <v>38707</v>
      </c>
      <c r="C1769" s="61">
        <v>5397.23</v>
      </c>
      <c r="D1769" s="3">
        <f t="shared" si="30"/>
        <v>7.5850352835753476E-3</v>
      </c>
    </row>
    <row r="1770" spans="2:4" x14ac:dyDescent="0.2">
      <c r="B1770" s="2">
        <v>38708</v>
      </c>
      <c r="C1770" s="61">
        <v>5398.28</v>
      </c>
      <c r="D1770" s="3">
        <f t="shared" si="30"/>
        <v>1.9454423843345836E-4</v>
      </c>
    </row>
    <row r="1771" spans="2:4" x14ac:dyDescent="0.2">
      <c r="B1771" s="2">
        <v>38709</v>
      </c>
      <c r="C1771" s="61">
        <v>5419.05</v>
      </c>
      <c r="D1771" s="3">
        <f t="shared" si="30"/>
        <v>3.8475218032412162E-3</v>
      </c>
    </row>
    <row r="1772" spans="2:4" x14ac:dyDescent="0.2">
      <c r="B1772" s="2">
        <v>38713</v>
      </c>
      <c r="C1772" s="61">
        <v>5444.84</v>
      </c>
      <c r="D1772" s="3">
        <f t="shared" si="30"/>
        <v>4.7591367490611436E-3</v>
      </c>
    </row>
    <row r="1773" spans="2:4" x14ac:dyDescent="0.2">
      <c r="B1773" s="2">
        <v>38714</v>
      </c>
      <c r="C1773" s="61">
        <v>5447.15</v>
      </c>
      <c r="D1773" s="3">
        <f t="shared" si="30"/>
        <v>4.2425489086905799E-4</v>
      </c>
    </row>
    <row r="1774" spans="2:4" x14ac:dyDescent="0.2">
      <c r="B1774" s="2">
        <v>38715</v>
      </c>
      <c r="C1774" s="61">
        <v>5458.58</v>
      </c>
      <c r="D1774" s="3">
        <f t="shared" si="30"/>
        <v>2.0983450061040632E-3</v>
      </c>
    </row>
    <row r="1775" spans="2:4" x14ac:dyDescent="0.2">
      <c r="B1775" s="2">
        <v>38716</v>
      </c>
      <c r="C1775" s="61">
        <v>5408.26</v>
      </c>
      <c r="D1775" s="3">
        <f t="shared" si="30"/>
        <v>-9.21851470528956E-3</v>
      </c>
    </row>
    <row r="1776" spans="2:4" x14ac:dyDescent="0.2">
      <c r="B1776" s="2">
        <v>38719</v>
      </c>
      <c r="C1776" s="61">
        <v>5449.98</v>
      </c>
      <c r="D1776" s="3">
        <f t="shared" si="30"/>
        <v>7.7141261699695818E-3</v>
      </c>
    </row>
    <row r="1777" spans="2:4" x14ac:dyDescent="0.2">
      <c r="B1777" s="2">
        <v>38720</v>
      </c>
      <c r="C1777" s="61">
        <v>5460.68</v>
      </c>
      <c r="D1777" s="3">
        <f t="shared" si="30"/>
        <v>1.9633099571008117E-3</v>
      </c>
    </row>
    <row r="1778" spans="2:4" x14ac:dyDescent="0.2">
      <c r="B1778" s="2">
        <v>38721</v>
      </c>
      <c r="C1778" s="61">
        <v>5523.62</v>
      </c>
      <c r="D1778" s="3">
        <f t="shared" si="30"/>
        <v>1.1526037050330729E-2</v>
      </c>
    </row>
    <row r="1779" spans="2:4" x14ac:dyDescent="0.2">
      <c r="B1779" s="2">
        <v>38722</v>
      </c>
      <c r="C1779" s="61">
        <v>5516.53</v>
      </c>
      <c r="D1779" s="3">
        <f t="shared" si="30"/>
        <v>-1.283578522780382E-3</v>
      </c>
    </row>
    <row r="1780" spans="2:4" x14ac:dyDescent="0.2">
      <c r="B1780" s="2">
        <v>38723</v>
      </c>
      <c r="C1780" s="61">
        <v>5536.32</v>
      </c>
      <c r="D1780" s="3">
        <f t="shared" si="30"/>
        <v>3.5874000503939296E-3</v>
      </c>
    </row>
    <row r="1781" spans="2:4" x14ac:dyDescent="0.2">
      <c r="B1781" s="2">
        <v>38726</v>
      </c>
      <c r="C1781" s="61">
        <v>5537.11</v>
      </c>
      <c r="D1781" s="3">
        <f t="shared" si="30"/>
        <v>1.4269406392686257E-4</v>
      </c>
    </row>
    <row r="1782" spans="2:4" x14ac:dyDescent="0.2">
      <c r="B1782" s="2">
        <v>38727</v>
      </c>
      <c r="C1782" s="61">
        <v>5494.71</v>
      </c>
      <c r="D1782" s="3">
        <f t="shared" si="30"/>
        <v>-7.6574241797615628E-3</v>
      </c>
    </row>
    <row r="1783" spans="2:4" x14ac:dyDescent="0.2">
      <c r="B1783" s="2">
        <v>38728</v>
      </c>
      <c r="C1783" s="61">
        <v>5532.89</v>
      </c>
      <c r="D1783" s="3">
        <f t="shared" si="30"/>
        <v>6.9485013767787152E-3</v>
      </c>
    </row>
    <row r="1784" spans="2:4" x14ac:dyDescent="0.2">
      <c r="B1784" s="2">
        <v>38729</v>
      </c>
      <c r="C1784" s="61">
        <v>5542.13</v>
      </c>
      <c r="D1784" s="3">
        <f t="shared" si="30"/>
        <v>1.6700133203442213E-3</v>
      </c>
    </row>
    <row r="1785" spans="2:4" x14ac:dyDescent="0.2">
      <c r="B1785" s="2">
        <v>38730</v>
      </c>
      <c r="C1785" s="61">
        <v>5483.09</v>
      </c>
      <c r="D1785" s="3">
        <f t="shared" si="30"/>
        <v>-1.0652943904238987E-2</v>
      </c>
    </row>
    <row r="1786" spans="2:4" x14ac:dyDescent="0.2">
      <c r="B1786" s="2">
        <v>38733</v>
      </c>
      <c r="C1786" s="61">
        <v>5514.64</v>
      </c>
      <c r="D1786" s="3">
        <f t="shared" si="30"/>
        <v>5.7540547392072039E-3</v>
      </c>
    </row>
    <row r="1787" spans="2:4" x14ac:dyDescent="0.2">
      <c r="B1787" s="2">
        <v>38734</v>
      </c>
      <c r="C1787" s="61">
        <v>5460.16</v>
      </c>
      <c r="D1787" s="3">
        <f t="shared" si="30"/>
        <v>-9.8791580230079834E-3</v>
      </c>
    </row>
    <row r="1788" spans="2:4" x14ac:dyDescent="0.2">
      <c r="B1788" s="2">
        <v>38735</v>
      </c>
      <c r="C1788" s="61">
        <v>5395.61</v>
      </c>
      <c r="D1788" s="3">
        <f t="shared" si="30"/>
        <v>-1.1821997890171798E-2</v>
      </c>
    </row>
    <row r="1789" spans="2:4" x14ac:dyDescent="0.2">
      <c r="B1789" s="2">
        <v>38736</v>
      </c>
      <c r="C1789" s="61">
        <v>5430.84</v>
      </c>
      <c r="D1789" s="3">
        <f t="shared" si="30"/>
        <v>6.5293822199901097E-3</v>
      </c>
    </row>
    <row r="1790" spans="2:4" x14ac:dyDescent="0.2">
      <c r="B1790" s="2">
        <v>38737</v>
      </c>
      <c r="C1790" s="61">
        <v>5349.02</v>
      </c>
      <c r="D1790" s="3">
        <f t="shared" si="30"/>
        <v>-1.5065809340728098E-2</v>
      </c>
    </row>
    <row r="1791" spans="2:4" x14ac:dyDescent="0.2">
      <c r="B1791" s="2">
        <v>38740</v>
      </c>
      <c r="C1791" s="61">
        <v>5348.72</v>
      </c>
      <c r="D1791" s="3">
        <f t="shared" si="30"/>
        <v>-5.6085039876530018E-5</v>
      </c>
    </row>
    <row r="1792" spans="2:4" x14ac:dyDescent="0.2">
      <c r="B1792" s="2">
        <v>38741</v>
      </c>
      <c r="C1792" s="61">
        <v>5334.3</v>
      </c>
      <c r="D1792" s="3">
        <f t="shared" si="30"/>
        <v>-2.6959721204325993E-3</v>
      </c>
    </row>
    <row r="1793" spans="2:4" x14ac:dyDescent="0.2">
      <c r="B1793" s="2">
        <v>38742</v>
      </c>
      <c r="C1793" s="61">
        <v>5427.09</v>
      </c>
      <c r="D1793" s="3">
        <f t="shared" si="30"/>
        <v>1.7394972161295819E-2</v>
      </c>
    </row>
    <row r="1794" spans="2:4" x14ac:dyDescent="0.2">
      <c r="B1794" s="2">
        <v>38743</v>
      </c>
      <c r="C1794" s="61">
        <v>5548.91</v>
      </c>
      <c r="D1794" s="3">
        <f t="shared" si="30"/>
        <v>2.2446651888949676E-2</v>
      </c>
    </row>
    <row r="1795" spans="2:4" x14ac:dyDescent="0.2">
      <c r="B1795" s="2">
        <v>38744</v>
      </c>
      <c r="C1795" s="61">
        <v>5647.42</v>
      </c>
      <c r="D1795" s="3">
        <f t="shared" si="30"/>
        <v>1.7753036181880733E-2</v>
      </c>
    </row>
    <row r="1796" spans="2:4" x14ac:dyDescent="0.2">
      <c r="B1796" s="2">
        <v>38747</v>
      </c>
      <c r="C1796" s="61">
        <v>5660.03</v>
      </c>
      <c r="D1796" s="3">
        <f t="shared" si="30"/>
        <v>2.2328780221765321E-3</v>
      </c>
    </row>
    <row r="1797" spans="2:4" x14ac:dyDescent="0.2">
      <c r="B1797" s="2">
        <v>38748</v>
      </c>
      <c r="C1797" s="61">
        <v>5674.15</v>
      </c>
      <c r="D1797" s="3">
        <f t="shared" ref="D1797:D1860" si="31">C1797/C1796-1</f>
        <v>2.4946864239234756E-3</v>
      </c>
    </row>
    <row r="1798" spans="2:4" x14ac:dyDescent="0.2">
      <c r="B1798" s="2">
        <v>38749</v>
      </c>
      <c r="C1798" s="61">
        <v>5726.53</v>
      </c>
      <c r="D1798" s="3">
        <f t="shared" si="31"/>
        <v>9.2313386145943532E-3</v>
      </c>
    </row>
    <row r="1799" spans="2:4" x14ac:dyDescent="0.2">
      <c r="B1799" s="2">
        <v>38750</v>
      </c>
      <c r="C1799" s="61">
        <v>5649.6</v>
      </c>
      <c r="D1799" s="3">
        <f t="shared" si="31"/>
        <v>-1.3433964372839946E-2</v>
      </c>
    </row>
    <row r="1800" spans="2:4" x14ac:dyDescent="0.2">
      <c r="B1800" s="2">
        <v>38751</v>
      </c>
      <c r="C1800" s="61">
        <v>5657.12</v>
      </c>
      <c r="D1800" s="3">
        <f t="shared" si="31"/>
        <v>1.3310676862077209E-3</v>
      </c>
    </row>
    <row r="1801" spans="2:4" x14ac:dyDescent="0.2">
      <c r="B1801" s="2">
        <v>38754</v>
      </c>
      <c r="C1801" s="61">
        <v>5666.78</v>
      </c>
      <c r="D1801" s="3">
        <f t="shared" si="31"/>
        <v>1.70758265689952E-3</v>
      </c>
    </row>
    <row r="1802" spans="2:4" x14ac:dyDescent="0.2">
      <c r="B1802" s="2">
        <v>38755</v>
      </c>
      <c r="C1802" s="61">
        <v>5672.92</v>
      </c>
      <c r="D1802" s="3">
        <f t="shared" si="31"/>
        <v>1.0835077416100347E-3</v>
      </c>
    </row>
    <row r="1803" spans="2:4" x14ac:dyDescent="0.2">
      <c r="B1803" s="2">
        <v>38756</v>
      </c>
      <c r="C1803" s="61">
        <v>5666.41</v>
      </c>
      <c r="D1803" s="3">
        <f t="shared" si="31"/>
        <v>-1.1475571663270845E-3</v>
      </c>
    </row>
    <row r="1804" spans="2:4" x14ac:dyDescent="0.2">
      <c r="B1804" s="2">
        <v>38757</v>
      </c>
      <c r="C1804" s="61">
        <v>5743.68</v>
      </c>
      <c r="D1804" s="3">
        <f t="shared" si="31"/>
        <v>1.3636500006176888E-2</v>
      </c>
    </row>
    <row r="1805" spans="2:4" x14ac:dyDescent="0.2">
      <c r="B1805" s="2">
        <v>38758</v>
      </c>
      <c r="C1805" s="61">
        <v>5701.47</v>
      </c>
      <c r="D1805" s="3">
        <f t="shared" si="31"/>
        <v>-7.3489470165468695E-3</v>
      </c>
    </row>
    <row r="1806" spans="2:4" x14ac:dyDescent="0.2">
      <c r="B1806" s="2">
        <v>38761</v>
      </c>
      <c r="C1806" s="61">
        <v>5756.33</v>
      </c>
      <c r="D1806" s="3">
        <f t="shared" si="31"/>
        <v>9.6220799197399565E-3</v>
      </c>
    </row>
    <row r="1807" spans="2:4" x14ac:dyDescent="0.2">
      <c r="B1807" s="2">
        <v>38762</v>
      </c>
      <c r="C1807" s="61">
        <v>5763.4</v>
      </c>
      <c r="D1807" s="3">
        <f t="shared" si="31"/>
        <v>1.2282131149534692E-3</v>
      </c>
    </row>
    <row r="1808" spans="2:4" x14ac:dyDescent="0.2">
      <c r="B1808" s="2">
        <v>38763</v>
      </c>
      <c r="C1808" s="61">
        <v>5764.37</v>
      </c>
      <c r="D1808" s="3">
        <f t="shared" si="31"/>
        <v>1.68303432001915E-4</v>
      </c>
    </row>
    <row r="1809" spans="2:4" x14ac:dyDescent="0.2">
      <c r="B1809" s="2">
        <v>38764</v>
      </c>
      <c r="C1809" s="61">
        <v>5789.25</v>
      </c>
      <c r="D1809" s="3">
        <f t="shared" si="31"/>
        <v>4.3161698503044743E-3</v>
      </c>
    </row>
    <row r="1810" spans="2:4" x14ac:dyDescent="0.2">
      <c r="B1810" s="2">
        <v>38765</v>
      </c>
      <c r="C1810" s="61">
        <v>5795.48</v>
      </c>
      <c r="D1810" s="3">
        <f t="shared" si="31"/>
        <v>1.0761324869368316E-3</v>
      </c>
    </row>
    <row r="1811" spans="2:4" x14ac:dyDescent="0.2">
      <c r="B1811" s="2">
        <v>38768</v>
      </c>
      <c r="C1811" s="61">
        <v>5793.95</v>
      </c>
      <c r="D1811" s="3">
        <f t="shared" si="31"/>
        <v>-2.6399884047567657E-4</v>
      </c>
    </row>
    <row r="1812" spans="2:4" x14ac:dyDescent="0.2">
      <c r="B1812" s="2">
        <v>38769</v>
      </c>
      <c r="C1812" s="61">
        <v>5801.04</v>
      </c>
      <c r="D1812" s="3">
        <f t="shared" si="31"/>
        <v>1.2236902286004714E-3</v>
      </c>
    </row>
    <row r="1813" spans="2:4" x14ac:dyDescent="0.2">
      <c r="B1813" s="2">
        <v>38770</v>
      </c>
      <c r="C1813" s="61">
        <v>5862.06</v>
      </c>
      <c r="D1813" s="3">
        <f t="shared" si="31"/>
        <v>1.0518803524885323E-2</v>
      </c>
    </row>
    <row r="1814" spans="2:4" x14ac:dyDescent="0.2">
      <c r="B1814" s="2">
        <v>38771</v>
      </c>
      <c r="C1814" s="61">
        <v>5857.88</v>
      </c>
      <c r="D1814" s="3">
        <f t="shared" si="31"/>
        <v>-7.1305991409165159E-4</v>
      </c>
    </row>
    <row r="1815" spans="2:4" x14ac:dyDescent="0.2">
      <c r="B1815" s="2">
        <v>38772</v>
      </c>
      <c r="C1815" s="61">
        <v>5870.79</v>
      </c>
      <c r="D1815" s="3">
        <f t="shared" si="31"/>
        <v>2.2038689764898312E-3</v>
      </c>
    </row>
    <row r="1816" spans="2:4" x14ac:dyDescent="0.2">
      <c r="B1816" s="2">
        <v>38775</v>
      </c>
      <c r="C1816" s="61">
        <v>5915.15</v>
      </c>
      <c r="D1816" s="3">
        <f t="shared" si="31"/>
        <v>7.5560529332507897E-3</v>
      </c>
    </row>
    <row r="1817" spans="2:4" x14ac:dyDescent="0.2">
      <c r="B1817" s="2">
        <v>38776</v>
      </c>
      <c r="C1817" s="61">
        <v>5796.04</v>
      </c>
      <c r="D1817" s="3">
        <f t="shared" si="31"/>
        <v>-2.0136429338224682E-2</v>
      </c>
    </row>
    <row r="1818" spans="2:4" x14ac:dyDescent="0.2">
      <c r="B1818" s="2">
        <v>38777</v>
      </c>
      <c r="C1818" s="61">
        <v>5866.61</v>
      </c>
      <c r="D1818" s="3">
        <f t="shared" si="31"/>
        <v>1.2175554344000306E-2</v>
      </c>
    </row>
    <row r="1819" spans="2:4" x14ac:dyDescent="0.2">
      <c r="B1819" s="2">
        <v>38778</v>
      </c>
      <c r="C1819" s="61">
        <v>5783.49</v>
      </c>
      <c r="D1819" s="3">
        <f t="shared" si="31"/>
        <v>-1.4168318671259894E-2</v>
      </c>
    </row>
    <row r="1820" spans="2:4" x14ac:dyDescent="0.2">
      <c r="B1820" s="2">
        <v>38779</v>
      </c>
      <c r="C1820" s="61">
        <v>5721.46</v>
      </c>
      <c r="D1820" s="3">
        <f t="shared" si="31"/>
        <v>-1.0725357872149788E-2</v>
      </c>
    </row>
    <row r="1821" spans="2:4" x14ac:dyDescent="0.2">
      <c r="B1821" s="2">
        <v>38782</v>
      </c>
      <c r="C1821" s="61">
        <v>5754.06</v>
      </c>
      <c r="D1821" s="3">
        <f t="shared" si="31"/>
        <v>5.6978463539028024E-3</v>
      </c>
    </row>
    <row r="1822" spans="2:4" x14ac:dyDescent="0.2">
      <c r="B1822" s="2">
        <v>38783</v>
      </c>
      <c r="C1822" s="61">
        <v>5739.28</v>
      </c>
      <c r="D1822" s="3">
        <f t="shared" si="31"/>
        <v>-2.5686211127448066E-3</v>
      </c>
    </row>
    <row r="1823" spans="2:4" x14ac:dyDescent="0.2">
      <c r="B1823" s="2">
        <v>38784</v>
      </c>
      <c r="C1823" s="61">
        <v>5673.36</v>
      </c>
      <c r="D1823" s="3">
        <f t="shared" si="31"/>
        <v>-1.1485761280160545E-2</v>
      </c>
    </row>
    <row r="1824" spans="2:4" x14ac:dyDescent="0.2">
      <c r="B1824" s="2">
        <v>38785</v>
      </c>
      <c r="C1824" s="61">
        <v>5732.22</v>
      </c>
      <c r="D1824" s="3">
        <f t="shared" si="31"/>
        <v>1.0374804348745714E-2</v>
      </c>
    </row>
    <row r="1825" spans="2:4" x14ac:dyDescent="0.2">
      <c r="B1825" s="2">
        <v>38786</v>
      </c>
      <c r="C1825" s="61">
        <v>5804.92</v>
      </c>
      <c r="D1825" s="3">
        <f t="shared" si="31"/>
        <v>1.268269536061073E-2</v>
      </c>
    </row>
    <row r="1826" spans="2:4" x14ac:dyDescent="0.2">
      <c r="B1826" s="2">
        <v>38789</v>
      </c>
      <c r="C1826" s="61">
        <v>5855.16</v>
      </c>
      <c r="D1826" s="3">
        <f t="shared" si="31"/>
        <v>8.654727369197035E-3</v>
      </c>
    </row>
    <row r="1827" spans="2:4" x14ac:dyDescent="0.2">
      <c r="B1827" s="2">
        <v>38790</v>
      </c>
      <c r="C1827" s="61">
        <v>5870.88</v>
      </c>
      <c r="D1827" s="3">
        <f t="shared" si="31"/>
        <v>2.6848113458897149E-3</v>
      </c>
    </row>
    <row r="1828" spans="2:4" x14ac:dyDescent="0.2">
      <c r="B1828" s="2">
        <v>38791</v>
      </c>
      <c r="C1828" s="61">
        <v>5898.48</v>
      </c>
      <c r="D1828" s="3">
        <f t="shared" si="31"/>
        <v>4.7011691603302541E-3</v>
      </c>
    </row>
    <row r="1829" spans="2:4" x14ac:dyDescent="0.2">
      <c r="B1829" s="2">
        <v>38792</v>
      </c>
      <c r="C1829" s="61">
        <v>5897.79</v>
      </c>
      <c r="D1829" s="3">
        <f t="shared" si="31"/>
        <v>-1.1697928957965509E-4</v>
      </c>
    </row>
    <row r="1830" spans="2:4" x14ac:dyDescent="0.2">
      <c r="B1830" s="2">
        <v>38793</v>
      </c>
      <c r="C1830" s="61">
        <v>5882.38</v>
      </c>
      <c r="D1830" s="3">
        <f t="shared" si="31"/>
        <v>-2.6128431158111143E-3</v>
      </c>
    </row>
    <row r="1831" spans="2:4" x14ac:dyDescent="0.2">
      <c r="B1831" s="2">
        <v>38796</v>
      </c>
      <c r="C1831" s="61">
        <v>5902.79</v>
      </c>
      <c r="D1831" s="3">
        <f t="shared" si="31"/>
        <v>3.4696840394534689E-3</v>
      </c>
    </row>
    <row r="1832" spans="2:4" x14ac:dyDescent="0.2">
      <c r="B1832" s="2">
        <v>38797</v>
      </c>
      <c r="C1832" s="61">
        <v>5911.86</v>
      </c>
      <c r="D1832" s="3">
        <f t="shared" si="31"/>
        <v>1.5365615242961539E-3</v>
      </c>
    </row>
    <row r="1833" spans="2:4" x14ac:dyDescent="0.2">
      <c r="B1833" s="2">
        <v>38798</v>
      </c>
      <c r="C1833" s="61">
        <v>5932.31</v>
      </c>
      <c r="D1833" s="3">
        <f t="shared" si="31"/>
        <v>3.4591482206953739E-3</v>
      </c>
    </row>
    <row r="1834" spans="2:4" x14ac:dyDescent="0.2">
      <c r="B1834" s="2">
        <v>38799</v>
      </c>
      <c r="C1834" s="61">
        <v>5947.11</v>
      </c>
      <c r="D1834" s="3">
        <f t="shared" si="31"/>
        <v>2.4948123075159145E-3</v>
      </c>
    </row>
    <row r="1835" spans="2:4" x14ac:dyDescent="0.2">
      <c r="B1835" s="2">
        <v>38800</v>
      </c>
      <c r="C1835" s="61">
        <v>5973.14</v>
      </c>
      <c r="D1835" s="3">
        <f t="shared" si="31"/>
        <v>4.3769158465205571E-3</v>
      </c>
    </row>
    <row r="1836" spans="2:4" x14ac:dyDescent="0.2">
      <c r="B1836" s="2">
        <v>38803</v>
      </c>
      <c r="C1836" s="61">
        <v>5912.26</v>
      </c>
      <c r="D1836" s="3">
        <f t="shared" si="31"/>
        <v>-1.0192294170235483E-2</v>
      </c>
    </row>
    <row r="1837" spans="2:4" x14ac:dyDescent="0.2">
      <c r="B1837" s="2">
        <v>38804</v>
      </c>
      <c r="C1837" s="61">
        <v>5890.63</v>
      </c>
      <c r="D1837" s="3">
        <f t="shared" si="31"/>
        <v>-3.6584994570604268E-3</v>
      </c>
    </row>
    <row r="1838" spans="2:4" x14ac:dyDescent="0.2">
      <c r="B1838" s="2">
        <v>38805</v>
      </c>
      <c r="C1838" s="61">
        <v>5914.78</v>
      </c>
      <c r="D1838" s="3">
        <f t="shared" si="31"/>
        <v>4.0997312681325671E-3</v>
      </c>
    </row>
    <row r="1839" spans="2:4" x14ac:dyDescent="0.2">
      <c r="B1839" s="2">
        <v>38806</v>
      </c>
      <c r="C1839" s="61">
        <v>5984.19</v>
      </c>
      <c r="D1839" s="3">
        <f t="shared" si="31"/>
        <v>1.1735009586155254E-2</v>
      </c>
    </row>
    <row r="1840" spans="2:4" x14ac:dyDescent="0.2">
      <c r="B1840" s="2">
        <v>38807</v>
      </c>
      <c r="C1840" s="61">
        <v>5970.08</v>
      </c>
      <c r="D1840" s="3">
        <f t="shared" si="31"/>
        <v>-2.3578796796224211E-3</v>
      </c>
    </row>
    <row r="1841" spans="2:4" x14ac:dyDescent="0.2">
      <c r="B1841" s="2">
        <v>38810</v>
      </c>
      <c r="C1841" s="61">
        <v>6024.05</v>
      </c>
      <c r="D1841" s="3">
        <f t="shared" si="31"/>
        <v>9.0400798649263869E-3</v>
      </c>
    </row>
    <row r="1842" spans="2:4" x14ac:dyDescent="0.2">
      <c r="B1842" s="2">
        <v>38811</v>
      </c>
      <c r="C1842" s="61">
        <v>6013.85</v>
      </c>
      <c r="D1842" s="3">
        <f t="shared" si="31"/>
        <v>-1.6932130377403931E-3</v>
      </c>
    </row>
    <row r="1843" spans="2:4" x14ac:dyDescent="0.2">
      <c r="B1843" s="2">
        <v>38812</v>
      </c>
      <c r="C1843" s="61">
        <v>6029.2</v>
      </c>
      <c r="D1843" s="3">
        <f t="shared" si="31"/>
        <v>2.5524414476583157E-3</v>
      </c>
    </row>
    <row r="1844" spans="2:4" x14ac:dyDescent="0.2">
      <c r="B1844" s="2">
        <v>38813</v>
      </c>
      <c r="C1844" s="61">
        <v>6031.39</v>
      </c>
      <c r="D1844" s="3">
        <f t="shared" si="31"/>
        <v>3.6323226962120536E-4</v>
      </c>
    </row>
    <row r="1845" spans="2:4" x14ac:dyDescent="0.2">
      <c r="B1845" s="2">
        <v>38814</v>
      </c>
      <c r="C1845" s="61">
        <v>5952.92</v>
      </c>
      <c r="D1845" s="3">
        <f t="shared" si="31"/>
        <v>-1.3010267948184495E-2</v>
      </c>
    </row>
    <row r="1846" spans="2:4" x14ac:dyDescent="0.2">
      <c r="B1846" s="2">
        <v>38817</v>
      </c>
      <c r="C1846" s="61">
        <v>6003.4</v>
      </c>
      <c r="D1846" s="3">
        <f t="shared" si="31"/>
        <v>8.479872062785887E-3</v>
      </c>
    </row>
    <row r="1847" spans="2:4" x14ac:dyDescent="0.2">
      <c r="B1847" s="2">
        <v>38818</v>
      </c>
      <c r="C1847" s="61">
        <v>5908.47</v>
      </c>
      <c r="D1847" s="3">
        <f t="shared" si="31"/>
        <v>-1.5812706133191079E-2</v>
      </c>
    </row>
    <row r="1848" spans="2:4" x14ac:dyDescent="0.2">
      <c r="B1848" s="2">
        <v>38819</v>
      </c>
      <c r="C1848" s="61">
        <v>5901.25</v>
      </c>
      <c r="D1848" s="3">
        <f t="shared" si="31"/>
        <v>-1.2219745551724781E-3</v>
      </c>
    </row>
    <row r="1849" spans="2:4" x14ac:dyDescent="0.2">
      <c r="B1849" s="2">
        <v>38820</v>
      </c>
      <c r="C1849" s="61">
        <v>5918.57</v>
      </c>
      <c r="D1849" s="3">
        <f t="shared" si="31"/>
        <v>2.9349714043633846E-3</v>
      </c>
    </row>
    <row r="1850" spans="2:4" x14ac:dyDescent="0.2">
      <c r="B1850" s="2">
        <v>38825</v>
      </c>
      <c r="C1850" s="61">
        <v>5902.58</v>
      </c>
      <c r="D1850" s="3">
        <f t="shared" si="31"/>
        <v>-2.7016661119154683E-3</v>
      </c>
    </row>
    <row r="1851" spans="2:4" x14ac:dyDescent="0.2">
      <c r="B1851" s="2">
        <v>38826</v>
      </c>
      <c r="C1851" s="61">
        <v>5993.76</v>
      </c>
      <c r="D1851" s="3">
        <f t="shared" si="31"/>
        <v>1.5447482287406666E-2</v>
      </c>
    </row>
    <row r="1852" spans="2:4" x14ac:dyDescent="0.2">
      <c r="B1852" s="2">
        <v>38827</v>
      </c>
      <c r="C1852" s="61">
        <v>6063.28</v>
      </c>
      <c r="D1852" s="3">
        <f t="shared" si="31"/>
        <v>1.1598729345185577E-2</v>
      </c>
    </row>
    <row r="1853" spans="2:4" x14ac:dyDescent="0.2">
      <c r="B1853" s="2">
        <v>38828</v>
      </c>
      <c r="C1853" s="61">
        <v>6094.75</v>
      </c>
      <c r="D1853" s="3">
        <f t="shared" si="31"/>
        <v>5.1902600572628632E-3</v>
      </c>
    </row>
    <row r="1854" spans="2:4" x14ac:dyDescent="0.2">
      <c r="B1854" s="2">
        <v>38831</v>
      </c>
      <c r="C1854" s="61">
        <v>6079.09</v>
      </c>
      <c r="D1854" s="3">
        <f t="shared" si="31"/>
        <v>-2.5694245046966602E-3</v>
      </c>
    </row>
    <row r="1855" spans="2:4" x14ac:dyDescent="0.2">
      <c r="B1855" s="2">
        <v>38832</v>
      </c>
      <c r="C1855" s="61">
        <v>6078.8</v>
      </c>
      <c r="D1855" s="3">
        <f t="shared" si="31"/>
        <v>-4.7704508405077561E-5</v>
      </c>
    </row>
    <row r="1856" spans="2:4" x14ac:dyDescent="0.2">
      <c r="B1856" s="2">
        <v>38833</v>
      </c>
      <c r="C1856" s="61">
        <v>6107.12</v>
      </c>
      <c r="D1856" s="3">
        <f t="shared" si="31"/>
        <v>4.6588142396524201E-3</v>
      </c>
    </row>
    <row r="1857" spans="2:4" x14ac:dyDescent="0.2">
      <c r="B1857" s="2">
        <v>38834</v>
      </c>
      <c r="C1857" s="61">
        <v>6067.74</v>
      </c>
      <c r="D1857" s="3">
        <f t="shared" si="31"/>
        <v>-6.4482112681591985E-3</v>
      </c>
    </row>
    <row r="1858" spans="2:4" x14ac:dyDescent="0.2">
      <c r="B1858" s="2">
        <v>38835</v>
      </c>
      <c r="C1858" s="61">
        <v>6009.89</v>
      </c>
      <c r="D1858" s="3">
        <f t="shared" si="31"/>
        <v>-9.5340274962341098E-3</v>
      </c>
    </row>
    <row r="1859" spans="2:4" x14ac:dyDescent="0.2">
      <c r="B1859" s="2">
        <v>38839</v>
      </c>
      <c r="C1859" s="61">
        <v>6051.29</v>
      </c>
      <c r="D1859" s="3">
        <f t="shared" si="31"/>
        <v>6.8886452164680367E-3</v>
      </c>
    </row>
    <row r="1860" spans="2:4" x14ac:dyDescent="0.2">
      <c r="B1860" s="2">
        <v>38840</v>
      </c>
      <c r="C1860" s="61">
        <v>5968.96</v>
      </c>
      <c r="D1860" s="3">
        <f t="shared" si="31"/>
        <v>-1.360536348448016E-2</v>
      </c>
    </row>
    <row r="1861" spans="2:4" x14ac:dyDescent="0.2">
      <c r="B1861" s="2">
        <v>38841</v>
      </c>
      <c r="C1861" s="61">
        <v>6039.32</v>
      </c>
      <c r="D1861" s="3">
        <f t="shared" ref="D1861:D1924" si="32">C1861/C1860-1</f>
        <v>1.1787648099501391E-2</v>
      </c>
    </row>
    <row r="1862" spans="2:4" x14ac:dyDescent="0.2">
      <c r="B1862" s="2">
        <v>38842</v>
      </c>
      <c r="C1862" s="61">
        <v>6113.29</v>
      </c>
      <c r="D1862" s="3">
        <f t="shared" si="32"/>
        <v>1.224806766324682E-2</v>
      </c>
    </row>
    <row r="1863" spans="2:4" x14ac:dyDescent="0.2">
      <c r="B1863" s="2">
        <v>38845</v>
      </c>
      <c r="C1863" s="61">
        <v>6127.98</v>
      </c>
      <c r="D1863" s="3">
        <f t="shared" si="32"/>
        <v>2.4029614168474822E-3</v>
      </c>
    </row>
    <row r="1864" spans="2:4" x14ac:dyDescent="0.2">
      <c r="B1864" s="2">
        <v>38846</v>
      </c>
      <c r="C1864" s="61">
        <v>6140.72</v>
      </c>
      <c r="D1864" s="3">
        <f t="shared" si="32"/>
        <v>2.0789885084482318E-3</v>
      </c>
    </row>
    <row r="1865" spans="2:4" x14ac:dyDescent="0.2">
      <c r="B1865" s="2">
        <v>38847</v>
      </c>
      <c r="C1865" s="61">
        <v>6118.38</v>
      </c>
      <c r="D1865" s="3">
        <f t="shared" si="32"/>
        <v>-3.6380098750635748E-3</v>
      </c>
    </row>
    <row r="1866" spans="2:4" x14ac:dyDescent="0.2">
      <c r="B1866" s="2">
        <v>38848</v>
      </c>
      <c r="C1866" s="61">
        <v>6054.72</v>
      </c>
      <c r="D1866" s="3">
        <f t="shared" si="32"/>
        <v>-1.0404714973571427E-2</v>
      </c>
    </row>
    <row r="1867" spans="2:4" x14ac:dyDescent="0.2">
      <c r="B1867" s="2">
        <v>38849</v>
      </c>
      <c r="C1867" s="61">
        <v>5916.28</v>
      </c>
      <c r="D1867" s="3">
        <f t="shared" si="32"/>
        <v>-2.2864806299878526E-2</v>
      </c>
    </row>
    <row r="1868" spans="2:4" x14ac:dyDescent="0.2">
      <c r="B1868" s="2">
        <v>38852</v>
      </c>
      <c r="C1868" s="61">
        <v>5857.03</v>
      </c>
      <c r="D1868" s="3">
        <f t="shared" si="32"/>
        <v>-1.0014738991393268E-2</v>
      </c>
    </row>
    <row r="1869" spans="2:4" x14ac:dyDescent="0.2">
      <c r="B1869" s="2">
        <v>38853</v>
      </c>
      <c r="C1869" s="61">
        <v>5851.92</v>
      </c>
      <c r="D1869" s="3">
        <f t="shared" si="32"/>
        <v>-8.724558351245193E-4</v>
      </c>
    </row>
    <row r="1870" spans="2:4" x14ac:dyDescent="0.2">
      <c r="B1870" s="2">
        <v>38854</v>
      </c>
      <c r="C1870" s="61">
        <v>5652.72</v>
      </c>
      <c r="D1870" s="3">
        <f t="shared" si="32"/>
        <v>-3.4040109912644057E-2</v>
      </c>
    </row>
    <row r="1871" spans="2:4" x14ac:dyDescent="0.2">
      <c r="B1871" s="2">
        <v>38855</v>
      </c>
      <c r="C1871" s="61">
        <v>5666.07</v>
      </c>
      <c r="D1871" s="3">
        <f t="shared" si="32"/>
        <v>2.3616949008617993E-3</v>
      </c>
    </row>
    <row r="1872" spans="2:4" x14ac:dyDescent="0.2">
      <c r="B1872" s="2">
        <v>38856</v>
      </c>
      <c r="C1872" s="61">
        <v>5672.28</v>
      </c>
      <c r="D1872" s="3">
        <f t="shared" si="32"/>
        <v>1.0959977550577538E-3</v>
      </c>
    </row>
    <row r="1873" spans="2:4" x14ac:dyDescent="0.2">
      <c r="B1873" s="2">
        <v>38859</v>
      </c>
      <c r="C1873" s="61">
        <v>5546.24</v>
      </c>
      <c r="D1873" s="3">
        <f t="shared" si="32"/>
        <v>-2.2220341732072435E-2</v>
      </c>
    </row>
    <row r="1874" spans="2:4" x14ac:dyDescent="0.2">
      <c r="B1874" s="2">
        <v>38860</v>
      </c>
      <c r="C1874" s="61">
        <v>5678.49</v>
      </c>
      <c r="D1874" s="3">
        <f t="shared" si="32"/>
        <v>2.3844983267943709E-2</v>
      </c>
    </row>
    <row r="1875" spans="2:4" x14ac:dyDescent="0.2">
      <c r="B1875" s="2">
        <v>38861</v>
      </c>
      <c r="C1875" s="61">
        <v>5587.23</v>
      </c>
      <c r="D1875" s="3">
        <f t="shared" si="32"/>
        <v>-1.6071173850794929E-2</v>
      </c>
    </row>
    <row r="1876" spans="2:4" x14ac:dyDescent="0.2">
      <c r="B1876" s="2">
        <v>38862</v>
      </c>
      <c r="C1876" s="61">
        <v>5706.06</v>
      </c>
      <c r="D1876" s="3">
        <f t="shared" si="32"/>
        <v>2.1268141816249031E-2</v>
      </c>
    </row>
    <row r="1877" spans="2:4" x14ac:dyDescent="0.2">
      <c r="B1877" s="2">
        <v>38863</v>
      </c>
      <c r="C1877" s="61">
        <v>5788.36</v>
      </c>
      <c r="D1877" s="3">
        <f t="shared" si="32"/>
        <v>1.4423262286060723E-2</v>
      </c>
    </row>
    <row r="1878" spans="2:4" x14ac:dyDescent="0.2">
      <c r="B1878" s="2">
        <v>38866</v>
      </c>
      <c r="C1878" s="61">
        <v>5755.02</v>
      </c>
      <c r="D1878" s="3">
        <f t="shared" si="32"/>
        <v>-5.7598352555817689E-3</v>
      </c>
    </row>
    <row r="1879" spans="2:4" x14ac:dyDescent="0.2">
      <c r="B1879" s="2">
        <v>38867</v>
      </c>
      <c r="C1879" s="61">
        <v>5622.43</v>
      </c>
      <c r="D1879" s="3">
        <f t="shared" si="32"/>
        <v>-2.303901637179373E-2</v>
      </c>
    </row>
    <row r="1880" spans="2:4" x14ac:dyDescent="0.2">
      <c r="B1880" s="2">
        <v>38868</v>
      </c>
      <c r="C1880" s="61">
        <v>5692.86</v>
      </c>
      <c r="D1880" s="3">
        <f t="shared" si="32"/>
        <v>1.2526612158799466E-2</v>
      </c>
    </row>
    <row r="1881" spans="2:4" x14ac:dyDescent="0.2">
      <c r="B1881" s="2">
        <v>38869</v>
      </c>
      <c r="C1881" s="61">
        <v>5707.59</v>
      </c>
      <c r="D1881" s="3">
        <f t="shared" si="32"/>
        <v>2.5874516499615474E-3</v>
      </c>
    </row>
    <row r="1882" spans="2:4" x14ac:dyDescent="0.2">
      <c r="B1882" s="2">
        <v>38870</v>
      </c>
      <c r="C1882" s="61">
        <v>5687.04</v>
      </c>
      <c r="D1882" s="3">
        <f t="shared" si="32"/>
        <v>-3.6004688493742609E-3</v>
      </c>
    </row>
    <row r="1883" spans="2:4" x14ac:dyDescent="0.2">
      <c r="B1883" s="2">
        <v>38873</v>
      </c>
      <c r="C1883" s="61">
        <v>5621.19</v>
      </c>
      <c r="D1883" s="3">
        <f t="shared" si="32"/>
        <v>-1.1578958474004142E-2</v>
      </c>
    </row>
    <row r="1884" spans="2:4" x14ac:dyDescent="0.2">
      <c r="B1884" s="2">
        <v>38874</v>
      </c>
      <c r="C1884" s="61">
        <v>5502.81</v>
      </c>
      <c r="D1884" s="3">
        <f t="shared" si="32"/>
        <v>-2.1059597700842536E-2</v>
      </c>
    </row>
    <row r="1885" spans="2:4" x14ac:dyDescent="0.2">
      <c r="B1885" s="2">
        <v>38875</v>
      </c>
      <c r="C1885" s="61">
        <v>5543.93</v>
      </c>
      <c r="D1885" s="3">
        <f t="shared" si="32"/>
        <v>7.4725458447593152E-3</v>
      </c>
    </row>
    <row r="1886" spans="2:4" x14ac:dyDescent="0.2">
      <c r="B1886" s="2">
        <v>38876</v>
      </c>
      <c r="C1886" s="61">
        <v>5383.28</v>
      </c>
      <c r="D1886" s="3">
        <f t="shared" si="32"/>
        <v>-2.8977638606548117E-2</v>
      </c>
    </row>
    <row r="1887" spans="2:4" x14ac:dyDescent="0.2">
      <c r="B1887" s="2">
        <v>38877</v>
      </c>
      <c r="C1887" s="61">
        <v>5464.08</v>
      </c>
      <c r="D1887" s="3">
        <f t="shared" si="32"/>
        <v>1.500943662599763E-2</v>
      </c>
    </row>
    <row r="1888" spans="2:4" x14ac:dyDescent="0.2">
      <c r="B1888" s="2">
        <v>38880</v>
      </c>
      <c r="C1888" s="61">
        <v>5395.55</v>
      </c>
      <c r="D1888" s="3">
        <f t="shared" si="32"/>
        <v>-1.2541910074522988E-2</v>
      </c>
    </row>
    <row r="1889" spans="2:4" x14ac:dyDescent="0.2">
      <c r="B1889" s="2">
        <v>38881</v>
      </c>
      <c r="C1889" s="61">
        <v>5292.14</v>
      </c>
      <c r="D1889" s="3">
        <f t="shared" si="32"/>
        <v>-1.916579403397245E-2</v>
      </c>
    </row>
    <row r="1890" spans="2:4" x14ac:dyDescent="0.2">
      <c r="B1890" s="2">
        <v>38882</v>
      </c>
      <c r="C1890" s="61">
        <v>5305.99</v>
      </c>
      <c r="D1890" s="3">
        <f t="shared" si="32"/>
        <v>2.6170887391490094E-3</v>
      </c>
    </row>
    <row r="1891" spans="2:4" x14ac:dyDescent="0.2">
      <c r="B1891" s="2">
        <v>38883</v>
      </c>
      <c r="C1891" s="61">
        <v>5422.22</v>
      </c>
      <c r="D1891" s="3">
        <f t="shared" si="32"/>
        <v>2.1905431408653309E-2</v>
      </c>
    </row>
    <row r="1892" spans="2:4" x14ac:dyDescent="0.2">
      <c r="B1892" s="2">
        <v>38884</v>
      </c>
      <c r="C1892" s="61">
        <v>5376.01</v>
      </c>
      <c r="D1892" s="3">
        <f t="shared" si="32"/>
        <v>-8.5223395583359229E-3</v>
      </c>
    </row>
    <row r="1893" spans="2:4" x14ac:dyDescent="0.2">
      <c r="B1893" s="2">
        <v>38887</v>
      </c>
      <c r="C1893" s="61">
        <v>5439.23</v>
      </c>
      <c r="D1893" s="3">
        <f t="shared" si="32"/>
        <v>1.1759650744697092E-2</v>
      </c>
    </row>
    <row r="1894" spans="2:4" x14ac:dyDescent="0.2">
      <c r="B1894" s="2">
        <v>38888</v>
      </c>
      <c r="C1894" s="61">
        <v>5493.61</v>
      </c>
      <c r="D1894" s="3">
        <f t="shared" si="32"/>
        <v>9.9977386505074595E-3</v>
      </c>
    </row>
    <row r="1895" spans="2:4" x14ac:dyDescent="0.2">
      <c r="B1895" s="2">
        <v>38889</v>
      </c>
      <c r="C1895" s="61">
        <v>5503.41</v>
      </c>
      <c r="D1895" s="3">
        <f t="shared" si="32"/>
        <v>1.7838907385125946E-3</v>
      </c>
    </row>
    <row r="1896" spans="2:4" x14ac:dyDescent="0.2">
      <c r="B1896" s="2">
        <v>38890</v>
      </c>
      <c r="C1896" s="61">
        <v>5533.42</v>
      </c>
      <c r="D1896" s="3">
        <f t="shared" si="32"/>
        <v>5.452982787035765E-3</v>
      </c>
    </row>
    <row r="1897" spans="2:4" x14ac:dyDescent="0.2">
      <c r="B1897" s="2">
        <v>38891</v>
      </c>
      <c r="C1897" s="61">
        <v>5529.74</v>
      </c>
      <c r="D1897" s="3">
        <f t="shared" si="32"/>
        <v>-6.6504982452086914E-4</v>
      </c>
    </row>
    <row r="1898" spans="2:4" x14ac:dyDescent="0.2">
      <c r="B1898" s="2">
        <v>38894</v>
      </c>
      <c r="C1898" s="61">
        <v>5514.63</v>
      </c>
      <c r="D1898" s="3">
        <f t="shared" si="32"/>
        <v>-2.7324973687731235E-3</v>
      </c>
    </row>
    <row r="1899" spans="2:4" x14ac:dyDescent="0.2">
      <c r="B1899" s="2">
        <v>38895</v>
      </c>
      <c r="C1899" s="61">
        <v>5459.15</v>
      </c>
      <c r="D1899" s="3">
        <f t="shared" si="32"/>
        <v>-1.0060511765975333E-2</v>
      </c>
    </row>
    <row r="1900" spans="2:4" x14ac:dyDescent="0.2">
      <c r="B1900" s="2">
        <v>38896</v>
      </c>
      <c r="C1900" s="61">
        <v>5456.87</v>
      </c>
      <c r="D1900" s="3">
        <f t="shared" si="32"/>
        <v>-4.1764743595607001E-4</v>
      </c>
    </row>
    <row r="1901" spans="2:4" x14ac:dyDescent="0.2">
      <c r="B1901" s="2">
        <v>38897</v>
      </c>
      <c r="C1901" s="61">
        <v>5581.67</v>
      </c>
      <c r="D1901" s="3">
        <f t="shared" si="32"/>
        <v>2.2870253460317125E-2</v>
      </c>
    </row>
    <row r="1902" spans="2:4" x14ac:dyDescent="0.2">
      <c r="B1902" s="2">
        <v>38898</v>
      </c>
      <c r="C1902" s="61">
        <v>5683.31</v>
      </c>
      <c r="D1902" s="3">
        <f t="shared" si="32"/>
        <v>1.8209603935739782E-2</v>
      </c>
    </row>
    <row r="1903" spans="2:4" x14ac:dyDescent="0.2">
      <c r="B1903" s="2">
        <v>38901</v>
      </c>
      <c r="C1903" s="61">
        <v>5712.69</v>
      </c>
      <c r="D1903" s="3">
        <f t="shared" si="32"/>
        <v>5.1695226901222746E-3</v>
      </c>
    </row>
    <row r="1904" spans="2:4" x14ac:dyDescent="0.2">
      <c r="B1904" s="2">
        <v>38902</v>
      </c>
      <c r="C1904" s="61">
        <v>5729.01</v>
      </c>
      <c r="D1904" s="3">
        <f t="shared" si="32"/>
        <v>2.856797760774743E-3</v>
      </c>
    </row>
    <row r="1905" spans="2:4" x14ac:dyDescent="0.2">
      <c r="B1905" s="2">
        <v>38903</v>
      </c>
      <c r="C1905" s="61">
        <v>5625.63</v>
      </c>
      <c r="D1905" s="3">
        <f t="shared" si="32"/>
        <v>-1.8045002539705868E-2</v>
      </c>
    </row>
    <row r="1906" spans="2:4" x14ac:dyDescent="0.2">
      <c r="B1906" s="2">
        <v>38904</v>
      </c>
      <c r="C1906" s="61">
        <v>5695.47</v>
      </c>
      <c r="D1906" s="3">
        <f t="shared" si="32"/>
        <v>1.2414609563728973E-2</v>
      </c>
    </row>
    <row r="1907" spans="2:4" x14ac:dyDescent="0.2">
      <c r="B1907" s="2">
        <v>38905</v>
      </c>
      <c r="C1907" s="61">
        <v>5681.85</v>
      </c>
      <c r="D1907" s="3">
        <f t="shared" si="32"/>
        <v>-2.3913741973884406E-3</v>
      </c>
    </row>
    <row r="1908" spans="2:4" x14ac:dyDescent="0.2">
      <c r="B1908" s="2">
        <v>38908</v>
      </c>
      <c r="C1908" s="61">
        <v>5706.32</v>
      </c>
      <c r="D1908" s="3">
        <f t="shared" si="32"/>
        <v>4.3066958825028756E-3</v>
      </c>
    </row>
    <row r="1909" spans="2:4" x14ac:dyDescent="0.2">
      <c r="B1909" s="2">
        <v>38909</v>
      </c>
      <c r="C1909" s="61">
        <v>5616.04</v>
      </c>
      <c r="D1909" s="3">
        <f t="shared" si="32"/>
        <v>-1.5821054550042679E-2</v>
      </c>
    </row>
    <row r="1910" spans="2:4" x14ac:dyDescent="0.2">
      <c r="B1910" s="2">
        <v>38910</v>
      </c>
      <c r="C1910" s="61">
        <v>5637.82</v>
      </c>
      <c r="D1910" s="3">
        <f t="shared" si="32"/>
        <v>3.8781775058582824E-3</v>
      </c>
    </row>
    <row r="1911" spans="2:4" x14ac:dyDescent="0.2">
      <c r="B1911" s="2">
        <v>38911</v>
      </c>
      <c r="C1911" s="61">
        <v>5527.29</v>
      </c>
      <c r="D1911" s="3">
        <f t="shared" si="32"/>
        <v>-1.9605095586591959E-2</v>
      </c>
    </row>
    <row r="1912" spans="2:4" x14ac:dyDescent="0.2">
      <c r="B1912" s="2">
        <v>38912</v>
      </c>
      <c r="C1912" s="61">
        <v>5422.22</v>
      </c>
      <c r="D1912" s="3">
        <f t="shared" si="32"/>
        <v>-1.9009315595888698E-2</v>
      </c>
    </row>
    <row r="1913" spans="2:4" x14ac:dyDescent="0.2">
      <c r="B1913" s="2">
        <v>38915</v>
      </c>
      <c r="C1913" s="61">
        <v>5416.96</v>
      </c>
      <c r="D1913" s="3">
        <f t="shared" si="32"/>
        <v>-9.7008236478790533E-4</v>
      </c>
    </row>
    <row r="1914" spans="2:4" x14ac:dyDescent="0.2">
      <c r="B1914" s="2">
        <v>38916</v>
      </c>
      <c r="C1914" s="61">
        <v>5396.85</v>
      </c>
      <c r="D1914" s="3">
        <f t="shared" si="32"/>
        <v>-3.7124143431001011E-3</v>
      </c>
    </row>
    <row r="1915" spans="2:4" x14ac:dyDescent="0.2">
      <c r="B1915" s="2">
        <v>38917</v>
      </c>
      <c r="C1915" s="61">
        <v>5539.29</v>
      </c>
      <c r="D1915" s="3">
        <f t="shared" si="32"/>
        <v>2.6393173795825176E-2</v>
      </c>
    </row>
    <row r="1916" spans="2:4" x14ac:dyDescent="0.2">
      <c r="B1916" s="2">
        <v>38918</v>
      </c>
      <c r="C1916" s="61">
        <v>5545.82</v>
      </c>
      <c r="D1916" s="3">
        <f t="shared" si="32"/>
        <v>1.1788514412496287E-3</v>
      </c>
    </row>
    <row r="1917" spans="2:4" x14ac:dyDescent="0.2">
      <c r="B1917" s="2">
        <v>38919</v>
      </c>
      <c r="C1917" s="61">
        <v>5451.01</v>
      </c>
      <c r="D1917" s="3">
        <f t="shared" si="32"/>
        <v>-1.7095758607383438E-2</v>
      </c>
    </row>
    <row r="1918" spans="2:4" x14ac:dyDescent="0.2">
      <c r="B1918" s="2">
        <v>38922</v>
      </c>
      <c r="C1918" s="61">
        <v>5578.05</v>
      </c>
      <c r="D1918" s="3">
        <f t="shared" si="32"/>
        <v>2.3305772691666338E-2</v>
      </c>
    </row>
    <row r="1919" spans="2:4" x14ac:dyDescent="0.2">
      <c r="B1919" s="2">
        <v>38923</v>
      </c>
      <c r="C1919" s="61">
        <v>5565.76</v>
      </c>
      <c r="D1919" s="3">
        <f t="shared" si="32"/>
        <v>-2.2032789236381412E-3</v>
      </c>
    </row>
    <row r="1920" spans="2:4" x14ac:dyDescent="0.2">
      <c r="B1920" s="2">
        <v>38924</v>
      </c>
      <c r="C1920" s="61">
        <v>5583.1</v>
      </c>
      <c r="D1920" s="3">
        <f t="shared" si="32"/>
        <v>3.1154774909447625E-3</v>
      </c>
    </row>
    <row r="1921" spans="2:4" x14ac:dyDescent="0.2">
      <c r="B1921" s="2">
        <v>38925</v>
      </c>
      <c r="C1921" s="61">
        <v>5659.07</v>
      </c>
      <c r="D1921" s="3">
        <f t="shared" si="32"/>
        <v>1.3607135820601357E-2</v>
      </c>
    </row>
    <row r="1922" spans="2:4" x14ac:dyDescent="0.2">
      <c r="B1922" s="2">
        <v>38926</v>
      </c>
      <c r="C1922" s="61">
        <v>5705.42</v>
      </c>
      <c r="D1922" s="3">
        <f t="shared" si="32"/>
        <v>8.1903917074714894E-3</v>
      </c>
    </row>
    <row r="1923" spans="2:4" x14ac:dyDescent="0.2">
      <c r="B1923" s="2">
        <v>38929</v>
      </c>
      <c r="C1923" s="61">
        <v>5681.97</v>
      </c>
      <c r="D1923" s="3">
        <f t="shared" si="32"/>
        <v>-4.1101268618261022E-3</v>
      </c>
    </row>
    <row r="1924" spans="2:4" x14ac:dyDescent="0.2">
      <c r="B1924" s="2">
        <v>38930</v>
      </c>
      <c r="C1924" s="61">
        <v>5596.74</v>
      </c>
      <c r="D1924" s="3">
        <f t="shared" si="32"/>
        <v>-1.5000079197883931E-2</v>
      </c>
    </row>
    <row r="1925" spans="2:4" x14ac:dyDescent="0.2">
      <c r="B1925" s="2">
        <v>38931</v>
      </c>
      <c r="C1925" s="61">
        <v>5680.82</v>
      </c>
      <c r="D1925" s="3">
        <f t="shared" ref="D1925:D1988" si="33">C1925/C1924-1</f>
        <v>1.5023031264629116E-2</v>
      </c>
    </row>
    <row r="1926" spans="2:4" x14ac:dyDescent="0.2">
      <c r="B1926" s="2">
        <v>38932</v>
      </c>
      <c r="C1926" s="61">
        <v>5640.03</v>
      </c>
      <c r="D1926" s="3">
        <f t="shared" si="33"/>
        <v>-7.1803014353561956E-3</v>
      </c>
    </row>
    <row r="1927" spans="2:4" x14ac:dyDescent="0.2">
      <c r="B1927" s="2">
        <v>38933</v>
      </c>
      <c r="C1927" s="61">
        <v>5723.03</v>
      </c>
      <c r="D1927" s="3">
        <f t="shared" si="33"/>
        <v>1.4716233778898413E-2</v>
      </c>
    </row>
    <row r="1928" spans="2:4" x14ac:dyDescent="0.2">
      <c r="B1928" s="2">
        <v>38936</v>
      </c>
      <c r="C1928" s="61">
        <v>5626.67</v>
      </c>
      <c r="D1928" s="3">
        <f t="shared" si="33"/>
        <v>-1.6837234821414526E-2</v>
      </c>
    </row>
    <row r="1929" spans="2:4" x14ac:dyDescent="0.2">
      <c r="B1929" s="2">
        <v>38937</v>
      </c>
      <c r="C1929" s="61">
        <v>5651.92</v>
      </c>
      <c r="D1929" s="3">
        <f t="shared" si="33"/>
        <v>4.4875565832009912E-3</v>
      </c>
    </row>
    <row r="1930" spans="2:4" x14ac:dyDescent="0.2">
      <c r="B1930" s="2">
        <v>38938</v>
      </c>
      <c r="C1930" s="61">
        <v>5702.81</v>
      </c>
      <c r="D1930" s="3">
        <f t="shared" si="33"/>
        <v>9.0040198728928988E-3</v>
      </c>
    </row>
    <row r="1931" spans="2:4" x14ac:dyDescent="0.2">
      <c r="B1931" s="2">
        <v>38939</v>
      </c>
      <c r="C1931" s="61">
        <v>5630.96</v>
      </c>
      <c r="D1931" s="3">
        <f t="shared" si="33"/>
        <v>-1.2599052046271986E-2</v>
      </c>
    </row>
    <row r="1932" spans="2:4" x14ac:dyDescent="0.2">
      <c r="B1932" s="2">
        <v>38940</v>
      </c>
      <c r="C1932" s="61">
        <v>5628.37</v>
      </c>
      <c r="D1932" s="3">
        <f t="shared" si="33"/>
        <v>-4.5995709434987209E-4</v>
      </c>
    </row>
    <row r="1933" spans="2:4" x14ac:dyDescent="0.2">
      <c r="B1933" s="2">
        <v>38943</v>
      </c>
      <c r="C1933" s="61">
        <v>5692</v>
      </c>
      <c r="D1933" s="3">
        <f t="shared" si="33"/>
        <v>1.1305226912942778E-2</v>
      </c>
    </row>
    <row r="1934" spans="2:4" x14ac:dyDescent="0.2">
      <c r="B1934" s="2">
        <v>38944</v>
      </c>
      <c r="C1934" s="61">
        <v>5776.8</v>
      </c>
      <c r="D1934" s="3">
        <f t="shared" si="33"/>
        <v>1.4898102600140684E-2</v>
      </c>
    </row>
    <row r="1935" spans="2:4" x14ac:dyDescent="0.2">
      <c r="B1935" s="2">
        <v>38945</v>
      </c>
      <c r="C1935" s="61">
        <v>5812.94</v>
      </c>
      <c r="D1935" s="3">
        <f t="shared" si="33"/>
        <v>6.2560587176290205E-3</v>
      </c>
    </row>
    <row r="1936" spans="2:4" x14ac:dyDescent="0.2">
      <c r="B1936" s="2">
        <v>38946</v>
      </c>
      <c r="C1936" s="61">
        <v>5833.51</v>
      </c>
      <c r="D1936" s="3">
        <f t="shared" si="33"/>
        <v>3.5386568586637246E-3</v>
      </c>
    </row>
    <row r="1937" spans="2:4" x14ac:dyDescent="0.2">
      <c r="B1937" s="2">
        <v>38947</v>
      </c>
      <c r="C1937" s="61">
        <v>5817.02</v>
      </c>
      <c r="D1937" s="3">
        <f t="shared" si="33"/>
        <v>-2.8267715320621223E-3</v>
      </c>
    </row>
    <row r="1938" spans="2:4" x14ac:dyDescent="0.2">
      <c r="B1938" s="2">
        <v>38950</v>
      </c>
      <c r="C1938" s="61">
        <v>5794.83</v>
      </c>
      <c r="D1938" s="3">
        <f t="shared" si="33"/>
        <v>-3.814667991514642E-3</v>
      </c>
    </row>
    <row r="1939" spans="2:4" x14ac:dyDescent="0.2">
      <c r="B1939" s="2">
        <v>38951</v>
      </c>
      <c r="C1939" s="61">
        <v>5818.41</v>
      </c>
      <c r="D1939" s="3">
        <f t="shared" si="33"/>
        <v>4.0691443925016113E-3</v>
      </c>
    </row>
    <row r="1940" spans="2:4" x14ac:dyDescent="0.2">
      <c r="B1940" s="2">
        <v>38952</v>
      </c>
      <c r="C1940" s="61">
        <v>5775.54</v>
      </c>
      <c r="D1940" s="3">
        <f t="shared" si="33"/>
        <v>-7.3679922865524938E-3</v>
      </c>
    </row>
    <row r="1941" spans="2:4" x14ac:dyDescent="0.2">
      <c r="B1941" s="2">
        <v>38953</v>
      </c>
      <c r="C1941" s="61">
        <v>5814.08</v>
      </c>
      <c r="D1941" s="3">
        <f t="shared" si="33"/>
        <v>6.6729691076505837E-3</v>
      </c>
    </row>
    <row r="1942" spans="2:4" x14ac:dyDescent="0.2">
      <c r="B1942" s="2">
        <v>38954</v>
      </c>
      <c r="C1942" s="61">
        <v>5811.47</v>
      </c>
      <c r="D1942" s="3">
        <f t="shared" si="33"/>
        <v>-4.4891023171333977E-4</v>
      </c>
    </row>
    <row r="1943" spans="2:4" x14ac:dyDescent="0.2">
      <c r="B1943" s="2">
        <v>38957</v>
      </c>
      <c r="C1943" s="61">
        <v>5854.99</v>
      </c>
      <c r="D1943" s="3">
        <f t="shared" si="33"/>
        <v>7.4886388469697085E-3</v>
      </c>
    </row>
    <row r="1944" spans="2:4" x14ac:dyDescent="0.2">
      <c r="B1944" s="2">
        <v>38958</v>
      </c>
      <c r="C1944" s="61">
        <v>5847.02</v>
      </c>
      <c r="D1944" s="3">
        <f t="shared" si="33"/>
        <v>-1.3612320430947955E-3</v>
      </c>
    </row>
    <row r="1945" spans="2:4" x14ac:dyDescent="0.2">
      <c r="B1945" s="2">
        <v>38959</v>
      </c>
      <c r="C1945" s="61">
        <v>5867.53</v>
      </c>
      <c r="D1945" s="3">
        <f t="shared" si="33"/>
        <v>3.507769769899749E-3</v>
      </c>
    </row>
    <row r="1946" spans="2:4" x14ac:dyDescent="0.2">
      <c r="B1946" s="2">
        <v>38960</v>
      </c>
      <c r="C1946" s="61">
        <v>5859.57</v>
      </c>
      <c r="D1946" s="3">
        <f t="shared" si="33"/>
        <v>-1.3566185430666788E-3</v>
      </c>
    </row>
    <row r="1947" spans="2:4" x14ac:dyDescent="0.2">
      <c r="B1947" s="2">
        <v>38961</v>
      </c>
      <c r="C1947" s="61">
        <v>5876.54</v>
      </c>
      <c r="D1947" s="3">
        <f t="shared" si="33"/>
        <v>2.896116950561245E-3</v>
      </c>
    </row>
    <row r="1948" spans="2:4" x14ac:dyDescent="0.2">
      <c r="B1948" s="2">
        <v>38964</v>
      </c>
      <c r="C1948" s="61">
        <v>5909.72</v>
      </c>
      <c r="D1948" s="3">
        <f t="shared" si="33"/>
        <v>5.6461795546358662E-3</v>
      </c>
    </row>
    <row r="1949" spans="2:4" x14ac:dyDescent="0.2">
      <c r="B1949" s="2">
        <v>38965</v>
      </c>
      <c r="C1949" s="61">
        <v>5884.07</v>
      </c>
      <c r="D1949" s="3">
        <f t="shared" si="33"/>
        <v>-4.340307154992229E-3</v>
      </c>
    </row>
    <row r="1950" spans="2:4" x14ac:dyDescent="0.2">
      <c r="B1950" s="2">
        <v>38966</v>
      </c>
      <c r="C1950" s="61">
        <v>5813.06</v>
      </c>
      <c r="D1950" s="3">
        <f t="shared" si="33"/>
        <v>-1.2068177299046301E-2</v>
      </c>
    </row>
    <row r="1951" spans="2:4" x14ac:dyDescent="0.2">
      <c r="B1951" s="2">
        <v>38967</v>
      </c>
      <c r="C1951" s="61">
        <v>5773.72</v>
      </c>
      <c r="D1951" s="3">
        <f t="shared" si="33"/>
        <v>-6.7675200324786022E-3</v>
      </c>
    </row>
    <row r="1952" spans="2:4" x14ac:dyDescent="0.2">
      <c r="B1952" s="2">
        <v>38968</v>
      </c>
      <c r="C1952" s="61">
        <v>5795.26</v>
      </c>
      <c r="D1952" s="3">
        <f t="shared" si="33"/>
        <v>3.7306970202919398E-3</v>
      </c>
    </row>
    <row r="1953" spans="2:4" x14ac:dyDescent="0.2">
      <c r="B1953" s="2">
        <v>38971</v>
      </c>
      <c r="C1953" s="61">
        <v>5798.46</v>
      </c>
      <c r="D1953" s="3">
        <f t="shared" si="33"/>
        <v>5.5217539851537545E-4</v>
      </c>
    </row>
    <row r="1954" spans="2:4" x14ac:dyDescent="0.2">
      <c r="B1954" s="2">
        <v>38972</v>
      </c>
      <c r="C1954" s="61">
        <v>5873.85</v>
      </c>
      <c r="D1954" s="3">
        <f t="shared" si="33"/>
        <v>1.3001728045032745E-2</v>
      </c>
    </row>
    <row r="1955" spans="2:4" x14ac:dyDescent="0.2">
      <c r="B1955" s="2">
        <v>38973</v>
      </c>
      <c r="C1955" s="61">
        <v>5906.12</v>
      </c>
      <c r="D1955" s="3">
        <f t="shared" si="33"/>
        <v>5.4938413476679493E-3</v>
      </c>
    </row>
    <row r="1956" spans="2:4" x14ac:dyDescent="0.2">
      <c r="B1956" s="2">
        <v>38974</v>
      </c>
      <c r="C1956" s="61">
        <v>5907.37</v>
      </c>
      <c r="D1956" s="3">
        <f t="shared" si="33"/>
        <v>2.1164487006708477E-4</v>
      </c>
    </row>
    <row r="1957" spans="2:4" x14ac:dyDescent="0.2">
      <c r="B1957" s="2">
        <v>38975</v>
      </c>
      <c r="C1957" s="61">
        <v>5937.87</v>
      </c>
      <c r="D1957" s="3">
        <f t="shared" si="33"/>
        <v>5.1630420982602399E-3</v>
      </c>
    </row>
    <row r="1958" spans="2:4" x14ac:dyDescent="0.2">
      <c r="B1958" s="2">
        <v>38978</v>
      </c>
      <c r="C1958" s="61">
        <v>5926.33</v>
      </c>
      <c r="D1958" s="3">
        <f t="shared" si="33"/>
        <v>-1.9434578392588664E-3</v>
      </c>
    </row>
    <row r="1959" spans="2:4" x14ac:dyDescent="0.2">
      <c r="B1959" s="2">
        <v>38979</v>
      </c>
      <c r="C1959" s="61">
        <v>5873.46</v>
      </c>
      <c r="D1959" s="3">
        <f t="shared" si="33"/>
        <v>-8.921204185389553E-3</v>
      </c>
    </row>
    <row r="1960" spans="2:4" x14ac:dyDescent="0.2">
      <c r="B1960" s="2">
        <v>38980</v>
      </c>
      <c r="C1960" s="61">
        <v>5954.38</v>
      </c>
      <c r="D1960" s="3">
        <f t="shared" si="33"/>
        <v>1.3777228413916154E-2</v>
      </c>
    </row>
    <row r="1961" spans="2:4" x14ac:dyDescent="0.2">
      <c r="B1961" s="2">
        <v>38981</v>
      </c>
      <c r="C1961" s="61">
        <v>5962.03</v>
      </c>
      <c r="D1961" s="3">
        <f t="shared" si="33"/>
        <v>1.2847685233390305E-3</v>
      </c>
    </row>
    <row r="1962" spans="2:4" x14ac:dyDescent="0.2">
      <c r="B1962" s="2">
        <v>38982</v>
      </c>
      <c r="C1962" s="61">
        <v>5883.32</v>
      </c>
      <c r="D1962" s="3">
        <f t="shared" si="33"/>
        <v>-1.3201879225699931E-2</v>
      </c>
    </row>
    <row r="1963" spans="2:4" x14ac:dyDescent="0.2">
      <c r="B1963" s="2">
        <v>38985</v>
      </c>
      <c r="C1963" s="61">
        <v>5901.66</v>
      </c>
      <c r="D1963" s="3">
        <f t="shared" si="33"/>
        <v>3.1172875179321657E-3</v>
      </c>
    </row>
    <row r="1964" spans="2:4" x14ac:dyDescent="0.2">
      <c r="B1964" s="2">
        <v>38986</v>
      </c>
      <c r="C1964" s="61">
        <v>5960.63</v>
      </c>
      <c r="D1964" s="3">
        <f t="shared" si="33"/>
        <v>9.9921039165251635E-3</v>
      </c>
    </row>
    <row r="1965" spans="2:4" x14ac:dyDescent="0.2">
      <c r="B1965" s="2">
        <v>38987</v>
      </c>
      <c r="C1965" s="61">
        <v>5989.71</v>
      </c>
      <c r="D1965" s="3">
        <f t="shared" si="33"/>
        <v>4.8786789315893309E-3</v>
      </c>
    </row>
    <row r="1966" spans="2:4" x14ac:dyDescent="0.2">
      <c r="B1966" s="2">
        <v>38988</v>
      </c>
      <c r="C1966" s="61">
        <v>5989.16</v>
      </c>
      <c r="D1966" s="3">
        <f t="shared" si="33"/>
        <v>-9.1824145075469765E-5</v>
      </c>
    </row>
    <row r="1967" spans="2:4" x14ac:dyDescent="0.2">
      <c r="B1967" s="2">
        <v>38989</v>
      </c>
      <c r="C1967" s="61">
        <v>6004.33</v>
      </c>
      <c r="D1967" s="3">
        <f t="shared" si="33"/>
        <v>2.5329094564179311E-3</v>
      </c>
    </row>
    <row r="1968" spans="2:4" x14ac:dyDescent="0.2">
      <c r="B1968" s="2">
        <v>38992</v>
      </c>
      <c r="C1968" s="61">
        <v>5999.46</v>
      </c>
      <c r="D1968" s="3">
        <f t="shared" si="33"/>
        <v>-8.110813363022551E-4</v>
      </c>
    </row>
    <row r="1969" spans="2:4" x14ac:dyDescent="0.2">
      <c r="B1969" s="2">
        <v>38993</v>
      </c>
      <c r="C1969" s="61">
        <v>5992.22</v>
      </c>
      <c r="D1969" s="3">
        <f t="shared" si="33"/>
        <v>-1.2067752764415296E-3</v>
      </c>
    </row>
    <row r="1970" spans="2:4" x14ac:dyDescent="0.2">
      <c r="B1970" s="2">
        <v>38994</v>
      </c>
      <c r="C1970" s="61">
        <v>6046.37</v>
      </c>
      <c r="D1970" s="3">
        <f t="shared" si="33"/>
        <v>9.0367176105015101E-3</v>
      </c>
    </row>
    <row r="1971" spans="2:4" x14ac:dyDescent="0.2">
      <c r="B1971" s="2">
        <v>38995</v>
      </c>
      <c r="C1971" s="61">
        <v>6075.28</v>
      </c>
      <c r="D1971" s="3">
        <f t="shared" si="33"/>
        <v>4.7813812254293708E-3</v>
      </c>
    </row>
    <row r="1972" spans="2:4" x14ac:dyDescent="0.2">
      <c r="B1972" s="2">
        <v>38996</v>
      </c>
      <c r="C1972" s="61">
        <v>6085.82</v>
      </c>
      <c r="D1972" s="3">
        <f t="shared" si="33"/>
        <v>1.734899461423911E-3</v>
      </c>
    </row>
    <row r="1973" spans="2:4" x14ac:dyDescent="0.2">
      <c r="B1973" s="2">
        <v>38999</v>
      </c>
      <c r="C1973" s="61">
        <v>6084.4</v>
      </c>
      <c r="D1973" s="3">
        <f t="shared" si="33"/>
        <v>-2.3332928019559329E-4</v>
      </c>
    </row>
    <row r="1974" spans="2:4" x14ac:dyDescent="0.2">
      <c r="B1974" s="2">
        <v>39000</v>
      </c>
      <c r="C1974" s="61">
        <v>6117.71</v>
      </c>
      <c r="D1974" s="3">
        <f t="shared" si="33"/>
        <v>5.4746564985865831E-3</v>
      </c>
    </row>
    <row r="1975" spans="2:4" x14ac:dyDescent="0.2">
      <c r="B1975" s="2">
        <v>39001</v>
      </c>
      <c r="C1975" s="61">
        <v>6119.45</v>
      </c>
      <c r="D1975" s="3">
        <f t="shared" si="33"/>
        <v>2.8442015067731141E-4</v>
      </c>
    </row>
    <row r="1976" spans="2:4" x14ac:dyDescent="0.2">
      <c r="B1976" s="2">
        <v>39002</v>
      </c>
      <c r="C1976" s="61">
        <v>6160.28</v>
      </c>
      <c r="D1976" s="3">
        <f t="shared" si="33"/>
        <v>6.6721682504147228E-3</v>
      </c>
    </row>
    <row r="1977" spans="2:4" x14ac:dyDescent="0.2">
      <c r="B1977" s="2">
        <v>39003</v>
      </c>
      <c r="C1977" s="61">
        <v>6173.68</v>
      </c>
      <c r="D1977" s="3">
        <f t="shared" si="33"/>
        <v>2.1752258014247072E-3</v>
      </c>
    </row>
    <row r="1978" spans="2:4" x14ac:dyDescent="0.2">
      <c r="B1978" s="2">
        <v>39006</v>
      </c>
      <c r="C1978" s="61">
        <v>6186.54</v>
      </c>
      <c r="D1978" s="3">
        <f t="shared" si="33"/>
        <v>2.0830363737673885E-3</v>
      </c>
    </row>
    <row r="1979" spans="2:4" x14ac:dyDescent="0.2">
      <c r="B1979" s="2">
        <v>39007</v>
      </c>
      <c r="C1979" s="61">
        <v>6115.1</v>
      </c>
      <c r="D1979" s="3">
        <f t="shared" si="33"/>
        <v>-1.1547650221286787E-2</v>
      </c>
    </row>
    <row r="1980" spans="2:4" x14ac:dyDescent="0.2">
      <c r="B1980" s="2">
        <v>39008</v>
      </c>
      <c r="C1980" s="61">
        <v>6182.78</v>
      </c>
      <c r="D1980" s="3">
        <f t="shared" si="33"/>
        <v>1.1067684911121534E-2</v>
      </c>
    </row>
    <row r="1981" spans="2:4" x14ac:dyDescent="0.2">
      <c r="B1981" s="2">
        <v>39009</v>
      </c>
      <c r="C1981" s="61">
        <v>6177.42</v>
      </c>
      <c r="D1981" s="3">
        <f t="shared" si="33"/>
        <v>-8.6692394036336218E-4</v>
      </c>
    </row>
    <row r="1982" spans="2:4" x14ac:dyDescent="0.2">
      <c r="B1982" s="2">
        <v>39010</v>
      </c>
      <c r="C1982" s="61">
        <v>6202.82</v>
      </c>
      <c r="D1982" s="3">
        <f t="shared" si="33"/>
        <v>4.111748917833058E-3</v>
      </c>
    </row>
    <row r="1983" spans="2:4" x14ac:dyDescent="0.2">
      <c r="B1983" s="2">
        <v>39013</v>
      </c>
      <c r="C1983" s="61">
        <v>6242.91</v>
      </c>
      <c r="D1983" s="3">
        <f t="shared" si="33"/>
        <v>6.4631893235658211E-3</v>
      </c>
    </row>
    <row r="1984" spans="2:4" x14ac:dyDescent="0.2">
      <c r="B1984" s="2">
        <v>39014</v>
      </c>
      <c r="C1984" s="61">
        <v>6247.52</v>
      </c>
      <c r="D1984" s="3">
        <f t="shared" si="33"/>
        <v>7.3843768370851492E-4</v>
      </c>
    </row>
    <row r="1985" spans="2:4" x14ac:dyDescent="0.2">
      <c r="B1985" s="2">
        <v>39015</v>
      </c>
      <c r="C1985" s="61">
        <v>6264.92</v>
      </c>
      <c r="D1985" s="3">
        <f t="shared" si="33"/>
        <v>2.785105129715415E-3</v>
      </c>
    </row>
    <row r="1986" spans="2:4" x14ac:dyDescent="0.2">
      <c r="B1986" s="2">
        <v>39016</v>
      </c>
      <c r="C1986" s="61">
        <v>6284.19</v>
      </c>
      <c r="D1986" s="3">
        <f t="shared" si="33"/>
        <v>3.0758573134213041E-3</v>
      </c>
    </row>
    <row r="1987" spans="2:4" x14ac:dyDescent="0.2">
      <c r="B1987" s="2">
        <v>39017</v>
      </c>
      <c r="C1987" s="61">
        <v>6262.54</v>
      </c>
      <c r="D1987" s="3">
        <f t="shared" si="33"/>
        <v>-3.4451536315738274E-3</v>
      </c>
    </row>
    <row r="1988" spans="2:4" x14ac:dyDescent="0.2">
      <c r="B1988" s="2">
        <v>39020</v>
      </c>
      <c r="C1988" s="61">
        <v>6258.19</v>
      </c>
      <c r="D1988" s="3">
        <f t="shared" si="33"/>
        <v>-6.9460634183582393E-4</v>
      </c>
    </row>
    <row r="1989" spans="2:4" x14ac:dyDescent="0.2">
      <c r="B1989" s="2">
        <v>39021</v>
      </c>
      <c r="C1989" s="61">
        <v>6268.92</v>
      </c>
      <c r="D1989" s="3">
        <f t="shared" ref="D1989:D2052" si="34">C1989/C1988-1</f>
        <v>1.7145532494220461E-3</v>
      </c>
    </row>
    <row r="1990" spans="2:4" x14ac:dyDescent="0.2">
      <c r="B1990" s="2">
        <v>39022</v>
      </c>
      <c r="C1990" s="61">
        <v>6291.9</v>
      </c>
      <c r="D1990" s="3">
        <f t="shared" si="34"/>
        <v>3.6657031833233766E-3</v>
      </c>
    </row>
    <row r="1991" spans="2:4" x14ac:dyDescent="0.2">
      <c r="B1991" s="2">
        <v>39023</v>
      </c>
      <c r="C1991" s="61">
        <v>6223.33</v>
      </c>
      <c r="D1991" s="3">
        <f t="shared" si="34"/>
        <v>-1.0898138876968777E-2</v>
      </c>
    </row>
    <row r="1992" spans="2:4" x14ac:dyDescent="0.2">
      <c r="B1992" s="2">
        <v>39024</v>
      </c>
      <c r="C1992" s="61">
        <v>6241.15</v>
      </c>
      <c r="D1992" s="3">
        <f t="shared" si="34"/>
        <v>2.8634187806206857E-3</v>
      </c>
    </row>
    <row r="1993" spans="2:4" x14ac:dyDescent="0.2">
      <c r="B1993" s="2">
        <v>39027</v>
      </c>
      <c r="C1993" s="61">
        <v>6330.65</v>
      </c>
      <c r="D1993" s="3">
        <f t="shared" si="34"/>
        <v>1.434030587311641E-2</v>
      </c>
    </row>
    <row r="1994" spans="2:4" x14ac:dyDescent="0.2">
      <c r="B1994" s="2">
        <v>39028</v>
      </c>
      <c r="C1994" s="61">
        <v>6361.96</v>
      </c>
      <c r="D1994" s="3">
        <f t="shared" si="34"/>
        <v>4.9457796592766723E-3</v>
      </c>
    </row>
    <row r="1995" spans="2:4" x14ac:dyDescent="0.2">
      <c r="B1995" s="2">
        <v>39029</v>
      </c>
      <c r="C1995" s="61">
        <v>6349.26</v>
      </c>
      <c r="D1995" s="3">
        <f t="shared" si="34"/>
        <v>-1.9962401524058482E-3</v>
      </c>
    </row>
    <row r="1996" spans="2:4" x14ac:dyDescent="0.2">
      <c r="B1996" s="2">
        <v>39030</v>
      </c>
      <c r="C1996" s="61">
        <v>6358.68</v>
      </c>
      <c r="D1996" s="3">
        <f t="shared" si="34"/>
        <v>1.4836374632634097E-3</v>
      </c>
    </row>
    <row r="1997" spans="2:4" x14ac:dyDescent="0.2">
      <c r="B1997" s="2">
        <v>39031</v>
      </c>
      <c r="C1997" s="61">
        <v>6357.77</v>
      </c>
      <c r="D1997" s="3">
        <f t="shared" si="34"/>
        <v>-1.4311146338541469E-4</v>
      </c>
    </row>
    <row r="1998" spans="2:4" x14ac:dyDescent="0.2">
      <c r="B1998" s="2">
        <v>39034</v>
      </c>
      <c r="C1998" s="61">
        <v>6393.73</v>
      </c>
      <c r="D1998" s="3">
        <f t="shared" si="34"/>
        <v>5.6560712325233187E-3</v>
      </c>
    </row>
    <row r="1999" spans="2:4" x14ac:dyDescent="0.2">
      <c r="B1999" s="2">
        <v>39035</v>
      </c>
      <c r="C1999" s="61">
        <v>6387.38</v>
      </c>
      <c r="D1999" s="3">
        <f t="shared" si="34"/>
        <v>-9.9316048691444614E-4</v>
      </c>
    </row>
    <row r="2000" spans="2:4" x14ac:dyDescent="0.2">
      <c r="B2000" s="2">
        <v>39036</v>
      </c>
      <c r="C2000" s="61">
        <v>6430.89</v>
      </c>
      <c r="D2000" s="3">
        <f t="shared" si="34"/>
        <v>6.8118696554768654E-3</v>
      </c>
    </row>
    <row r="2001" spans="2:4" x14ac:dyDescent="0.2">
      <c r="B2001" s="2">
        <v>39037</v>
      </c>
      <c r="C2001" s="61">
        <v>6443.02</v>
      </c>
      <c r="D2001" s="3">
        <f t="shared" si="34"/>
        <v>1.8862085963218256E-3</v>
      </c>
    </row>
    <row r="2002" spans="2:4" x14ac:dyDescent="0.2">
      <c r="B2002" s="2">
        <v>39038</v>
      </c>
      <c r="C2002" s="61">
        <v>6412.36</v>
      </c>
      <c r="D2002" s="3">
        <f t="shared" si="34"/>
        <v>-4.7586380299922126E-3</v>
      </c>
    </row>
    <row r="2003" spans="2:4" x14ac:dyDescent="0.2">
      <c r="B2003" s="2">
        <v>39041</v>
      </c>
      <c r="C2003" s="61">
        <v>6452.33</v>
      </c>
      <c r="D2003" s="3">
        <f t="shared" si="34"/>
        <v>6.2332744886437474E-3</v>
      </c>
    </row>
    <row r="2004" spans="2:4" x14ac:dyDescent="0.2">
      <c r="B2004" s="2">
        <v>39042</v>
      </c>
      <c r="C2004" s="61">
        <v>6460.39</v>
      </c>
      <c r="D2004" s="3">
        <f t="shared" si="34"/>
        <v>1.2491611557376991E-3</v>
      </c>
    </row>
    <row r="2005" spans="2:4" x14ac:dyDescent="0.2">
      <c r="B2005" s="2">
        <v>39043</v>
      </c>
      <c r="C2005" s="61">
        <v>6476.13</v>
      </c>
      <c r="D2005" s="3">
        <f t="shared" si="34"/>
        <v>2.4363854194560108E-3</v>
      </c>
    </row>
    <row r="2006" spans="2:4" x14ac:dyDescent="0.2">
      <c r="B2006" s="2">
        <v>39044</v>
      </c>
      <c r="C2006" s="61">
        <v>6475.25</v>
      </c>
      <c r="D2006" s="3">
        <f t="shared" si="34"/>
        <v>-1.3588362185446012E-4</v>
      </c>
    </row>
    <row r="2007" spans="2:4" x14ac:dyDescent="0.2">
      <c r="B2007" s="2">
        <v>39045</v>
      </c>
      <c r="C2007" s="61">
        <v>6411.96</v>
      </c>
      <c r="D2007" s="3">
        <f t="shared" si="34"/>
        <v>-9.7741399945947549E-3</v>
      </c>
    </row>
    <row r="2008" spans="2:4" x14ac:dyDescent="0.2">
      <c r="B2008" s="2">
        <v>39048</v>
      </c>
      <c r="C2008" s="61">
        <v>6298.17</v>
      </c>
      <c r="D2008" s="3">
        <f t="shared" si="34"/>
        <v>-1.7746523683865756E-2</v>
      </c>
    </row>
    <row r="2009" spans="2:4" x14ac:dyDescent="0.2">
      <c r="B2009" s="2">
        <v>39049</v>
      </c>
      <c r="C2009" s="61">
        <v>6281.68</v>
      </c>
      <c r="D2009" s="3">
        <f t="shared" si="34"/>
        <v>-2.6182208482781189E-3</v>
      </c>
    </row>
    <row r="2010" spans="2:4" x14ac:dyDescent="0.2">
      <c r="B2010" s="2">
        <v>39050</v>
      </c>
      <c r="C2010" s="61">
        <v>6363.8</v>
      </c>
      <c r="D2010" s="3">
        <f t="shared" si="34"/>
        <v>1.3072935902497473E-2</v>
      </c>
    </row>
    <row r="2011" spans="2:4" x14ac:dyDescent="0.2">
      <c r="B2011" s="2">
        <v>39051</v>
      </c>
      <c r="C2011" s="61">
        <v>6309.19</v>
      </c>
      <c r="D2011" s="3">
        <f t="shared" si="34"/>
        <v>-8.5813507652661158E-3</v>
      </c>
    </row>
    <row r="2012" spans="2:4" x14ac:dyDescent="0.2">
      <c r="B2012" s="2">
        <v>39052</v>
      </c>
      <c r="C2012" s="61">
        <v>6241.13</v>
      </c>
      <c r="D2012" s="3">
        <f t="shared" si="34"/>
        <v>-1.0787438641093328E-2</v>
      </c>
    </row>
    <row r="2013" spans="2:4" x14ac:dyDescent="0.2">
      <c r="B2013" s="2">
        <v>39055</v>
      </c>
      <c r="C2013" s="61">
        <v>6295.23</v>
      </c>
      <c r="D2013" s="3">
        <f t="shared" si="34"/>
        <v>8.6683020542752676E-3</v>
      </c>
    </row>
    <row r="2014" spans="2:4" x14ac:dyDescent="0.2">
      <c r="B2014" s="2">
        <v>39056</v>
      </c>
      <c r="C2014" s="61">
        <v>6372.8</v>
      </c>
      <c r="D2014" s="3">
        <f t="shared" si="34"/>
        <v>1.2322027948144854E-2</v>
      </c>
    </row>
    <row r="2015" spans="2:4" x14ac:dyDescent="0.2">
      <c r="B2015" s="2">
        <v>39057</v>
      </c>
      <c r="C2015" s="61">
        <v>6369.51</v>
      </c>
      <c r="D2015" s="3">
        <f t="shared" si="34"/>
        <v>-5.1625659050968942E-4</v>
      </c>
    </row>
    <row r="2016" spans="2:4" x14ac:dyDescent="0.2">
      <c r="B2016" s="2">
        <v>39058</v>
      </c>
      <c r="C2016" s="61">
        <v>6413.03</v>
      </c>
      <c r="D2016" s="3">
        <f t="shared" si="34"/>
        <v>6.8325506985622564E-3</v>
      </c>
    </row>
    <row r="2017" spans="2:4" x14ac:dyDescent="0.2">
      <c r="B2017" s="2">
        <v>39059</v>
      </c>
      <c r="C2017" s="61">
        <v>6427.41</v>
      </c>
      <c r="D2017" s="3">
        <f t="shared" si="34"/>
        <v>2.2423097973969242E-3</v>
      </c>
    </row>
    <row r="2018" spans="2:4" x14ac:dyDescent="0.2">
      <c r="B2018" s="2">
        <v>39062</v>
      </c>
      <c r="C2018" s="61">
        <v>6469.42</v>
      </c>
      <c r="D2018" s="3">
        <f t="shared" si="34"/>
        <v>6.5360697388217037E-3</v>
      </c>
    </row>
    <row r="2019" spans="2:4" x14ac:dyDescent="0.2">
      <c r="B2019" s="2">
        <v>39063</v>
      </c>
      <c r="C2019" s="61">
        <v>6476.17</v>
      </c>
      <c r="D2019" s="3">
        <f t="shared" si="34"/>
        <v>1.0433701939276396E-3</v>
      </c>
    </row>
    <row r="2020" spans="2:4" x14ac:dyDescent="0.2">
      <c r="B2020" s="2">
        <v>39064</v>
      </c>
      <c r="C2020" s="61">
        <v>6520.77</v>
      </c>
      <c r="D2020" s="3">
        <f t="shared" si="34"/>
        <v>6.8867864802808487E-3</v>
      </c>
    </row>
    <row r="2021" spans="2:4" x14ac:dyDescent="0.2">
      <c r="B2021" s="2">
        <v>39065</v>
      </c>
      <c r="C2021" s="61">
        <v>6552.58</v>
      </c>
      <c r="D2021" s="3">
        <f t="shared" si="34"/>
        <v>4.8782582425079823E-3</v>
      </c>
    </row>
    <row r="2022" spans="2:4" x14ac:dyDescent="0.2">
      <c r="B2022" s="2">
        <v>39066</v>
      </c>
      <c r="C2022" s="61">
        <v>6588.83</v>
      </c>
      <c r="D2022" s="3">
        <f t="shared" si="34"/>
        <v>5.5321720604708524E-3</v>
      </c>
    </row>
    <row r="2023" spans="2:4" x14ac:dyDescent="0.2">
      <c r="B2023" s="2">
        <v>39069</v>
      </c>
      <c r="C2023" s="61">
        <v>6597.25</v>
      </c>
      <c r="D2023" s="3">
        <f t="shared" si="34"/>
        <v>1.2779203591533062E-3</v>
      </c>
    </row>
    <row r="2024" spans="2:4" x14ac:dyDescent="0.2">
      <c r="B2024" s="2">
        <v>39070</v>
      </c>
      <c r="C2024" s="61">
        <v>6553.51</v>
      </c>
      <c r="D2024" s="3">
        <f t="shared" si="34"/>
        <v>-6.630035241956822E-3</v>
      </c>
    </row>
    <row r="2025" spans="2:4" x14ac:dyDescent="0.2">
      <c r="B2025" s="2">
        <v>39071</v>
      </c>
      <c r="C2025" s="61">
        <v>6586.91</v>
      </c>
      <c r="D2025" s="3">
        <f t="shared" si="34"/>
        <v>5.0965055367275802E-3</v>
      </c>
    </row>
    <row r="2026" spans="2:4" x14ac:dyDescent="0.2">
      <c r="B2026" s="2">
        <v>39072</v>
      </c>
      <c r="C2026" s="61">
        <v>6573.96</v>
      </c>
      <c r="D2026" s="3">
        <f t="shared" si="34"/>
        <v>-1.9660204860852959E-3</v>
      </c>
    </row>
    <row r="2027" spans="2:4" x14ac:dyDescent="0.2">
      <c r="B2027" s="2">
        <v>39073</v>
      </c>
      <c r="C2027" s="61">
        <v>6503.13</v>
      </c>
      <c r="D2027" s="3">
        <f t="shared" si="34"/>
        <v>-1.0774327802420491E-2</v>
      </c>
    </row>
    <row r="2028" spans="2:4" x14ac:dyDescent="0.2">
      <c r="B2028" s="2">
        <v>39078</v>
      </c>
      <c r="C2028" s="61">
        <v>6608.86</v>
      </c>
      <c r="D2028" s="3">
        <f t="shared" si="34"/>
        <v>1.6258324837424398E-2</v>
      </c>
    </row>
    <row r="2029" spans="2:4" x14ac:dyDescent="0.2">
      <c r="B2029" s="2">
        <v>39079</v>
      </c>
      <c r="C2029" s="61">
        <v>6611.81</v>
      </c>
      <c r="D2029" s="3">
        <f t="shared" si="34"/>
        <v>4.4637047841855626E-4</v>
      </c>
    </row>
    <row r="2030" spans="2:4" x14ac:dyDescent="0.2">
      <c r="B2030" s="2">
        <v>39080</v>
      </c>
      <c r="C2030" s="61">
        <v>6596.92</v>
      </c>
      <c r="D2030" s="3">
        <f t="shared" si="34"/>
        <v>-2.2520308357318886E-3</v>
      </c>
    </row>
    <row r="2031" spans="2:4" x14ac:dyDescent="0.2">
      <c r="B2031" s="2">
        <v>39084</v>
      </c>
      <c r="C2031" s="61">
        <v>6681.13</v>
      </c>
      <c r="D2031" s="3">
        <f t="shared" si="34"/>
        <v>1.2765047931458939E-2</v>
      </c>
    </row>
    <row r="2032" spans="2:4" x14ac:dyDescent="0.2">
      <c r="B2032" s="2">
        <v>39085</v>
      </c>
      <c r="C2032" s="61">
        <v>6691.32</v>
      </c>
      <c r="D2032" s="3">
        <f t="shared" si="34"/>
        <v>1.5251910979130479E-3</v>
      </c>
    </row>
    <row r="2033" spans="2:4" x14ac:dyDescent="0.2">
      <c r="B2033" s="2">
        <v>39086</v>
      </c>
      <c r="C2033" s="61">
        <v>6674.4</v>
      </c>
      <c r="D2033" s="3">
        <f t="shared" si="34"/>
        <v>-2.528649055791643E-3</v>
      </c>
    </row>
    <row r="2034" spans="2:4" x14ac:dyDescent="0.2">
      <c r="B2034" s="2">
        <v>39087</v>
      </c>
      <c r="C2034" s="61">
        <v>6593.09</v>
      </c>
      <c r="D2034" s="3">
        <f t="shared" si="34"/>
        <v>-1.2182368452594905E-2</v>
      </c>
    </row>
    <row r="2035" spans="2:4" x14ac:dyDescent="0.2">
      <c r="B2035" s="2">
        <v>39090</v>
      </c>
      <c r="C2035" s="61">
        <v>6607.59</v>
      </c>
      <c r="D2035" s="3">
        <f t="shared" si="34"/>
        <v>2.1992722683901178E-3</v>
      </c>
    </row>
    <row r="2036" spans="2:4" x14ac:dyDescent="0.2">
      <c r="B2036" s="2">
        <v>39091</v>
      </c>
      <c r="C2036" s="61">
        <v>6614.37</v>
      </c>
      <c r="D2036" s="3">
        <f t="shared" si="34"/>
        <v>1.0260927206440229E-3</v>
      </c>
    </row>
    <row r="2037" spans="2:4" x14ac:dyDescent="0.2">
      <c r="B2037" s="2">
        <v>39092</v>
      </c>
      <c r="C2037" s="61">
        <v>6566.56</v>
      </c>
      <c r="D2037" s="3">
        <f t="shared" si="34"/>
        <v>-7.2282016276681293E-3</v>
      </c>
    </row>
    <row r="2038" spans="2:4" x14ac:dyDescent="0.2">
      <c r="B2038" s="2">
        <v>39093</v>
      </c>
      <c r="C2038" s="61">
        <v>6687.3</v>
      </c>
      <c r="D2038" s="3">
        <f t="shared" si="34"/>
        <v>1.838710070417382E-2</v>
      </c>
    </row>
    <row r="2039" spans="2:4" x14ac:dyDescent="0.2">
      <c r="B2039" s="2">
        <v>39094</v>
      </c>
      <c r="C2039" s="61">
        <v>6705.17</v>
      </c>
      <c r="D2039" s="3">
        <f t="shared" si="34"/>
        <v>2.6722294498526811E-3</v>
      </c>
    </row>
    <row r="2040" spans="2:4" x14ac:dyDescent="0.2">
      <c r="B2040" s="2">
        <v>39097</v>
      </c>
      <c r="C2040" s="61">
        <v>6731.74</v>
      </c>
      <c r="D2040" s="3">
        <f t="shared" si="34"/>
        <v>3.9626139232860069E-3</v>
      </c>
    </row>
    <row r="2041" spans="2:4" x14ac:dyDescent="0.2">
      <c r="B2041" s="2">
        <v>39098</v>
      </c>
      <c r="C2041" s="61">
        <v>6716.82</v>
      </c>
      <c r="D2041" s="3">
        <f t="shared" si="34"/>
        <v>-2.2163660509764149E-3</v>
      </c>
    </row>
    <row r="2042" spans="2:4" x14ac:dyDescent="0.2">
      <c r="B2042" s="2">
        <v>39099</v>
      </c>
      <c r="C2042" s="61">
        <v>6701.7</v>
      </c>
      <c r="D2042" s="3">
        <f t="shared" si="34"/>
        <v>-2.2510652362278671E-3</v>
      </c>
    </row>
    <row r="2043" spans="2:4" x14ac:dyDescent="0.2">
      <c r="B2043" s="2">
        <v>39100</v>
      </c>
      <c r="C2043" s="61">
        <v>6689.62</v>
      </c>
      <c r="D2043" s="3">
        <f t="shared" si="34"/>
        <v>-1.8025277168479681E-3</v>
      </c>
    </row>
    <row r="2044" spans="2:4" x14ac:dyDescent="0.2">
      <c r="B2044" s="2">
        <v>39101</v>
      </c>
      <c r="C2044" s="61">
        <v>6747.17</v>
      </c>
      <c r="D2044" s="3">
        <f t="shared" si="34"/>
        <v>8.6028802831850104E-3</v>
      </c>
    </row>
    <row r="2045" spans="2:4" x14ac:dyDescent="0.2">
      <c r="B2045" s="2">
        <v>39104</v>
      </c>
      <c r="C2045" s="61">
        <v>6687.31</v>
      </c>
      <c r="D2045" s="3">
        <f t="shared" si="34"/>
        <v>-8.8718677608538021E-3</v>
      </c>
    </row>
    <row r="2046" spans="2:4" x14ac:dyDescent="0.2">
      <c r="B2046" s="2">
        <v>39105</v>
      </c>
      <c r="C2046" s="61">
        <v>6678.93</v>
      </c>
      <c r="D2046" s="3">
        <f t="shared" si="34"/>
        <v>-1.2531197148031303E-3</v>
      </c>
    </row>
    <row r="2047" spans="2:4" x14ac:dyDescent="0.2">
      <c r="B2047" s="2">
        <v>39106</v>
      </c>
      <c r="C2047" s="61">
        <v>6748.37</v>
      </c>
      <c r="D2047" s="3">
        <f t="shared" si="34"/>
        <v>1.0396874948532142E-2</v>
      </c>
    </row>
    <row r="2048" spans="2:4" x14ac:dyDescent="0.2">
      <c r="B2048" s="2">
        <v>39107</v>
      </c>
      <c r="C2048" s="61">
        <v>6719.58</v>
      </c>
      <c r="D2048" s="3">
        <f t="shared" si="34"/>
        <v>-4.2662153971996242E-3</v>
      </c>
    </row>
    <row r="2049" spans="2:4" x14ac:dyDescent="0.2">
      <c r="B2049" s="2">
        <v>39108</v>
      </c>
      <c r="C2049" s="61">
        <v>6690.34</v>
      </c>
      <c r="D2049" s="3">
        <f t="shared" si="34"/>
        <v>-4.3514624425931014E-3</v>
      </c>
    </row>
    <row r="2050" spans="2:4" x14ac:dyDescent="0.2">
      <c r="B2050" s="2">
        <v>39111</v>
      </c>
      <c r="C2050" s="61">
        <v>6726.01</v>
      </c>
      <c r="D2050" s="3">
        <f t="shared" si="34"/>
        <v>5.3315676034402237E-3</v>
      </c>
    </row>
    <row r="2051" spans="2:4" x14ac:dyDescent="0.2">
      <c r="B2051" s="2">
        <v>39112</v>
      </c>
      <c r="C2051" s="61">
        <v>6788.23</v>
      </c>
      <c r="D2051" s="3">
        <f t="shared" si="34"/>
        <v>9.25065529191893E-3</v>
      </c>
    </row>
    <row r="2052" spans="2:4" x14ac:dyDescent="0.2">
      <c r="B2052" s="2">
        <v>39113</v>
      </c>
      <c r="C2052" s="61">
        <v>6789.11</v>
      </c>
      <c r="D2052" s="3">
        <f t="shared" si="34"/>
        <v>1.2963614962968606E-4</v>
      </c>
    </row>
    <row r="2053" spans="2:4" x14ac:dyDescent="0.2">
      <c r="B2053" s="2">
        <v>39114</v>
      </c>
      <c r="C2053" s="61">
        <v>6851.28</v>
      </c>
      <c r="D2053" s="3">
        <f t="shared" ref="D2053:D2116" si="35">C2053/C2052-1</f>
        <v>9.157312225019254E-3</v>
      </c>
    </row>
    <row r="2054" spans="2:4" x14ac:dyDescent="0.2">
      <c r="B2054" s="2">
        <v>39115</v>
      </c>
      <c r="C2054" s="61">
        <v>6885.76</v>
      </c>
      <c r="D2054" s="3">
        <f t="shared" si="35"/>
        <v>5.0326362373163125E-3</v>
      </c>
    </row>
    <row r="2055" spans="2:4" x14ac:dyDescent="0.2">
      <c r="B2055" s="2">
        <v>39118</v>
      </c>
      <c r="C2055" s="61">
        <v>6874.06</v>
      </c>
      <c r="D2055" s="3">
        <f t="shared" si="35"/>
        <v>-1.699158843758708E-3</v>
      </c>
    </row>
    <row r="2056" spans="2:4" x14ac:dyDescent="0.2">
      <c r="B2056" s="2">
        <v>39119</v>
      </c>
      <c r="C2056" s="61">
        <v>6875.7</v>
      </c>
      <c r="D2056" s="3">
        <f t="shared" si="35"/>
        <v>2.3857807467475567E-4</v>
      </c>
    </row>
    <row r="2057" spans="2:4" x14ac:dyDescent="0.2">
      <c r="B2057" s="2">
        <v>39120</v>
      </c>
      <c r="C2057" s="61">
        <v>6915.56</v>
      </c>
      <c r="D2057" s="3">
        <f t="shared" si="35"/>
        <v>5.7972279186120357E-3</v>
      </c>
    </row>
    <row r="2058" spans="2:4" x14ac:dyDescent="0.2">
      <c r="B2058" s="2">
        <v>39121</v>
      </c>
      <c r="C2058" s="61">
        <v>6876.73</v>
      </c>
      <c r="D2058" s="3">
        <f t="shared" si="35"/>
        <v>-5.6148742834999377E-3</v>
      </c>
    </row>
    <row r="2059" spans="2:4" x14ac:dyDescent="0.2">
      <c r="B2059" s="2">
        <v>39122</v>
      </c>
      <c r="C2059" s="61">
        <v>6911.11</v>
      </c>
      <c r="D2059" s="3">
        <f t="shared" si="35"/>
        <v>4.9994692244714756E-3</v>
      </c>
    </row>
    <row r="2060" spans="2:4" x14ac:dyDescent="0.2">
      <c r="B2060" s="2">
        <v>39125</v>
      </c>
      <c r="C2060" s="61">
        <v>6859.45</v>
      </c>
      <c r="D2060" s="3">
        <f t="shared" si="35"/>
        <v>-7.4749208159036185E-3</v>
      </c>
    </row>
    <row r="2061" spans="2:4" x14ac:dyDescent="0.2">
      <c r="B2061" s="2">
        <v>39126</v>
      </c>
      <c r="C2061" s="61">
        <v>6895.34</v>
      </c>
      <c r="D2061" s="3">
        <f t="shared" si="35"/>
        <v>5.2321979167426758E-3</v>
      </c>
    </row>
    <row r="2062" spans="2:4" x14ac:dyDescent="0.2">
      <c r="B2062" s="2">
        <v>39127</v>
      </c>
      <c r="C2062" s="61">
        <v>6961.18</v>
      </c>
      <c r="D2062" s="3">
        <f t="shared" si="35"/>
        <v>9.5484776675263117E-3</v>
      </c>
    </row>
    <row r="2063" spans="2:4" x14ac:dyDescent="0.2">
      <c r="B2063" s="2">
        <v>39128</v>
      </c>
      <c r="C2063" s="61">
        <v>6958.62</v>
      </c>
      <c r="D2063" s="3">
        <f t="shared" si="35"/>
        <v>-3.6775374289998997E-4</v>
      </c>
    </row>
    <row r="2064" spans="2:4" x14ac:dyDescent="0.2">
      <c r="B2064" s="2">
        <v>39129</v>
      </c>
      <c r="C2064" s="61">
        <v>6957.07</v>
      </c>
      <c r="D2064" s="3">
        <f t="shared" si="35"/>
        <v>-2.2274531444455015E-4</v>
      </c>
    </row>
    <row r="2065" spans="2:4" x14ac:dyDescent="0.2">
      <c r="B2065" s="2">
        <v>39132</v>
      </c>
      <c r="C2065" s="61">
        <v>6987.08</v>
      </c>
      <c r="D2065" s="3">
        <f t="shared" si="35"/>
        <v>4.3135975345942601E-3</v>
      </c>
    </row>
    <row r="2066" spans="2:4" x14ac:dyDescent="0.2">
      <c r="B2066" s="2">
        <v>39133</v>
      </c>
      <c r="C2066" s="61">
        <v>6982.91</v>
      </c>
      <c r="D2066" s="3">
        <f t="shared" si="35"/>
        <v>-5.9681583723103504E-4</v>
      </c>
    </row>
    <row r="2067" spans="2:4" x14ac:dyDescent="0.2">
      <c r="B2067" s="2">
        <v>39134</v>
      </c>
      <c r="C2067" s="61">
        <v>6941.66</v>
      </c>
      <c r="D2067" s="3">
        <f t="shared" si="35"/>
        <v>-5.9072793434256088E-3</v>
      </c>
    </row>
    <row r="2068" spans="2:4" x14ac:dyDescent="0.2">
      <c r="B2068" s="2">
        <v>39135</v>
      </c>
      <c r="C2068" s="61">
        <v>6973.73</v>
      </c>
      <c r="D2068" s="3">
        <f t="shared" si="35"/>
        <v>4.6199324080982151E-3</v>
      </c>
    </row>
    <row r="2069" spans="2:4" x14ac:dyDescent="0.2">
      <c r="B2069" s="2">
        <v>39136</v>
      </c>
      <c r="C2069" s="61">
        <v>6992.58</v>
      </c>
      <c r="D2069" s="3">
        <f t="shared" si="35"/>
        <v>2.70300111991717E-3</v>
      </c>
    </row>
    <row r="2070" spans="2:4" x14ac:dyDescent="0.2">
      <c r="B2070" s="2">
        <v>39139</v>
      </c>
      <c r="C2070" s="61">
        <v>7027.59</v>
      </c>
      <c r="D2070" s="3">
        <f t="shared" si="35"/>
        <v>5.0067357112826283E-3</v>
      </c>
    </row>
    <row r="2071" spans="2:4" x14ac:dyDescent="0.2">
      <c r="B2071" s="2">
        <v>39140</v>
      </c>
      <c r="C2071" s="61">
        <v>6819.65</v>
      </c>
      <c r="D2071" s="3">
        <f t="shared" si="35"/>
        <v>-2.9589090997055978E-2</v>
      </c>
    </row>
    <row r="2072" spans="2:4" x14ac:dyDescent="0.2">
      <c r="B2072" s="2">
        <v>39141</v>
      </c>
      <c r="C2072" s="61">
        <v>6715.44</v>
      </c>
      <c r="D2072" s="3">
        <f t="shared" si="35"/>
        <v>-1.5280842858504506E-2</v>
      </c>
    </row>
    <row r="2073" spans="2:4" x14ac:dyDescent="0.2">
      <c r="B2073" s="2">
        <v>39142</v>
      </c>
      <c r="C2073" s="61">
        <v>6640.24</v>
      </c>
      <c r="D2073" s="3">
        <f t="shared" si="35"/>
        <v>-1.1198074884147591E-2</v>
      </c>
    </row>
    <row r="2074" spans="2:4" x14ac:dyDescent="0.2">
      <c r="B2074" s="2">
        <v>39143</v>
      </c>
      <c r="C2074" s="61">
        <v>6603.32</v>
      </c>
      <c r="D2074" s="3">
        <f t="shared" si="35"/>
        <v>-5.5600399985542559E-3</v>
      </c>
    </row>
    <row r="2075" spans="2:4" x14ac:dyDescent="0.2">
      <c r="B2075" s="2">
        <v>39146</v>
      </c>
      <c r="C2075" s="61">
        <v>6534.57</v>
      </c>
      <c r="D2075" s="3">
        <f t="shared" si="35"/>
        <v>-1.0411429402179539E-2</v>
      </c>
    </row>
    <row r="2076" spans="2:4" x14ac:dyDescent="0.2">
      <c r="B2076" s="2">
        <v>39147</v>
      </c>
      <c r="C2076" s="61">
        <v>6595</v>
      </c>
      <c r="D2076" s="3">
        <f t="shared" si="35"/>
        <v>9.2477393309735589E-3</v>
      </c>
    </row>
    <row r="2077" spans="2:4" x14ac:dyDescent="0.2">
      <c r="B2077" s="2">
        <v>39148</v>
      </c>
      <c r="C2077" s="61">
        <v>6617.75</v>
      </c>
      <c r="D2077" s="3">
        <f t="shared" si="35"/>
        <v>3.4495830174374742E-3</v>
      </c>
    </row>
    <row r="2078" spans="2:4" x14ac:dyDescent="0.2">
      <c r="B2078" s="2">
        <v>39149</v>
      </c>
      <c r="C2078" s="61">
        <v>6713.23</v>
      </c>
      <c r="D2078" s="3">
        <f t="shared" si="35"/>
        <v>1.4427864455441641E-2</v>
      </c>
    </row>
    <row r="2079" spans="2:4" x14ac:dyDescent="0.2">
      <c r="B2079" s="2">
        <v>39150</v>
      </c>
      <c r="C2079" s="61">
        <v>6716.52</v>
      </c>
      <c r="D2079" s="3">
        <f t="shared" si="35"/>
        <v>4.9007705679682267E-4</v>
      </c>
    </row>
    <row r="2080" spans="2:4" x14ac:dyDescent="0.2">
      <c r="B2080" s="2">
        <v>39153</v>
      </c>
      <c r="C2080" s="61">
        <v>6715.49</v>
      </c>
      <c r="D2080" s="3">
        <f t="shared" si="35"/>
        <v>-1.5335322458664979E-4</v>
      </c>
    </row>
    <row r="2081" spans="2:4" x14ac:dyDescent="0.2">
      <c r="B2081" s="2">
        <v>39154</v>
      </c>
      <c r="C2081" s="61">
        <v>6623.99</v>
      </c>
      <c r="D2081" s="3">
        <f t="shared" si="35"/>
        <v>-1.3625215732582463E-2</v>
      </c>
    </row>
    <row r="2082" spans="2:4" x14ac:dyDescent="0.2">
      <c r="B2082" s="2">
        <v>39155</v>
      </c>
      <c r="C2082" s="61">
        <v>6447.7</v>
      </c>
      <c r="D2082" s="3">
        <f t="shared" si="35"/>
        <v>-2.6613868680357311E-2</v>
      </c>
    </row>
    <row r="2083" spans="2:4" x14ac:dyDescent="0.2">
      <c r="B2083" s="2">
        <v>39156</v>
      </c>
      <c r="C2083" s="61">
        <v>6585.47</v>
      </c>
      <c r="D2083" s="3">
        <f t="shared" si="35"/>
        <v>2.1367309273074175E-2</v>
      </c>
    </row>
    <row r="2084" spans="2:4" x14ac:dyDescent="0.2">
      <c r="B2084" s="2">
        <v>39157</v>
      </c>
      <c r="C2084" s="61">
        <v>6579.87</v>
      </c>
      <c r="D2084" s="3">
        <f t="shared" si="35"/>
        <v>-8.5035692213319969E-4</v>
      </c>
    </row>
    <row r="2085" spans="2:4" x14ac:dyDescent="0.2">
      <c r="B2085" s="2">
        <v>39160</v>
      </c>
      <c r="C2085" s="61">
        <v>6671.41</v>
      </c>
      <c r="D2085" s="3">
        <f t="shared" si="35"/>
        <v>1.3912128963034176E-2</v>
      </c>
    </row>
    <row r="2086" spans="2:4" x14ac:dyDescent="0.2">
      <c r="B2086" s="2">
        <v>39161</v>
      </c>
      <c r="C2086" s="61">
        <v>6700.29</v>
      </c>
      <c r="D2086" s="3">
        <f t="shared" si="35"/>
        <v>4.3289199734388717E-3</v>
      </c>
    </row>
    <row r="2087" spans="2:4" x14ac:dyDescent="0.2">
      <c r="B2087" s="2">
        <v>39162</v>
      </c>
      <c r="C2087" s="61">
        <v>6712.06</v>
      </c>
      <c r="D2087" s="3">
        <f t="shared" si="35"/>
        <v>1.7566403842221856E-3</v>
      </c>
    </row>
    <row r="2088" spans="2:4" x14ac:dyDescent="0.2">
      <c r="B2088" s="2">
        <v>39163</v>
      </c>
      <c r="C2088" s="61">
        <v>6856.96</v>
      </c>
      <c r="D2088" s="3">
        <f t="shared" si="35"/>
        <v>2.1588007258576347E-2</v>
      </c>
    </row>
    <row r="2089" spans="2:4" x14ac:dyDescent="0.2">
      <c r="B2089" s="2">
        <v>39164</v>
      </c>
      <c r="C2089" s="61">
        <v>6899.06</v>
      </c>
      <c r="D2089" s="3">
        <f t="shared" si="35"/>
        <v>6.1397470599215964E-3</v>
      </c>
    </row>
    <row r="2090" spans="2:4" x14ac:dyDescent="0.2">
      <c r="B2090" s="2">
        <v>39167</v>
      </c>
      <c r="C2090" s="61">
        <v>6828.82</v>
      </c>
      <c r="D2090" s="3">
        <f t="shared" si="35"/>
        <v>-1.0181097134972061E-2</v>
      </c>
    </row>
    <row r="2091" spans="2:4" x14ac:dyDescent="0.2">
      <c r="B2091" s="2">
        <v>39168</v>
      </c>
      <c r="C2091" s="61">
        <v>6858.34</v>
      </c>
      <c r="D2091" s="3">
        <f t="shared" si="35"/>
        <v>4.3228551931373538E-3</v>
      </c>
    </row>
    <row r="2092" spans="2:4" x14ac:dyDescent="0.2">
      <c r="B2092" s="2">
        <v>39169</v>
      </c>
      <c r="C2092" s="61">
        <v>6816.89</v>
      </c>
      <c r="D2092" s="3">
        <f t="shared" si="35"/>
        <v>-6.0437365309973234E-3</v>
      </c>
    </row>
    <row r="2093" spans="2:4" x14ac:dyDescent="0.2">
      <c r="B2093" s="2">
        <v>39170</v>
      </c>
      <c r="C2093" s="61">
        <v>6897.08</v>
      </c>
      <c r="D2093" s="3">
        <f t="shared" si="35"/>
        <v>1.1763428777638918E-2</v>
      </c>
    </row>
    <row r="2094" spans="2:4" x14ac:dyDescent="0.2">
      <c r="B2094" s="2">
        <v>39171</v>
      </c>
      <c r="C2094" s="61">
        <v>6917.03</v>
      </c>
      <c r="D2094" s="3">
        <f t="shared" si="35"/>
        <v>2.8925284323220168E-3</v>
      </c>
    </row>
    <row r="2095" spans="2:4" x14ac:dyDescent="0.2">
      <c r="B2095" s="2">
        <v>39174</v>
      </c>
      <c r="C2095" s="61">
        <v>6937.17</v>
      </c>
      <c r="D2095" s="3">
        <f t="shared" si="35"/>
        <v>2.911654279365683E-3</v>
      </c>
    </row>
    <row r="2096" spans="2:4" x14ac:dyDescent="0.2">
      <c r="B2096" s="2">
        <v>39175</v>
      </c>
      <c r="C2096" s="61">
        <v>7045.56</v>
      </c>
      <c r="D2096" s="3">
        <f t="shared" si="35"/>
        <v>1.5624527004527877E-2</v>
      </c>
    </row>
    <row r="2097" spans="2:4" x14ac:dyDescent="0.2">
      <c r="B2097" s="2">
        <v>39176</v>
      </c>
      <c r="C2097" s="61">
        <v>7073.91</v>
      </c>
      <c r="D2097" s="3">
        <f t="shared" si="35"/>
        <v>4.0238107403811618E-3</v>
      </c>
    </row>
    <row r="2098" spans="2:4" x14ac:dyDescent="0.2">
      <c r="B2098" s="2">
        <v>39177</v>
      </c>
      <c r="C2098" s="61">
        <v>7099.91</v>
      </c>
      <c r="D2098" s="3">
        <f t="shared" si="35"/>
        <v>3.6754779181527031E-3</v>
      </c>
    </row>
    <row r="2099" spans="2:4" x14ac:dyDescent="0.2">
      <c r="B2099" s="2">
        <v>39182</v>
      </c>
      <c r="C2099" s="61">
        <v>7166.67</v>
      </c>
      <c r="D2099" s="3">
        <f t="shared" si="35"/>
        <v>9.4029360935561357E-3</v>
      </c>
    </row>
    <row r="2100" spans="2:4" x14ac:dyDescent="0.2">
      <c r="B2100" s="2">
        <v>39183</v>
      </c>
      <c r="C2100" s="61">
        <v>7152.83</v>
      </c>
      <c r="D2100" s="3">
        <f t="shared" si="35"/>
        <v>-1.9311618924828799E-3</v>
      </c>
    </row>
    <row r="2101" spans="2:4" x14ac:dyDescent="0.2">
      <c r="B2101" s="2">
        <v>39184</v>
      </c>
      <c r="C2101" s="61">
        <v>7142.95</v>
      </c>
      <c r="D2101" s="3">
        <f t="shared" si="35"/>
        <v>-1.3812714687753136E-3</v>
      </c>
    </row>
    <row r="2102" spans="2:4" x14ac:dyDescent="0.2">
      <c r="B2102" s="2">
        <v>39185</v>
      </c>
      <c r="C2102" s="61">
        <v>7212.07</v>
      </c>
      <c r="D2102" s="3">
        <f t="shared" si="35"/>
        <v>9.6766742032352582E-3</v>
      </c>
    </row>
    <row r="2103" spans="2:4" x14ac:dyDescent="0.2">
      <c r="B2103" s="2">
        <v>39188</v>
      </c>
      <c r="C2103" s="61">
        <v>7338.06</v>
      </c>
      <c r="D2103" s="3">
        <f t="shared" si="35"/>
        <v>1.7469325727565099E-2</v>
      </c>
    </row>
    <row r="2104" spans="2:4" x14ac:dyDescent="0.2">
      <c r="B2104" s="2">
        <v>39189</v>
      </c>
      <c r="C2104" s="61">
        <v>7348.83</v>
      </c>
      <c r="D2104" s="3">
        <f t="shared" si="35"/>
        <v>1.4676903704793354E-3</v>
      </c>
    </row>
    <row r="2105" spans="2:4" x14ac:dyDescent="0.2">
      <c r="B2105" s="2">
        <v>39190</v>
      </c>
      <c r="C2105" s="61">
        <v>7282.34</v>
      </c>
      <c r="D2105" s="3">
        <f t="shared" si="35"/>
        <v>-9.0476987493246508E-3</v>
      </c>
    </row>
    <row r="2106" spans="2:4" x14ac:dyDescent="0.2">
      <c r="B2106" s="2">
        <v>39191</v>
      </c>
      <c r="C2106" s="61">
        <v>7242.73</v>
      </c>
      <c r="D2106" s="3">
        <f t="shared" si="35"/>
        <v>-5.4391857562268164E-3</v>
      </c>
    </row>
    <row r="2107" spans="2:4" x14ac:dyDescent="0.2">
      <c r="B2107" s="2">
        <v>39192</v>
      </c>
      <c r="C2107" s="61">
        <v>7342.54</v>
      </c>
      <c r="D2107" s="3">
        <f t="shared" si="35"/>
        <v>1.3780715282773359E-2</v>
      </c>
    </row>
    <row r="2108" spans="2:4" x14ac:dyDescent="0.2">
      <c r="B2108" s="2">
        <v>39195</v>
      </c>
      <c r="C2108" s="61">
        <v>7335.62</v>
      </c>
      <c r="D2108" s="3">
        <f t="shared" si="35"/>
        <v>-9.4245315653707085E-4</v>
      </c>
    </row>
    <row r="2109" spans="2:4" x14ac:dyDescent="0.2">
      <c r="B2109" s="2">
        <v>39196</v>
      </c>
      <c r="C2109" s="61">
        <v>7270.32</v>
      </c>
      <c r="D2109" s="3">
        <f t="shared" si="35"/>
        <v>-8.9017697208961799E-3</v>
      </c>
    </row>
    <row r="2110" spans="2:4" x14ac:dyDescent="0.2">
      <c r="B2110" s="2">
        <v>39197</v>
      </c>
      <c r="C2110" s="61">
        <v>7343.08</v>
      </c>
      <c r="D2110" s="3">
        <f t="shared" si="35"/>
        <v>1.0007812585965947E-2</v>
      </c>
    </row>
    <row r="2111" spans="2:4" x14ac:dyDescent="0.2">
      <c r="B2111" s="2">
        <v>39198</v>
      </c>
      <c r="C2111" s="61">
        <v>7387.02</v>
      </c>
      <c r="D2111" s="3">
        <f t="shared" si="35"/>
        <v>5.9838650811376848E-3</v>
      </c>
    </row>
    <row r="2112" spans="2:4" x14ac:dyDescent="0.2">
      <c r="B2112" s="2">
        <v>39199</v>
      </c>
      <c r="C2112" s="61">
        <v>7378.12</v>
      </c>
      <c r="D2112" s="3">
        <f t="shared" si="35"/>
        <v>-1.2048160151184595E-3</v>
      </c>
    </row>
    <row r="2113" spans="2:4" x14ac:dyDescent="0.2">
      <c r="B2113" s="2">
        <v>39202</v>
      </c>
      <c r="C2113" s="61">
        <v>7408.87</v>
      </c>
      <c r="D2113" s="3">
        <f t="shared" si="35"/>
        <v>4.1677283644072638E-3</v>
      </c>
    </row>
    <row r="2114" spans="2:4" x14ac:dyDescent="0.2">
      <c r="B2114" s="2">
        <v>39204</v>
      </c>
      <c r="C2114" s="61">
        <v>7455.93</v>
      </c>
      <c r="D2114" s="3">
        <f t="shared" si="35"/>
        <v>6.3518458280413803E-3</v>
      </c>
    </row>
    <row r="2115" spans="2:4" x14ac:dyDescent="0.2">
      <c r="B2115" s="2">
        <v>39205</v>
      </c>
      <c r="C2115" s="61">
        <v>7476.69</v>
      </c>
      <c r="D2115" s="3">
        <f t="shared" si="35"/>
        <v>2.78436090467582E-3</v>
      </c>
    </row>
    <row r="2116" spans="2:4" x14ac:dyDescent="0.2">
      <c r="B2116" s="2">
        <v>39206</v>
      </c>
      <c r="C2116" s="61">
        <v>7516.76</v>
      </c>
      <c r="D2116" s="3">
        <f t="shared" si="35"/>
        <v>5.3593234439304194E-3</v>
      </c>
    </row>
    <row r="2117" spans="2:4" x14ac:dyDescent="0.2">
      <c r="B2117" s="2">
        <v>39209</v>
      </c>
      <c r="C2117" s="61">
        <v>7525.69</v>
      </c>
      <c r="D2117" s="3">
        <f t="shared" ref="D2117:D2180" si="36">C2117/C2116-1</f>
        <v>1.188011856172011E-3</v>
      </c>
    </row>
    <row r="2118" spans="2:4" x14ac:dyDescent="0.2">
      <c r="B2118" s="2">
        <v>39210</v>
      </c>
      <c r="C2118" s="61">
        <v>7442.2</v>
      </c>
      <c r="D2118" s="3">
        <f t="shared" si="36"/>
        <v>-1.1093999354211959E-2</v>
      </c>
    </row>
    <row r="2119" spans="2:4" x14ac:dyDescent="0.2">
      <c r="B2119" s="2">
        <v>39211</v>
      </c>
      <c r="C2119" s="61">
        <v>7475.99</v>
      </c>
      <c r="D2119" s="3">
        <f t="shared" si="36"/>
        <v>4.5403240977130999E-3</v>
      </c>
    </row>
    <row r="2120" spans="2:4" x14ac:dyDescent="0.2">
      <c r="B2120" s="2">
        <v>39212</v>
      </c>
      <c r="C2120" s="61">
        <v>7415.33</v>
      </c>
      <c r="D2120" s="3">
        <f t="shared" si="36"/>
        <v>-8.1139755403631941E-3</v>
      </c>
    </row>
    <row r="2121" spans="2:4" x14ac:dyDescent="0.2">
      <c r="B2121" s="2">
        <v>39213</v>
      </c>
      <c r="C2121" s="61">
        <v>7479.34</v>
      </c>
      <c r="D2121" s="3">
        <f t="shared" si="36"/>
        <v>8.6321175187078492E-3</v>
      </c>
    </row>
    <row r="2122" spans="2:4" x14ac:dyDescent="0.2">
      <c r="B2122" s="2">
        <v>39216</v>
      </c>
      <c r="C2122" s="61">
        <v>7459.61</v>
      </c>
      <c r="D2122" s="3">
        <f t="shared" si="36"/>
        <v>-2.6379332935794197E-3</v>
      </c>
    </row>
    <row r="2123" spans="2:4" x14ac:dyDescent="0.2">
      <c r="B2123" s="2">
        <v>39217</v>
      </c>
      <c r="C2123" s="61">
        <v>7505.35</v>
      </c>
      <c r="D2123" s="3">
        <f t="shared" si="36"/>
        <v>6.1316878496329164E-3</v>
      </c>
    </row>
    <row r="2124" spans="2:4" x14ac:dyDescent="0.2">
      <c r="B2124" s="2">
        <v>39218</v>
      </c>
      <c r="C2124" s="61">
        <v>7481.25</v>
      </c>
      <c r="D2124" s="3">
        <f t="shared" si="36"/>
        <v>-3.2110427894769256E-3</v>
      </c>
    </row>
    <row r="2125" spans="2:4" x14ac:dyDescent="0.2">
      <c r="B2125" s="2">
        <v>39219</v>
      </c>
      <c r="C2125" s="61">
        <v>7499.5</v>
      </c>
      <c r="D2125" s="3">
        <f t="shared" si="36"/>
        <v>2.4394319131160191E-3</v>
      </c>
    </row>
    <row r="2126" spans="2:4" x14ac:dyDescent="0.2">
      <c r="B2126" s="2">
        <v>39220</v>
      </c>
      <c r="C2126" s="61">
        <v>7607.54</v>
      </c>
      <c r="D2126" s="3">
        <f t="shared" si="36"/>
        <v>1.4406293752916799E-2</v>
      </c>
    </row>
    <row r="2127" spans="2:4" x14ac:dyDescent="0.2">
      <c r="B2127" s="2">
        <v>39223</v>
      </c>
      <c r="C2127" s="61">
        <v>7619.31</v>
      </c>
      <c r="D2127" s="3">
        <f t="shared" si="36"/>
        <v>1.5471492755871896E-3</v>
      </c>
    </row>
    <row r="2128" spans="2:4" x14ac:dyDescent="0.2">
      <c r="B2128" s="2">
        <v>39224</v>
      </c>
      <c r="C2128" s="61">
        <v>7659.39</v>
      </c>
      <c r="D2128" s="3">
        <f t="shared" si="36"/>
        <v>5.2603188477695628E-3</v>
      </c>
    </row>
    <row r="2129" spans="2:4" x14ac:dyDescent="0.2">
      <c r="B2129" s="2">
        <v>39225</v>
      </c>
      <c r="C2129" s="61">
        <v>7735.88</v>
      </c>
      <c r="D2129" s="3">
        <f t="shared" si="36"/>
        <v>9.9864349510860873E-3</v>
      </c>
    </row>
    <row r="2130" spans="2:4" x14ac:dyDescent="0.2">
      <c r="B2130" s="2">
        <v>39226</v>
      </c>
      <c r="C2130" s="61">
        <v>7697.38</v>
      </c>
      <c r="D2130" s="3">
        <f t="shared" si="36"/>
        <v>-4.9768093610552677E-3</v>
      </c>
    </row>
    <row r="2131" spans="2:4" x14ac:dyDescent="0.2">
      <c r="B2131" s="2">
        <v>39227</v>
      </c>
      <c r="C2131" s="61">
        <v>7739.2</v>
      </c>
      <c r="D2131" s="3">
        <f t="shared" si="36"/>
        <v>5.4330174682812871E-3</v>
      </c>
    </row>
    <row r="2132" spans="2:4" x14ac:dyDescent="0.2">
      <c r="B2132" s="2">
        <v>39231</v>
      </c>
      <c r="C2132" s="61">
        <v>7781.04</v>
      </c>
      <c r="D2132" s="3">
        <f t="shared" si="36"/>
        <v>5.4062435393840147E-3</v>
      </c>
    </row>
    <row r="2133" spans="2:4" x14ac:dyDescent="0.2">
      <c r="B2133" s="2">
        <v>39232</v>
      </c>
      <c r="C2133" s="61">
        <v>7764.97</v>
      </c>
      <c r="D2133" s="3">
        <f t="shared" si="36"/>
        <v>-2.0652766211199935E-3</v>
      </c>
    </row>
    <row r="2134" spans="2:4" x14ac:dyDescent="0.2">
      <c r="B2134" s="2">
        <v>39233</v>
      </c>
      <c r="C2134" s="61">
        <v>7883.04</v>
      </c>
      <c r="D2134" s="3">
        <f t="shared" si="36"/>
        <v>1.5205467632199543E-2</v>
      </c>
    </row>
    <row r="2135" spans="2:4" x14ac:dyDescent="0.2">
      <c r="B2135" s="2">
        <v>39234</v>
      </c>
      <c r="C2135" s="61">
        <v>7987.85</v>
      </c>
      <c r="D2135" s="3">
        <f t="shared" si="36"/>
        <v>1.329563214191487E-2</v>
      </c>
    </row>
    <row r="2136" spans="2:4" x14ac:dyDescent="0.2">
      <c r="B2136" s="2">
        <v>39237</v>
      </c>
      <c r="C2136" s="61">
        <v>7976.79</v>
      </c>
      <c r="D2136" s="3">
        <f t="shared" si="36"/>
        <v>-1.3846028656021581E-3</v>
      </c>
    </row>
    <row r="2137" spans="2:4" x14ac:dyDescent="0.2">
      <c r="B2137" s="2">
        <v>39238</v>
      </c>
      <c r="C2137" s="61">
        <v>7919.83</v>
      </c>
      <c r="D2137" s="3">
        <f t="shared" si="36"/>
        <v>-7.14071700521135E-3</v>
      </c>
    </row>
    <row r="2138" spans="2:4" x14ac:dyDescent="0.2">
      <c r="B2138" s="2">
        <v>39239</v>
      </c>
      <c r="C2138" s="61">
        <v>7730.05</v>
      </c>
      <c r="D2138" s="3">
        <f t="shared" si="36"/>
        <v>-2.3962635561621926E-2</v>
      </c>
    </row>
    <row r="2139" spans="2:4" x14ac:dyDescent="0.2">
      <c r="B2139" s="2">
        <v>39240</v>
      </c>
      <c r="C2139" s="61">
        <v>7618.61</v>
      </c>
      <c r="D2139" s="3">
        <f t="shared" si="36"/>
        <v>-1.4416465611477358E-2</v>
      </c>
    </row>
    <row r="2140" spans="2:4" x14ac:dyDescent="0.2">
      <c r="B2140" s="2">
        <v>39241</v>
      </c>
      <c r="C2140" s="61">
        <v>7590.5</v>
      </c>
      <c r="D2140" s="3">
        <f t="shared" si="36"/>
        <v>-3.6896494242387723E-3</v>
      </c>
    </row>
    <row r="2141" spans="2:4" x14ac:dyDescent="0.2">
      <c r="B2141" s="2">
        <v>39244</v>
      </c>
      <c r="C2141" s="61">
        <v>7706.1</v>
      </c>
      <c r="D2141" s="3">
        <f t="shared" si="36"/>
        <v>1.52295632698769E-2</v>
      </c>
    </row>
    <row r="2142" spans="2:4" x14ac:dyDescent="0.2">
      <c r="B2142" s="2">
        <v>39245</v>
      </c>
      <c r="C2142" s="61">
        <v>7678.26</v>
      </c>
      <c r="D2142" s="3">
        <f t="shared" si="36"/>
        <v>-3.6127223887569837E-3</v>
      </c>
    </row>
    <row r="2143" spans="2:4" x14ac:dyDescent="0.2">
      <c r="B2143" s="2">
        <v>39246</v>
      </c>
      <c r="C2143" s="61">
        <v>7680.76</v>
      </c>
      <c r="D2143" s="3">
        <f t="shared" si="36"/>
        <v>3.2559460086001302E-4</v>
      </c>
    </row>
    <row r="2144" spans="2:4" x14ac:dyDescent="0.2">
      <c r="B2144" s="2">
        <v>39247</v>
      </c>
      <c r="C2144" s="61">
        <v>7849.16</v>
      </c>
      <c r="D2144" s="3">
        <f t="shared" si="36"/>
        <v>2.1924913680416935E-2</v>
      </c>
    </row>
    <row r="2145" spans="2:4" x14ac:dyDescent="0.2">
      <c r="B2145" s="2">
        <v>39248</v>
      </c>
      <c r="C2145" s="61">
        <v>8030.64</v>
      </c>
      <c r="D2145" s="3">
        <f t="shared" si="36"/>
        <v>2.3120945426007511E-2</v>
      </c>
    </row>
    <row r="2146" spans="2:4" x14ac:dyDescent="0.2">
      <c r="B2146" s="2">
        <v>39251</v>
      </c>
      <c r="C2146" s="61">
        <v>8036.12</v>
      </c>
      <c r="D2146" s="3">
        <f t="shared" si="36"/>
        <v>6.8238645985863045E-4</v>
      </c>
    </row>
    <row r="2147" spans="2:4" x14ac:dyDescent="0.2">
      <c r="B2147" s="2">
        <v>39252</v>
      </c>
      <c r="C2147" s="61">
        <v>8033.52</v>
      </c>
      <c r="D2147" s="3">
        <f t="shared" si="36"/>
        <v>-3.2353922041972183E-4</v>
      </c>
    </row>
    <row r="2148" spans="2:4" x14ac:dyDescent="0.2">
      <c r="B2148" s="2">
        <v>39253</v>
      </c>
      <c r="C2148" s="61">
        <v>8090.49</v>
      </c>
      <c r="D2148" s="3">
        <f t="shared" si="36"/>
        <v>7.0915364622232691E-3</v>
      </c>
    </row>
    <row r="2149" spans="2:4" x14ac:dyDescent="0.2">
      <c r="B2149" s="2">
        <v>39254</v>
      </c>
      <c r="C2149" s="61">
        <v>7964.71</v>
      </c>
      <c r="D2149" s="3">
        <f t="shared" si="36"/>
        <v>-1.5546647978058159E-2</v>
      </c>
    </row>
    <row r="2150" spans="2:4" x14ac:dyDescent="0.2">
      <c r="B2150" s="2">
        <v>39255</v>
      </c>
      <c r="C2150" s="61">
        <v>7949.63</v>
      </c>
      <c r="D2150" s="3">
        <f t="shared" si="36"/>
        <v>-1.8933520492271372E-3</v>
      </c>
    </row>
    <row r="2151" spans="2:4" x14ac:dyDescent="0.2">
      <c r="B2151" s="2">
        <v>39258</v>
      </c>
      <c r="C2151" s="61">
        <v>7930.61</v>
      </c>
      <c r="D2151" s="3">
        <f t="shared" si="36"/>
        <v>-2.3925641822324373E-3</v>
      </c>
    </row>
    <row r="2152" spans="2:4" x14ac:dyDescent="0.2">
      <c r="B2152" s="2">
        <v>39259</v>
      </c>
      <c r="C2152" s="61">
        <v>7860.52</v>
      </c>
      <c r="D2152" s="3">
        <f t="shared" si="36"/>
        <v>-8.8379078028044677E-3</v>
      </c>
    </row>
    <row r="2153" spans="2:4" x14ac:dyDescent="0.2">
      <c r="B2153" s="2">
        <v>39260</v>
      </c>
      <c r="C2153" s="61">
        <v>7801.23</v>
      </c>
      <c r="D2153" s="3">
        <f t="shared" si="36"/>
        <v>-7.5427579854768778E-3</v>
      </c>
    </row>
    <row r="2154" spans="2:4" x14ac:dyDescent="0.2">
      <c r="B2154" s="2">
        <v>39261</v>
      </c>
      <c r="C2154" s="61">
        <v>7921.36</v>
      </c>
      <c r="D2154" s="3">
        <f t="shared" si="36"/>
        <v>1.5398853770495213E-2</v>
      </c>
    </row>
    <row r="2155" spans="2:4" x14ac:dyDescent="0.2">
      <c r="B2155" s="2">
        <v>39262</v>
      </c>
      <c r="C2155" s="61">
        <v>8007.32</v>
      </c>
      <c r="D2155" s="3">
        <f t="shared" si="36"/>
        <v>1.0851671935122154E-2</v>
      </c>
    </row>
    <row r="2156" spans="2:4" x14ac:dyDescent="0.2">
      <c r="B2156" s="2">
        <v>39265</v>
      </c>
      <c r="C2156" s="61">
        <v>7958.24</v>
      </c>
      <c r="D2156" s="3">
        <f t="shared" si="36"/>
        <v>-6.1293916066799126E-3</v>
      </c>
    </row>
    <row r="2157" spans="2:4" x14ac:dyDescent="0.2">
      <c r="B2157" s="2">
        <v>39266</v>
      </c>
      <c r="C2157" s="61">
        <v>8050.68</v>
      </c>
      <c r="D2157" s="3">
        <f t="shared" si="36"/>
        <v>1.1615633607430897E-2</v>
      </c>
    </row>
    <row r="2158" spans="2:4" x14ac:dyDescent="0.2">
      <c r="B2158" s="2">
        <v>39267</v>
      </c>
      <c r="C2158" s="61">
        <v>8075.26</v>
      </c>
      <c r="D2158" s="3">
        <f t="shared" si="36"/>
        <v>3.0531582425334935E-3</v>
      </c>
    </row>
    <row r="2159" spans="2:4" x14ac:dyDescent="0.2">
      <c r="B2159" s="2">
        <v>39268</v>
      </c>
      <c r="C2159" s="61">
        <v>7987.13</v>
      </c>
      <c r="D2159" s="3">
        <f t="shared" si="36"/>
        <v>-1.091358049152602E-2</v>
      </c>
    </row>
    <row r="2160" spans="2:4" x14ac:dyDescent="0.2">
      <c r="B2160" s="2">
        <v>39269</v>
      </c>
      <c r="C2160" s="61">
        <v>8048.32</v>
      </c>
      <c r="D2160" s="3">
        <f t="shared" si="36"/>
        <v>7.6610747540104551E-3</v>
      </c>
    </row>
    <row r="2161" spans="2:4" x14ac:dyDescent="0.2">
      <c r="B2161" s="2">
        <v>39272</v>
      </c>
      <c r="C2161" s="61">
        <v>8077.39</v>
      </c>
      <c r="D2161" s="3">
        <f t="shared" si="36"/>
        <v>3.6119339191285071E-3</v>
      </c>
    </row>
    <row r="2162" spans="2:4" x14ac:dyDescent="0.2">
      <c r="B2162" s="2">
        <v>39273</v>
      </c>
      <c r="C2162" s="61">
        <v>7964.76</v>
      </c>
      <c r="D2162" s="3">
        <f t="shared" si="36"/>
        <v>-1.3943860578726541E-2</v>
      </c>
    </row>
    <row r="2163" spans="2:4" x14ac:dyDescent="0.2">
      <c r="B2163" s="2">
        <v>39274</v>
      </c>
      <c r="C2163" s="61">
        <v>7898.54</v>
      </c>
      <c r="D2163" s="3">
        <f t="shared" si="36"/>
        <v>-8.3141237149644276E-3</v>
      </c>
    </row>
    <row r="2164" spans="2:4" x14ac:dyDescent="0.2">
      <c r="B2164" s="2">
        <v>39275</v>
      </c>
      <c r="C2164" s="61">
        <v>8053.43</v>
      </c>
      <c r="D2164" s="3">
        <f t="shared" si="36"/>
        <v>1.9609953231863209E-2</v>
      </c>
    </row>
    <row r="2165" spans="2:4" x14ac:dyDescent="0.2">
      <c r="B2165" s="2">
        <v>39276</v>
      </c>
      <c r="C2165" s="61">
        <v>8092.77</v>
      </c>
      <c r="D2165" s="3">
        <f t="shared" si="36"/>
        <v>4.884875140157785E-3</v>
      </c>
    </row>
    <row r="2166" spans="2:4" x14ac:dyDescent="0.2">
      <c r="B2166" s="2">
        <v>39279</v>
      </c>
      <c r="C2166" s="61">
        <v>8105.69</v>
      </c>
      <c r="D2166" s="3">
        <f t="shared" si="36"/>
        <v>1.5964867406337291E-3</v>
      </c>
    </row>
    <row r="2167" spans="2:4" x14ac:dyDescent="0.2">
      <c r="B2167" s="2">
        <v>39280</v>
      </c>
      <c r="C2167" s="61">
        <v>8038.21</v>
      </c>
      <c r="D2167" s="3">
        <f t="shared" si="36"/>
        <v>-8.3250161306439585E-3</v>
      </c>
    </row>
    <row r="2168" spans="2:4" x14ac:dyDescent="0.2">
      <c r="B2168" s="2">
        <v>39281</v>
      </c>
      <c r="C2168" s="61">
        <v>7893.61</v>
      </c>
      <c r="D2168" s="3">
        <f t="shared" si="36"/>
        <v>-1.7989079658282225E-2</v>
      </c>
    </row>
    <row r="2169" spans="2:4" x14ac:dyDescent="0.2">
      <c r="B2169" s="2">
        <v>39282</v>
      </c>
      <c r="C2169" s="61">
        <v>7991.21</v>
      </c>
      <c r="D2169" s="3">
        <f t="shared" si="36"/>
        <v>1.2364431483186999E-2</v>
      </c>
    </row>
    <row r="2170" spans="2:4" x14ac:dyDescent="0.2">
      <c r="B2170" s="2">
        <v>39283</v>
      </c>
      <c r="C2170" s="61">
        <v>7874.85</v>
      </c>
      <c r="D2170" s="3">
        <f t="shared" si="36"/>
        <v>-1.4560998897538591E-2</v>
      </c>
    </row>
    <row r="2171" spans="2:4" x14ac:dyDescent="0.2">
      <c r="B2171" s="2">
        <v>39286</v>
      </c>
      <c r="C2171" s="61">
        <v>7944.21</v>
      </c>
      <c r="D2171" s="3">
        <f t="shared" si="36"/>
        <v>8.8077868149869509E-3</v>
      </c>
    </row>
    <row r="2172" spans="2:4" x14ac:dyDescent="0.2">
      <c r="B2172" s="2">
        <v>39287</v>
      </c>
      <c r="C2172" s="61">
        <v>7806.79</v>
      </c>
      <c r="D2172" s="3">
        <f t="shared" si="36"/>
        <v>-1.7298132853990511E-2</v>
      </c>
    </row>
    <row r="2173" spans="2:4" x14ac:dyDescent="0.2">
      <c r="B2173" s="2">
        <v>39288</v>
      </c>
      <c r="C2173" s="61">
        <v>7692.55</v>
      </c>
      <c r="D2173" s="3">
        <f t="shared" si="36"/>
        <v>-1.4633415270552952E-2</v>
      </c>
    </row>
    <row r="2174" spans="2:4" x14ac:dyDescent="0.2">
      <c r="B2174" s="2">
        <v>39289</v>
      </c>
      <c r="C2174" s="61">
        <v>7508.96</v>
      </c>
      <c r="D2174" s="3">
        <f t="shared" si="36"/>
        <v>-2.3865948222630995E-2</v>
      </c>
    </row>
    <row r="2175" spans="2:4" x14ac:dyDescent="0.2">
      <c r="B2175" s="2">
        <v>39290</v>
      </c>
      <c r="C2175" s="61">
        <v>7451.68</v>
      </c>
      <c r="D2175" s="3">
        <f t="shared" si="36"/>
        <v>-7.6282201529904725E-3</v>
      </c>
    </row>
    <row r="2176" spans="2:4" x14ac:dyDescent="0.2">
      <c r="B2176" s="2">
        <v>39293</v>
      </c>
      <c r="C2176" s="61">
        <v>7456.31</v>
      </c>
      <c r="D2176" s="3">
        <f t="shared" si="36"/>
        <v>6.2133639662476092E-4</v>
      </c>
    </row>
    <row r="2177" spans="2:4" x14ac:dyDescent="0.2">
      <c r="B2177" s="2">
        <v>39294</v>
      </c>
      <c r="C2177" s="61">
        <v>7584.14</v>
      </c>
      <c r="D2177" s="3">
        <f t="shared" si="36"/>
        <v>1.7143868750092217E-2</v>
      </c>
    </row>
    <row r="2178" spans="2:4" x14ac:dyDescent="0.2">
      <c r="B2178" s="2">
        <v>39295</v>
      </c>
      <c r="C2178" s="61">
        <v>7473.93</v>
      </c>
      <c r="D2178" s="3">
        <f t="shared" si="36"/>
        <v>-1.4531641029833287E-2</v>
      </c>
    </row>
    <row r="2179" spans="2:4" x14ac:dyDescent="0.2">
      <c r="B2179" s="2">
        <v>39296</v>
      </c>
      <c r="C2179" s="61">
        <v>7534.13</v>
      </c>
      <c r="D2179" s="3">
        <f t="shared" si="36"/>
        <v>8.054664681098167E-3</v>
      </c>
    </row>
    <row r="2180" spans="2:4" x14ac:dyDescent="0.2">
      <c r="B2180" s="2">
        <v>39297</v>
      </c>
      <c r="C2180" s="61">
        <v>7435.67</v>
      </c>
      <c r="D2180" s="3">
        <f t="shared" si="36"/>
        <v>-1.3068529478519775E-2</v>
      </c>
    </row>
    <row r="2181" spans="2:4" x14ac:dyDescent="0.2">
      <c r="B2181" s="2">
        <v>39300</v>
      </c>
      <c r="C2181" s="61">
        <v>7444.45</v>
      </c>
      <c r="D2181" s="3">
        <f t="shared" ref="D2181:D2244" si="37">C2181/C2180-1</f>
        <v>1.1807947367217242E-3</v>
      </c>
    </row>
    <row r="2182" spans="2:4" x14ac:dyDescent="0.2">
      <c r="B2182" s="2">
        <v>39301</v>
      </c>
      <c r="C2182" s="61">
        <v>7513.66</v>
      </c>
      <c r="D2182" s="3">
        <f t="shared" si="37"/>
        <v>9.2968587336874631E-3</v>
      </c>
    </row>
    <row r="2183" spans="2:4" x14ac:dyDescent="0.2">
      <c r="B2183" s="2">
        <v>39302</v>
      </c>
      <c r="C2183" s="61">
        <v>7605.94</v>
      </c>
      <c r="D2183" s="3">
        <f t="shared" si="37"/>
        <v>1.2281631055970132E-2</v>
      </c>
    </row>
    <row r="2184" spans="2:4" x14ac:dyDescent="0.2">
      <c r="B2184" s="2">
        <v>39303</v>
      </c>
      <c r="C2184" s="61">
        <v>7453.59</v>
      </c>
      <c r="D2184" s="3">
        <f t="shared" si="37"/>
        <v>-2.0030397294745872E-2</v>
      </c>
    </row>
    <row r="2185" spans="2:4" x14ac:dyDescent="0.2">
      <c r="B2185" s="2">
        <v>39304</v>
      </c>
      <c r="C2185" s="61">
        <v>7343.26</v>
      </c>
      <c r="D2185" s="3">
        <f t="shared" si="37"/>
        <v>-1.4802263070547217E-2</v>
      </c>
    </row>
    <row r="2186" spans="2:4" x14ac:dyDescent="0.2">
      <c r="B2186" s="2">
        <v>39307</v>
      </c>
      <c r="C2186" s="61">
        <v>7474.33</v>
      </c>
      <c r="D2186" s="3">
        <f t="shared" si="37"/>
        <v>1.7849020734659993E-2</v>
      </c>
    </row>
    <row r="2187" spans="2:4" x14ac:dyDescent="0.2">
      <c r="B2187" s="2">
        <v>39308</v>
      </c>
      <c r="C2187" s="61">
        <v>7425.07</v>
      </c>
      <c r="D2187" s="3">
        <f t="shared" si="37"/>
        <v>-6.5905572807195556E-3</v>
      </c>
    </row>
    <row r="2188" spans="2:4" x14ac:dyDescent="0.2">
      <c r="B2188" s="2">
        <v>39309</v>
      </c>
      <c r="C2188" s="61">
        <v>7445.9</v>
      </c>
      <c r="D2188" s="3">
        <f t="shared" si="37"/>
        <v>2.805360757541564E-3</v>
      </c>
    </row>
    <row r="2189" spans="2:4" x14ac:dyDescent="0.2">
      <c r="B2189" s="2">
        <v>39310</v>
      </c>
      <c r="C2189" s="61">
        <v>7270.07</v>
      </c>
      <c r="D2189" s="3">
        <f t="shared" si="37"/>
        <v>-2.3614338092104337E-2</v>
      </c>
    </row>
    <row r="2190" spans="2:4" x14ac:dyDescent="0.2">
      <c r="B2190" s="2">
        <v>39311</v>
      </c>
      <c r="C2190" s="61">
        <v>7378.29</v>
      </c>
      <c r="D2190" s="3">
        <f t="shared" si="37"/>
        <v>1.488568885856667E-2</v>
      </c>
    </row>
    <row r="2191" spans="2:4" x14ac:dyDescent="0.2">
      <c r="B2191" s="2">
        <v>39314</v>
      </c>
      <c r="C2191" s="61">
        <v>7407.53</v>
      </c>
      <c r="D2191" s="3">
        <f t="shared" si="37"/>
        <v>3.9629778715664088E-3</v>
      </c>
    </row>
    <row r="2192" spans="2:4" x14ac:dyDescent="0.2">
      <c r="B2192" s="2">
        <v>39315</v>
      </c>
      <c r="C2192" s="61">
        <v>7424.75</v>
      </c>
      <c r="D2192" s="3">
        <f t="shared" si="37"/>
        <v>2.3246615268517345E-3</v>
      </c>
    </row>
    <row r="2193" spans="2:4" x14ac:dyDescent="0.2">
      <c r="B2193" s="2">
        <v>39316</v>
      </c>
      <c r="C2193" s="61">
        <v>7500.48</v>
      </c>
      <c r="D2193" s="3">
        <f t="shared" si="37"/>
        <v>1.0199670022559726E-2</v>
      </c>
    </row>
    <row r="2194" spans="2:4" x14ac:dyDescent="0.2">
      <c r="B2194" s="2">
        <v>39317</v>
      </c>
      <c r="C2194" s="61">
        <v>7511.96</v>
      </c>
      <c r="D2194" s="3">
        <f t="shared" si="37"/>
        <v>1.5305687102693533E-3</v>
      </c>
    </row>
    <row r="2195" spans="2:4" x14ac:dyDescent="0.2">
      <c r="B2195" s="2">
        <v>39318</v>
      </c>
      <c r="C2195" s="61">
        <v>7507.27</v>
      </c>
      <c r="D2195" s="3">
        <f t="shared" si="37"/>
        <v>-6.2433772277803445E-4</v>
      </c>
    </row>
    <row r="2196" spans="2:4" x14ac:dyDescent="0.2">
      <c r="B2196" s="2">
        <v>39321</v>
      </c>
      <c r="C2196" s="61">
        <v>7485.99</v>
      </c>
      <c r="D2196" s="3">
        <f t="shared" si="37"/>
        <v>-2.8345856749525389E-3</v>
      </c>
    </row>
    <row r="2197" spans="2:4" x14ac:dyDescent="0.2">
      <c r="B2197" s="2">
        <v>39322</v>
      </c>
      <c r="C2197" s="61">
        <v>7430.24</v>
      </c>
      <c r="D2197" s="3">
        <f t="shared" si="37"/>
        <v>-7.4472447865946423E-3</v>
      </c>
    </row>
    <row r="2198" spans="2:4" x14ac:dyDescent="0.2">
      <c r="B2198" s="2">
        <v>39323</v>
      </c>
      <c r="C2198" s="61">
        <v>7439.18</v>
      </c>
      <c r="D2198" s="3">
        <f t="shared" si="37"/>
        <v>1.2031912831886871E-3</v>
      </c>
    </row>
    <row r="2199" spans="2:4" x14ac:dyDescent="0.2">
      <c r="B2199" s="2">
        <v>39324</v>
      </c>
      <c r="C2199" s="61">
        <v>7519.94</v>
      </c>
      <c r="D2199" s="3">
        <f t="shared" si="37"/>
        <v>1.0856035208181458E-2</v>
      </c>
    </row>
    <row r="2200" spans="2:4" x14ac:dyDescent="0.2">
      <c r="B2200" s="2">
        <v>39325</v>
      </c>
      <c r="C2200" s="61">
        <v>7638.17</v>
      </c>
      <c r="D2200" s="3">
        <f t="shared" si="37"/>
        <v>1.5722199911169632E-2</v>
      </c>
    </row>
    <row r="2201" spans="2:4" x14ac:dyDescent="0.2">
      <c r="B2201" s="2">
        <v>39328</v>
      </c>
      <c r="C2201" s="61">
        <v>7648.58</v>
      </c>
      <c r="D2201" s="3">
        <f t="shared" si="37"/>
        <v>1.3628918968811021E-3</v>
      </c>
    </row>
    <row r="2202" spans="2:4" x14ac:dyDescent="0.2">
      <c r="B2202" s="2">
        <v>39329</v>
      </c>
      <c r="C2202" s="61">
        <v>7721.77</v>
      </c>
      <c r="D2202" s="3">
        <f t="shared" si="37"/>
        <v>9.5690964858836658E-3</v>
      </c>
    </row>
    <row r="2203" spans="2:4" x14ac:dyDescent="0.2">
      <c r="B2203" s="2">
        <v>39330</v>
      </c>
      <c r="C2203" s="61">
        <v>7588.03</v>
      </c>
      <c r="D2203" s="3">
        <f t="shared" si="37"/>
        <v>-1.7319863191988416E-2</v>
      </c>
    </row>
    <row r="2204" spans="2:4" x14ac:dyDescent="0.2">
      <c r="B2204" s="2">
        <v>39331</v>
      </c>
      <c r="C2204" s="61">
        <v>7621.72</v>
      </c>
      <c r="D2204" s="3">
        <f t="shared" si="37"/>
        <v>4.4398875597486676E-3</v>
      </c>
    </row>
    <row r="2205" spans="2:4" x14ac:dyDescent="0.2">
      <c r="B2205" s="2">
        <v>39332</v>
      </c>
      <c r="C2205" s="61">
        <v>7436.63</v>
      </c>
      <c r="D2205" s="3">
        <f t="shared" si="37"/>
        <v>-2.4284544695947874E-2</v>
      </c>
    </row>
    <row r="2206" spans="2:4" x14ac:dyDescent="0.2">
      <c r="B2206" s="2">
        <v>39335</v>
      </c>
      <c r="C2206" s="61">
        <v>7375.44</v>
      </c>
      <c r="D2206" s="3">
        <f t="shared" si="37"/>
        <v>-8.2281893814806217E-3</v>
      </c>
    </row>
    <row r="2207" spans="2:4" x14ac:dyDescent="0.2">
      <c r="B2207" s="2">
        <v>39336</v>
      </c>
      <c r="C2207" s="61">
        <v>7457.9</v>
      </c>
      <c r="D2207" s="3">
        <f t="shared" si="37"/>
        <v>1.118034991810668E-2</v>
      </c>
    </row>
    <row r="2208" spans="2:4" x14ac:dyDescent="0.2">
      <c r="B2208" s="2">
        <v>39337</v>
      </c>
      <c r="C2208" s="61">
        <v>7472.99</v>
      </c>
      <c r="D2208" s="3">
        <f t="shared" si="37"/>
        <v>2.0233577816812787E-3</v>
      </c>
    </row>
    <row r="2209" spans="2:4" x14ac:dyDescent="0.2">
      <c r="B2209" s="2">
        <v>39338</v>
      </c>
      <c r="C2209" s="61">
        <v>7535.97</v>
      </c>
      <c r="D2209" s="3">
        <f t="shared" si="37"/>
        <v>8.4276842334862767E-3</v>
      </c>
    </row>
    <row r="2210" spans="2:4" x14ac:dyDescent="0.2">
      <c r="B2210" s="2">
        <v>39339</v>
      </c>
      <c r="C2210" s="61">
        <v>7497.74</v>
      </c>
      <c r="D2210" s="3">
        <f t="shared" si="37"/>
        <v>-5.0730032099385314E-3</v>
      </c>
    </row>
    <row r="2211" spans="2:4" x14ac:dyDescent="0.2">
      <c r="B2211" s="2">
        <v>39342</v>
      </c>
      <c r="C2211" s="61">
        <v>7479.85</v>
      </c>
      <c r="D2211" s="3">
        <f t="shared" si="37"/>
        <v>-2.3860523304355397E-3</v>
      </c>
    </row>
    <row r="2212" spans="2:4" x14ac:dyDescent="0.2">
      <c r="B2212" s="2">
        <v>39343</v>
      </c>
      <c r="C2212" s="61">
        <v>7575.21</v>
      </c>
      <c r="D2212" s="3">
        <f t="shared" si="37"/>
        <v>1.274891876173978E-2</v>
      </c>
    </row>
    <row r="2213" spans="2:4" x14ac:dyDescent="0.2">
      <c r="B2213" s="2">
        <v>39344</v>
      </c>
      <c r="C2213" s="61">
        <v>7750.84</v>
      </c>
      <c r="D2213" s="3">
        <f t="shared" si="37"/>
        <v>2.318483579993158E-2</v>
      </c>
    </row>
    <row r="2214" spans="2:4" x14ac:dyDescent="0.2">
      <c r="B2214" s="2">
        <v>39345</v>
      </c>
      <c r="C2214" s="61">
        <v>7735.09</v>
      </c>
      <c r="D2214" s="3">
        <f t="shared" si="37"/>
        <v>-2.0320378178365628E-3</v>
      </c>
    </row>
    <row r="2215" spans="2:4" x14ac:dyDescent="0.2">
      <c r="B2215" s="2">
        <v>39346</v>
      </c>
      <c r="C2215" s="61">
        <v>7794.43</v>
      </c>
      <c r="D2215" s="3">
        <f t="shared" si="37"/>
        <v>7.6715332336145803E-3</v>
      </c>
    </row>
    <row r="2216" spans="2:4" x14ac:dyDescent="0.2">
      <c r="B2216" s="2">
        <v>39349</v>
      </c>
      <c r="C2216" s="61">
        <v>7787.92</v>
      </c>
      <c r="D2216" s="3">
        <f t="shared" si="37"/>
        <v>-8.3521181151158252E-4</v>
      </c>
    </row>
    <row r="2217" spans="2:4" x14ac:dyDescent="0.2">
      <c r="B2217" s="2">
        <v>39350</v>
      </c>
      <c r="C2217" s="61">
        <v>7769.44</v>
      </c>
      <c r="D2217" s="3">
        <f t="shared" si="37"/>
        <v>-2.3729057309269663E-3</v>
      </c>
    </row>
    <row r="2218" spans="2:4" x14ac:dyDescent="0.2">
      <c r="B2218" s="2">
        <v>39351</v>
      </c>
      <c r="C2218" s="61">
        <v>7804.15</v>
      </c>
      <c r="D2218" s="3">
        <f t="shared" si="37"/>
        <v>4.4675034494121579E-3</v>
      </c>
    </row>
    <row r="2219" spans="2:4" x14ac:dyDescent="0.2">
      <c r="B2219" s="2">
        <v>39352</v>
      </c>
      <c r="C2219" s="61">
        <v>7853.79</v>
      </c>
      <c r="D2219" s="3">
        <f t="shared" si="37"/>
        <v>6.3607183357572428E-3</v>
      </c>
    </row>
    <row r="2220" spans="2:4" x14ac:dyDescent="0.2">
      <c r="B2220" s="2">
        <v>39353</v>
      </c>
      <c r="C2220" s="61">
        <v>7861.51</v>
      </c>
      <c r="D2220" s="3">
        <f t="shared" si="37"/>
        <v>9.829649124817319E-4</v>
      </c>
    </row>
    <row r="2221" spans="2:4" x14ac:dyDescent="0.2">
      <c r="B2221" s="2">
        <v>39356</v>
      </c>
      <c r="C2221" s="61">
        <v>7922.42</v>
      </c>
      <c r="D2221" s="3">
        <f t="shared" si="37"/>
        <v>7.7478754081594658E-3</v>
      </c>
    </row>
    <row r="2222" spans="2:4" x14ac:dyDescent="0.2">
      <c r="B2222" s="2">
        <v>39357</v>
      </c>
      <c r="C2222" s="61">
        <v>7946.79</v>
      </c>
      <c r="D2222" s="3">
        <f t="shared" si="37"/>
        <v>3.0760802885987371E-3</v>
      </c>
    </row>
    <row r="2223" spans="2:4" x14ac:dyDescent="0.2">
      <c r="B2223" s="2">
        <v>39358</v>
      </c>
      <c r="C2223" s="61">
        <v>7955.3</v>
      </c>
      <c r="D2223" s="3">
        <f t="shared" si="37"/>
        <v>1.0708726416579495E-3</v>
      </c>
    </row>
    <row r="2224" spans="2:4" x14ac:dyDescent="0.2">
      <c r="B2224" s="2">
        <v>39359</v>
      </c>
      <c r="C2224" s="61">
        <v>7944.99</v>
      </c>
      <c r="D2224" s="3">
        <f t="shared" si="37"/>
        <v>-1.2959913516775723E-3</v>
      </c>
    </row>
    <row r="2225" spans="2:4" x14ac:dyDescent="0.2">
      <c r="B2225" s="2">
        <v>39360</v>
      </c>
      <c r="C2225" s="61">
        <v>8002.18</v>
      </c>
      <c r="D2225" s="3">
        <f t="shared" si="37"/>
        <v>7.1982469455593723E-3</v>
      </c>
    </row>
    <row r="2226" spans="2:4" x14ac:dyDescent="0.2">
      <c r="B2226" s="2">
        <v>39363</v>
      </c>
      <c r="C2226" s="61">
        <v>7974.37</v>
      </c>
      <c r="D2226" s="3">
        <f t="shared" si="37"/>
        <v>-3.4753029799380331E-3</v>
      </c>
    </row>
    <row r="2227" spans="2:4" x14ac:dyDescent="0.2">
      <c r="B2227" s="2">
        <v>39364</v>
      </c>
      <c r="C2227" s="61">
        <v>7980.44</v>
      </c>
      <c r="D2227" s="3">
        <f t="shared" si="37"/>
        <v>7.6118865816354742E-4</v>
      </c>
    </row>
    <row r="2228" spans="2:4" x14ac:dyDescent="0.2">
      <c r="B2228" s="2">
        <v>39365</v>
      </c>
      <c r="C2228" s="61">
        <v>7986.57</v>
      </c>
      <c r="D2228" s="3">
        <f t="shared" si="37"/>
        <v>7.6812807313886289E-4</v>
      </c>
    </row>
    <row r="2229" spans="2:4" x14ac:dyDescent="0.2">
      <c r="B2229" s="2">
        <v>39366</v>
      </c>
      <c r="C2229" s="61">
        <v>8033.69</v>
      </c>
      <c r="D2229" s="3">
        <f t="shared" si="37"/>
        <v>5.899904464619965E-3</v>
      </c>
    </row>
    <row r="2230" spans="2:4" x14ac:dyDescent="0.2">
      <c r="B2230" s="2">
        <v>39367</v>
      </c>
      <c r="C2230" s="61">
        <v>8041.26</v>
      </c>
      <c r="D2230" s="3">
        <f t="shared" si="37"/>
        <v>9.4228181570366054E-4</v>
      </c>
    </row>
    <row r="2231" spans="2:4" x14ac:dyDescent="0.2">
      <c r="B2231" s="2">
        <v>39370</v>
      </c>
      <c r="C2231" s="61">
        <v>7969.47</v>
      </c>
      <c r="D2231" s="3">
        <f t="shared" si="37"/>
        <v>-8.9277053596078515E-3</v>
      </c>
    </row>
    <row r="2232" spans="2:4" x14ac:dyDescent="0.2">
      <c r="B2232" s="2">
        <v>39371</v>
      </c>
      <c r="C2232" s="61">
        <v>7962.64</v>
      </c>
      <c r="D2232" s="3">
        <f t="shared" si="37"/>
        <v>-8.5702060488335174E-4</v>
      </c>
    </row>
    <row r="2233" spans="2:4" x14ac:dyDescent="0.2">
      <c r="B2233" s="2">
        <v>39372</v>
      </c>
      <c r="C2233" s="61">
        <v>7985.41</v>
      </c>
      <c r="D2233" s="3">
        <f t="shared" si="37"/>
        <v>2.8596043523252401E-3</v>
      </c>
    </row>
    <row r="2234" spans="2:4" x14ac:dyDescent="0.2">
      <c r="B2234" s="2">
        <v>39373</v>
      </c>
      <c r="C2234" s="61">
        <v>7921.4</v>
      </c>
      <c r="D2234" s="3">
        <f t="shared" si="37"/>
        <v>-8.0158689409811634E-3</v>
      </c>
    </row>
    <row r="2235" spans="2:4" x14ac:dyDescent="0.2">
      <c r="B2235" s="2">
        <v>39374</v>
      </c>
      <c r="C2235" s="61">
        <v>7884.12</v>
      </c>
      <c r="D2235" s="3">
        <f t="shared" si="37"/>
        <v>-4.7062387961723795E-3</v>
      </c>
    </row>
    <row r="2236" spans="2:4" x14ac:dyDescent="0.2">
      <c r="B2236" s="2">
        <v>39377</v>
      </c>
      <c r="C2236" s="61">
        <v>7794.94</v>
      </c>
      <c r="D2236" s="3">
        <f t="shared" si="37"/>
        <v>-1.1311344829860515E-2</v>
      </c>
    </row>
    <row r="2237" spans="2:4" x14ac:dyDescent="0.2">
      <c r="B2237" s="2">
        <v>39378</v>
      </c>
      <c r="C2237" s="61">
        <v>7842.79</v>
      </c>
      <c r="D2237" s="3">
        <f t="shared" si="37"/>
        <v>6.1385976030605693E-3</v>
      </c>
    </row>
    <row r="2238" spans="2:4" x14ac:dyDescent="0.2">
      <c r="B2238" s="2">
        <v>39379</v>
      </c>
      <c r="C2238" s="61">
        <v>7828.96</v>
      </c>
      <c r="D2238" s="3">
        <f t="shared" si="37"/>
        <v>-1.7634030746711549E-3</v>
      </c>
    </row>
    <row r="2239" spans="2:4" x14ac:dyDescent="0.2">
      <c r="B2239" s="2">
        <v>39380</v>
      </c>
      <c r="C2239" s="61">
        <v>7932.44</v>
      </c>
      <c r="D2239" s="3">
        <f t="shared" si="37"/>
        <v>1.3217592119515231E-2</v>
      </c>
    </row>
    <row r="2240" spans="2:4" x14ac:dyDescent="0.2">
      <c r="B2240" s="2">
        <v>39381</v>
      </c>
      <c r="C2240" s="61">
        <v>7949.17</v>
      </c>
      <c r="D2240" s="3">
        <f t="shared" si="37"/>
        <v>2.1090610203167159E-3</v>
      </c>
    </row>
    <row r="2241" spans="2:4" x14ac:dyDescent="0.2">
      <c r="B2241" s="2">
        <v>39384</v>
      </c>
      <c r="C2241" s="61">
        <v>8009.67</v>
      </c>
      <c r="D2241" s="3">
        <f t="shared" si="37"/>
        <v>7.6108574857500777E-3</v>
      </c>
    </row>
    <row r="2242" spans="2:4" x14ac:dyDescent="0.2">
      <c r="B2242" s="2">
        <v>39385</v>
      </c>
      <c r="C2242" s="61">
        <v>7977.94</v>
      </c>
      <c r="D2242" s="3">
        <f t="shared" si="37"/>
        <v>-3.9614615833112321E-3</v>
      </c>
    </row>
    <row r="2243" spans="2:4" x14ac:dyDescent="0.2">
      <c r="B2243" s="2">
        <v>39386</v>
      </c>
      <c r="C2243" s="61">
        <v>8019.22</v>
      </c>
      <c r="D2243" s="3">
        <f t="shared" si="37"/>
        <v>5.1742680441317912E-3</v>
      </c>
    </row>
    <row r="2244" spans="2:4" x14ac:dyDescent="0.2">
      <c r="B2244" s="2">
        <v>39387</v>
      </c>
      <c r="C2244" s="61">
        <v>7880.85</v>
      </c>
      <c r="D2244" s="3">
        <f t="shared" si="37"/>
        <v>-1.7254795354161634E-2</v>
      </c>
    </row>
    <row r="2245" spans="2:4" x14ac:dyDescent="0.2">
      <c r="B2245" s="2">
        <v>39388</v>
      </c>
      <c r="C2245" s="61">
        <v>7849.49</v>
      </c>
      <c r="D2245" s="3">
        <f t="shared" ref="D2245:D2308" si="38">C2245/C2244-1</f>
        <v>-3.9792661959053843E-3</v>
      </c>
    </row>
    <row r="2246" spans="2:4" x14ac:dyDescent="0.2">
      <c r="B2246" s="2">
        <v>39391</v>
      </c>
      <c r="C2246" s="61">
        <v>7807.55</v>
      </c>
      <c r="D2246" s="3">
        <f t="shared" si="38"/>
        <v>-5.3430222855241905E-3</v>
      </c>
    </row>
    <row r="2247" spans="2:4" x14ac:dyDescent="0.2">
      <c r="B2247" s="2">
        <v>39392</v>
      </c>
      <c r="C2247" s="61">
        <v>7827.19</v>
      </c>
      <c r="D2247" s="3">
        <f t="shared" si="38"/>
        <v>2.515513829562277E-3</v>
      </c>
    </row>
    <row r="2248" spans="2:4" x14ac:dyDescent="0.2">
      <c r="B2248" s="2">
        <v>39393</v>
      </c>
      <c r="C2248" s="61">
        <v>7799.62</v>
      </c>
      <c r="D2248" s="3">
        <f t="shared" si="38"/>
        <v>-3.5223368795186394E-3</v>
      </c>
    </row>
    <row r="2249" spans="2:4" x14ac:dyDescent="0.2">
      <c r="B2249" s="2">
        <v>39394</v>
      </c>
      <c r="C2249" s="61">
        <v>7819.47</v>
      </c>
      <c r="D2249" s="3">
        <f t="shared" si="38"/>
        <v>2.5449957818457491E-3</v>
      </c>
    </row>
    <row r="2250" spans="2:4" x14ac:dyDescent="0.2">
      <c r="B2250" s="2">
        <v>39395</v>
      </c>
      <c r="C2250" s="61">
        <v>7812.4</v>
      </c>
      <c r="D2250" s="3">
        <f t="shared" si="38"/>
        <v>-9.0415335054683243E-4</v>
      </c>
    </row>
    <row r="2251" spans="2:4" x14ac:dyDescent="0.2">
      <c r="B2251" s="2">
        <v>39398</v>
      </c>
      <c r="C2251" s="61">
        <v>7806.84</v>
      </c>
      <c r="D2251" s="3">
        <f t="shared" si="38"/>
        <v>-7.116891096204947E-4</v>
      </c>
    </row>
    <row r="2252" spans="2:4" x14ac:dyDescent="0.2">
      <c r="B2252" s="2">
        <v>39399</v>
      </c>
      <c r="C2252" s="61">
        <v>7777.56</v>
      </c>
      <c r="D2252" s="3">
        <f t="shared" si="38"/>
        <v>-3.7505572036828916E-3</v>
      </c>
    </row>
    <row r="2253" spans="2:4" x14ac:dyDescent="0.2">
      <c r="B2253" s="2">
        <v>39400</v>
      </c>
      <c r="C2253" s="61">
        <v>7783.11</v>
      </c>
      <c r="D2253" s="3">
        <f t="shared" si="38"/>
        <v>7.135914091307427E-4</v>
      </c>
    </row>
    <row r="2254" spans="2:4" x14ac:dyDescent="0.2">
      <c r="B2254" s="2">
        <v>39401</v>
      </c>
      <c r="C2254" s="61">
        <v>7667.03</v>
      </c>
      <c r="D2254" s="3">
        <f t="shared" si="38"/>
        <v>-1.4914346578681292E-2</v>
      </c>
    </row>
    <row r="2255" spans="2:4" x14ac:dyDescent="0.2">
      <c r="B2255" s="2">
        <v>39402</v>
      </c>
      <c r="C2255" s="61">
        <v>7612.26</v>
      </c>
      <c r="D2255" s="3">
        <f t="shared" si="38"/>
        <v>-7.1435745001648954E-3</v>
      </c>
    </row>
    <row r="2256" spans="2:4" x14ac:dyDescent="0.2">
      <c r="B2256" s="2">
        <v>39405</v>
      </c>
      <c r="C2256" s="61">
        <v>7511.97</v>
      </c>
      <c r="D2256" s="3">
        <f t="shared" si="38"/>
        <v>-1.3174799599593334E-2</v>
      </c>
    </row>
    <row r="2257" spans="2:4" x14ac:dyDescent="0.2">
      <c r="B2257" s="2">
        <v>39406</v>
      </c>
      <c r="C2257" s="61">
        <v>7630.31</v>
      </c>
      <c r="D2257" s="3">
        <f t="shared" si="38"/>
        <v>1.5753524042295242E-2</v>
      </c>
    </row>
    <row r="2258" spans="2:4" x14ac:dyDescent="0.2">
      <c r="B2258" s="2">
        <v>39407</v>
      </c>
      <c r="C2258" s="61">
        <v>7518.42</v>
      </c>
      <c r="D2258" s="3">
        <f t="shared" si="38"/>
        <v>-1.4663886526235514E-2</v>
      </c>
    </row>
    <row r="2259" spans="2:4" x14ac:dyDescent="0.2">
      <c r="B2259" s="2">
        <v>39408</v>
      </c>
      <c r="C2259" s="61">
        <v>7562.1</v>
      </c>
      <c r="D2259" s="3">
        <f t="shared" si="38"/>
        <v>5.8097312999274564E-3</v>
      </c>
    </row>
    <row r="2260" spans="2:4" x14ac:dyDescent="0.2">
      <c r="B2260" s="2">
        <v>39409</v>
      </c>
      <c r="C2260" s="61">
        <v>7608.96</v>
      </c>
      <c r="D2260" s="3">
        <f t="shared" si="38"/>
        <v>6.1966913952473668E-3</v>
      </c>
    </row>
    <row r="2261" spans="2:4" x14ac:dyDescent="0.2">
      <c r="B2261" s="2">
        <v>39412</v>
      </c>
      <c r="C2261" s="61">
        <v>7567.36</v>
      </c>
      <c r="D2261" s="3">
        <f t="shared" si="38"/>
        <v>-5.4672386239381643E-3</v>
      </c>
    </row>
    <row r="2262" spans="2:4" x14ac:dyDescent="0.2">
      <c r="B2262" s="2">
        <v>39413</v>
      </c>
      <c r="C2262" s="61">
        <v>7531.35</v>
      </c>
      <c r="D2262" s="3">
        <f t="shared" si="38"/>
        <v>-4.7585948071717787E-3</v>
      </c>
    </row>
    <row r="2263" spans="2:4" x14ac:dyDescent="0.2">
      <c r="B2263" s="2">
        <v>39414</v>
      </c>
      <c r="C2263" s="61">
        <v>7723.66</v>
      </c>
      <c r="D2263" s="3">
        <f t="shared" si="38"/>
        <v>2.55345987107225E-2</v>
      </c>
    </row>
    <row r="2264" spans="2:4" x14ac:dyDescent="0.2">
      <c r="B2264" s="2">
        <v>39415</v>
      </c>
      <c r="C2264" s="61">
        <v>7765.19</v>
      </c>
      <c r="D2264" s="3">
        <f t="shared" si="38"/>
        <v>5.376984486629377E-3</v>
      </c>
    </row>
    <row r="2265" spans="2:4" x14ac:dyDescent="0.2">
      <c r="B2265" s="2">
        <v>39416</v>
      </c>
      <c r="C2265" s="61">
        <v>7870.52</v>
      </c>
      <c r="D2265" s="3">
        <f t="shared" si="38"/>
        <v>1.3564381554089566E-2</v>
      </c>
    </row>
    <row r="2266" spans="2:4" x14ac:dyDescent="0.2">
      <c r="B2266" s="2">
        <v>39419</v>
      </c>
      <c r="C2266" s="61">
        <v>7837.26</v>
      </c>
      <c r="D2266" s="3">
        <f t="shared" si="38"/>
        <v>-4.2258961288453856E-3</v>
      </c>
    </row>
    <row r="2267" spans="2:4" x14ac:dyDescent="0.2">
      <c r="B2267" s="2">
        <v>39420</v>
      </c>
      <c r="C2267" s="61">
        <v>7808.94</v>
      </c>
      <c r="D2267" s="3">
        <f t="shared" si="38"/>
        <v>-3.6135077820566019E-3</v>
      </c>
    </row>
    <row r="2268" spans="2:4" x14ac:dyDescent="0.2">
      <c r="B2268" s="2">
        <v>39421</v>
      </c>
      <c r="C2268" s="61">
        <v>7944.77</v>
      </c>
      <c r="D2268" s="3">
        <f t="shared" si="38"/>
        <v>1.7394166173642089E-2</v>
      </c>
    </row>
    <row r="2269" spans="2:4" x14ac:dyDescent="0.2">
      <c r="B2269" s="2">
        <v>39422</v>
      </c>
      <c r="C2269" s="61">
        <v>7940.58</v>
      </c>
      <c r="D2269" s="3">
        <f t="shared" si="38"/>
        <v>-5.2739097544685087E-4</v>
      </c>
    </row>
    <row r="2270" spans="2:4" x14ac:dyDescent="0.2">
      <c r="B2270" s="2">
        <v>39423</v>
      </c>
      <c r="C2270" s="61">
        <v>7994.07</v>
      </c>
      <c r="D2270" s="3">
        <f t="shared" si="38"/>
        <v>6.7362837475348769E-3</v>
      </c>
    </row>
    <row r="2271" spans="2:4" x14ac:dyDescent="0.2">
      <c r="B2271" s="2">
        <v>39426</v>
      </c>
      <c r="C2271" s="61">
        <v>8033.36</v>
      </c>
      <c r="D2271" s="3">
        <f t="shared" si="38"/>
        <v>4.9148931645581762E-3</v>
      </c>
    </row>
    <row r="2272" spans="2:4" x14ac:dyDescent="0.2">
      <c r="B2272" s="2">
        <v>39427</v>
      </c>
      <c r="C2272" s="61">
        <v>8009.42</v>
      </c>
      <c r="D2272" s="3">
        <f t="shared" si="38"/>
        <v>-2.9800730951929921E-3</v>
      </c>
    </row>
    <row r="2273" spans="2:4" x14ac:dyDescent="0.2">
      <c r="B2273" s="2">
        <v>39428</v>
      </c>
      <c r="C2273" s="61">
        <v>8076.12</v>
      </c>
      <c r="D2273" s="3">
        <f t="shared" si="38"/>
        <v>8.3276941401499993E-3</v>
      </c>
    </row>
    <row r="2274" spans="2:4" x14ac:dyDescent="0.2">
      <c r="B2274" s="2">
        <v>39429</v>
      </c>
      <c r="C2274" s="61">
        <v>7928.31</v>
      </c>
      <c r="D2274" s="3">
        <f t="shared" si="38"/>
        <v>-1.8302105466486362E-2</v>
      </c>
    </row>
    <row r="2275" spans="2:4" x14ac:dyDescent="0.2">
      <c r="B2275" s="2">
        <v>39430</v>
      </c>
      <c r="C2275" s="61">
        <v>7948.36</v>
      </c>
      <c r="D2275" s="3">
        <f t="shared" si="38"/>
        <v>2.5289122145828458E-3</v>
      </c>
    </row>
    <row r="2276" spans="2:4" x14ac:dyDescent="0.2">
      <c r="B2276" s="2">
        <v>39433</v>
      </c>
      <c r="C2276" s="61">
        <v>7825.44</v>
      </c>
      <c r="D2276" s="3">
        <f t="shared" si="38"/>
        <v>-1.5464825448268549E-2</v>
      </c>
    </row>
    <row r="2277" spans="2:4" x14ac:dyDescent="0.2">
      <c r="B2277" s="2">
        <v>39434</v>
      </c>
      <c r="C2277" s="61">
        <v>7850.74</v>
      </c>
      <c r="D2277" s="3">
        <f t="shared" si="38"/>
        <v>3.2330450428346147E-3</v>
      </c>
    </row>
    <row r="2278" spans="2:4" x14ac:dyDescent="0.2">
      <c r="B2278" s="2">
        <v>39435</v>
      </c>
      <c r="C2278" s="61">
        <v>7837.32</v>
      </c>
      <c r="D2278" s="3">
        <f t="shared" si="38"/>
        <v>-1.709392999895587E-3</v>
      </c>
    </row>
    <row r="2279" spans="2:4" x14ac:dyDescent="0.2">
      <c r="B2279" s="2">
        <v>39436</v>
      </c>
      <c r="C2279" s="61">
        <v>7869.19</v>
      </c>
      <c r="D2279" s="3">
        <f t="shared" si="38"/>
        <v>4.066441079348504E-3</v>
      </c>
    </row>
    <row r="2280" spans="2:4" x14ac:dyDescent="0.2">
      <c r="B2280" s="2">
        <v>39437</v>
      </c>
      <c r="C2280" s="61">
        <v>8002.67</v>
      </c>
      <c r="D2280" s="3">
        <f t="shared" si="38"/>
        <v>1.6962355718949551E-2</v>
      </c>
    </row>
    <row r="2281" spans="2:4" x14ac:dyDescent="0.2">
      <c r="B2281" s="2">
        <v>39443</v>
      </c>
      <c r="C2281" s="61">
        <v>8038.6</v>
      </c>
      <c r="D2281" s="3">
        <f t="shared" si="38"/>
        <v>4.4897515454218606E-3</v>
      </c>
    </row>
    <row r="2282" spans="2:4" x14ac:dyDescent="0.2">
      <c r="B2282" s="2">
        <v>39444</v>
      </c>
      <c r="C2282" s="61">
        <v>8067.32</v>
      </c>
      <c r="D2282" s="3">
        <f t="shared" si="38"/>
        <v>3.5727614261189533E-3</v>
      </c>
    </row>
    <row r="2283" spans="2:4" x14ac:dyDescent="0.2">
      <c r="B2283" s="2">
        <v>39449</v>
      </c>
      <c r="C2283" s="61">
        <v>7949.11</v>
      </c>
      <c r="D2283" s="3">
        <f t="shared" si="38"/>
        <v>-1.4652945463921152E-2</v>
      </c>
    </row>
    <row r="2284" spans="2:4" x14ac:dyDescent="0.2">
      <c r="B2284" s="2">
        <v>39450</v>
      </c>
      <c r="C2284" s="61">
        <v>7908.41</v>
      </c>
      <c r="D2284" s="3">
        <f t="shared" si="38"/>
        <v>-5.1200700455773518E-3</v>
      </c>
    </row>
    <row r="2285" spans="2:4" x14ac:dyDescent="0.2">
      <c r="B2285" s="2">
        <v>39451</v>
      </c>
      <c r="C2285" s="61">
        <v>7808.69</v>
      </c>
      <c r="D2285" s="3">
        <f t="shared" si="38"/>
        <v>-1.2609361426633159E-2</v>
      </c>
    </row>
    <row r="2286" spans="2:4" x14ac:dyDescent="0.2">
      <c r="B2286" s="2">
        <v>39454</v>
      </c>
      <c r="C2286" s="61">
        <v>7817.17</v>
      </c>
      <c r="D2286" s="3">
        <f t="shared" si="38"/>
        <v>1.085969605657322E-3</v>
      </c>
    </row>
    <row r="2287" spans="2:4" x14ac:dyDescent="0.2">
      <c r="B2287" s="2">
        <v>39455</v>
      </c>
      <c r="C2287" s="61">
        <v>7849.99</v>
      </c>
      <c r="D2287" s="3">
        <f t="shared" si="38"/>
        <v>4.1984503343281965E-3</v>
      </c>
    </row>
    <row r="2288" spans="2:4" x14ac:dyDescent="0.2">
      <c r="B2288" s="2">
        <v>39456</v>
      </c>
      <c r="C2288" s="61">
        <v>7782.71</v>
      </c>
      <c r="D2288" s="3">
        <f t="shared" si="38"/>
        <v>-8.5707115550465174E-3</v>
      </c>
    </row>
    <row r="2289" spans="2:4" x14ac:dyDescent="0.2">
      <c r="B2289" s="2">
        <v>39457</v>
      </c>
      <c r="C2289" s="61">
        <v>7713.09</v>
      </c>
      <c r="D2289" s="3">
        <f t="shared" si="38"/>
        <v>-8.9454701511426649E-3</v>
      </c>
    </row>
    <row r="2290" spans="2:4" x14ac:dyDescent="0.2">
      <c r="B2290" s="2">
        <v>39458</v>
      </c>
      <c r="C2290" s="61">
        <v>7717.95</v>
      </c>
      <c r="D2290" s="3">
        <f t="shared" si="38"/>
        <v>6.3009766513810739E-4</v>
      </c>
    </row>
    <row r="2291" spans="2:4" x14ac:dyDescent="0.2">
      <c r="B2291" s="2">
        <v>39461</v>
      </c>
      <c r="C2291" s="61">
        <v>7732.02</v>
      </c>
      <c r="D2291" s="3">
        <f t="shared" si="38"/>
        <v>1.8230229529863085E-3</v>
      </c>
    </row>
    <row r="2292" spans="2:4" x14ac:dyDescent="0.2">
      <c r="B2292" s="2">
        <v>39462</v>
      </c>
      <c r="C2292" s="61">
        <v>7566.38</v>
      </c>
      <c r="D2292" s="3">
        <f t="shared" si="38"/>
        <v>-2.1422603666312323E-2</v>
      </c>
    </row>
    <row r="2293" spans="2:4" x14ac:dyDescent="0.2">
      <c r="B2293" s="2">
        <v>39463</v>
      </c>
      <c r="C2293" s="61">
        <v>7471.57</v>
      </c>
      <c r="D2293" s="3">
        <f t="shared" si="38"/>
        <v>-1.2530430668298509E-2</v>
      </c>
    </row>
    <row r="2294" spans="2:4" x14ac:dyDescent="0.2">
      <c r="B2294" s="2">
        <v>39464</v>
      </c>
      <c r="C2294" s="61">
        <v>7413.53</v>
      </c>
      <c r="D2294" s="3">
        <f t="shared" si="38"/>
        <v>-7.7681129936546522E-3</v>
      </c>
    </row>
    <row r="2295" spans="2:4" x14ac:dyDescent="0.2">
      <c r="B2295" s="2">
        <v>39465</v>
      </c>
      <c r="C2295" s="61">
        <v>7314.17</v>
      </c>
      <c r="D2295" s="3">
        <f t="shared" si="38"/>
        <v>-1.3402522145320783E-2</v>
      </c>
    </row>
    <row r="2296" spans="2:4" x14ac:dyDescent="0.2">
      <c r="B2296" s="2">
        <v>39468</v>
      </c>
      <c r="C2296" s="61">
        <v>6790.19</v>
      </c>
      <c r="D2296" s="3">
        <f t="shared" si="38"/>
        <v>-7.1639023976746596E-2</v>
      </c>
    </row>
    <row r="2297" spans="2:4" x14ac:dyDescent="0.2">
      <c r="B2297" s="2">
        <v>39469</v>
      </c>
      <c r="C2297" s="61">
        <v>6769.47</v>
      </c>
      <c r="D2297" s="3">
        <f t="shared" si="38"/>
        <v>-3.0514610047729374E-3</v>
      </c>
    </row>
    <row r="2298" spans="2:4" x14ac:dyDescent="0.2">
      <c r="B2298" s="2">
        <v>39470</v>
      </c>
      <c r="C2298" s="61">
        <v>6439.21</v>
      </c>
      <c r="D2298" s="3">
        <f t="shared" si="38"/>
        <v>-4.8786684925112289E-2</v>
      </c>
    </row>
    <row r="2299" spans="2:4" x14ac:dyDescent="0.2">
      <c r="B2299" s="2">
        <v>39471</v>
      </c>
      <c r="C2299" s="61">
        <v>6821.07</v>
      </c>
      <c r="D2299" s="3">
        <f t="shared" si="38"/>
        <v>5.9302305717626735E-2</v>
      </c>
    </row>
    <row r="2300" spans="2:4" x14ac:dyDescent="0.2">
      <c r="B2300" s="2">
        <v>39472</v>
      </c>
      <c r="C2300" s="61">
        <v>6816.74</v>
      </c>
      <c r="D2300" s="3">
        <f t="shared" si="38"/>
        <v>-6.3479776633279528E-4</v>
      </c>
    </row>
    <row r="2301" spans="2:4" x14ac:dyDescent="0.2">
      <c r="B2301" s="2">
        <v>39475</v>
      </c>
      <c r="C2301" s="61">
        <v>6818.85</v>
      </c>
      <c r="D2301" s="3">
        <f t="shared" si="38"/>
        <v>3.0953212239293038E-4</v>
      </c>
    </row>
    <row r="2302" spans="2:4" x14ac:dyDescent="0.2">
      <c r="B2302" s="2">
        <v>39476</v>
      </c>
      <c r="C2302" s="61">
        <v>6892.96</v>
      </c>
      <c r="D2302" s="3">
        <f t="shared" si="38"/>
        <v>1.0868401563313368E-2</v>
      </c>
    </row>
    <row r="2303" spans="2:4" x14ac:dyDescent="0.2">
      <c r="B2303" s="2">
        <v>39477</v>
      </c>
      <c r="C2303" s="61">
        <v>6875.35</v>
      </c>
      <c r="D2303" s="3">
        <f t="shared" si="38"/>
        <v>-2.5547805296998183E-3</v>
      </c>
    </row>
    <row r="2304" spans="2:4" x14ac:dyDescent="0.2">
      <c r="B2304" s="2">
        <v>39478</v>
      </c>
      <c r="C2304" s="61">
        <v>6851.75</v>
      </c>
      <c r="D2304" s="3">
        <f t="shared" si="38"/>
        <v>-3.432552524598842E-3</v>
      </c>
    </row>
    <row r="2305" spans="2:4" x14ac:dyDescent="0.2">
      <c r="B2305" s="2">
        <v>39479</v>
      </c>
      <c r="C2305" s="61">
        <v>6968.67</v>
      </c>
      <c r="D2305" s="3">
        <f t="shared" si="38"/>
        <v>1.7064253657824713E-2</v>
      </c>
    </row>
    <row r="2306" spans="2:4" x14ac:dyDescent="0.2">
      <c r="B2306" s="2">
        <v>39482</v>
      </c>
      <c r="C2306" s="61">
        <v>7000.49</v>
      </c>
      <c r="D2306" s="3">
        <f t="shared" si="38"/>
        <v>4.5661510733037147E-3</v>
      </c>
    </row>
    <row r="2307" spans="2:4" x14ac:dyDescent="0.2">
      <c r="B2307" s="2">
        <v>39483</v>
      </c>
      <c r="C2307" s="61">
        <v>6765.25</v>
      </c>
      <c r="D2307" s="3">
        <f t="shared" si="38"/>
        <v>-3.3603362050370733E-2</v>
      </c>
    </row>
    <row r="2308" spans="2:4" x14ac:dyDescent="0.2">
      <c r="B2308" s="2">
        <v>39484</v>
      </c>
      <c r="C2308" s="61">
        <v>6847.51</v>
      </c>
      <c r="D2308" s="3">
        <f t="shared" si="38"/>
        <v>1.2159195890765417E-2</v>
      </c>
    </row>
    <row r="2309" spans="2:4" x14ac:dyDescent="0.2">
      <c r="B2309" s="2">
        <v>39485</v>
      </c>
      <c r="C2309" s="61">
        <v>6733.72</v>
      </c>
      <c r="D2309" s="3">
        <f t="shared" ref="D2309:D2372" si="39">C2309/C2308-1</f>
        <v>-1.6617719433779543E-2</v>
      </c>
    </row>
    <row r="2310" spans="2:4" x14ac:dyDescent="0.2">
      <c r="B2310" s="2">
        <v>39486</v>
      </c>
      <c r="C2310" s="61">
        <v>6767.28</v>
      </c>
      <c r="D2310" s="3">
        <f t="shared" si="39"/>
        <v>4.9838722132786728E-3</v>
      </c>
    </row>
    <row r="2311" spans="2:4" x14ac:dyDescent="0.2">
      <c r="B2311" s="2">
        <v>39489</v>
      </c>
      <c r="C2311" s="61">
        <v>6743.54</v>
      </c>
      <c r="D2311" s="3">
        <f t="shared" si="39"/>
        <v>-3.5080564126206415E-3</v>
      </c>
    </row>
    <row r="2312" spans="2:4" x14ac:dyDescent="0.2">
      <c r="B2312" s="2">
        <v>39490</v>
      </c>
      <c r="C2312" s="61">
        <v>6967.84</v>
      </c>
      <c r="D2312" s="3">
        <f t="shared" si="39"/>
        <v>3.3261462080746984E-2</v>
      </c>
    </row>
    <row r="2313" spans="2:4" x14ac:dyDescent="0.2">
      <c r="B2313" s="2">
        <v>39491</v>
      </c>
      <c r="C2313" s="61">
        <v>6973.67</v>
      </c>
      <c r="D2313" s="3">
        <f t="shared" si="39"/>
        <v>8.3670118716838715E-4</v>
      </c>
    </row>
    <row r="2314" spans="2:4" x14ac:dyDescent="0.2">
      <c r="B2314" s="2">
        <v>39492</v>
      </c>
      <c r="C2314" s="61">
        <v>6962.28</v>
      </c>
      <c r="D2314" s="3">
        <f t="shared" si="39"/>
        <v>-1.6332863470741588E-3</v>
      </c>
    </row>
    <row r="2315" spans="2:4" x14ac:dyDescent="0.2">
      <c r="B2315" s="2">
        <v>39493</v>
      </c>
      <c r="C2315" s="61">
        <v>6832.43</v>
      </c>
      <c r="D2315" s="3">
        <f t="shared" si="39"/>
        <v>-1.8650499548998223E-2</v>
      </c>
    </row>
    <row r="2316" spans="2:4" x14ac:dyDescent="0.2">
      <c r="B2316" s="2">
        <v>39496</v>
      </c>
      <c r="C2316" s="61">
        <v>6967.55</v>
      </c>
      <c r="D2316" s="3">
        <f t="shared" si="39"/>
        <v>1.9776272863388344E-2</v>
      </c>
    </row>
    <row r="2317" spans="2:4" x14ac:dyDescent="0.2">
      <c r="B2317" s="2">
        <v>39497</v>
      </c>
      <c r="C2317" s="61">
        <v>7002.29</v>
      </c>
      <c r="D2317" s="3">
        <f t="shared" si="39"/>
        <v>4.9859706783590418E-3</v>
      </c>
    </row>
    <row r="2318" spans="2:4" x14ac:dyDescent="0.2">
      <c r="B2318" s="2">
        <v>39498</v>
      </c>
      <c r="C2318" s="61">
        <v>6899.68</v>
      </c>
      <c r="D2318" s="3">
        <f t="shared" si="39"/>
        <v>-1.4653777549915814E-2</v>
      </c>
    </row>
    <row r="2319" spans="2:4" x14ac:dyDescent="0.2">
      <c r="B2319" s="2">
        <v>39499</v>
      </c>
      <c r="C2319" s="61">
        <v>6904.85</v>
      </c>
      <c r="D2319" s="3">
        <f t="shared" si="39"/>
        <v>7.4931011293277727E-4</v>
      </c>
    </row>
    <row r="2320" spans="2:4" x14ac:dyDescent="0.2">
      <c r="B2320" s="2">
        <v>39500</v>
      </c>
      <c r="C2320" s="61">
        <v>6806.29</v>
      </c>
      <c r="D2320" s="3">
        <f t="shared" si="39"/>
        <v>-1.4274024779683869E-2</v>
      </c>
    </row>
    <row r="2321" spans="2:4" x14ac:dyDescent="0.2">
      <c r="B2321" s="2">
        <v>39503</v>
      </c>
      <c r="C2321" s="61">
        <v>6882.56</v>
      </c>
      <c r="D2321" s="3">
        <f t="shared" si="39"/>
        <v>1.1205811095325036E-2</v>
      </c>
    </row>
    <row r="2322" spans="2:4" x14ac:dyDescent="0.2">
      <c r="B2322" s="2">
        <v>39504</v>
      </c>
      <c r="C2322" s="61">
        <v>6985.97</v>
      </c>
      <c r="D2322" s="3">
        <f t="shared" si="39"/>
        <v>1.5024932583224793E-2</v>
      </c>
    </row>
    <row r="2323" spans="2:4" x14ac:dyDescent="0.2">
      <c r="B2323" s="2">
        <v>39505</v>
      </c>
      <c r="C2323" s="61">
        <v>6997.85</v>
      </c>
      <c r="D2323" s="3">
        <f t="shared" si="39"/>
        <v>1.7005512477150653E-3</v>
      </c>
    </row>
    <row r="2324" spans="2:4" x14ac:dyDescent="0.2">
      <c r="B2324" s="2">
        <v>39506</v>
      </c>
      <c r="C2324" s="61">
        <v>6862.52</v>
      </c>
      <c r="D2324" s="3">
        <f t="shared" si="39"/>
        <v>-1.9338796916195666E-2</v>
      </c>
    </row>
    <row r="2325" spans="2:4" x14ac:dyDescent="0.2">
      <c r="B2325" s="2">
        <v>39507</v>
      </c>
      <c r="C2325" s="61">
        <v>6748.13</v>
      </c>
      <c r="D2325" s="3">
        <f t="shared" si="39"/>
        <v>-1.6668803879624439E-2</v>
      </c>
    </row>
    <row r="2326" spans="2:4" x14ac:dyDescent="0.2">
      <c r="B2326" s="2">
        <v>39510</v>
      </c>
      <c r="C2326" s="61">
        <v>6689.95</v>
      </c>
      <c r="D2326" s="3">
        <f t="shared" si="39"/>
        <v>-8.6216477750132858E-3</v>
      </c>
    </row>
    <row r="2327" spans="2:4" x14ac:dyDescent="0.2">
      <c r="B2327" s="2">
        <v>39511</v>
      </c>
      <c r="C2327" s="61">
        <v>6545.04</v>
      </c>
      <c r="D2327" s="3">
        <f t="shared" si="39"/>
        <v>-2.1660849483179923E-2</v>
      </c>
    </row>
    <row r="2328" spans="2:4" x14ac:dyDescent="0.2">
      <c r="B2328" s="2">
        <v>39512</v>
      </c>
      <c r="C2328" s="61">
        <v>6683.71</v>
      </c>
      <c r="D2328" s="3">
        <f t="shared" si="39"/>
        <v>2.1187036290076122E-2</v>
      </c>
    </row>
    <row r="2329" spans="2:4" x14ac:dyDescent="0.2">
      <c r="B2329" s="2">
        <v>39513</v>
      </c>
      <c r="C2329" s="61">
        <v>6591.31</v>
      </c>
      <c r="D2329" s="3">
        <f t="shared" si="39"/>
        <v>-1.3824657263705298E-2</v>
      </c>
    </row>
    <row r="2330" spans="2:4" x14ac:dyDescent="0.2">
      <c r="B2330" s="2">
        <v>39514</v>
      </c>
      <c r="C2330" s="61">
        <v>6513.99</v>
      </c>
      <c r="D2330" s="3">
        <f t="shared" si="39"/>
        <v>-1.1730596800939463E-2</v>
      </c>
    </row>
    <row r="2331" spans="2:4" x14ac:dyDescent="0.2">
      <c r="B2331" s="2">
        <v>39517</v>
      </c>
      <c r="C2331" s="61">
        <v>6448.08</v>
      </c>
      <c r="D2331" s="3">
        <f t="shared" si="39"/>
        <v>-1.0118222471941163E-2</v>
      </c>
    </row>
    <row r="2332" spans="2:4" x14ac:dyDescent="0.2">
      <c r="B2332" s="2">
        <v>39518</v>
      </c>
      <c r="C2332" s="61">
        <v>6524.57</v>
      </c>
      <c r="D2332" s="3">
        <f t="shared" si="39"/>
        <v>1.1862445875361338E-2</v>
      </c>
    </row>
    <row r="2333" spans="2:4" x14ac:dyDescent="0.2">
      <c r="B2333" s="2">
        <v>39519</v>
      </c>
      <c r="C2333" s="61">
        <v>6599.37</v>
      </c>
      <c r="D2333" s="3">
        <f t="shared" si="39"/>
        <v>1.1464357038088346E-2</v>
      </c>
    </row>
    <row r="2334" spans="2:4" x14ac:dyDescent="0.2">
      <c r="B2334" s="2">
        <v>39520</v>
      </c>
      <c r="C2334" s="61">
        <v>6500.56</v>
      </c>
      <c r="D2334" s="3">
        <f t="shared" si="39"/>
        <v>-1.4972641327884229E-2</v>
      </c>
    </row>
    <row r="2335" spans="2:4" x14ac:dyDescent="0.2">
      <c r="B2335" s="2">
        <v>39521</v>
      </c>
      <c r="C2335" s="61">
        <v>6451.9</v>
      </c>
      <c r="D2335" s="3">
        <f t="shared" si="39"/>
        <v>-7.4855089407682707E-3</v>
      </c>
    </row>
    <row r="2336" spans="2:4" x14ac:dyDescent="0.2">
      <c r="B2336" s="2">
        <v>39524</v>
      </c>
      <c r="C2336" s="61">
        <v>6182.3</v>
      </c>
      <c r="D2336" s="3">
        <f t="shared" si="39"/>
        <v>-4.1786140516746895E-2</v>
      </c>
    </row>
    <row r="2337" spans="2:4" x14ac:dyDescent="0.2">
      <c r="B2337" s="2">
        <v>39525</v>
      </c>
      <c r="C2337" s="61">
        <v>6393.39</v>
      </c>
      <c r="D2337" s="3">
        <f t="shared" si="39"/>
        <v>3.4144250521650488E-2</v>
      </c>
    </row>
    <row r="2338" spans="2:4" x14ac:dyDescent="0.2">
      <c r="B2338" s="2">
        <v>39526</v>
      </c>
      <c r="C2338" s="61">
        <v>6361.22</v>
      </c>
      <c r="D2338" s="3">
        <f t="shared" si="39"/>
        <v>-5.0317593639681579E-3</v>
      </c>
    </row>
    <row r="2339" spans="2:4" x14ac:dyDescent="0.2">
      <c r="B2339" s="2">
        <v>39527</v>
      </c>
      <c r="C2339" s="61">
        <v>6319.99</v>
      </c>
      <c r="D2339" s="3">
        <f t="shared" si="39"/>
        <v>-6.4814611033733316E-3</v>
      </c>
    </row>
    <row r="2340" spans="2:4" x14ac:dyDescent="0.2">
      <c r="B2340" s="2">
        <v>39532</v>
      </c>
      <c r="C2340" s="61">
        <v>6524.71</v>
      </c>
      <c r="D2340" s="3">
        <f t="shared" si="39"/>
        <v>3.2392456317177798E-2</v>
      </c>
    </row>
    <row r="2341" spans="2:4" x14ac:dyDescent="0.2">
      <c r="B2341" s="2">
        <v>39533</v>
      </c>
      <c r="C2341" s="61">
        <v>6489.26</v>
      </c>
      <c r="D2341" s="3">
        <f t="shared" si="39"/>
        <v>-5.4331916667560431E-3</v>
      </c>
    </row>
    <row r="2342" spans="2:4" x14ac:dyDescent="0.2">
      <c r="B2342" s="2">
        <v>39534</v>
      </c>
      <c r="C2342" s="61">
        <v>6578.06</v>
      </c>
      <c r="D2342" s="3">
        <f t="shared" si="39"/>
        <v>1.3684148886005554E-2</v>
      </c>
    </row>
    <row r="2343" spans="2:4" x14ac:dyDescent="0.2">
      <c r="B2343" s="2">
        <v>39535</v>
      </c>
      <c r="C2343" s="61">
        <v>6559.9</v>
      </c>
      <c r="D2343" s="3">
        <f t="shared" si="39"/>
        <v>-2.7606923621859014E-3</v>
      </c>
    </row>
    <row r="2344" spans="2:4" x14ac:dyDescent="0.2">
      <c r="B2344" s="2">
        <v>39538</v>
      </c>
      <c r="C2344" s="61">
        <v>6534.97</v>
      </c>
      <c r="D2344" s="3">
        <f t="shared" si="39"/>
        <v>-3.8003628104086307E-3</v>
      </c>
    </row>
    <row r="2345" spans="2:4" x14ac:dyDescent="0.2">
      <c r="B2345" s="2">
        <v>39539</v>
      </c>
      <c r="C2345" s="61">
        <v>6720.33</v>
      </c>
      <c r="D2345" s="3">
        <f t="shared" si="39"/>
        <v>2.8364323019080429E-2</v>
      </c>
    </row>
    <row r="2346" spans="2:4" x14ac:dyDescent="0.2">
      <c r="B2346" s="2">
        <v>39540</v>
      </c>
      <c r="C2346" s="61">
        <v>6777.44</v>
      </c>
      <c r="D2346" s="3">
        <f t="shared" si="39"/>
        <v>8.4980945876169667E-3</v>
      </c>
    </row>
    <row r="2347" spans="2:4" x14ac:dyDescent="0.2">
      <c r="B2347" s="2">
        <v>39541</v>
      </c>
      <c r="C2347" s="61">
        <v>6741.72</v>
      </c>
      <c r="D2347" s="3">
        <f t="shared" si="39"/>
        <v>-5.2704265917513649E-3</v>
      </c>
    </row>
    <row r="2348" spans="2:4" x14ac:dyDescent="0.2">
      <c r="B2348" s="2">
        <v>39542</v>
      </c>
      <c r="C2348" s="61">
        <v>6763.39</v>
      </c>
      <c r="D2348" s="3">
        <f t="shared" si="39"/>
        <v>3.2143132613042802E-3</v>
      </c>
    </row>
    <row r="2349" spans="2:4" x14ac:dyDescent="0.2">
      <c r="B2349" s="2">
        <v>39545</v>
      </c>
      <c r="C2349" s="61">
        <v>6821.03</v>
      </c>
      <c r="D2349" s="3">
        <f t="shared" si="39"/>
        <v>8.5223534351854813E-3</v>
      </c>
    </row>
    <row r="2350" spans="2:4" x14ac:dyDescent="0.2">
      <c r="B2350" s="2">
        <v>39546</v>
      </c>
      <c r="C2350" s="61">
        <v>6771.98</v>
      </c>
      <c r="D2350" s="3">
        <f t="shared" si="39"/>
        <v>-7.1909960812370777E-3</v>
      </c>
    </row>
    <row r="2351" spans="2:4" x14ac:dyDescent="0.2">
      <c r="B2351" s="2">
        <v>39547</v>
      </c>
      <c r="C2351" s="61">
        <v>6721.36</v>
      </c>
      <c r="D2351" s="3">
        <f t="shared" si="39"/>
        <v>-7.4749187091515124E-3</v>
      </c>
    </row>
    <row r="2352" spans="2:4" x14ac:dyDescent="0.2">
      <c r="B2352" s="2">
        <v>39548</v>
      </c>
      <c r="C2352" s="61">
        <v>6704.32</v>
      </c>
      <c r="D2352" s="3">
        <f t="shared" si="39"/>
        <v>-2.535201209279081E-3</v>
      </c>
    </row>
    <row r="2353" spans="2:4" x14ac:dyDescent="0.2">
      <c r="B2353" s="2">
        <v>39549</v>
      </c>
      <c r="C2353" s="61">
        <v>6603.57</v>
      </c>
      <c r="D2353" s="3">
        <f t="shared" si="39"/>
        <v>-1.5027623979762317E-2</v>
      </c>
    </row>
    <row r="2354" spans="2:4" x14ac:dyDescent="0.2">
      <c r="B2354" s="2">
        <v>39552</v>
      </c>
      <c r="C2354" s="61">
        <v>6554.49</v>
      </c>
      <c r="D2354" s="3">
        <f t="shared" si="39"/>
        <v>-7.4323434142441469E-3</v>
      </c>
    </row>
    <row r="2355" spans="2:4" x14ac:dyDescent="0.2">
      <c r="B2355" s="2">
        <v>39553</v>
      </c>
      <c r="C2355" s="61">
        <v>6585.05</v>
      </c>
      <c r="D2355" s="3">
        <f t="shared" si="39"/>
        <v>4.6624527613896571E-3</v>
      </c>
    </row>
    <row r="2356" spans="2:4" x14ac:dyDescent="0.2">
      <c r="B2356" s="2">
        <v>39554</v>
      </c>
      <c r="C2356" s="61">
        <v>6702.84</v>
      </c>
      <c r="D2356" s="3">
        <f t="shared" si="39"/>
        <v>1.7887487566533355E-2</v>
      </c>
    </row>
    <row r="2357" spans="2:4" x14ac:dyDescent="0.2">
      <c r="B2357" s="2">
        <v>39555</v>
      </c>
      <c r="C2357" s="61">
        <v>6681.81</v>
      </c>
      <c r="D2357" s="3">
        <f t="shared" si="39"/>
        <v>-3.1374760549259806E-3</v>
      </c>
    </row>
    <row r="2358" spans="2:4" x14ac:dyDescent="0.2">
      <c r="B2358" s="2">
        <v>39556</v>
      </c>
      <c r="C2358" s="61">
        <v>6843.08</v>
      </c>
      <c r="D2358" s="3">
        <f t="shared" si="39"/>
        <v>2.4135675812392066E-2</v>
      </c>
    </row>
    <row r="2359" spans="2:4" x14ac:dyDescent="0.2">
      <c r="B2359" s="2">
        <v>39559</v>
      </c>
      <c r="C2359" s="61">
        <v>6786.55</v>
      </c>
      <c r="D2359" s="3">
        <f t="shared" si="39"/>
        <v>-8.2609000625448736E-3</v>
      </c>
    </row>
    <row r="2360" spans="2:4" x14ac:dyDescent="0.2">
      <c r="B2360" s="2">
        <v>39560</v>
      </c>
      <c r="C2360" s="61">
        <v>6728.3</v>
      </c>
      <c r="D2360" s="3">
        <f t="shared" si="39"/>
        <v>-8.5831534432074807E-3</v>
      </c>
    </row>
    <row r="2361" spans="2:4" x14ac:dyDescent="0.2">
      <c r="B2361" s="2">
        <v>39561</v>
      </c>
      <c r="C2361" s="61">
        <v>6795.03</v>
      </c>
      <c r="D2361" s="3">
        <f t="shared" si="39"/>
        <v>9.9178098479555388E-3</v>
      </c>
    </row>
    <row r="2362" spans="2:4" x14ac:dyDescent="0.2">
      <c r="B2362" s="2">
        <v>39562</v>
      </c>
      <c r="C2362" s="61">
        <v>6821.32</v>
      </c>
      <c r="D2362" s="3">
        <f t="shared" si="39"/>
        <v>3.8690042575235672E-3</v>
      </c>
    </row>
    <row r="2363" spans="2:4" x14ac:dyDescent="0.2">
      <c r="B2363" s="2">
        <v>39563</v>
      </c>
      <c r="C2363" s="61">
        <v>6896.58</v>
      </c>
      <c r="D2363" s="3">
        <f t="shared" si="39"/>
        <v>1.1033055185799778E-2</v>
      </c>
    </row>
    <row r="2364" spans="2:4" x14ac:dyDescent="0.2">
      <c r="B2364" s="2">
        <v>39566</v>
      </c>
      <c r="C2364" s="61">
        <v>6925.33</v>
      </c>
      <c r="D2364" s="3">
        <f t="shared" si="39"/>
        <v>4.168732908194972E-3</v>
      </c>
    </row>
    <row r="2365" spans="2:4" x14ac:dyDescent="0.2">
      <c r="B2365" s="2">
        <v>39567</v>
      </c>
      <c r="C2365" s="61">
        <v>6885.34</v>
      </c>
      <c r="D2365" s="3">
        <f t="shared" si="39"/>
        <v>-5.774454069336743E-3</v>
      </c>
    </row>
    <row r="2366" spans="2:4" x14ac:dyDescent="0.2">
      <c r="B2366" s="2">
        <v>39568</v>
      </c>
      <c r="C2366" s="61">
        <v>6948.82</v>
      </c>
      <c r="D2366" s="3">
        <f t="shared" si="39"/>
        <v>9.219588284674396E-3</v>
      </c>
    </row>
    <row r="2367" spans="2:4" x14ac:dyDescent="0.2">
      <c r="B2367" s="2">
        <v>39570</v>
      </c>
      <c r="C2367" s="61">
        <v>7043.23</v>
      </c>
      <c r="D2367" s="3">
        <f t="shared" si="39"/>
        <v>1.3586479431040077E-2</v>
      </c>
    </row>
    <row r="2368" spans="2:4" x14ac:dyDescent="0.2">
      <c r="B2368" s="2">
        <v>39573</v>
      </c>
      <c r="C2368" s="61">
        <v>7052.08</v>
      </c>
      <c r="D2368" s="3">
        <f t="shared" si="39"/>
        <v>1.256525770136685E-3</v>
      </c>
    </row>
    <row r="2369" spans="2:4" x14ac:dyDescent="0.2">
      <c r="B2369" s="2">
        <v>39574</v>
      </c>
      <c r="C2369" s="61">
        <v>7017.1</v>
      </c>
      <c r="D2369" s="3">
        <f t="shared" si="39"/>
        <v>-4.9602386813535349E-3</v>
      </c>
    </row>
    <row r="2370" spans="2:4" x14ac:dyDescent="0.2">
      <c r="B2370" s="2">
        <v>39575</v>
      </c>
      <c r="C2370" s="61">
        <v>7076.25</v>
      </c>
      <c r="D2370" s="3">
        <f t="shared" si="39"/>
        <v>8.4294081600659876E-3</v>
      </c>
    </row>
    <row r="2371" spans="2:4" x14ac:dyDescent="0.2">
      <c r="B2371" s="2">
        <v>39576</v>
      </c>
      <c r="C2371" s="61">
        <v>7071.9</v>
      </c>
      <c r="D2371" s="3">
        <f t="shared" si="39"/>
        <v>-6.1473237943832082E-4</v>
      </c>
    </row>
    <row r="2372" spans="2:4" x14ac:dyDescent="0.2">
      <c r="B2372" s="2">
        <v>39577</v>
      </c>
      <c r="C2372" s="61">
        <v>7003.17</v>
      </c>
      <c r="D2372" s="3">
        <f t="shared" si="39"/>
        <v>-9.7187460229923861E-3</v>
      </c>
    </row>
    <row r="2373" spans="2:4" x14ac:dyDescent="0.2">
      <c r="B2373" s="2">
        <v>39580</v>
      </c>
      <c r="C2373" s="61">
        <v>7035.95</v>
      </c>
      <c r="D2373" s="3">
        <f t="shared" ref="D2373:D2436" si="40">C2373/C2372-1</f>
        <v>4.680737437474658E-3</v>
      </c>
    </row>
    <row r="2374" spans="2:4" x14ac:dyDescent="0.2">
      <c r="B2374" s="2">
        <v>39581</v>
      </c>
      <c r="C2374" s="61">
        <v>7060.19</v>
      </c>
      <c r="D2374" s="3">
        <f t="shared" si="40"/>
        <v>3.445163766087056E-3</v>
      </c>
    </row>
    <row r="2375" spans="2:4" x14ac:dyDescent="0.2">
      <c r="B2375" s="2">
        <v>39582</v>
      </c>
      <c r="C2375" s="61">
        <v>7083.24</v>
      </c>
      <c r="D2375" s="3">
        <f t="shared" si="40"/>
        <v>3.2647846587698925E-3</v>
      </c>
    </row>
    <row r="2376" spans="2:4" x14ac:dyDescent="0.2">
      <c r="B2376" s="2">
        <v>39583</v>
      </c>
      <c r="C2376" s="61">
        <v>7081.05</v>
      </c>
      <c r="D2376" s="3">
        <f t="shared" si="40"/>
        <v>-3.0918054449657895E-4</v>
      </c>
    </row>
    <row r="2377" spans="2:4" x14ac:dyDescent="0.2">
      <c r="B2377" s="2">
        <v>39584</v>
      </c>
      <c r="C2377" s="61">
        <v>7156.55</v>
      </c>
      <c r="D2377" s="3">
        <f t="shared" si="40"/>
        <v>1.0662260540456492E-2</v>
      </c>
    </row>
    <row r="2378" spans="2:4" x14ac:dyDescent="0.2">
      <c r="B2378" s="2">
        <v>39587</v>
      </c>
      <c r="C2378" s="61">
        <v>7225.94</v>
      </c>
      <c r="D2378" s="3">
        <f t="shared" si="40"/>
        <v>9.6960127435705701E-3</v>
      </c>
    </row>
    <row r="2379" spans="2:4" x14ac:dyDescent="0.2">
      <c r="B2379" s="2">
        <v>39588</v>
      </c>
      <c r="C2379" s="61">
        <v>7118.5</v>
      </c>
      <c r="D2379" s="3">
        <f t="shared" si="40"/>
        <v>-1.4868653766845541E-2</v>
      </c>
    </row>
    <row r="2380" spans="2:4" x14ac:dyDescent="0.2">
      <c r="B2380" s="2">
        <v>39589</v>
      </c>
      <c r="C2380" s="61">
        <v>7040.83</v>
      </c>
      <c r="D2380" s="3">
        <f t="shared" si="40"/>
        <v>-1.0911006532275058E-2</v>
      </c>
    </row>
    <row r="2381" spans="2:4" x14ac:dyDescent="0.2">
      <c r="B2381" s="2">
        <v>39590</v>
      </c>
      <c r="C2381" s="61">
        <v>7070.33</v>
      </c>
      <c r="D2381" s="3">
        <f t="shared" si="40"/>
        <v>4.1898469356596024E-3</v>
      </c>
    </row>
    <row r="2382" spans="2:4" x14ac:dyDescent="0.2">
      <c r="B2382" s="2">
        <v>39591</v>
      </c>
      <c r="C2382" s="61">
        <v>6944.05</v>
      </c>
      <c r="D2382" s="3">
        <f t="shared" si="40"/>
        <v>-1.7860552477748537E-2</v>
      </c>
    </row>
    <row r="2383" spans="2:4" x14ac:dyDescent="0.2">
      <c r="B2383" s="2">
        <v>39594</v>
      </c>
      <c r="C2383" s="61">
        <v>6953.84</v>
      </c>
      <c r="D2383" s="3">
        <f t="shared" si="40"/>
        <v>1.4098400789164245E-3</v>
      </c>
    </row>
    <row r="2384" spans="2:4" x14ac:dyDescent="0.2">
      <c r="B2384" s="2">
        <v>39595</v>
      </c>
      <c r="C2384" s="61">
        <v>6958.66</v>
      </c>
      <c r="D2384" s="3">
        <f t="shared" si="40"/>
        <v>6.9314220632055168E-4</v>
      </c>
    </row>
    <row r="2385" spans="2:4" x14ac:dyDescent="0.2">
      <c r="B2385" s="2">
        <v>39596</v>
      </c>
      <c r="C2385" s="61">
        <v>7033.84</v>
      </c>
      <c r="D2385" s="3">
        <f t="shared" si="40"/>
        <v>1.0803804180689935E-2</v>
      </c>
    </row>
    <row r="2386" spans="2:4" x14ac:dyDescent="0.2">
      <c r="B2386" s="2">
        <v>39597</v>
      </c>
      <c r="C2386" s="61">
        <v>7055.03</v>
      </c>
      <c r="D2386" s="3">
        <f t="shared" si="40"/>
        <v>3.0125791886081998E-3</v>
      </c>
    </row>
    <row r="2387" spans="2:4" x14ac:dyDescent="0.2">
      <c r="B2387" s="2">
        <v>39598</v>
      </c>
      <c r="C2387" s="61">
        <v>7096.79</v>
      </c>
      <c r="D2387" s="3">
        <f t="shared" si="40"/>
        <v>5.919181066558199E-3</v>
      </c>
    </row>
    <row r="2388" spans="2:4" x14ac:dyDescent="0.2">
      <c r="B2388" s="2">
        <v>39601</v>
      </c>
      <c r="C2388" s="61">
        <v>7008.77</v>
      </c>
      <c r="D2388" s="3">
        <f t="shared" si="40"/>
        <v>-1.2402790557420995E-2</v>
      </c>
    </row>
    <row r="2389" spans="2:4" x14ac:dyDescent="0.2">
      <c r="B2389" s="2">
        <v>39602</v>
      </c>
      <c r="C2389" s="61">
        <v>7019.13</v>
      </c>
      <c r="D2389" s="3">
        <f t="shared" si="40"/>
        <v>1.4781480916052914E-3</v>
      </c>
    </row>
    <row r="2390" spans="2:4" x14ac:dyDescent="0.2">
      <c r="B2390" s="2">
        <v>39603</v>
      </c>
      <c r="C2390" s="61">
        <v>6965.43</v>
      </c>
      <c r="D2390" s="3">
        <f t="shared" si="40"/>
        <v>-7.6505207910382289E-3</v>
      </c>
    </row>
    <row r="2391" spans="2:4" x14ac:dyDescent="0.2">
      <c r="B2391" s="2">
        <v>39604</v>
      </c>
      <c r="C2391" s="61">
        <v>6941.83</v>
      </c>
      <c r="D2391" s="3">
        <f t="shared" si="40"/>
        <v>-3.3881612477622003E-3</v>
      </c>
    </row>
    <row r="2392" spans="2:4" x14ac:dyDescent="0.2">
      <c r="B2392" s="2">
        <v>39605</v>
      </c>
      <c r="C2392" s="61">
        <v>6803.81</v>
      </c>
      <c r="D2392" s="3">
        <f t="shared" si="40"/>
        <v>-1.9882365312892891E-2</v>
      </c>
    </row>
    <row r="2393" spans="2:4" x14ac:dyDescent="0.2">
      <c r="B2393" s="2">
        <v>39608</v>
      </c>
      <c r="C2393" s="61">
        <v>6815.63</v>
      </c>
      <c r="D2393" s="3">
        <f t="shared" si="40"/>
        <v>1.7372619164850445E-3</v>
      </c>
    </row>
    <row r="2394" spans="2:4" x14ac:dyDescent="0.2">
      <c r="B2394" s="2">
        <v>39609</v>
      </c>
      <c r="C2394" s="61">
        <v>6771.1</v>
      </c>
      <c r="D2394" s="3">
        <f t="shared" si="40"/>
        <v>-6.5335119424029253E-3</v>
      </c>
    </row>
    <row r="2395" spans="2:4" x14ac:dyDescent="0.2">
      <c r="B2395" s="2">
        <v>39610</v>
      </c>
      <c r="C2395" s="61">
        <v>6650.26</v>
      </c>
      <c r="D2395" s="3">
        <f t="shared" si="40"/>
        <v>-1.7846435586536868E-2</v>
      </c>
    </row>
    <row r="2396" spans="2:4" x14ac:dyDescent="0.2">
      <c r="B2396" s="2">
        <v>39611</v>
      </c>
      <c r="C2396" s="61">
        <v>6714.52</v>
      </c>
      <c r="D2396" s="3">
        <f t="shared" si="40"/>
        <v>9.662780101830748E-3</v>
      </c>
    </row>
    <row r="2397" spans="2:4" x14ac:dyDescent="0.2">
      <c r="B2397" s="2">
        <v>39612</v>
      </c>
      <c r="C2397" s="61">
        <v>6765.32</v>
      </c>
      <c r="D2397" s="3">
        <f t="shared" si="40"/>
        <v>7.5656934523986585E-3</v>
      </c>
    </row>
    <row r="2398" spans="2:4" x14ac:dyDescent="0.2">
      <c r="B2398" s="2">
        <v>39615</v>
      </c>
      <c r="C2398" s="61">
        <v>6729.88</v>
      </c>
      <c r="D2398" s="3">
        <f t="shared" si="40"/>
        <v>-5.238480958771996E-3</v>
      </c>
    </row>
    <row r="2399" spans="2:4" x14ac:dyDescent="0.2">
      <c r="B2399" s="2">
        <v>39616</v>
      </c>
      <c r="C2399" s="61">
        <v>6796.16</v>
      </c>
      <c r="D2399" s="3">
        <f t="shared" si="40"/>
        <v>9.8486154285069016E-3</v>
      </c>
    </row>
    <row r="2400" spans="2:4" x14ac:dyDescent="0.2">
      <c r="B2400" s="2">
        <v>39617</v>
      </c>
      <c r="C2400" s="61">
        <v>6728.91</v>
      </c>
      <c r="D2400" s="3">
        <f t="shared" si="40"/>
        <v>-9.8952938129767132E-3</v>
      </c>
    </row>
    <row r="2401" spans="2:4" x14ac:dyDescent="0.2">
      <c r="B2401" s="2">
        <v>39618</v>
      </c>
      <c r="C2401" s="61">
        <v>6721.17</v>
      </c>
      <c r="D2401" s="3">
        <f t="shared" si="40"/>
        <v>-1.1502605919828657E-3</v>
      </c>
    </row>
    <row r="2402" spans="2:4" x14ac:dyDescent="0.2">
      <c r="B2402" s="2">
        <v>39619</v>
      </c>
      <c r="C2402" s="61">
        <v>6578.44</v>
      </c>
      <c r="D2402" s="3">
        <f t="shared" si="40"/>
        <v>-2.1235886013893479E-2</v>
      </c>
    </row>
    <row r="2403" spans="2:4" x14ac:dyDescent="0.2">
      <c r="B2403" s="2">
        <v>39622</v>
      </c>
      <c r="C2403" s="61">
        <v>6589.46</v>
      </c>
      <c r="D2403" s="3">
        <f t="shared" si="40"/>
        <v>1.6751691890479758E-3</v>
      </c>
    </row>
    <row r="2404" spans="2:4" x14ac:dyDescent="0.2">
      <c r="B2404" s="2">
        <v>39623</v>
      </c>
      <c r="C2404" s="61">
        <v>6536.06</v>
      </c>
      <c r="D2404" s="3">
        <f t="shared" si="40"/>
        <v>-8.1038506948976075E-3</v>
      </c>
    </row>
    <row r="2405" spans="2:4" x14ac:dyDescent="0.2">
      <c r="B2405" s="2">
        <v>39624</v>
      </c>
      <c r="C2405" s="61">
        <v>6617.84</v>
      </c>
      <c r="D2405" s="3">
        <f t="shared" si="40"/>
        <v>1.2512125041691746E-2</v>
      </c>
    </row>
    <row r="2406" spans="2:4" x14ac:dyDescent="0.2">
      <c r="B2406" s="2">
        <v>39625</v>
      </c>
      <c r="C2406" s="61">
        <v>6459.6</v>
      </c>
      <c r="D2406" s="3">
        <f t="shared" si="40"/>
        <v>-2.3911125080086526E-2</v>
      </c>
    </row>
    <row r="2407" spans="2:4" x14ac:dyDescent="0.2">
      <c r="B2407" s="2">
        <v>39626</v>
      </c>
      <c r="C2407" s="61">
        <v>6421.91</v>
      </c>
      <c r="D2407" s="3">
        <f t="shared" si="40"/>
        <v>-5.8347266084588512E-3</v>
      </c>
    </row>
    <row r="2408" spans="2:4" x14ac:dyDescent="0.2">
      <c r="B2408" s="2">
        <v>39629</v>
      </c>
      <c r="C2408" s="61">
        <v>6418.32</v>
      </c>
      <c r="D2408" s="3">
        <f t="shared" si="40"/>
        <v>-5.5902371724303457E-4</v>
      </c>
    </row>
    <row r="2409" spans="2:4" x14ac:dyDescent="0.2">
      <c r="B2409" s="2">
        <v>39630</v>
      </c>
      <c r="C2409" s="61">
        <v>6315.94</v>
      </c>
      <c r="D2409" s="3">
        <f t="shared" si="40"/>
        <v>-1.5951214648069922E-2</v>
      </c>
    </row>
    <row r="2410" spans="2:4" x14ac:dyDescent="0.2">
      <c r="B2410" s="2">
        <v>39631</v>
      </c>
      <c r="C2410" s="61">
        <v>6305.42</v>
      </c>
      <c r="D2410" s="3">
        <f t="shared" si="40"/>
        <v>-1.6656269692237879E-3</v>
      </c>
    </row>
    <row r="2411" spans="2:4" x14ac:dyDescent="0.2">
      <c r="B2411" s="2">
        <v>39632</v>
      </c>
      <c r="C2411" s="61">
        <v>6353.74</v>
      </c>
      <c r="D2411" s="3">
        <f t="shared" si="40"/>
        <v>7.6632484434027148E-3</v>
      </c>
    </row>
    <row r="2412" spans="2:4" x14ac:dyDescent="0.2">
      <c r="B2412" s="2">
        <v>39633</v>
      </c>
      <c r="C2412" s="61">
        <v>6272.21</v>
      </c>
      <c r="D2412" s="3">
        <f t="shared" si="40"/>
        <v>-1.2831812444324076E-2</v>
      </c>
    </row>
    <row r="2413" spans="2:4" x14ac:dyDescent="0.2">
      <c r="B2413" s="2">
        <v>39636</v>
      </c>
      <c r="C2413" s="61">
        <v>6395.75</v>
      </c>
      <c r="D2413" s="3">
        <f t="shared" si="40"/>
        <v>1.9696406848622727E-2</v>
      </c>
    </row>
    <row r="2414" spans="2:4" x14ac:dyDescent="0.2">
      <c r="B2414" s="2">
        <v>39637</v>
      </c>
      <c r="C2414" s="61">
        <v>6304.41</v>
      </c>
      <c r="D2414" s="3">
        <f t="shared" si="40"/>
        <v>-1.4281358714771542E-2</v>
      </c>
    </row>
    <row r="2415" spans="2:4" x14ac:dyDescent="0.2">
      <c r="B2415" s="2">
        <v>39638</v>
      </c>
      <c r="C2415" s="61">
        <v>6386.46</v>
      </c>
      <c r="D2415" s="3">
        <f t="shared" si="40"/>
        <v>1.3014699234345617E-2</v>
      </c>
    </row>
    <row r="2416" spans="2:4" x14ac:dyDescent="0.2">
      <c r="B2416" s="2">
        <v>39639</v>
      </c>
      <c r="C2416" s="61">
        <v>6305</v>
      </c>
      <c r="D2416" s="3">
        <f t="shared" si="40"/>
        <v>-1.2755110029656458E-2</v>
      </c>
    </row>
    <row r="2417" spans="2:4" x14ac:dyDescent="0.2">
      <c r="B2417" s="2">
        <v>39640</v>
      </c>
      <c r="C2417" s="61">
        <v>6153.3</v>
      </c>
      <c r="D2417" s="3">
        <f t="shared" si="40"/>
        <v>-2.4060269627279918E-2</v>
      </c>
    </row>
    <row r="2418" spans="2:4" x14ac:dyDescent="0.2">
      <c r="B2418" s="2">
        <v>39643</v>
      </c>
      <c r="C2418" s="61">
        <v>6200.25</v>
      </c>
      <c r="D2418" s="3">
        <f t="shared" si="40"/>
        <v>7.6300521671297528E-3</v>
      </c>
    </row>
    <row r="2419" spans="2:4" x14ac:dyDescent="0.2">
      <c r="B2419" s="2">
        <v>39644</v>
      </c>
      <c r="C2419" s="61">
        <v>6081.7</v>
      </c>
      <c r="D2419" s="3">
        <f t="shared" si="40"/>
        <v>-1.9120196766259423E-2</v>
      </c>
    </row>
    <row r="2420" spans="2:4" x14ac:dyDescent="0.2">
      <c r="B2420" s="2">
        <v>39645</v>
      </c>
      <c r="C2420" s="61">
        <v>6155.37</v>
      </c>
      <c r="D2420" s="3">
        <f t="shared" si="40"/>
        <v>1.2113389348372916E-2</v>
      </c>
    </row>
    <row r="2421" spans="2:4" x14ac:dyDescent="0.2">
      <c r="B2421" s="2">
        <v>39646</v>
      </c>
      <c r="C2421" s="61">
        <v>6271.27</v>
      </c>
      <c r="D2421" s="3">
        <f t="shared" si="40"/>
        <v>1.8829087447221005E-2</v>
      </c>
    </row>
    <row r="2422" spans="2:4" x14ac:dyDescent="0.2">
      <c r="B2422" s="2">
        <v>39647</v>
      </c>
      <c r="C2422" s="61">
        <v>6382.65</v>
      </c>
      <c r="D2422" s="3">
        <f t="shared" si="40"/>
        <v>1.7760357949825112E-2</v>
      </c>
    </row>
    <row r="2423" spans="2:4" x14ac:dyDescent="0.2">
      <c r="B2423" s="2">
        <v>39650</v>
      </c>
      <c r="C2423" s="61">
        <v>6424.84</v>
      </c>
      <c r="D2423" s="3">
        <f t="shared" si="40"/>
        <v>6.6101070871817935E-3</v>
      </c>
    </row>
    <row r="2424" spans="2:4" x14ac:dyDescent="0.2">
      <c r="B2424" s="2">
        <v>39651</v>
      </c>
      <c r="C2424" s="61">
        <v>6442.79</v>
      </c>
      <c r="D2424" s="3">
        <f t="shared" si="40"/>
        <v>2.7938438933887699E-3</v>
      </c>
    </row>
    <row r="2425" spans="2:4" x14ac:dyDescent="0.2">
      <c r="B2425" s="2">
        <v>39652</v>
      </c>
      <c r="C2425" s="61">
        <v>6536.09</v>
      </c>
      <c r="D2425" s="3">
        <f t="shared" si="40"/>
        <v>1.4481303907158294E-2</v>
      </c>
    </row>
    <row r="2426" spans="2:4" x14ac:dyDescent="0.2">
      <c r="B2426" s="2">
        <v>39653</v>
      </c>
      <c r="C2426" s="61">
        <v>6440.7</v>
      </c>
      <c r="D2426" s="3">
        <f t="shared" si="40"/>
        <v>-1.4594352280950851E-2</v>
      </c>
    </row>
    <row r="2427" spans="2:4" x14ac:dyDescent="0.2">
      <c r="B2427" s="2">
        <v>39654</v>
      </c>
      <c r="C2427" s="61">
        <v>6436.71</v>
      </c>
      <c r="D2427" s="3">
        <f t="shared" si="40"/>
        <v>-6.1949788066506528E-4</v>
      </c>
    </row>
    <row r="2428" spans="2:4" x14ac:dyDescent="0.2">
      <c r="B2428" s="2">
        <v>39657</v>
      </c>
      <c r="C2428" s="61">
        <v>6351.15</v>
      </c>
      <c r="D2428" s="3">
        <f t="shared" si="40"/>
        <v>-1.3292505021975543E-2</v>
      </c>
    </row>
    <row r="2429" spans="2:4" x14ac:dyDescent="0.2">
      <c r="B2429" s="2">
        <v>39658</v>
      </c>
      <c r="C2429" s="61">
        <v>6398.8</v>
      </c>
      <c r="D2429" s="3">
        <f t="shared" si="40"/>
        <v>7.5025782732260904E-3</v>
      </c>
    </row>
    <row r="2430" spans="2:4" x14ac:dyDescent="0.2">
      <c r="B2430" s="2">
        <v>39659</v>
      </c>
      <c r="C2430" s="61">
        <v>6460.12</v>
      </c>
      <c r="D2430" s="3">
        <f t="shared" si="40"/>
        <v>9.5830468212789732E-3</v>
      </c>
    </row>
    <row r="2431" spans="2:4" x14ac:dyDescent="0.2">
      <c r="B2431" s="2">
        <v>39660</v>
      </c>
      <c r="C2431" s="61">
        <v>6479.56</v>
      </c>
      <c r="D2431" s="3">
        <f t="shared" si="40"/>
        <v>3.0092320266497108E-3</v>
      </c>
    </row>
    <row r="2432" spans="2:4" x14ac:dyDescent="0.2">
      <c r="B2432" s="2">
        <v>39661</v>
      </c>
      <c r="C2432" s="61">
        <v>6396.46</v>
      </c>
      <c r="D2432" s="3">
        <f t="shared" si="40"/>
        <v>-1.2824944903666369E-2</v>
      </c>
    </row>
    <row r="2433" spans="2:4" x14ac:dyDescent="0.2">
      <c r="B2433" s="2">
        <v>39664</v>
      </c>
      <c r="C2433" s="61">
        <v>6349.81</v>
      </c>
      <c r="D2433" s="3">
        <f t="shared" si="40"/>
        <v>-7.2930964939982301E-3</v>
      </c>
    </row>
    <row r="2434" spans="2:4" x14ac:dyDescent="0.2">
      <c r="B2434" s="2">
        <v>39665</v>
      </c>
      <c r="C2434" s="61">
        <v>6518.7</v>
      </c>
      <c r="D2434" s="3">
        <f t="shared" si="40"/>
        <v>2.6597646228784688E-2</v>
      </c>
    </row>
    <row r="2435" spans="2:4" x14ac:dyDescent="0.2">
      <c r="B2435" s="2">
        <v>39666</v>
      </c>
      <c r="C2435" s="61">
        <v>6561.39</v>
      </c>
      <c r="D2435" s="3">
        <f t="shared" si="40"/>
        <v>6.5488517649225919E-3</v>
      </c>
    </row>
    <row r="2436" spans="2:4" x14ac:dyDescent="0.2">
      <c r="B2436" s="2">
        <v>39667</v>
      </c>
      <c r="C2436" s="61">
        <v>6543.49</v>
      </c>
      <c r="D2436" s="3">
        <f t="shared" si="40"/>
        <v>-2.7280804829464822E-3</v>
      </c>
    </row>
    <row r="2437" spans="2:4" x14ac:dyDescent="0.2">
      <c r="B2437" s="2">
        <v>39668</v>
      </c>
      <c r="C2437" s="61">
        <v>6561.65</v>
      </c>
      <c r="D2437" s="3">
        <f t="shared" ref="D2437:D2500" si="41">C2437/C2436-1</f>
        <v>2.7752774131235558E-3</v>
      </c>
    </row>
    <row r="2438" spans="2:4" x14ac:dyDescent="0.2">
      <c r="B2438" s="2">
        <v>39671</v>
      </c>
      <c r="C2438" s="61">
        <v>6609.63</v>
      </c>
      <c r="D2438" s="3">
        <f t="shared" si="41"/>
        <v>7.3121851973207974E-3</v>
      </c>
    </row>
    <row r="2439" spans="2:4" x14ac:dyDescent="0.2">
      <c r="B2439" s="2">
        <v>39672</v>
      </c>
      <c r="C2439" s="61">
        <v>6585.87</v>
      </c>
      <c r="D2439" s="3">
        <f t="shared" si="41"/>
        <v>-3.5947549257674405E-3</v>
      </c>
    </row>
    <row r="2440" spans="2:4" x14ac:dyDescent="0.2">
      <c r="B2440" s="2">
        <v>39673</v>
      </c>
      <c r="C2440" s="61">
        <v>6422.19</v>
      </c>
      <c r="D2440" s="3">
        <f t="shared" si="41"/>
        <v>-2.4853208459930221E-2</v>
      </c>
    </row>
    <row r="2441" spans="2:4" x14ac:dyDescent="0.2">
      <c r="B2441" s="2">
        <v>39674</v>
      </c>
      <c r="C2441" s="61">
        <v>6442.21</v>
      </c>
      <c r="D2441" s="3">
        <f t="shared" si="41"/>
        <v>3.1173166785785078E-3</v>
      </c>
    </row>
    <row r="2442" spans="2:4" x14ac:dyDescent="0.2">
      <c r="B2442" s="2">
        <v>39675</v>
      </c>
      <c r="C2442" s="61">
        <v>6446.02</v>
      </c>
      <c r="D2442" s="3">
        <f t="shared" si="41"/>
        <v>5.9141195335143948E-4</v>
      </c>
    </row>
    <row r="2443" spans="2:4" x14ac:dyDescent="0.2">
      <c r="B2443" s="2">
        <v>39678</v>
      </c>
      <c r="C2443" s="61">
        <v>6432.88</v>
      </c>
      <c r="D2443" s="3">
        <f t="shared" si="41"/>
        <v>-2.0384671471699312E-3</v>
      </c>
    </row>
    <row r="2444" spans="2:4" x14ac:dyDescent="0.2">
      <c r="B2444" s="2">
        <v>39679</v>
      </c>
      <c r="C2444" s="61">
        <v>6282.43</v>
      </c>
      <c r="D2444" s="3">
        <f t="shared" si="41"/>
        <v>-2.3387658404944611E-2</v>
      </c>
    </row>
    <row r="2445" spans="2:4" x14ac:dyDescent="0.2">
      <c r="B2445" s="2">
        <v>39680</v>
      </c>
      <c r="C2445" s="61">
        <v>6317.8</v>
      </c>
      <c r="D2445" s="3">
        <f t="shared" si="41"/>
        <v>5.6299871228171483E-3</v>
      </c>
    </row>
    <row r="2446" spans="2:4" x14ac:dyDescent="0.2">
      <c r="B2446" s="2">
        <v>39681</v>
      </c>
      <c r="C2446" s="61">
        <v>6236.96</v>
      </c>
      <c r="D2446" s="3">
        <f t="shared" si="41"/>
        <v>-1.2795593402766814E-2</v>
      </c>
    </row>
    <row r="2447" spans="2:4" x14ac:dyDescent="0.2">
      <c r="B2447" s="2">
        <v>39682</v>
      </c>
      <c r="C2447" s="61">
        <v>6342.42</v>
      </c>
      <c r="D2447" s="3">
        <f t="shared" si="41"/>
        <v>1.6908878684487316E-2</v>
      </c>
    </row>
    <row r="2448" spans="2:4" x14ac:dyDescent="0.2">
      <c r="B2448" s="2">
        <v>39685</v>
      </c>
      <c r="C2448" s="61">
        <v>6296.95</v>
      </c>
      <c r="D2448" s="3">
        <f t="shared" si="41"/>
        <v>-7.1691877863655495E-3</v>
      </c>
    </row>
    <row r="2449" spans="2:4" x14ac:dyDescent="0.2">
      <c r="B2449" s="2">
        <v>39686</v>
      </c>
      <c r="C2449" s="61">
        <v>6340.52</v>
      </c>
      <c r="D2449" s="3">
        <f t="shared" si="41"/>
        <v>6.9192227983390087E-3</v>
      </c>
    </row>
    <row r="2450" spans="2:4" x14ac:dyDescent="0.2">
      <c r="B2450" s="2">
        <v>39687</v>
      </c>
      <c r="C2450" s="61">
        <v>6321.03</v>
      </c>
      <c r="D2450" s="3">
        <f t="shared" si="41"/>
        <v>-3.0738803757421884E-3</v>
      </c>
    </row>
    <row r="2451" spans="2:4" x14ac:dyDescent="0.2">
      <c r="B2451" s="2">
        <v>39688</v>
      </c>
      <c r="C2451" s="61">
        <v>6420.54</v>
      </c>
      <c r="D2451" s="3">
        <f t="shared" si="41"/>
        <v>1.5742687505042818E-2</v>
      </c>
    </row>
    <row r="2452" spans="2:4" x14ac:dyDescent="0.2">
      <c r="B2452" s="2">
        <v>39689</v>
      </c>
      <c r="C2452" s="61">
        <v>6422.3</v>
      </c>
      <c r="D2452" s="3">
        <f t="shared" si="41"/>
        <v>2.741202453375724E-4</v>
      </c>
    </row>
    <row r="2453" spans="2:4" x14ac:dyDescent="0.2">
      <c r="B2453" s="2">
        <v>39692</v>
      </c>
      <c r="C2453" s="61">
        <v>6421.8</v>
      </c>
      <c r="D2453" s="3">
        <f t="shared" si="41"/>
        <v>-7.7853728415067103E-5</v>
      </c>
    </row>
    <row r="2454" spans="2:4" x14ac:dyDescent="0.2">
      <c r="B2454" s="2">
        <v>39693</v>
      </c>
      <c r="C2454" s="61">
        <v>6518.47</v>
      </c>
      <c r="D2454" s="3">
        <f t="shared" si="41"/>
        <v>1.5053411816001727E-2</v>
      </c>
    </row>
    <row r="2455" spans="2:4" x14ac:dyDescent="0.2">
      <c r="B2455" s="2">
        <v>39694</v>
      </c>
      <c r="C2455" s="61">
        <v>6467.49</v>
      </c>
      <c r="D2455" s="3">
        <f t="shared" si="41"/>
        <v>-7.8208536665813622E-3</v>
      </c>
    </row>
    <row r="2456" spans="2:4" x14ac:dyDescent="0.2">
      <c r="B2456" s="2">
        <v>39695</v>
      </c>
      <c r="C2456" s="61">
        <v>6279.57</v>
      </c>
      <c r="D2456" s="3">
        <f t="shared" si="41"/>
        <v>-2.9056094404475319E-2</v>
      </c>
    </row>
    <row r="2457" spans="2:4" x14ac:dyDescent="0.2">
      <c r="B2457" s="2">
        <v>39696</v>
      </c>
      <c r="C2457" s="61">
        <v>6127.44</v>
      </c>
      <c r="D2457" s="3">
        <f t="shared" si="41"/>
        <v>-2.4226181092017463E-2</v>
      </c>
    </row>
    <row r="2458" spans="2:4" x14ac:dyDescent="0.2">
      <c r="B2458" s="2">
        <v>39699</v>
      </c>
      <c r="C2458" s="61">
        <v>6263.74</v>
      </c>
      <c r="D2458" s="3">
        <f t="shared" si="41"/>
        <v>2.2244199861606084E-2</v>
      </c>
    </row>
    <row r="2459" spans="2:4" x14ac:dyDescent="0.2">
      <c r="B2459" s="2">
        <v>39700</v>
      </c>
      <c r="C2459" s="61">
        <v>6233.41</v>
      </c>
      <c r="D2459" s="3">
        <f t="shared" si="41"/>
        <v>-4.8421550064338126E-3</v>
      </c>
    </row>
    <row r="2460" spans="2:4" x14ac:dyDescent="0.2">
      <c r="B2460" s="2">
        <v>39701</v>
      </c>
      <c r="C2460" s="61">
        <v>6210.32</v>
      </c>
      <c r="D2460" s="3">
        <f t="shared" si="41"/>
        <v>-3.7042325147872424E-3</v>
      </c>
    </row>
    <row r="2461" spans="2:4" x14ac:dyDescent="0.2">
      <c r="B2461" s="2">
        <v>39702</v>
      </c>
      <c r="C2461" s="61">
        <v>6178.9</v>
      </c>
      <c r="D2461" s="3">
        <f t="shared" si="41"/>
        <v>-5.0593206147186986E-3</v>
      </c>
    </row>
    <row r="2462" spans="2:4" x14ac:dyDescent="0.2">
      <c r="B2462" s="2">
        <v>39703</v>
      </c>
      <c r="C2462" s="61">
        <v>6234.89</v>
      </c>
      <c r="D2462" s="3">
        <f t="shared" si="41"/>
        <v>9.0614834355631224E-3</v>
      </c>
    </row>
    <row r="2463" spans="2:4" x14ac:dyDescent="0.2">
      <c r="B2463" s="2">
        <v>39706</v>
      </c>
      <c r="C2463" s="61">
        <v>6064.16</v>
      </c>
      <c r="D2463" s="3">
        <f t="shared" si="41"/>
        <v>-2.7383001143564734E-2</v>
      </c>
    </row>
    <row r="2464" spans="2:4" x14ac:dyDescent="0.2">
      <c r="B2464" s="2">
        <v>39707</v>
      </c>
      <c r="C2464" s="61">
        <v>5965.17</v>
      </c>
      <c r="D2464" s="3">
        <f t="shared" si="41"/>
        <v>-1.6323777736735101E-2</v>
      </c>
    </row>
    <row r="2465" spans="2:4" x14ac:dyDescent="0.2">
      <c r="B2465" s="2">
        <v>39708</v>
      </c>
      <c r="C2465" s="61">
        <v>5860.98</v>
      </c>
      <c r="D2465" s="3">
        <f t="shared" si="41"/>
        <v>-1.7466392407928133E-2</v>
      </c>
    </row>
    <row r="2466" spans="2:4" x14ac:dyDescent="0.2">
      <c r="B2466" s="2">
        <v>39709</v>
      </c>
      <c r="C2466" s="61">
        <v>5863.42</v>
      </c>
      <c r="D2466" s="3">
        <f t="shared" si="41"/>
        <v>4.1631263031116639E-4</v>
      </c>
    </row>
    <row r="2467" spans="2:4" x14ac:dyDescent="0.2">
      <c r="B2467" s="2">
        <v>39710</v>
      </c>
      <c r="C2467" s="61">
        <v>6143.42</v>
      </c>
      <c r="D2467" s="3">
        <f t="shared" si="41"/>
        <v>4.7753700059010029E-2</v>
      </c>
    </row>
    <row r="2468" spans="2:4" x14ac:dyDescent="0.2">
      <c r="B2468" s="2">
        <v>39713</v>
      </c>
      <c r="C2468" s="61">
        <v>6107.75</v>
      </c>
      <c r="D2468" s="3">
        <f t="shared" si="41"/>
        <v>-5.8062121749774542E-3</v>
      </c>
    </row>
    <row r="2469" spans="2:4" x14ac:dyDescent="0.2">
      <c r="B2469" s="2">
        <v>39714</v>
      </c>
      <c r="C2469" s="61">
        <v>6068.53</v>
      </c>
      <c r="D2469" s="3">
        <f t="shared" si="41"/>
        <v>-6.4213499242765648E-3</v>
      </c>
    </row>
    <row r="2470" spans="2:4" x14ac:dyDescent="0.2">
      <c r="B2470" s="2">
        <v>39715</v>
      </c>
      <c r="C2470" s="61">
        <v>6052.87</v>
      </c>
      <c r="D2470" s="3">
        <f t="shared" si="41"/>
        <v>-2.5805260911621053E-3</v>
      </c>
    </row>
    <row r="2471" spans="2:4" x14ac:dyDescent="0.2">
      <c r="B2471" s="2">
        <v>39716</v>
      </c>
      <c r="C2471" s="61">
        <v>6173.03</v>
      </c>
      <c r="D2471" s="3">
        <f t="shared" si="41"/>
        <v>1.9851739753207864E-2</v>
      </c>
    </row>
    <row r="2472" spans="2:4" x14ac:dyDescent="0.2">
      <c r="B2472" s="2">
        <v>39717</v>
      </c>
      <c r="C2472" s="61">
        <v>6063.5</v>
      </c>
      <c r="D2472" s="3">
        <f t="shared" si="41"/>
        <v>-1.7743312441378056E-2</v>
      </c>
    </row>
    <row r="2473" spans="2:4" x14ac:dyDescent="0.2">
      <c r="B2473" s="2">
        <v>39720</v>
      </c>
      <c r="C2473" s="61">
        <v>5807.08</v>
      </c>
      <c r="D2473" s="3">
        <f t="shared" si="41"/>
        <v>-4.2289106951430733E-2</v>
      </c>
    </row>
    <row r="2474" spans="2:4" x14ac:dyDescent="0.2">
      <c r="B2474" s="2">
        <v>39721</v>
      </c>
      <c r="C2474" s="61">
        <v>5831.02</v>
      </c>
      <c r="D2474" s="3">
        <f t="shared" si="41"/>
        <v>4.1225538480613722E-3</v>
      </c>
    </row>
    <row r="2475" spans="2:4" x14ac:dyDescent="0.2">
      <c r="B2475" s="2">
        <v>39722</v>
      </c>
      <c r="C2475" s="61">
        <v>5806.33</v>
      </c>
      <c r="D2475" s="3">
        <f t="shared" si="41"/>
        <v>-4.2342506113853817E-3</v>
      </c>
    </row>
    <row r="2476" spans="2:4" x14ac:dyDescent="0.2">
      <c r="B2476" s="2">
        <v>39723</v>
      </c>
      <c r="C2476" s="61">
        <v>5660.63</v>
      </c>
      <c r="D2476" s="3">
        <f t="shared" si="41"/>
        <v>-2.5093303343075579E-2</v>
      </c>
    </row>
    <row r="2477" spans="2:4" x14ac:dyDescent="0.2">
      <c r="B2477" s="2">
        <v>39724</v>
      </c>
      <c r="C2477" s="61">
        <v>5797.03</v>
      </c>
      <c r="D2477" s="3">
        <f t="shared" si="41"/>
        <v>2.4096257837025181E-2</v>
      </c>
    </row>
    <row r="2478" spans="2:4" x14ac:dyDescent="0.2">
      <c r="B2478" s="2">
        <v>39727</v>
      </c>
      <c r="C2478" s="61">
        <v>5387.01</v>
      </c>
      <c r="D2478" s="3">
        <f t="shared" si="41"/>
        <v>-7.0729321738890349E-2</v>
      </c>
    </row>
    <row r="2479" spans="2:4" x14ac:dyDescent="0.2">
      <c r="B2479" s="2">
        <v>39728</v>
      </c>
      <c r="C2479" s="61">
        <v>5326.63</v>
      </c>
      <c r="D2479" s="3">
        <f t="shared" si="41"/>
        <v>-1.1208444016253982E-2</v>
      </c>
    </row>
    <row r="2480" spans="2:4" x14ac:dyDescent="0.2">
      <c r="B2480" s="2">
        <v>39729</v>
      </c>
      <c r="C2480" s="61">
        <v>5013.62</v>
      </c>
      <c r="D2480" s="3">
        <f t="shared" si="41"/>
        <v>-5.8763233038525375E-2</v>
      </c>
    </row>
    <row r="2481" spans="2:4" x14ac:dyDescent="0.2">
      <c r="B2481" s="2">
        <v>39730</v>
      </c>
      <c r="C2481" s="61">
        <v>4887</v>
      </c>
      <c r="D2481" s="3">
        <f t="shared" si="41"/>
        <v>-2.525520482206467E-2</v>
      </c>
    </row>
    <row r="2482" spans="2:4" x14ac:dyDescent="0.2">
      <c r="B2482" s="2">
        <v>39731</v>
      </c>
      <c r="C2482" s="61">
        <v>4544.3100000000004</v>
      </c>
      <c r="D2482" s="3">
        <f t="shared" si="41"/>
        <v>-7.0122774708409996E-2</v>
      </c>
    </row>
    <row r="2483" spans="2:4" x14ac:dyDescent="0.2">
      <c r="B2483" s="2">
        <v>39734</v>
      </c>
      <c r="C2483" s="61">
        <v>5062.45</v>
      </c>
      <c r="D2483" s="3">
        <f t="shared" si="41"/>
        <v>0.11401951011264622</v>
      </c>
    </row>
    <row r="2484" spans="2:4" x14ac:dyDescent="0.2">
      <c r="B2484" s="2">
        <v>39735</v>
      </c>
      <c r="C2484" s="61">
        <v>5199.1899999999996</v>
      </c>
      <c r="D2484" s="3">
        <f t="shared" si="41"/>
        <v>2.7010637142095284E-2</v>
      </c>
    </row>
    <row r="2485" spans="2:4" x14ac:dyDescent="0.2">
      <c r="B2485" s="2">
        <v>39736</v>
      </c>
      <c r="C2485" s="61">
        <v>4861.63</v>
      </c>
      <c r="D2485" s="3">
        <f t="shared" si="41"/>
        <v>-6.4925498010266924E-2</v>
      </c>
    </row>
    <row r="2486" spans="2:4" x14ac:dyDescent="0.2">
      <c r="B2486" s="2">
        <v>39737</v>
      </c>
      <c r="C2486" s="61">
        <v>4622.8100000000004</v>
      </c>
      <c r="D2486" s="3">
        <f t="shared" si="41"/>
        <v>-4.9123442137719131E-2</v>
      </c>
    </row>
    <row r="2487" spans="2:4" x14ac:dyDescent="0.2">
      <c r="B2487" s="2">
        <v>39738</v>
      </c>
      <c r="C2487" s="61">
        <v>4781.33</v>
      </c>
      <c r="D2487" s="3">
        <f t="shared" si="41"/>
        <v>3.4290831766825791E-2</v>
      </c>
    </row>
    <row r="2488" spans="2:4" x14ac:dyDescent="0.2">
      <c r="B2488" s="2">
        <v>39741</v>
      </c>
      <c r="C2488" s="61">
        <v>4835.01</v>
      </c>
      <c r="D2488" s="3">
        <f t="shared" si="41"/>
        <v>1.1227001691997973E-2</v>
      </c>
    </row>
    <row r="2489" spans="2:4" x14ac:dyDescent="0.2">
      <c r="B2489" s="2">
        <v>39742</v>
      </c>
      <c r="C2489" s="61">
        <v>4784.41</v>
      </c>
      <c r="D2489" s="3">
        <f t="shared" si="41"/>
        <v>-1.0465335128572728E-2</v>
      </c>
    </row>
    <row r="2490" spans="2:4" x14ac:dyDescent="0.2">
      <c r="B2490" s="2">
        <v>39743</v>
      </c>
      <c r="C2490" s="61">
        <v>4571.07</v>
      </c>
      <c r="D2490" s="3">
        <f t="shared" si="41"/>
        <v>-4.4590660081389344E-2</v>
      </c>
    </row>
    <row r="2491" spans="2:4" x14ac:dyDescent="0.2">
      <c r="B2491" s="2">
        <v>39744</v>
      </c>
      <c r="C2491" s="61">
        <v>4519.7</v>
      </c>
      <c r="D2491" s="3">
        <f t="shared" si="41"/>
        <v>-1.1238068986036076E-2</v>
      </c>
    </row>
    <row r="2492" spans="2:4" x14ac:dyDescent="0.2">
      <c r="B2492" s="2">
        <v>39745</v>
      </c>
      <c r="C2492" s="61">
        <v>4295.67</v>
      </c>
      <c r="D2492" s="3">
        <f t="shared" si="41"/>
        <v>-4.9567449166980082E-2</v>
      </c>
    </row>
    <row r="2493" spans="2:4" x14ac:dyDescent="0.2">
      <c r="B2493" s="2">
        <v>39748</v>
      </c>
      <c r="C2493" s="61">
        <v>4334.6400000000003</v>
      </c>
      <c r="D2493" s="3">
        <f t="shared" si="41"/>
        <v>9.0719259160969568E-3</v>
      </c>
    </row>
    <row r="2494" spans="2:4" x14ac:dyDescent="0.2">
      <c r="B2494" s="2">
        <v>39749</v>
      </c>
      <c r="C2494" s="61">
        <v>4823.45</v>
      </c>
      <c r="D2494" s="3">
        <f t="shared" si="41"/>
        <v>0.11276830371149615</v>
      </c>
    </row>
    <row r="2495" spans="2:4" x14ac:dyDescent="0.2">
      <c r="B2495" s="2">
        <v>39750</v>
      </c>
      <c r="C2495" s="61">
        <v>4808.6899999999996</v>
      </c>
      <c r="D2495" s="3">
        <f t="shared" si="41"/>
        <v>-3.0600503788782429E-3</v>
      </c>
    </row>
    <row r="2496" spans="2:4" x14ac:dyDescent="0.2">
      <c r="B2496" s="2">
        <v>39751</v>
      </c>
      <c r="C2496" s="61">
        <v>4869.3</v>
      </c>
      <c r="D2496" s="3">
        <f t="shared" si="41"/>
        <v>1.2604264363059503E-2</v>
      </c>
    </row>
    <row r="2497" spans="2:4" x14ac:dyDescent="0.2">
      <c r="B2497" s="2">
        <v>39752</v>
      </c>
      <c r="C2497" s="61">
        <v>4987.97</v>
      </c>
      <c r="D2497" s="3">
        <f t="shared" si="41"/>
        <v>2.4371059495204683E-2</v>
      </c>
    </row>
    <row r="2498" spans="2:4" x14ac:dyDescent="0.2">
      <c r="B2498" s="2">
        <v>39755</v>
      </c>
      <c r="C2498" s="61">
        <v>5026.84</v>
      </c>
      <c r="D2498" s="3">
        <f t="shared" si="41"/>
        <v>7.7927493549478921E-3</v>
      </c>
    </row>
    <row r="2499" spans="2:4" x14ac:dyDescent="0.2">
      <c r="B2499" s="2">
        <v>39756</v>
      </c>
      <c r="C2499" s="61">
        <v>5278.04</v>
      </c>
      <c r="D2499" s="3">
        <f t="shared" si="41"/>
        <v>4.9971751637211348E-2</v>
      </c>
    </row>
    <row r="2500" spans="2:4" x14ac:dyDescent="0.2">
      <c r="B2500" s="2">
        <v>39757</v>
      </c>
      <c r="C2500" s="61">
        <v>5166.87</v>
      </c>
      <c r="D2500" s="3">
        <f t="shared" si="41"/>
        <v>-2.1062742987927319E-2</v>
      </c>
    </row>
    <row r="2501" spans="2:4" x14ac:dyDescent="0.2">
      <c r="B2501" s="2">
        <v>39758</v>
      </c>
      <c r="C2501" s="61">
        <v>4813.57</v>
      </c>
      <c r="D2501" s="3">
        <f t="shared" ref="D2501:D2564" si="42">C2501/C2500-1</f>
        <v>-6.837795415793313E-2</v>
      </c>
    </row>
    <row r="2502" spans="2:4" x14ac:dyDescent="0.2">
      <c r="B2502" s="2">
        <v>39759</v>
      </c>
      <c r="C2502" s="61">
        <v>4938.46</v>
      </c>
      <c r="D2502" s="3">
        <f t="shared" si="42"/>
        <v>2.594540019154179E-2</v>
      </c>
    </row>
    <row r="2503" spans="2:4" x14ac:dyDescent="0.2">
      <c r="B2503" s="2">
        <v>39762</v>
      </c>
      <c r="C2503" s="61">
        <v>5025.53</v>
      </c>
      <c r="D2503" s="3">
        <f t="shared" si="42"/>
        <v>1.7631002377259231E-2</v>
      </c>
    </row>
    <row r="2504" spans="2:4" x14ac:dyDescent="0.2">
      <c r="B2504" s="2">
        <v>39763</v>
      </c>
      <c r="C2504" s="61">
        <v>4761.58</v>
      </c>
      <c r="D2504" s="3">
        <f t="shared" si="42"/>
        <v>-5.2521823568857373E-2</v>
      </c>
    </row>
    <row r="2505" spans="2:4" x14ac:dyDescent="0.2">
      <c r="B2505" s="2">
        <v>39764</v>
      </c>
      <c r="C2505" s="61">
        <v>4620.8</v>
      </c>
      <c r="D2505" s="3">
        <f t="shared" si="42"/>
        <v>-2.9565816388677613E-2</v>
      </c>
    </row>
    <row r="2506" spans="2:4" x14ac:dyDescent="0.2">
      <c r="B2506" s="2">
        <v>39765</v>
      </c>
      <c r="C2506" s="61">
        <v>4649.5200000000004</v>
      </c>
      <c r="D2506" s="3">
        <f t="shared" si="42"/>
        <v>6.2153739612189618E-3</v>
      </c>
    </row>
    <row r="2507" spans="2:4" x14ac:dyDescent="0.2">
      <c r="B2507" s="2">
        <v>39766</v>
      </c>
      <c r="C2507" s="61">
        <v>4710.24</v>
      </c>
      <c r="D2507" s="3">
        <f t="shared" si="42"/>
        <v>1.3059412584524699E-2</v>
      </c>
    </row>
    <row r="2508" spans="2:4" x14ac:dyDescent="0.2">
      <c r="B2508" s="2">
        <v>39769</v>
      </c>
      <c r="C2508" s="61">
        <v>4557.2700000000004</v>
      </c>
      <c r="D2508" s="3">
        <f t="shared" si="42"/>
        <v>-3.2476052175685166E-2</v>
      </c>
    </row>
    <row r="2509" spans="2:4" x14ac:dyDescent="0.2">
      <c r="B2509" s="2">
        <v>39770</v>
      </c>
      <c r="C2509" s="61">
        <v>4579.47</v>
      </c>
      <c r="D2509" s="3">
        <f t="shared" si="42"/>
        <v>4.8713374454443237E-3</v>
      </c>
    </row>
    <row r="2510" spans="2:4" x14ac:dyDescent="0.2">
      <c r="B2510" s="2">
        <v>39771</v>
      </c>
      <c r="C2510" s="61">
        <v>4354.09</v>
      </c>
      <c r="D2510" s="3">
        <f t="shared" si="42"/>
        <v>-4.9215302207460732E-2</v>
      </c>
    </row>
    <row r="2511" spans="2:4" x14ac:dyDescent="0.2">
      <c r="B2511" s="2">
        <v>39772</v>
      </c>
      <c r="C2511" s="61">
        <v>4220.2</v>
      </c>
      <c r="D2511" s="3">
        <f t="shared" si="42"/>
        <v>-3.0750397901743054E-2</v>
      </c>
    </row>
    <row r="2512" spans="2:4" x14ac:dyDescent="0.2">
      <c r="B2512" s="2">
        <v>39773</v>
      </c>
      <c r="C2512" s="61">
        <v>4127.41</v>
      </c>
      <c r="D2512" s="3">
        <f t="shared" si="42"/>
        <v>-2.1987109615657974E-2</v>
      </c>
    </row>
    <row r="2513" spans="2:4" x14ac:dyDescent="0.2">
      <c r="B2513" s="2">
        <v>39776</v>
      </c>
      <c r="C2513" s="61">
        <v>4554.33</v>
      </c>
      <c r="D2513" s="3">
        <f t="shared" si="42"/>
        <v>0.10343532626998542</v>
      </c>
    </row>
    <row r="2514" spans="2:4" x14ac:dyDescent="0.2">
      <c r="B2514" s="2">
        <v>39777</v>
      </c>
      <c r="C2514" s="61">
        <v>4560.42</v>
      </c>
      <c r="D2514" s="3">
        <f t="shared" si="42"/>
        <v>1.3371890047493284E-3</v>
      </c>
    </row>
    <row r="2515" spans="2:4" x14ac:dyDescent="0.2">
      <c r="B2515" s="2">
        <v>39778</v>
      </c>
      <c r="C2515" s="61">
        <v>4560.5</v>
      </c>
      <c r="D2515" s="3">
        <f t="shared" si="42"/>
        <v>1.754224391614656E-5</v>
      </c>
    </row>
    <row r="2516" spans="2:4" x14ac:dyDescent="0.2">
      <c r="B2516" s="2">
        <v>39779</v>
      </c>
      <c r="C2516" s="61">
        <v>4665.2700000000004</v>
      </c>
      <c r="D2516" s="3">
        <f t="shared" si="42"/>
        <v>2.2973358184409598E-2</v>
      </c>
    </row>
    <row r="2517" spans="2:4" x14ac:dyDescent="0.2">
      <c r="B2517" s="2">
        <v>39780</v>
      </c>
      <c r="C2517" s="61">
        <v>4669.4399999999996</v>
      </c>
      <c r="D2517" s="3">
        <f t="shared" si="42"/>
        <v>8.9383894179739798E-4</v>
      </c>
    </row>
    <row r="2518" spans="2:4" x14ac:dyDescent="0.2">
      <c r="B2518" s="2">
        <v>39783</v>
      </c>
      <c r="C2518" s="61">
        <v>4394.79</v>
      </c>
      <c r="D2518" s="3">
        <f t="shared" si="42"/>
        <v>-5.8818616365131526E-2</v>
      </c>
    </row>
    <row r="2519" spans="2:4" x14ac:dyDescent="0.2">
      <c r="B2519" s="2">
        <v>39784</v>
      </c>
      <c r="C2519" s="61">
        <v>4531.79</v>
      </c>
      <c r="D2519" s="3">
        <f t="shared" si="42"/>
        <v>3.1173275628642028E-2</v>
      </c>
    </row>
    <row r="2520" spans="2:4" x14ac:dyDescent="0.2">
      <c r="B2520" s="2">
        <v>39785</v>
      </c>
      <c r="C2520" s="61">
        <v>4567.24</v>
      </c>
      <c r="D2520" s="3">
        <f t="shared" si="42"/>
        <v>7.8225160477427558E-3</v>
      </c>
    </row>
    <row r="2521" spans="2:4" x14ac:dyDescent="0.2">
      <c r="B2521" s="2">
        <v>39786</v>
      </c>
      <c r="C2521" s="61">
        <v>4564.2299999999996</v>
      </c>
      <c r="D2521" s="3">
        <f t="shared" si="42"/>
        <v>-6.590413466338596E-4</v>
      </c>
    </row>
    <row r="2522" spans="2:4" x14ac:dyDescent="0.2">
      <c r="B2522" s="2">
        <v>39787</v>
      </c>
      <c r="C2522" s="61">
        <v>4381.47</v>
      </c>
      <c r="D2522" s="3">
        <f t="shared" si="42"/>
        <v>-4.0041803327176662E-2</v>
      </c>
    </row>
    <row r="2523" spans="2:4" x14ac:dyDescent="0.2">
      <c r="B2523" s="2">
        <v>39790</v>
      </c>
      <c r="C2523" s="61">
        <v>4715.88</v>
      </c>
      <c r="D2523" s="3">
        <f t="shared" si="42"/>
        <v>7.6323699580277848E-2</v>
      </c>
    </row>
    <row r="2524" spans="2:4" x14ac:dyDescent="0.2">
      <c r="B2524" s="2">
        <v>39791</v>
      </c>
      <c r="C2524" s="61">
        <v>4779.1099999999997</v>
      </c>
      <c r="D2524" s="3">
        <f t="shared" si="42"/>
        <v>1.3407889937826933E-2</v>
      </c>
    </row>
    <row r="2525" spans="2:4" x14ac:dyDescent="0.2">
      <c r="B2525" s="2">
        <v>39792</v>
      </c>
      <c r="C2525" s="61">
        <v>4804.88</v>
      </c>
      <c r="D2525" s="3">
        <f t="shared" si="42"/>
        <v>5.3922173793865547E-3</v>
      </c>
    </row>
    <row r="2526" spans="2:4" x14ac:dyDescent="0.2">
      <c r="B2526" s="2">
        <v>39793</v>
      </c>
      <c r="C2526" s="61">
        <v>4767.2</v>
      </c>
      <c r="D2526" s="3">
        <f t="shared" si="42"/>
        <v>-7.8420272722732332E-3</v>
      </c>
    </row>
    <row r="2527" spans="2:4" x14ac:dyDescent="0.2">
      <c r="B2527" s="2">
        <v>39794</v>
      </c>
      <c r="C2527" s="61">
        <v>4663.37</v>
      </c>
      <c r="D2527" s="3">
        <f t="shared" si="42"/>
        <v>-2.1780080550427905E-2</v>
      </c>
    </row>
    <row r="2528" spans="2:4" x14ac:dyDescent="0.2">
      <c r="B2528" s="2">
        <v>39797</v>
      </c>
      <c r="C2528" s="61">
        <v>4654.82</v>
      </c>
      <c r="D2528" s="3">
        <f t="shared" si="42"/>
        <v>-1.8334380501654479E-3</v>
      </c>
    </row>
    <row r="2529" spans="2:4" x14ac:dyDescent="0.2">
      <c r="B2529" s="2">
        <v>39798</v>
      </c>
      <c r="C2529" s="61">
        <v>4729.91</v>
      </c>
      <c r="D2529" s="3">
        <f t="shared" si="42"/>
        <v>1.6131665671282658E-2</v>
      </c>
    </row>
    <row r="2530" spans="2:4" x14ac:dyDescent="0.2">
      <c r="B2530" s="2">
        <v>39799</v>
      </c>
      <c r="C2530" s="61">
        <v>4708.38</v>
      </c>
      <c r="D2530" s="3">
        <f t="shared" si="42"/>
        <v>-4.5518836510630711E-3</v>
      </c>
    </row>
    <row r="2531" spans="2:4" x14ac:dyDescent="0.2">
      <c r="B2531" s="2">
        <v>39800</v>
      </c>
      <c r="C2531" s="61">
        <v>4756.3999999999996</v>
      </c>
      <c r="D2531" s="3">
        <f t="shared" si="42"/>
        <v>1.0198836967279412E-2</v>
      </c>
    </row>
    <row r="2532" spans="2:4" x14ac:dyDescent="0.2">
      <c r="B2532" s="2">
        <v>39801</v>
      </c>
      <c r="C2532" s="61">
        <v>4696.7</v>
      </c>
      <c r="D2532" s="3">
        <f t="shared" si="42"/>
        <v>-1.2551509545034034E-2</v>
      </c>
    </row>
    <row r="2533" spans="2:4" x14ac:dyDescent="0.2">
      <c r="B2533" s="2">
        <v>39804</v>
      </c>
      <c r="C2533" s="61">
        <v>4639.0200000000004</v>
      </c>
      <c r="D2533" s="3">
        <f t="shared" si="42"/>
        <v>-1.2280963229501451E-2</v>
      </c>
    </row>
    <row r="2534" spans="2:4" x14ac:dyDescent="0.2">
      <c r="B2534" s="2">
        <v>39805</v>
      </c>
      <c r="C2534" s="61">
        <v>4629.38</v>
      </c>
      <c r="D2534" s="3">
        <f t="shared" si="42"/>
        <v>-2.0780251001289995E-3</v>
      </c>
    </row>
    <row r="2535" spans="2:4" x14ac:dyDescent="0.2">
      <c r="B2535" s="2">
        <v>39806</v>
      </c>
      <c r="C2535" s="61">
        <v>4629.38</v>
      </c>
      <c r="D2535" s="3">
        <f t="shared" si="42"/>
        <v>0</v>
      </c>
    </row>
    <row r="2536" spans="2:4" x14ac:dyDescent="0.2">
      <c r="B2536" s="2">
        <v>39808</v>
      </c>
      <c r="C2536" s="61">
        <v>4629.38</v>
      </c>
      <c r="D2536" s="3">
        <f t="shared" si="42"/>
        <v>0</v>
      </c>
    </row>
    <row r="2537" spans="2:4" x14ac:dyDescent="0.2">
      <c r="B2537" s="2">
        <v>39811</v>
      </c>
      <c r="C2537" s="61">
        <v>4704.8599999999997</v>
      </c>
      <c r="D2537" s="3">
        <f t="shared" si="42"/>
        <v>1.6304559141828934E-2</v>
      </c>
    </row>
    <row r="2538" spans="2:4" x14ac:dyDescent="0.2">
      <c r="B2538" s="2">
        <v>39812</v>
      </c>
      <c r="C2538" s="61">
        <v>4810.2</v>
      </c>
      <c r="D2538" s="3">
        <f t="shared" si="42"/>
        <v>2.2389614143672798E-2</v>
      </c>
    </row>
    <row r="2539" spans="2:4" x14ac:dyDescent="0.2">
      <c r="B2539" s="2">
        <v>39815</v>
      </c>
      <c r="C2539" s="61">
        <v>4973.07</v>
      </c>
      <c r="D2539" s="3">
        <f t="shared" si="42"/>
        <v>3.3859298989646902E-2</v>
      </c>
    </row>
    <row r="2540" spans="2:4" x14ac:dyDescent="0.2">
      <c r="B2540" s="2">
        <v>39818</v>
      </c>
      <c r="C2540" s="61">
        <v>4983.99</v>
      </c>
      <c r="D2540" s="3">
        <f t="shared" si="42"/>
        <v>2.1958267227286665E-3</v>
      </c>
    </row>
    <row r="2541" spans="2:4" x14ac:dyDescent="0.2">
      <c r="B2541" s="2">
        <v>39819</v>
      </c>
      <c r="C2541" s="61">
        <v>5026.3100000000004</v>
      </c>
      <c r="D2541" s="3">
        <f t="shared" si="42"/>
        <v>8.4911887864944635E-3</v>
      </c>
    </row>
    <row r="2542" spans="2:4" x14ac:dyDescent="0.2">
      <c r="B2542" s="2">
        <v>39820</v>
      </c>
      <c r="C2542" s="61">
        <v>4937.47</v>
      </c>
      <c r="D2542" s="3">
        <f t="shared" si="42"/>
        <v>-1.7674994180621573E-2</v>
      </c>
    </row>
    <row r="2543" spans="2:4" x14ac:dyDescent="0.2">
      <c r="B2543" s="2">
        <v>39821</v>
      </c>
      <c r="C2543" s="61">
        <v>4879.91</v>
      </c>
      <c r="D2543" s="3">
        <f t="shared" si="42"/>
        <v>-1.1657792351143503E-2</v>
      </c>
    </row>
    <row r="2544" spans="2:4" x14ac:dyDescent="0.2">
      <c r="B2544" s="2">
        <v>39822</v>
      </c>
      <c r="C2544" s="61">
        <v>4783.8900000000003</v>
      </c>
      <c r="D2544" s="3">
        <f t="shared" si="42"/>
        <v>-1.9676592396171144E-2</v>
      </c>
    </row>
    <row r="2545" spans="2:4" x14ac:dyDescent="0.2">
      <c r="B2545" s="2">
        <v>39825</v>
      </c>
      <c r="C2545" s="61">
        <v>4719.62</v>
      </c>
      <c r="D2545" s="3">
        <f t="shared" si="42"/>
        <v>-1.3434673456120483E-2</v>
      </c>
    </row>
    <row r="2546" spans="2:4" x14ac:dyDescent="0.2">
      <c r="B2546" s="2">
        <v>39826</v>
      </c>
      <c r="C2546" s="61">
        <v>4636.9399999999996</v>
      </c>
      <c r="D2546" s="3">
        <f t="shared" si="42"/>
        <v>-1.7518359528945204E-2</v>
      </c>
    </row>
    <row r="2547" spans="2:4" x14ac:dyDescent="0.2">
      <c r="B2547" s="2">
        <v>39827</v>
      </c>
      <c r="C2547" s="61">
        <v>4422.3500000000004</v>
      </c>
      <c r="D2547" s="3">
        <f t="shared" si="42"/>
        <v>-4.6278364611144207E-2</v>
      </c>
    </row>
    <row r="2548" spans="2:4" x14ac:dyDescent="0.2">
      <c r="B2548" s="2">
        <v>39828</v>
      </c>
      <c r="C2548" s="61">
        <v>4336.7299999999996</v>
      </c>
      <c r="D2548" s="3">
        <f t="shared" si="42"/>
        <v>-1.9360747114091081E-2</v>
      </c>
    </row>
    <row r="2549" spans="2:4" x14ac:dyDescent="0.2">
      <c r="B2549" s="2">
        <v>39829</v>
      </c>
      <c r="C2549" s="61">
        <v>4366.28</v>
      </c>
      <c r="D2549" s="3">
        <f t="shared" si="42"/>
        <v>6.813889727974809E-3</v>
      </c>
    </row>
    <row r="2550" spans="2:4" x14ac:dyDescent="0.2">
      <c r="B2550" s="2">
        <v>39832</v>
      </c>
      <c r="C2550" s="61">
        <v>4316.1400000000003</v>
      </c>
      <c r="D2550" s="3">
        <f t="shared" si="42"/>
        <v>-1.148345960405639E-2</v>
      </c>
    </row>
    <row r="2551" spans="2:4" x14ac:dyDescent="0.2">
      <c r="B2551" s="2">
        <v>39833</v>
      </c>
      <c r="C2551" s="61">
        <v>4239.8500000000004</v>
      </c>
      <c r="D2551" s="3">
        <f t="shared" si="42"/>
        <v>-1.7675515622755489E-2</v>
      </c>
    </row>
    <row r="2552" spans="2:4" x14ac:dyDescent="0.2">
      <c r="B2552" s="2">
        <v>39834</v>
      </c>
      <c r="C2552" s="61">
        <v>4261.1499999999996</v>
      </c>
      <c r="D2552" s="3">
        <f t="shared" si="42"/>
        <v>5.0237626331117724E-3</v>
      </c>
    </row>
    <row r="2553" spans="2:4" x14ac:dyDescent="0.2">
      <c r="B2553" s="2">
        <v>39835</v>
      </c>
      <c r="C2553" s="61">
        <v>4219.42</v>
      </c>
      <c r="D2553" s="3">
        <f t="shared" si="42"/>
        <v>-9.793130962298835E-3</v>
      </c>
    </row>
    <row r="2554" spans="2:4" x14ac:dyDescent="0.2">
      <c r="B2554" s="2">
        <v>39836</v>
      </c>
      <c r="C2554" s="61">
        <v>4178.9399999999996</v>
      </c>
      <c r="D2554" s="3">
        <f t="shared" si="42"/>
        <v>-9.5937356319115707E-3</v>
      </c>
    </row>
    <row r="2555" spans="2:4" x14ac:dyDescent="0.2">
      <c r="B2555" s="2">
        <v>39839</v>
      </c>
      <c r="C2555" s="61">
        <v>4326.87</v>
      </c>
      <c r="D2555" s="3">
        <f t="shared" si="42"/>
        <v>3.5398928914988081E-2</v>
      </c>
    </row>
    <row r="2556" spans="2:4" x14ac:dyDescent="0.2">
      <c r="B2556" s="2">
        <v>39840</v>
      </c>
      <c r="C2556" s="61">
        <v>4323.42</v>
      </c>
      <c r="D2556" s="3">
        <f t="shared" si="42"/>
        <v>-7.9734311407553271E-4</v>
      </c>
    </row>
    <row r="2557" spans="2:4" x14ac:dyDescent="0.2">
      <c r="B2557" s="2">
        <v>39841</v>
      </c>
      <c r="C2557" s="61">
        <v>4518.72</v>
      </c>
      <c r="D2557" s="3">
        <f t="shared" si="42"/>
        <v>4.5172571714059639E-2</v>
      </c>
    </row>
    <row r="2558" spans="2:4" x14ac:dyDescent="0.2">
      <c r="B2558" s="2">
        <v>39842</v>
      </c>
      <c r="C2558" s="61">
        <v>4428.1099999999997</v>
      </c>
      <c r="D2558" s="3">
        <f t="shared" si="42"/>
        <v>-2.0052138658735341E-2</v>
      </c>
    </row>
    <row r="2559" spans="2:4" x14ac:dyDescent="0.2">
      <c r="B2559" s="2">
        <v>39843</v>
      </c>
      <c r="C2559" s="61">
        <v>4338.3500000000004</v>
      </c>
      <c r="D2559" s="3">
        <f t="shared" si="42"/>
        <v>-2.0270499152008292E-2</v>
      </c>
    </row>
    <row r="2560" spans="2:4" x14ac:dyDescent="0.2">
      <c r="B2560" s="2">
        <v>39846</v>
      </c>
      <c r="C2560" s="61">
        <v>4271.04</v>
      </c>
      <c r="D2560" s="3">
        <f t="shared" si="42"/>
        <v>-1.551511519356441E-2</v>
      </c>
    </row>
    <row r="2561" spans="2:4" x14ac:dyDescent="0.2">
      <c r="B2561" s="2">
        <v>39847</v>
      </c>
      <c r="C2561" s="61">
        <v>4374.96</v>
      </c>
      <c r="D2561" s="3">
        <f t="shared" si="42"/>
        <v>2.4331310406833007E-2</v>
      </c>
    </row>
    <row r="2562" spans="2:4" x14ac:dyDescent="0.2">
      <c r="B2562" s="2">
        <v>39848</v>
      </c>
      <c r="C2562" s="61">
        <v>4492.79</v>
      </c>
      <c r="D2562" s="3">
        <f t="shared" si="42"/>
        <v>2.6932817671475817E-2</v>
      </c>
    </row>
    <row r="2563" spans="2:4" x14ac:dyDescent="0.2">
      <c r="B2563" s="2">
        <v>39849</v>
      </c>
      <c r="C2563" s="61">
        <v>4510.49</v>
      </c>
      <c r="D2563" s="3">
        <f t="shared" si="42"/>
        <v>3.9396455209346204E-3</v>
      </c>
    </row>
    <row r="2564" spans="2:4" x14ac:dyDescent="0.2">
      <c r="B2564" s="2">
        <v>39850</v>
      </c>
      <c r="C2564" s="61">
        <v>4644.63</v>
      </c>
      <c r="D2564" s="3">
        <f t="shared" si="42"/>
        <v>2.9739562663923413E-2</v>
      </c>
    </row>
    <row r="2565" spans="2:4" x14ac:dyDescent="0.2">
      <c r="B2565" s="2">
        <v>39853</v>
      </c>
      <c r="C2565" s="61">
        <v>4666.82</v>
      </c>
      <c r="D2565" s="3">
        <f t="shared" ref="D2565:D2628" si="43">C2565/C2564-1</f>
        <v>4.7775603223507712E-3</v>
      </c>
    </row>
    <row r="2566" spans="2:4" x14ac:dyDescent="0.2">
      <c r="B2566" s="2">
        <v>39854</v>
      </c>
      <c r="C2566" s="61">
        <v>4505.54</v>
      </c>
      <c r="D2566" s="3">
        <f t="shared" si="43"/>
        <v>-3.4558864494452224E-2</v>
      </c>
    </row>
    <row r="2567" spans="2:4" x14ac:dyDescent="0.2">
      <c r="B2567" s="2">
        <v>39855</v>
      </c>
      <c r="C2567" s="61">
        <v>4530.09</v>
      </c>
      <c r="D2567" s="3">
        <f t="shared" si="43"/>
        <v>5.4488474189553493E-3</v>
      </c>
    </row>
    <row r="2568" spans="2:4" x14ac:dyDescent="0.2">
      <c r="B2568" s="2">
        <v>39856</v>
      </c>
      <c r="C2568" s="61">
        <v>4407.5600000000004</v>
      </c>
      <c r="D2568" s="3">
        <f t="shared" si="43"/>
        <v>-2.7048027743378111E-2</v>
      </c>
    </row>
    <row r="2569" spans="2:4" x14ac:dyDescent="0.2">
      <c r="B2569" s="2">
        <v>39857</v>
      </c>
      <c r="C2569" s="61">
        <v>4413.3900000000003</v>
      </c>
      <c r="D2569" s="3">
        <f t="shared" si="43"/>
        <v>1.3227273139786444E-3</v>
      </c>
    </row>
    <row r="2570" spans="2:4" x14ac:dyDescent="0.2">
      <c r="B2570" s="2">
        <v>39860</v>
      </c>
      <c r="C2570" s="61">
        <v>4366.6400000000003</v>
      </c>
      <c r="D2570" s="3">
        <f t="shared" si="43"/>
        <v>-1.0592764292301382E-2</v>
      </c>
    </row>
    <row r="2571" spans="2:4" x14ac:dyDescent="0.2">
      <c r="B2571" s="2">
        <v>39861</v>
      </c>
      <c r="C2571" s="61">
        <v>4216.6000000000004</v>
      </c>
      <c r="D2571" s="3">
        <f t="shared" si="43"/>
        <v>-3.4360515178718631E-2</v>
      </c>
    </row>
    <row r="2572" spans="2:4" x14ac:dyDescent="0.2">
      <c r="B2572" s="2">
        <v>39862</v>
      </c>
      <c r="C2572" s="61">
        <v>4204.96</v>
      </c>
      <c r="D2572" s="3">
        <f t="shared" si="43"/>
        <v>-2.7605179528530366E-3</v>
      </c>
    </row>
    <row r="2573" spans="2:4" x14ac:dyDescent="0.2">
      <c r="B2573" s="2">
        <v>39863</v>
      </c>
      <c r="C2573" s="61">
        <v>4215.21</v>
      </c>
      <c r="D2573" s="3">
        <f t="shared" si="43"/>
        <v>2.4375975039001574E-3</v>
      </c>
    </row>
    <row r="2574" spans="2:4" x14ac:dyDescent="0.2">
      <c r="B2574" s="2">
        <v>39864</v>
      </c>
      <c r="C2574" s="61">
        <v>4014.66</v>
      </c>
      <c r="D2574" s="3">
        <f t="shared" si="43"/>
        <v>-4.7577700755122576E-2</v>
      </c>
    </row>
    <row r="2575" spans="2:4" x14ac:dyDescent="0.2">
      <c r="B2575" s="2">
        <v>39867</v>
      </c>
      <c r="C2575" s="61">
        <v>3936.45</v>
      </c>
      <c r="D2575" s="3">
        <f t="shared" si="43"/>
        <v>-1.9481101762042097E-2</v>
      </c>
    </row>
    <row r="2576" spans="2:4" x14ac:dyDescent="0.2">
      <c r="B2576" s="2">
        <v>39868</v>
      </c>
      <c r="C2576" s="61">
        <v>3895.75</v>
      </c>
      <c r="D2576" s="3">
        <f t="shared" si="43"/>
        <v>-1.0339265073860959E-2</v>
      </c>
    </row>
    <row r="2577" spans="2:4" x14ac:dyDescent="0.2">
      <c r="B2577" s="2">
        <v>39869</v>
      </c>
      <c r="C2577" s="61">
        <v>3846.21</v>
      </c>
      <c r="D2577" s="3">
        <f t="shared" si="43"/>
        <v>-1.2716421741641559E-2</v>
      </c>
    </row>
    <row r="2578" spans="2:4" x14ac:dyDescent="0.2">
      <c r="B2578" s="2">
        <v>39870</v>
      </c>
      <c r="C2578" s="61">
        <v>3942.62</v>
      </c>
      <c r="D2578" s="3">
        <f t="shared" si="43"/>
        <v>2.5066234032983026E-2</v>
      </c>
    </row>
    <row r="2579" spans="2:4" x14ac:dyDescent="0.2">
      <c r="B2579" s="2">
        <v>39871</v>
      </c>
      <c r="C2579" s="61">
        <v>3843.74</v>
      </c>
      <c r="D2579" s="3">
        <f t="shared" si="43"/>
        <v>-2.5079769290471843E-2</v>
      </c>
    </row>
    <row r="2580" spans="2:4" x14ac:dyDescent="0.2">
      <c r="B2580" s="2">
        <v>39874</v>
      </c>
      <c r="C2580" s="61">
        <v>3710.07</v>
      </c>
      <c r="D2580" s="3">
        <f t="shared" si="43"/>
        <v>-3.4776025433561952E-2</v>
      </c>
    </row>
    <row r="2581" spans="2:4" x14ac:dyDescent="0.2">
      <c r="B2581" s="2">
        <v>39875</v>
      </c>
      <c r="C2581" s="61">
        <v>3690.72</v>
      </c>
      <c r="D2581" s="3">
        <f t="shared" si="43"/>
        <v>-5.2155350168595627E-3</v>
      </c>
    </row>
    <row r="2582" spans="2:4" x14ac:dyDescent="0.2">
      <c r="B2582" s="2">
        <v>39876</v>
      </c>
      <c r="C2582" s="61">
        <v>3890.94</v>
      </c>
      <c r="D2582" s="3">
        <f t="shared" si="43"/>
        <v>5.4249577318246978E-2</v>
      </c>
    </row>
    <row r="2583" spans="2:4" x14ac:dyDescent="0.2">
      <c r="B2583" s="2">
        <v>39877</v>
      </c>
      <c r="C2583" s="61">
        <v>3695.49</v>
      </c>
      <c r="D2583" s="3">
        <f t="shared" si="43"/>
        <v>-5.0232077595645297E-2</v>
      </c>
    </row>
    <row r="2584" spans="2:4" x14ac:dyDescent="0.2">
      <c r="B2584" s="2">
        <v>39878</v>
      </c>
      <c r="C2584" s="61">
        <v>3666.41</v>
      </c>
      <c r="D2584" s="3">
        <f t="shared" si="43"/>
        <v>-7.8690511948347197E-3</v>
      </c>
    </row>
    <row r="2585" spans="2:4" x14ac:dyDescent="0.2">
      <c r="B2585" s="2">
        <v>39881</v>
      </c>
      <c r="C2585" s="61">
        <v>3692.03</v>
      </c>
      <c r="D2585" s="3">
        <f t="shared" si="43"/>
        <v>6.9877618706037925E-3</v>
      </c>
    </row>
    <row r="2586" spans="2:4" x14ac:dyDescent="0.2">
      <c r="B2586" s="2">
        <v>39882</v>
      </c>
      <c r="C2586" s="61">
        <v>3886.98</v>
      </c>
      <c r="D2586" s="3">
        <f t="shared" si="43"/>
        <v>5.2802929553660061E-2</v>
      </c>
    </row>
    <row r="2587" spans="2:4" x14ac:dyDescent="0.2">
      <c r="B2587" s="2">
        <v>39883</v>
      </c>
      <c r="C2587" s="61">
        <v>3914.1</v>
      </c>
      <c r="D2587" s="3">
        <f t="shared" si="43"/>
        <v>6.9771390642605624E-3</v>
      </c>
    </row>
    <row r="2588" spans="2:4" x14ac:dyDescent="0.2">
      <c r="B2588" s="2">
        <v>39884</v>
      </c>
      <c r="C2588" s="61">
        <v>3956.22</v>
      </c>
      <c r="D2588" s="3">
        <f t="shared" si="43"/>
        <v>1.0761094504483815E-2</v>
      </c>
    </row>
    <row r="2589" spans="2:4" x14ac:dyDescent="0.2">
      <c r="B2589" s="2">
        <v>39885</v>
      </c>
      <c r="C2589" s="61">
        <v>3953.6</v>
      </c>
      <c r="D2589" s="3">
        <f t="shared" si="43"/>
        <v>-6.6224830772809717E-4</v>
      </c>
    </row>
    <row r="2590" spans="2:4" x14ac:dyDescent="0.2">
      <c r="B2590" s="2">
        <v>39888</v>
      </c>
      <c r="C2590" s="61">
        <v>4044.54</v>
      </c>
      <c r="D2590" s="3">
        <f t="shared" si="43"/>
        <v>2.300182112505067E-2</v>
      </c>
    </row>
    <row r="2591" spans="2:4" x14ac:dyDescent="0.2">
      <c r="B2591" s="2">
        <v>39889</v>
      </c>
      <c r="C2591" s="61">
        <v>3987.77</v>
      </c>
      <c r="D2591" s="3">
        <f t="shared" si="43"/>
        <v>-1.4036206836871457E-2</v>
      </c>
    </row>
    <row r="2592" spans="2:4" x14ac:dyDescent="0.2">
      <c r="B2592" s="2">
        <v>39890</v>
      </c>
      <c r="C2592" s="61">
        <v>3996.32</v>
      </c>
      <c r="D2592" s="3">
        <f t="shared" si="43"/>
        <v>2.1440554495371078E-3</v>
      </c>
    </row>
    <row r="2593" spans="2:4" x14ac:dyDescent="0.2">
      <c r="B2593" s="2">
        <v>39891</v>
      </c>
      <c r="C2593" s="61">
        <v>4043.46</v>
      </c>
      <c r="D2593" s="3">
        <f t="shared" si="43"/>
        <v>1.1795852184009359E-2</v>
      </c>
    </row>
    <row r="2594" spans="2:4" x14ac:dyDescent="0.2">
      <c r="B2594" s="2">
        <v>39892</v>
      </c>
      <c r="C2594" s="61">
        <v>4068.74</v>
      </c>
      <c r="D2594" s="3">
        <f t="shared" si="43"/>
        <v>6.2520712459130934E-3</v>
      </c>
    </row>
    <row r="2595" spans="2:4" x14ac:dyDescent="0.2">
      <c r="B2595" s="2">
        <v>39895</v>
      </c>
      <c r="C2595" s="61">
        <v>4176.37</v>
      </c>
      <c r="D2595" s="3">
        <f t="shared" si="43"/>
        <v>2.6452906796698761E-2</v>
      </c>
    </row>
    <row r="2596" spans="2:4" x14ac:dyDescent="0.2">
      <c r="B2596" s="2">
        <v>39896</v>
      </c>
      <c r="C2596" s="61">
        <v>4187.3599999999997</v>
      </c>
      <c r="D2596" s="3">
        <f t="shared" si="43"/>
        <v>2.6314718284059513E-3</v>
      </c>
    </row>
    <row r="2597" spans="2:4" x14ac:dyDescent="0.2">
      <c r="B2597" s="2">
        <v>39897</v>
      </c>
      <c r="C2597" s="61">
        <v>4223.29</v>
      </c>
      <c r="D2597" s="3">
        <f t="shared" si="43"/>
        <v>8.5805853807650045E-3</v>
      </c>
    </row>
    <row r="2598" spans="2:4" x14ac:dyDescent="0.2">
      <c r="B2598" s="2">
        <v>39898</v>
      </c>
      <c r="C2598" s="61">
        <v>4259.37</v>
      </c>
      <c r="D2598" s="3">
        <f t="shared" si="43"/>
        <v>8.5431026521975983E-3</v>
      </c>
    </row>
    <row r="2599" spans="2:4" x14ac:dyDescent="0.2">
      <c r="B2599" s="2">
        <v>39899</v>
      </c>
      <c r="C2599" s="61">
        <v>4203.55</v>
      </c>
      <c r="D2599" s="3">
        <f t="shared" si="43"/>
        <v>-1.3105224481554711E-2</v>
      </c>
    </row>
    <row r="2600" spans="2:4" x14ac:dyDescent="0.2">
      <c r="B2600" s="2">
        <v>39902</v>
      </c>
      <c r="C2600" s="61">
        <v>3989.23</v>
      </c>
      <c r="D2600" s="3">
        <f t="shared" si="43"/>
        <v>-5.0985476561477783E-2</v>
      </c>
    </row>
    <row r="2601" spans="2:4" x14ac:dyDescent="0.2">
      <c r="B2601" s="2">
        <v>39903</v>
      </c>
      <c r="C2601" s="61">
        <v>4084.76</v>
      </c>
      <c r="D2601" s="3">
        <f t="shared" si="43"/>
        <v>2.3946977236208644E-2</v>
      </c>
    </row>
    <row r="2602" spans="2:4" x14ac:dyDescent="0.2">
      <c r="B2602" s="2">
        <v>39904</v>
      </c>
      <c r="C2602" s="61">
        <v>4131.07</v>
      </c>
      <c r="D2602" s="3">
        <f t="shared" si="43"/>
        <v>1.1337263388791374E-2</v>
      </c>
    </row>
    <row r="2603" spans="2:4" x14ac:dyDescent="0.2">
      <c r="B2603" s="2">
        <v>39905</v>
      </c>
      <c r="C2603" s="61">
        <v>4381.92</v>
      </c>
      <c r="D2603" s="3">
        <f t="shared" si="43"/>
        <v>6.0722766740820333E-2</v>
      </c>
    </row>
    <row r="2604" spans="2:4" x14ac:dyDescent="0.2">
      <c r="B2604" s="2">
        <v>39906</v>
      </c>
      <c r="C2604" s="61">
        <v>4384.99</v>
      </c>
      <c r="D2604" s="3">
        <f t="shared" si="43"/>
        <v>7.0060612699451852E-4</v>
      </c>
    </row>
    <row r="2605" spans="2:4" x14ac:dyDescent="0.2">
      <c r="B2605" s="2">
        <v>39909</v>
      </c>
      <c r="C2605" s="61">
        <v>4349.8100000000004</v>
      </c>
      <c r="D2605" s="3">
        <f t="shared" si="43"/>
        <v>-8.0228233131659499E-3</v>
      </c>
    </row>
    <row r="2606" spans="2:4" x14ac:dyDescent="0.2">
      <c r="B2606" s="2">
        <v>39910</v>
      </c>
      <c r="C2606" s="61">
        <v>4322.5</v>
      </c>
      <c r="D2606" s="3">
        <f t="shared" si="43"/>
        <v>-6.2784351500411173E-3</v>
      </c>
    </row>
    <row r="2607" spans="2:4" x14ac:dyDescent="0.2">
      <c r="B2607" s="2">
        <v>39911</v>
      </c>
      <c r="C2607" s="61">
        <v>4357.92</v>
      </c>
      <c r="D2607" s="3">
        <f t="shared" si="43"/>
        <v>8.1943319838055917E-3</v>
      </c>
    </row>
    <row r="2608" spans="2:4" x14ac:dyDescent="0.2">
      <c r="B2608" s="2">
        <v>39912</v>
      </c>
      <c r="C2608" s="61">
        <v>4491.12</v>
      </c>
      <c r="D2608" s="3">
        <f t="shared" si="43"/>
        <v>3.0565040202665372E-2</v>
      </c>
    </row>
    <row r="2609" spans="2:4" x14ac:dyDescent="0.2">
      <c r="B2609" s="2">
        <v>39916</v>
      </c>
      <c r="C2609" s="61">
        <v>4491.12</v>
      </c>
      <c r="D2609" s="3">
        <f t="shared" si="43"/>
        <v>0</v>
      </c>
    </row>
    <row r="2610" spans="2:4" x14ac:dyDescent="0.2">
      <c r="B2610" s="2">
        <v>39917</v>
      </c>
      <c r="C2610" s="61">
        <v>4557.01</v>
      </c>
      <c r="D2610" s="3">
        <f t="shared" si="43"/>
        <v>1.467117333760859E-2</v>
      </c>
    </row>
    <row r="2611" spans="2:4" x14ac:dyDescent="0.2">
      <c r="B2611" s="2">
        <v>39918</v>
      </c>
      <c r="C2611" s="61">
        <v>4549.79</v>
      </c>
      <c r="D2611" s="3">
        <f t="shared" si="43"/>
        <v>-1.5843722089704526E-3</v>
      </c>
    </row>
    <row r="2612" spans="2:4" x14ac:dyDescent="0.2">
      <c r="B2612" s="2">
        <v>39919</v>
      </c>
      <c r="C2612" s="61">
        <v>4609.46</v>
      </c>
      <c r="D2612" s="3">
        <f t="shared" si="43"/>
        <v>1.3114891016948071E-2</v>
      </c>
    </row>
    <row r="2613" spans="2:4" x14ac:dyDescent="0.2">
      <c r="B2613" s="2">
        <v>39920</v>
      </c>
      <c r="C2613" s="61">
        <v>4676.84</v>
      </c>
      <c r="D2613" s="3">
        <f t="shared" si="43"/>
        <v>1.4617764336820382E-2</v>
      </c>
    </row>
    <row r="2614" spans="2:4" x14ac:dyDescent="0.2">
      <c r="B2614" s="2">
        <v>39923</v>
      </c>
      <c r="C2614" s="61">
        <v>4486.3</v>
      </c>
      <c r="D2614" s="3">
        <f t="shared" si="43"/>
        <v>-4.0741184218403892E-2</v>
      </c>
    </row>
    <row r="2615" spans="2:4" x14ac:dyDescent="0.2">
      <c r="B2615" s="2">
        <v>39924</v>
      </c>
      <c r="C2615" s="61">
        <v>4501.63</v>
      </c>
      <c r="D2615" s="3">
        <f t="shared" si="43"/>
        <v>3.4170697456701316E-3</v>
      </c>
    </row>
    <row r="2616" spans="2:4" x14ac:dyDescent="0.2">
      <c r="B2616" s="2">
        <v>39925</v>
      </c>
      <c r="C2616" s="61">
        <v>4594.42</v>
      </c>
      <c r="D2616" s="3">
        <f t="shared" si="43"/>
        <v>2.0612533682244027E-2</v>
      </c>
    </row>
    <row r="2617" spans="2:4" x14ac:dyDescent="0.2">
      <c r="B2617" s="2">
        <v>39926</v>
      </c>
      <c r="C2617" s="61">
        <v>4538.21</v>
      </c>
      <c r="D2617" s="3">
        <f t="shared" si="43"/>
        <v>-1.2234406083901805E-2</v>
      </c>
    </row>
    <row r="2618" spans="2:4" x14ac:dyDescent="0.2">
      <c r="B2618" s="2">
        <v>39927</v>
      </c>
      <c r="C2618" s="61">
        <v>4674.32</v>
      </c>
      <c r="D2618" s="3">
        <f t="shared" si="43"/>
        <v>2.9992001251594624E-2</v>
      </c>
    </row>
    <row r="2619" spans="2:4" x14ac:dyDescent="0.2">
      <c r="B2619" s="2">
        <v>39930</v>
      </c>
      <c r="C2619" s="61">
        <v>4694.07</v>
      </c>
      <c r="D2619" s="3">
        <f t="shared" si="43"/>
        <v>4.2252135069913432E-3</v>
      </c>
    </row>
    <row r="2620" spans="2:4" x14ac:dyDescent="0.2">
      <c r="B2620" s="2">
        <v>39931</v>
      </c>
      <c r="C2620" s="61">
        <v>4607.42</v>
      </c>
      <c r="D2620" s="3">
        <f t="shared" si="43"/>
        <v>-1.8459460553421625E-2</v>
      </c>
    </row>
    <row r="2621" spans="2:4" x14ac:dyDescent="0.2">
      <c r="B2621" s="2">
        <v>39932</v>
      </c>
      <c r="C2621" s="61">
        <v>4704.5600000000004</v>
      </c>
      <c r="D2621" s="3">
        <f t="shared" si="43"/>
        <v>2.1083382891075697E-2</v>
      </c>
    </row>
    <row r="2622" spans="2:4" x14ac:dyDescent="0.2">
      <c r="B2622" s="2">
        <v>39933</v>
      </c>
      <c r="C2622" s="61">
        <v>4769.45</v>
      </c>
      <c r="D2622" s="3">
        <f t="shared" si="43"/>
        <v>1.3793000833234093E-2</v>
      </c>
    </row>
    <row r="2623" spans="2:4" x14ac:dyDescent="0.2">
      <c r="B2623" s="2">
        <v>39934</v>
      </c>
      <c r="C2623" s="61">
        <v>4769.45</v>
      </c>
      <c r="D2623" s="3">
        <f t="shared" si="43"/>
        <v>0</v>
      </c>
    </row>
    <row r="2624" spans="2:4" x14ac:dyDescent="0.2">
      <c r="B2624" s="2">
        <v>39937</v>
      </c>
      <c r="C2624" s="61">
        <v>4902.45</v>
      </c>
      <c r="D2624" s="3">
        <f t="shared" si="43"/>
        <v>2.7885814926249308E-2</v>
      </c>
    </row>
    <row r="2625" spans="2:4" x14ac:dyDescent="0.2">
      <c r="B2625" s="2">
        <v>39938</v>
      </c>
      <c r="C2625" s="61">
        <v>4853.03</v>
      </c>
      <c r="D2625" s="3">
        <f t="shared" si="43"/>
        <v>-1.0080673948739904E-2</v>
      </c>
    </row>
    <row r="2626" spans="2:4" x14ac:dyDescent="0.2">
      <c r="B2626" s="2">
        <v>39939</v>
      </c>
      <c r="C2626" s="61">
        <v>4880.71</v>
      </c>
      <c r="D2626" s="3">
        <f t="shared" si="43"/>
        <v>5.7036531816205827E-3</v>
      </c>
    </row>
    <row r="2627" spans="2:4" x14ac:dyDescent="0.2">
      <c r="B2627" s="2">
        <v>39940</v>
      </c>
      <c r="C2627" s="61">
        <v>4804.1000000000004</v>
      </c>
      <c r="D2627" s="3">
        <f t="shared" si="43"/>
        <v>-1.5696486781636265E-2</v>
      </c>
    </row>
    <row r="2628" spans="2:4" x14ac:dyDescent="0.2">
      <c r="B2628" s="2">
        <v>39941</v>
      </c>
      <c r="C2628" s="61">
        <v>4913.8999999999996</v>
      </c>
      <c r="D2628" s="3">
        <f t="shared" si="43"/>
        <v>2.285547761287221E-2</v>
      </c>
    </row>
    <row r="2629" spans="2:4" x14ac:dyDescent="0.2">
      <c r="B2629" s="2">
        <v>39944</v>
      </c>
      <c r="C2629" s="61">
        <v>4866.91</v>
      </c>
      <c r="D2629" s="3">
        <f t="shared" ref="D2629:D2692" si="44">C2629/C2628-1</f>
        <v>-9.5626691629865368E-3</v>
      </c>
    </row>
    <row r="2630" spans="2:4" x14ac:dyDescent="0.2">
      <c r="B2630" s="2">
        <v>39945</v>
      </c>
      <c r="C2630" s="61">
        <v>4854.1099999999997</v>
      </c>
      <c r="D2630" s="3">
        <f t="shared" si="44"/>
        <v>-2.6300054860270983E-3</v>
      </c>
    </row>
    <row r="2631" spans="2:4" x14ac:dyDescent="0.2">
      <c r="B2631" s="2">
        <v>39946</v>
      </c>
      <c r="C2631" s="61">
        <v>4727.6099999999997</v>
      </c>
      <c r="D2631" s="3">
        <f t="shared" si="44"/>
        <v>-2.6060390061205863E-2</v>
      </c>
    </row>
    <row r="2632" spans="2:4" x14ac:dyDescent="0.2">
      <c r="B2632" s="2">
        <v>39947</v>
      </c>
      <c r="C2632" s="61">
        <v>4738.47</v>
      </c>
      <c r="D2632" s="3">
        <f t="shared" si="44"/>
        <v>2.2971437999328437E-3</v>
      </c>
    </row>
    <row r="2633" spans="2:4" x14ac:dyDescent="0.2">
      <c r="B2633" s="2">
        <v>39948</v>
      </c>
      <c r="C2633" s="61">
        <v>4737.5</v>
      </c>
      <c r="D2633" s="3">
        <f t="shared" si="44"/>
        <v>-2.0470742665890107E-4</v>
      </c>
    </row>
    <row r="2634" spans="2:4" x14ac:dyDescent="0.2">
      <c r="B2634" s="2">
        <v>39951</v>
      </c>
      <c r="C2634" s="61">
        <v>4851.96</v>
      </c>
      <c r="D2634" s="3">
        <f t="shared" si="44"/>
        <v>2.4160422163588491E-2</v>
      </c>
    </row>
    <row r="2635" spans="2:4" x14ac:dyDescent="0.2">
      <c r="B2635" s="2">
        <v>39952</v>
      </c>
      <c r="C2635" s="61">
        <v>4959.62</v>
      </c>
      <c r="D2635" s="3">
        <f t="shared" si="44"/>
        <v>2.2188971054996287E-2</v>
      </c>
    </row>
    <row r="2636" spans="2:4" x14ac:dyDescent="0.2">
      <c r="B2636" s="2">
        <v>39953</v>
      </c>
      <c r="C2636" s="61">
        <v>5038.9399999999996</v>
      </c>
      <c r="D2636" s="3">
        <f t="shared" si="44"/>
        <v>1.5993160766349046E-2</v>
      </c>
    </row>
    <row r="2637" spans="2:4" x14ac:dyDescent="0.2">
      <c r="B2637" s="2">
        <v>39954</v>
      </c>
      <c r="C2637" s="61">
        <v>4900.67</v>
      </c>
      <c r="D2637" s="3">
        <f t="shared" si="44"/>
        <v>-2.7440294982674862E-2</v>
      </c>
    </row>
    <row r="2638" spans="2:4" x14ac:dyDescent="0.2">
      <c r="B2638" s="2">
        <v>39955</v>
      </c>
      <c r="C2638" s="61">
        <v>4918.75</v>
      </c>
      <c r="D2638" s="3">
        <f t="shared" si="44"/>
        <v>3.6892914642283614E-3</v>
      </c>
    </row>
    <row r="2639" spans="2:4" x14ac:dyDescent="0.2">
      <c r="B2639" s="2">
        <v>39958</v>
      </c>
      <c r="C2639" s="61">
        <v>4918.45</v>
      </c>
      <c r="D2639" s="3">
        <f t="shared" si="44"/>
        <v>-6.0991105463870099E-5</v>
      </c>
    </row>
    <row r="2640" spans="2:4" x14ac:dyDescent="0.2">
      <c r="B2640" s="2">
        <v>39959</v>
      </c>
      <c r="C2640" s="61">
        <v>4985.6000000000004</v>
      </c>
      <c r="D2640" s="3">
        <f t="shared" si="44"/>
        <v>1.3652675131393233E-2</v>
      </c>
    </row>
    <row r="2641" spans="2:4" x14ac:dyDescent="0.2">
      <c r="B2641" s="2">
        <v>39960</v>
      </c>
      <c r="C2641" s="61">
        <v>5000.7700000000004</v>
      </c>
      <c r="D2641" s="3">
        <f t="shared" si="44"/>
        <v>3.0427631578946457E-3</v>
      </c>
    </row>
    <row r="2642" spans="2:4" x14ac:dyDescent="0.2">
      <c r="B2642" s="2">
        <v>39961</v>
      </c>
      <c r="C2642" s="61">
        <v>4932.88</v>
      </c>
      <c r="D2642" s="3">
        <f t="shared" si="44"/>
        <v>-1.3575909309966327E-2</v>
      </c>
    </row>
    <row r="2643" spans="2:4" x14ac:dyDescent="0.2">
      <c r="B2643" s="2">
        <v>39962</v>
      </c>
      <c r="C2643" s="61">
        <v>4940.82</v>
      </c>
      <c r="D2643" s="3">
        <f t="shared" si="44"/>
        <v>1.609607369325694E-3</v>
      </c>
    </row>
    <row r="2644" spans="2:4" x14ac:dyDescent="0.2">
      <c r="B2644" s="2">
        <v>39965</v>
      </c>
      <c r="C2644" s="61">
        <v>5142.5600000000004</v>
      </c>
      <c r="D2644" s="3">
        <f t="shared" si="44"/>
        <v>4.0831279018462618E-2</v>
      </c>
    </row>
    <row r="2645" spans="2:4" x14ac:dyDescent="0.2">
      <c r="B2645" s="2">
        <v>39966</v>
      </c>
      <c r="C2645" s="61">
        <v>5144.0600000000004</v>
      </c>
      <c r="D2645" s="3">
        <f t="shared" si="44"/>
        <v>2.9168351949215854E-4</v>
      </c>
    </row>
    <row r="2646" spans="2:4" x14ac:dyDescent="0.2">
      <c r="B2646" s="2">
        <v>39967</v>
      </c>
      <c r="C2646" s="61">
        <v>5054.53</v>
      </c>
      <c r="D2646" s="3">
        <f t="shared" si="44"/>
        <v>-1.74045403824995E-2</v>
      </c>
    </row>
    <row r="2647" spans="2:4" x14ac:dyDescent="0.2">
      <c r="B2647" s="2">
        <v>39968</v>
      </c>
      <c r="C2647" s="61">
        <v>5064.8</v>
      </c>
      <c r="D2647" s="3">
        <f t="shared" si="44"/>
        <v>2.0318407448369769E-3</v>
      </c>
    </row>
    <row r="2648" spans="2:4" x14ac:dyDescent="0.2">
      <c r="B2648" s="2">
        <v>39969</v>
      </c>
      <c r="C2648" s="61">
        <v>5077.03</v>
      </c>
      <c r="D2648" s="3">
        <f t="shared" si="44"/>
        <v>2.4147054177854343E-3</v>
      </c>
    </row>
    <row r="2649" spans="2:4" x14ac:dyDescent="0.2">
      <c r="B2649" s="2">
        <v>39972</v>
      </c>
      <c r="C2649" s="61">
        <v>5004.72</v>
      </c>
      <c r="D2649" s="3">
        <f t="shared" si="44"/>
        <v>-1.4242578830536701E-2</v>
      </c>
    </row>
    <row r="2650" spans="2:4" x14ac:dyDescent="0.2">
      <c r="B2650" s="2">
        <v>39973</v>
      </c>
      <c r="C2650" s="61">
        <v>4997.8599999999997</v>
      </c>
      <c r="D2650" s="3">
        <f t="shared" si="44"/>
        <v>-1.3707060534856597E-3</v>
      </c>
    </row>
    <row r="2651" spans="2:4" x14ac:dyDescent="0.2">
      <c r="B2651" s="2">
        <v>39974</v>
      </c>
      <c r="C2651" s="61">
        <v>5051.18</v>
      </c>
      <c r="D2651" s="3">
        <f t="shared" si="44"/>
        <v>1.0668566146310843E-2</v>
      </c>
    </row>
    <row r="2652" spans="2:4" x14ac:dyDescent="0.2">
      <c r="B2652" s="2">
        <v>39975</v>
      </c>
      <c r="C2652" s="61">
        <v>5107.26</v>
      </c>
      <c r="D2652" s="3">
        <f t="shared" si="44"/>
        <v>1.1102356281106562E-2</v>
      </c>
    </row>
    <row r="2653" spans="2:4" x14ac:dyDescent="0.2">
      <c r="B2653" s="2">
        <v>39976</v>
      </c>
      <c r="C2653" s="61">
        <v>5069.24</v>
      </c>
      <c r="D2653" s="3">
        <f t="shared" si="44"/>
        <v>-7.4443047739884971E-3</v>
      </c>
    </row>
    <row r="2654" spans="2:4" x14ac:dyDescent="0.2">
      <c r="B2654" s="2">
        <v>39979</v>
      </c>
      <c r="C2654" s="61">
        <v>4889.9399999999996</v>
      </c>
      <c r="D2654" s="3">
        <f t="shared" si="44"/>
        <v>-3.5370193559586927E-2</v>
      </c>
    </row>
    <row r="2655" spans="2:4" x14ac:dyDescent="0.2">
      <c r="B2655" s="2">
        <v>39980</v>
      </c>
      <c r="C2655" s="61">
        <v>4890.72</v>
      </c>
      <c r="D2655" s="3">
        <f t="shared" si="44"/>
        <v>1.5951115964618623E-4</v>
      </c>
    </row>
    <row r="2656" spans="2:4" x14ac:dyDescent="0.2">
      <c r="B2656" s="2">
        <v>39981</v>
      </c>
      <c r="C2656" s="61">
        <v>4799.9799999999996</v>
      </c>
      <c r="D2656" s="3">
        <f t="shared" si="44"/>
        <v>-1.8553505414335869E-2</v>
      </c>
    </row>
    <row r="2657" spans="2:4" x14ac:dyDescent="0.2">
      <c r="B2657" s="2">
        <v>39982</v>
      </c>
      <c r="C2657" s="61">
        <v>4837.4799999999996</v>
      </c>
      <c r="D2657" s="3">
        <f t="shared" si="44"/>
        <v>7.8125325522189204E-3</v>
      </c>
    </row>
    <row r="2658" spans="2:4" x14ac:dyDescent="0.2">
      <c r="B2658" s="2">
        <v>39983</v>
      </c>
      <c r="C2658" s="61">
        <v>4839.46</v>
      </c>
      <c r="D2658" s="3">
        <f t="shared" si="44"/>
        <v>4.0930401779437631E-4</v>
      </c>
    </row>
    <row r="2659" spans="2:4" x14ac:dyDescent="0.2">
      <c r="B2659" s="2">
        <v>39986</v>
      </c>
      <c r="C2659" s="61">
        <v>4693.3999999999996</v>
      </c>
      <c r="D2659" s="3">
        <f t="shared" si="44"/>
        <v>-3.0181053258008239E-2</v>
      </c>
    </row>
    <row r="2660" spans="2:4" x14ac:dyDescent="0.2">
      <c r="B2660" s="2">
        <v>39987</v>
      </c>
      <c r="C2660" s="61">
        <v>4707.1499999999996</v>
      </c>
      <c r="D2660" s="3">
        <f t="shared" si="44"/>
        <v>2.9296458857117624E-3</v>
      </c>
    </row>
    <row r="2661" spans="2:4" x14ac:dyDescent="0.2">
      <c r="B2661" s="2">
        <v>39988</v>
      </c>
      <c r="C2661" s="61">
        <v>4836.01</v>
      </c>
      <c r="D2661" s="3">
        <f t="shared" si="44"/>
        <v>2.7375375758155185E-2</v>
      </c>
    </row>
    <row r="2662" spans="2:4" x14ac:dyDescent="0.2">
      <c r="B2662" s="2">
        <v>39989</v>
      </c>
      <c r="C2662" s="61">
        <v>4800.5600000000004</v>
      </c>
      <c r="D2662" s="3">
        <f t="shared" si="44"/>
        <v>-7.3304232207955788E-3</v>
      </c>
    </row>
    <row r="2663" spans="2:4" x14ac:dyDescent="0.2">
      <c r="B2663" s="2">
        <v>39990</v>
      </c>
      <c r="C2663" s="61">
        <v>4776.47</v>
      </c>
      <c r="D2663" s="3">
        <f t="shared" si="44"/>
        <v>-5.0181645474695058E-3</v>
      </c>
    </row>
    <row r="2664" spans="2:4" x14ac:dyDescent="0.2">
      <c r="B2664" s="2">
        <v>39993</v>
      </c>
      <c r="C2664" s="61">
        <v>4885.09</v>
      </c>
      <c r="D2664" s="3">
        <f t="shared" si="44"/>
        <v>2.2740643194660404E-2</v>
      </c>
    </row>
    <row r="2665" spans="2:4" x14ac:dyDescent="0.2">
      <c r="B2665" s="2">
        <v>39994</v>
      </c>
      <c r="C2665" s="61">
        <v>4808.6400000000003</v>
      </c>
      <c r="D2665" s="3">
        <f t="shared" si="44"/>
        <v>-1.5649660497554785E-2</v>
      </c>
    </row>
    <row r="2666" spans="2:4" x14ac:dyDescent="0.2">
      <c r="B2666" s="2">
        <v>39995</v>
      </c>
      <c r="C2666" s="61">
        <v>4905.4399999999996</v>
      </c>
      <c r="D2666" s="3">
        <f t="shared" si="44"/>
        <v>2.0130431889265887E-2</v>
      </c>
    </row>
    <row r="2667" spans="2:4" x14ac:dyDescent="0.2">
      <c r="B2667" s="2">
        <v>39996</v>
      </c>
      <c r="C2667" s="61">
        <v>4718.49</v>
      </c>
      <c r="D2667" s="3">
        <f t="shared" si="44"/>
        <v>-3.8110750513715375E-2</v>
      </c>
    </row>
    <row r="2668" spans="2:4" x14ac:dyDescent="0.2">
      <c r="B2668" s="2">
        <v>39997</v>
      </c>
      <c r="C2668" s="61">
        <v>4708.21</v>
      </c>
      <c r="D2668" s="3">
        <f t="shared" si="44"/>
        <v>-2.1786630892509651E-3</v>
      </c>
    </row>
    <row r="2669" spans="2:4" x14ac:dyDescent="0.2">
      <c r="B2669" s="2">
        <v>40000</v>
      </c>
      <c r="C2669" s="61">
        <v>4651.82</v>
      </c>
      <c r="D2669" s="3">
        <f t="shared" si="44"/>
        <v>-1.1976950900660865E-2</v>
      </c>
    </row>
    <row r="2670" spans="2:4" x14ac:dyDescent="0.2">
      <c r="B2670" s="2">
        <v>40001</v>
      </c>
      <c r="C2670" s="61">
        <v>4598.1899999999996</v>
      </c>
      <c r="D2670" s="3">
        <f t="shared" si="44"/>
        <v>-1.1528820977595888E-2</v>
      </c>
    </row>
    <row r="2671" spans="2:4" x14ac:dyDescent="0.2">
      <c r="B2671" s="2">
        <v>40002</v>
      </c>
      <c r="C2671" s="61">
        <v>4572.6499999999996</v>
      </c>
      <c r="D2671" s="3">
        <f t="shared" si="44"/>
        <v>-5.5543594327333023E-3</v>
      </c>
    </row>
    <row r="2672" spans="2:4" x14ac:dyDescent="0.2">
      <c r="B2672" s="2">
        <v>40003</v>
      </c>
      <c r="C2672" s="61">
        <v>4630.07</v>
      </c>
      <c r="D2672" s="3">
        <f t="shared" si="44"/>
        <v>1.2557269854460706E-2</v>
      </c>
    </row>
    <row r="2673" spans="2:4" x14ac:dyDescent="0.2">
      <c r="B2673" s="2">
        <v>40004</v>
      </c>
      <c r="C2673" s="61">
        <v>4576.3100000000004</v>
      </c>
      <c r="D2673" s="3">
        <f t="shared" si="44"/>
        <v>-1.16110555563953E-2</v>
      </c>
    </row>
    <row r="2674" spans="2:4" x14ac:dyDescent="0.2">
      <c r="B2674" s="2">
        <v>40007</v>
      </c>
      <c r="C2674" s="61">
        <v>4722.34</v>
      </c>
      <c r="D2674" s="3">
        <f t="shared" si="44"/>
        <v>3.1909988615281604E-2</v>
      </c>
    </row>
    <row r="2675" spans="2:4" x14ac:dyDescent="0.2">
      <c r="B2675" s="2">
        <v>40008</v>
      </c>
      <c r="C2675" s="61">
        <v>4781.6899999999996</v>
      </c>
      <c r="D2675" s="3">
        <f t="shared" si="44"/>
        <v>1.2567921835361151E-2</v>
      </c>
    </row>
    <row r="2676" spans="2:4" x14ac:dyDescent="0.2">
      <c r="B2676" s="2">
        <v>40009</v>
      </c>
      <c r="C2676" s="61">
        <v>4928.4399999999996</v>
      </c>
      <c r="D2676" s="3">
        <f t="shared" si="44"/>
        <v>3.0689986176435591E-2</v>
      </c>
    </row>
    <row r="2677" spans="2:4" x14ac:dyDescent="0.2">
      <c r="B2677" s="2">
        <v>40010</v>
      </c>
      <c r="C2677" s="61">
        <v>4957.1899999999996</v>
      </c>
      <c r="D2677" s="3">
        <f t="shared" si="44"/>
        <v>5.833488893037142E-3</v>
      </c>
    </row>
    <row r="2678" spans="2:4" x14ac:dyDescent="0.2">
      <c r="B2678" s="2">
        <v>40011</v>
      </c>
      <c r="C2678" s="61">
        <v>4978.3999999999996</v>
      </c>
      <c r="D2678" s="3">
        <f t="shared" si="44"/>
        <v>4.2786336614089038E-3</v>
      </c>
    </row>
    <row r="2679" spans="2:4" x14ac:dyDescent="0.2">
      <c r="B2679" s="2">
        <v>40014</v>
      </c>
      <c r="C2679" s="61">
        <v>5030.1499999999996</v>
      </c>
      <c r="D2679" s="3">
        <f t="shared" si="44"/>
        <v>1.0394905993893699E-2</v>
      </c>
    </row>
    <row r="2680" spans="2:4" x14ac:dyDescent="0.2">
      <c r="B2680" s="2">
        <v>40015</v>
      </c>
      <c r="C2680" s="61">
        <v>5093.97</v>
      </c>
      <c r="D2680" s="3">
        <f t="shared" si="44"/>
        <v>1.2687494408715638E-2</v>
      </c>
    </row>
    <row r="2681" spans="2:4" x14ac:dyDescent="0.2">
      <c r="B2681" s="2">
        <v>40016</v>
      </c>
      <c r="C2681" s="61">
        <v>5121.5600000000004</v>
      </c>
      <c r="D2681" s="3">
        <f t="shared" si="44"/>
        <v>5.4162077907800033E-3</v>
      </c>
    </row>
    <row r="2682" spans="2:4" x14ac:dyDescent="0.2">
      <c r="B2682" s="2">
        <v>40017</v>
      </c>
      <c r="C2682" s="61">
        <v>5247.28</v>
      </c>
      <c r="D2682" s="3">
        <f t="shared" si="44"/>
        <v>2.4547208272479359E-2</v>
      </c>
    </row>
    <row r="2683" spans="2:4" x14ac:dyDescent="0.2">
      <c r="B2683" s="2">
        <v>40018</v>
      </c>
      <c r="C2683" s="61">
        <v>5229.3599999999997</v>
      </c>
      <c r="D2683" s="3">
        <f t="shared" si="44"/>
        <v>-3.4151026817703656E-3</v>
      </c>
    </row>
    <row r="2684" spans="2:4" x14ac:dyDescent="0.2">
      <c r="B2684" s="2">
        <v>40021</v>
      </c>
      <c r="C2684" s="61">
        <v>5251.55</v>
      </c>
      <c r="D2684" s="3">
        <f t="shared" si="44"/>
        <v>4.2433490905198212E-3</v>
      </c>
    </row>
    <row r="2685" spans="2:4" x14ac:dyDescent="0.2">
      <c r="B2685" s="2">
        <v>40022</v>
      </c>
      <c r="C2685" s="61">
        <v>5174.74</v>
      </c>
      <c r="D2685" s="3">
        <f t="shared" si="44"/>
        <v>-1.4626157991450173E-2</v>
      </c>
    </row>
    <row r="2686" spans="2:4" x14ac:dyDescent="0.2">
      <c r="B2686" s="2">
        <v>40023</v>
      </c>
      <c r="C2686" s="61">
        <v>5270.32</v>
      </c>
      <c r="D2686" s="3">
        <f t="shared" si="44"/>
        <v>1.8470493203523342E-2</v>
      </c>
    </row>
    <row r="2687" spans="2:4" x14ac:dyDescent="0.2">
      <c r="B2687" s="2">
        <v>40024</v>
      </c>
      <c r="C2687" s="61">
        <v>5360.66</v>
      </c>
      <c r="D2687" s="3">
        <f t="shared" si="44"/>
        <v>1.7141274154131025E-2</v>
      </c>
    </row>
    <row r="2688" spans="2:4" x14ac:dyDescent="0.2">
      <c r="B2688" s="2">
        <v>40025</v>
      </c>
      <c r="C2688" s="61">
        <v>5332.14</v>
      </c>
      <c r="D2688" s="3">
        <f t="shared" si="44"/>
        <v>-5.3202404181573737E-3</v>
      </c>
    </row>
    <row r="2689" spans="2:4" x14ac:dyDescent="0.2">
      <c r="B2689" s="2">
        <v>40028</v>
      </c>
      <c r="C2689" s="61">
        <v>5426.85</v>
      </c>
      <c r="D2689" s="3">
        <f t="shared" si="44"/>
        <v>1.7762099269711618E-2</v>
      </c>
    </row>
    <row r="2690" spans="2:4" x14ac:dyDescent="0.2">
      <c r="B2690" s="2">
        <v>40029</v>
      </c>
      <c r="C2690" s="61">
        <v>5417.02</v>
      </c>
      <c r="D2690" s="3">
        <f t="shared" si="44"/>
        <v>-1.8113638666997778E-3</v>
      </c>
    </row>
    <row r="2691" spans="2:4" x14ac:dyDescent="0.2">
      <c r="B2691" s="2">
        <v>40030</v>
      </c>
      <c r="C2691" s="61">
        <v>5353.01</v>
      </c>
      <c r="D2691" s="3">
        <f t="shared" si="44"/>
        <v>-1.1816459972457172E-2</v>
      </c>
    </row>
    <row r="2692" spans="2:4" x14ac:dyDescent="0.2">
      <c r="B2692" s="2">
        <v>40031</v>
      </c>
      <c r="C2692" s="61">
        <v>5369.98</v>
      </c>
      <c r="D2692" s="3">
        <f t="shared" si="44"/>
        <v>3.1701790207752101E-3</v>
      </c>
    </row>
    <row r="2693" spans="2:4" x14ac:dyDescent="0.2">
      <c r="B2693" s="2">
        <v>40032</v>
      </c>
      <c r="C2693" s="61">
        <v>5458.96</v>
      </c>
      <c r="D2693" s="3">
        <f t="shared" ref="D2693:D2756" si="45">C2693/C2692-1</f>
        <v>1.6569894115062045E-2</v>
      </c>
    </row>
    <row r="2694" spans="2:4" x14ac:dyDescent="0.2">
      <c r="B2694" s="2">
        <v>40035</v>
      </c>
      <c r="C2694" s="61">
        <v>5418.12</v>
      </c>
      <c r="D2694" s="3">
        <f t="shared" si="45"/>
        <v>-7.4812784852792413E-3</v>
      </c>
    </row>
    <row r="2695" spans="2:4" x14ac:dyDescent="0.2">
      <c r="B2695" s="2">
        <v>40036</v>
      </c>
      <c r="C2695" s="61">
        <v>5285.81</v>
      </c>
      <c r="D2695" s="3">
        <f t="shared" si="45"/>
        <v>-2.441990948890016E-2</v>
      </c>
    </row>
    <row r="2696" spans="2:4" x14ac:dyDescent="0.2">
      <c r="B2696" s="2">
        <v>40037</v>
      </c>
      <c r="C2696" s="61">
        <v>5350.09</v>
      </c>
      <c r="D2696" s="3">
        <f t="shared" si="45"/>
        <v>1.2160860870897627E-2</v>
      </c>
    </row>
    <row r="2697" spans="2:4" x14ac:dyDescent="0.2">
      <c r="B2697" s="2">
        <v>40038</v>
      </c>
      <c r="C2697" s="61">
        <v>5401.11</v>
      </c>
      <c r="D2697" s="3">
        <f t="shared" si="45"/>
        <v>9.5362881745912897E-3</v>
      </c>
    </row>
    <row r="2698" spans="2:4" x14ac:dyDescent="0.2">
      <c r="B2698" s="2">
        <v>40039</v>
      </c>
      <c r="C2698" s="61">
        <v>5309.11</v>
      </c>
      <c r="D2698" s="3">
        <f t="shared" si="45"/>
        <v>-1.7033535699143343E-2</v>
      </c>
    </row>
    <row r="2699" spans="2:4" x14ac:dyDescent="0.2">
      <c r="B2699" s="2">
        <v>40042</v>
      </c>
      <c r="C2699" s="61">
        <v>5201.6099999999997</v>
      </c>
      <c r="D2699" s="3">
        <f t="shared" si="45"/>
        <v>-2.024821486087125E-2</v>
      </c>
    </row>
    <row r="2700" spans="2:4" x14ac:dyDescent="0.2">
      <c r="B2700" s="2">
        <v>40043</v>
      </c>
      <c r="C2700" s="61">
        <v>5250.74</v>
      </c>
      <c r="D2700" s="3">
        <f t="shared" si="45"/>
        <v>9.4451525585348417E-3</v>
      </c>
    </row>
    <row r="2701" spans="2:4" x14ac:dyDescent="0.2">
      <c r="B2701" s="2">
        <v>40044</v>
      </c>
      <c r="C2701" s="61">
        <v>5231.9799999999996</v>
      </c>
      <c r="D2701" s="3">
        <f t="shared" si="45"/>
        <v>-3.572829734475591E-3</v>
      </c>
    </row>
    <row r="2702" spans="2:4" x14ac:dyDescent="0.2">
      <c r="B2702" s="2">
        <v>40045</v>
      </c>
      <c r="C2702" s="61">
        <v>5311.06</v>
      </c>
      <c r="D2702" s="3">
        <f t="shared" si="45"/>
        <v>1.5114736677128038E-2</v>
      </c>
    </row>
    <row r="2703" spans="2:4" x14ac:dyDescent="0.2">
      <c r="B2703" s="2">
        <v>40046</v>
      </c>
      <c r="C2703" s="61">
        <v>5462.74</v>
      </c>
      <c r="D2703" s="3">
        <f t="shared" si="45"/>
        <v>2.8559270654068936E-2</v>
      </c>
    </row>
    <row r="2704" spans="2:4" x14ac:dyDescent="0.2">
      <c r="B2704" s="2">
        <v>40049</v>
      </c>
      <c r="C2704" s="61">
        <v>5519.75</v>
      </c>
      <c r="D2704" s="3">
        <f t="shared" si="45"/>
        <v>1.0436154750180338E-2</v>
      </c>
    </row>
    <row r="2705" spans="2:4" x14ac:dyDescent="0.2">
      <c r="B2705" s="2">
        <v>40050</v>
      </c>
      <c r="C2705" s="61">
        <v>5557.09</v>
      </c>
      <c r="D2705" s="3">
        <f t="shared" si="45"/>
        <v>6.7647991303954047E-3</v>
      </c>
    </row>
    <row r="2706" spans="2:4" x14ac:dyDescent="0.2">
      <c r="B2706" s="2">
        <v>40051</v>
      </c>
      <c r="C2706" s="61">
        <v>5521.97</v>
      </c>
      <c r="D2706" s="3">
        <f t="shared" si="45"/>
        <v>-6.3198544561992032E-3</v>
      </c>
    </row>
    <row r="2707" spans="2:4" x14ac:dyDescent="0.2">
      <c r="B2707" s="2">
        <v>40052</v>
      </c>
      <c r="C2707" s="61">
        <v>5470.33</v>
      </c>
      <c r="D2707" s="3">
        <f t="shared" si="45"/>
        <v>-9.3517349786399473E-3</v>
      </c>
    </row>
    <row r="2708" spans="2:4" x14ac:dyDescent="0.2">
      <c r="B2708" s="2">
        <v>40053</v>
      </c>
      <c r="C2708" s="61">
        <v>5517.35</v>
      </c>
      <c r="D2708" s="3">
        <f t="shared" si="45"/>
        <v>8.5954595060993011E-3</v>
      </c>
    </row>
    <row r="2709" spans="2:4" x14ac:dyDescent="0.2">
      <c r="B2709" s="2">
        <v>40056</v>
      </c>
      <c r="C2709" s="61">
        <v>5458.04</v>
      </c>
      <c r="D2709" s="3">
        <f t="shared" si="45"/>
        <v>-1.0749725864772075E-2</v>
      </c>
    </row>
    <row r="2710" spans="2:4" x14ac:dyDescent="0.2">
      <c r="B2710" s="2">
        <v>40057</v>
      </c>
      <c r="C2710" s="61">
        <v>5327.29</v>
      </c>
      <c r="D2710" s="3">
        <f t="shared" si="45"/>
        <v>-2.3955485852064085E-2</v>
      </c>
    </row>
    <row r="2711" spans="2:4" x14ac:dyDescent="0.2">
      <c r="B2711" s="2">
        <v>40058</v>
      </c>
      <c r="C2711" s="61">
        <v>5319.84</v>
      </c>
      <c r="D2711" s="3">
        <f t="shared" si="45"/>
        <v>-1.3984596295677498E-3</v>
      </c>
    </row>
    <row r="2712" spans="2:4" x14ac:dyDescent="0.2">
      <c r="B2712" s="2">
        <v>40059</v>
      </c>
      <c r="C2712" s="61">
        <v>5301.42</v>
      </c>
      <c r="D2712" s="3">
        <f t="shared" si="45"/>
        <v>-3.4625101506812195E-3</v>
      </c>
    </row>
    <row r="2713" spans="2:4" x14ac:dyDescent="0.2">
      <c r="B2713" s="2">
        <v>40060</v>
      </c>
      <c r="C2713" s="61">
        <v>5384.43</v>
      </c>
      <c r="D2713" s="3">
        <f t="shared" si="45"/>
        <v>1.5658068970200389E-2</v>
      </c>
    </row>
    <row r="2714" spans="2:4" x14ac:dyDescent="0.2">
      <c r="B2714" s="2">
        <v>40063</v>
      </c>
      <c r="C2714" s="61">
        <v>5463.51</v>
      </c>
      <c r="D2714" s="3">
        <f t="shared" si="45"/>
        <v>1.4686791359530993E-2</v>
      </c>
    </row>
    <row r="2715" spans="2:4" x14ac:dyDescent="0.2">
      <c r="B2715" s="2">
        <v>40064</v>
      </c>
      <c r="C2715" s="61">
        <v>5481.73</v>
      </c>
      <c r="D2715" s="3">
        <f t="shared" si="45"/>
        <v>3.3348525032441678E-3</v>
      </c>
    </row>
    <row r="2716" spans="2:4" x14ac:dyDescent="0.2">
      <c r="B2716" s="2">
        <v>40065</v>
      </c>
      <c r="C2716" s="61">
        <v>5574.26</v>
      </c>
      <c r="D2716" s="3">
        <f t="shared" si="45"/>
        <v>1.6879707683523426E-2</v>
      </c>
    </row>
    <row r="2717" spans="2:4" x14ac:dyDescent="0.2">
      <c r="B2717" s="2">
        <v>40066</v>
      </c>
      <c r="C2717" s="61">
        <v>5594.77</v>
      </c>
      <c r="D2717" s="3">
        <f t="shared" si="45"/>
        <v>3.6794121551559922E-3</v>
      </c>
    </row>
    <row r="2718" spans="2:4" x14ac:dyDescent="0.2">
      <c r="B2718" s="2">
        <v>40067</v>
      </c>
      <c r="C2718" s="61">
        <v>5624.02</v>
      </c>
      <c r="D2718" s="3">
        <f t="shared" si="45"/>
        <v>5.2280969548346157E-3</v>
      </c>
    </row>
    <row r="2719" spans="2:4" x14ac:dyDescent="0.2">
      <c r="B2719" s="2">
        <v>40070</v>
      </c>
      <c r="C2719" s="61">
        <v>5620.24</v>
      </c>
      <c r="D2719" s="3">
        <f t="shared" si="45"/>
        <v>-6.7211709773451478E-4</v>
      </c>
    </row>
    <row r="2720" spans="2:4" x14ac:dyDescent="0.2">
      <c r="B2720" s="2">
        <v>40071</v>
      </c>
      <c r="C2720" s="61">
        <v>5628.98</v>
      </c>
      <c r="D2720" s="3">
        <f t="shared" si="45"/>
        <v>1.5550937326520575E-3</v>
      </c>
    </row>
    <row r="2721" spans="2:4" x14ac:dyDescent="0.2">
      <c r="B2721" s="2">
        <v>40072</v>
      </c>
      <c r="C2721" s="61">
        <v>5700.26</v>
      </c>
      <c r="D2721" s="3">
        <f t="shared" si="45"/>
        <v>1.2663040195559416E-2</v>
      </c>
    </row>
    <row r="2722" spans="2:4" x14ac:dyDescent="0.2">
      <c r="B2722" s="2">
        <v>40073</v>
      </c>
      <c r="C2722" s="61">
        <v>5731.14</v>
      </c>
      <c r="D2722" s="3">
        <f t="shared" si="45"/>
        <v>5.4172967548848927E-3</v>
      </c>
    </row>
    <row r="2723" spans="2:4" x14ac:dyDescent="0.2">
      <c r="B2723" s="2">
        <v>40074</v>
      </c>
      <c r="C2723" s="61">
        <v>5703.83</v>
      </c>
      <c r="D2723" s="3">
        <f t="shared" si="45"/>
        <v>-4.7651950571788726E-3</v>
      </c>
    </row>
    <row r="2724" spans="2:4" x14ac:dyDescent="0.2">
      <c r="B2724" s="2">
        <v>40077</v>
      </c>
      <c r="C2724" s="61">
        <v>5668.65</v>
      </c>
      <c r="D2724" s="3">
        <f t="shared" si="45"/>
        <v>-6.1677855055287667E-3</v>
      </c>
    </row>
    <row r="2725" spans="2:4" x14ac:dyDescent="0.2">
      <c r="B2725" s="2">
        <v>40078</v>
      </c>
      <c r="C2725" s="61">
        <v>5709.38</v>
      </c>
      <c r="D2725" s="3">
        <f t="shared" si="45"/>
        <v>7.1851322625318126E-3</v>
      </c>
    </row>
    <row r="2726" spans="2:4" x14ac:dyDescent="0.2">
      <c r="B2726" s="2">
        <v>40079</v>
      </c>
      <c r="C2726" s="61">
        <v>5702.05</v>
      </c>
      <c r="D2726" s="3">
        <f t="shared" si="45"/>
        <v>-1.2838521871025854E-3</v>
      </c>
    </row>
    <row r="2727" spans="2:4" x14ac:dyDescent="0.2">
      <c r="B2727" s="2">
        <v>40080</v>
      </c>
      <c r="C2727" s="61">
        <v>5605.21</v>
      </c>
      <c r="D2727" s="3">
        <f t="shared" si="45"/>
        <v>-1.6983365631658809E-2</v>
      </c>
    </row>
    <row r="2728" spans="2:4" x14ac:dyDescent="0.2">
      <c r="B2728" s="2">
        <v>40081</v>
      </c>
      <c r="C2728" s="61">
        <v>5581.41</v>
      </c>
      <c r="D2728" s="3">
        <f t="shared" si="45"/>
        <v>-4.2460496573724082E-3</v>
      </c>
    </row>
    <row r="2729" spans="2:4" x14ac:dyDescent="0.2">
      <c r="B2729" s="2">
        <v>40084</v>
      </c>
      <c r="C2729" s="61">
        <v>5736.31</v>
      </c>
      <c r="D2729" s="3">
        <f t="shared" si="45"/>
        <v>2.7752843815451733E-2</v>
      </c>
    </row>
    <row r="2730" spans="2:4" x14ac:dyDescent="0.2">
      <c r="B2730" s="2">
        <v>40085</v>
      </c>
      <c r="C2730" s="61">
        <v>5713.52</v>
      </c>
      <c r="D2730" s="3">
        <f t="shared" si="45"/>
        <v>-3.9729373063868145E-3</v>
      </c>
    </row>
    <row r="2731" spans="2:4" x14ac:dyDescent="0.2">
      <c r="B2731" s="2">
        <v>40086</v>
      </c>
      <c r="C2731" s="61">
        <v>5675.16</v>
      </c>
      <c r="D2731" s="3">
        <f t="shared" si="45"/>
        <v>-6.7138996625548675E-3</v>
      </c>
    </row>
    <row r="2732" spans="2:4" x14ac:dyDescent="0.2">
      <c r="B2732" s="2">
        <v>40087</v>
      </c>
      <c r="C2732" s="61">
        <v>5554.55</v>
      </c>
      <c r="D2732" s="3">
        <f t="shared" si="45"/>
        <v>-2.125226425334259E-2</v>
      </c>
    </row>
    <row r="2733" spans="2:4" x14ac:dyDescent="0.2">
      <c r="B2733" s="2">
        <v>40088</v>
      </c>
      <c r="C2733" s="61">
        <v>5467.9</v>
      </c>
      <c r="D2733" s="3">
        <f t="shared" si="45"/>
        <v>-1.5599823568065885E-2</v>
      </c>
    </row>
    <row r="2734" spans="2:4" x14ac:dyDescent="0.2">
      <c r="B2734" s="2">
        <v>40091</v>
      </c>
      <c r="C2734" s="61">
        <v>5508.85</v>
      </c>
      <c r="D2734" s="3">
        <f t="shared" si="45"/>
        <v>7.4891640300664974E-3</v>
      </c>
    </row>
    <row r="2735" spans="2:4" x14ac:dyDescent="0.2">
      <c r="B2735" s="2">
        <v>40092</v>
      </c>
      <c r="C2735" s="61">
        <v>5657.64</v>
      </c>
      <c r="D2735" s="3">
        <f t="shared" si="45"/>
        <v>2.7009266906886209E-2</v>
      </c>
    </row>
    <row r="2736" spans="2:4" x14ac:dyDescent="0.2">
      <c r="B2736" s="2">
        <v>40093</v>
      </c>
      <c r="C2736" s="61">
        <v>5640.75</v>
      </c>
      <c r="D2736" s="3">
        <f t="shared" si="45"/>
        <v>-2.9853437122192572E-3</v>
      </c>
    </row>
    <row r="2737" spans="2:4" x14ac:dyDescent="0.2">
      <c r="B2737" s="2">
        <v>40094</v>
      </c>
      <c r="C2737" s="61">
        <v>5716.54</v>
      </c>
      <c r="D2737" s="3">
        <f t="shared" si="45"/>
        <v>1.343615653946717E-2</v>
      </c>
    </row>
    <row r="2738" spans="2:4" x14ac:dyDescent="0.2">
      <c r="B2738" s="2">
        <v>40095</v>
      </c>
      <c r="C2738" s="61">
        <v>5711.88</v>
      </c>
      <c r="D2738" s="3">
        <f t="shared" si="45"/>
        <v>-8.1517841211642406E-4</v>
      </c>
    </row>
    <row r="2739" spans="2:4" x14ac:dyDescent="0.2">
      <c r="B2739" s="2">
        <v>40098</v>
      </c>
      <c r="C2739" s="61">
        <v>5783.23</v>
      </c>
      <c r="D2739" s="3">
        <f t="shared" si="45"/>
        <v>1.2491508925257522E-2</v>
      </c>
    </row>
    <row r="2740" spans="2:4" x14ac:dyDescent="0.2">
      <c r="B2740" s="2">
        <v>40099</v>
      </c>
      <c r="C2740" s="61">
        <v>5714.31</v>
      </c>
      <c r="D2740" s="3">
        <f t="shared" si="45"/>
        <v>-1.1917215811925064E-2</v>
      </c>
    </row>
    <row r="2741" spans="2:4" x14ac:dyDescent="0.2">
      <c r="B2741" s="2">
        <v>40100</v>
      </c>
      <c r="C2741" s="61">
        <v>5854.14</v>
      </c>
      <c r="D2741" s="3">
        <f t="shared" si="45"/>
        <v>2.4470146001879467E-2</v>
      </c>
    </row>
    <row r="2742" spans="2:4" x14ac:dyDescent="0.2">
      <c r="B2742" s="2">
        <v>40101</v>
      </c>
      <c r="C2742" s="61">
        <v>5830.77</v>
      </c>
      <c r="D2742" s="3">
        <f t="shared" si="45"/>
        <v>-3.9920466541626398E-3</v>
      </c>
    </row>
    <row r="2743" spans="2:4" x14ac:dyDescent="0.2">
      <c r="B2743" s="2">
        <v>40102</v>
      </c>
      <c r="C2743" s="61">
        <v>5743.39</v>
      </c>
      <c r="D2743" s="3">
        <f t="shared" si="45"/>
        <v>-1.4986013854087932E-2</v>
      </c>
    </row>
    <row r="2744" spans="2:4" x14ac:dyDescent="0.2">
      <c r="B2744" s="2">
        <v>40105</v>
      </c>
      <c r="C2744" s="61">
        <v>5852.56</v>
      </c>
      <c r="D2744" s="3">
        <f t="shared" si="45"/>
        <v>1.9007937820694654E-2</v>
      </c>
    </row>
    <row r="2745" spans="2:4" x14ac:dyDescent="0.2">
      <c r="B2745" s="2">
        <v>40106</v>
      </c>
      <c r="C2745" s="61">
        <v>5811.77</v>
      </c>
      <c r="D2745" s="3">
        <f t="shared" si="45"/>
        <v>-6.9695996281968764E-3</v>
      </c>
    </row>
    <row r="2746" spans="2:4" x14ac:dyDescent="0.2">
      <c r="B2746" s="2">
        <v>40107</v>
      </c>
      <c r="C2746" s="61">
        <v>5833.49</v>
      </c>
      <c r="D2746" s="3">
        <f t="shared" si="45"/>
        <v>3.737243559190917E-3</v>
      </c>
    </row>
    <row r="2747" spans="2:4" x14ac:dyDescent="0.2">
      <c r="B2747" s="2">
        <v>40108</v>
      </c>
      <c r="C2747" s="61">
        <v>5762.93</v>
      </c>
      <c r="D2747" s="3">
        <f t="shared" si="45"/>
        <v>-1.2095675144724649E-2</v>
      </c>
    </row>
    <row r="2748" spans="2:4" x14ac:dyDescent="0.2">
      <c r="B2748" s="2">
        <v>40109</v>
      </c>
      <c r="C2748" s="61">
        <v>5740.25</v>
      </c>
      <c r="D2748" s="3">
        <f t="shared" si="45"/>
        <v>-3.9354980886459057E-3</v>
      </c>
    </row>
    <row r="2749" spans="2:4" x14ac:dyDescent="0.2">
      <c r="B2749" s="2">
        <v>40112</v>
      </c>
      <c r="C2749" s="61">
        <v>5642.16</v>
      </c>
      <c r="D2749" s="3">
        <f t="shared" si="45"/>
        <v>-1.7088105918731777E-2</v>
      </c>
    </row>
    <row r="2750" spans="2:4" x14ac:dyDescent="0.2">
      <c r="B2750" s="2">
        <v>40113</v>
      </c>
      <c r="C2750" s="61">
        <v>5635.02</v>
      </c>
      <c r="D2750" s="3">
        <f t="shared" si="45"/>
        <v>-1.2654727976518787E-3</v>
      </c>
    </row>
    <row r="2751" spans="2:4" x14ac:dyDescent="0.2">
      <c r="B2751" s="2">
        <v>40114</v>
      </c>
      <c r="C2751" s="61">
        <v>5496.27</v>
      </c>
      <c r="D2751" s="3">
        <f t="shared" si="45"/>
        <v>-2.4622805242927259E-2</v>
      </c>
    </row>
    <row r="2752" spans="2:4" x14ac:dyDescent="0.2">
      <c r="B2752" s="2">
        <v>40115</v>
      </c>
      <c r="C2752" s="61">
        <v>5587.45</v>
      </c>
      <c r="D2752" s="3">
        <f t="shared" si="45"/>
        <v>1.6589432469656495E-2</v>
      </c>
    </row>
    <row r="2753" spans="2:4" x14ac:dyDescent="0.2">
      <c r="B2753" s="2">
        <v>40116</v>
      </c>
      <c r="C2753" s="61">
        <v>5414.96</v>
      </c>
      <c r="D2753" s="3">
        <f t="shared" si="45"/>
        <v>-3.0870969762592959E-2</v>
      </c>
    </row>
    <row r="2754" spans="2:4" x14ac:dyDescent="0.2">
      <c r="B2754" s="2">
        <v>40119</v>
      </c>
      <c r="C2754" s="61">
        <v>5430.82</v>
      </c>
      <c r="D2754" s="3">
        <f t="shared" si="45"/>
        <v>2.9289228359949959E-3</v>
      </c>
    </row>
    <row r="2755" spans="2:4" x14ac:dyDescent="0.2">
      <c r="B2755" s="2">
        <v>40120</v>
      </c>
      <c r="C2755" s="61">
        <v>5353.35</v>
      </c>
      <c r="D2755" s="3">
        <f t="shared" si="45"/>
        <v>-1.4264880809895963E-2</v>
      </c>
    </row>
    <row r="2756" spans="2:4" x14ac:dyDescent="0.2">
      <c r="B2756" s="2">
        <v>40121</v>
      </c>
      <c r="C2756" s="61">
        <v>5444.23</v>
      </c>
      <c r="D2756" s="3">
        <f t="shared" si="45"/>
        <v>1.6976285877067454E-2</v>
      </c>
    </row>
    <row r="2757" spans="2:4" x14ac:dyDescent="0.2">
      <c r="B2757" s="2">
        <v>40122</v>
      </c>
      <c r="C2757" s="61">
        <v>5480.92</v>
      </c>
      <c r="D2757" s="3">
        <f t="shared" ref="D2757:D2820" si="46">C2757/C2756-1</f>
        <v>6.7392450355698852E-3</v>
      </c>
    </row>
    <row r="2758" spans="2:4" x14ac:dyDescent="0.2">
      <c r="B2758" s="2">
        <v>40123</v>
      </c>
      <c r="C2758" s="61">
        <v>5488.25</v>
      </c>
      <c r="D2758" s="3">
        <f t="shared" si="46"/>
        <v>1.3373667194558347E-3</v>
      </c>
    </row>
    <row r="2759" spans="2:4" x14ac:dyDescent="0.2">
      <c r="B2759" s="2">
        <v>40126</v>
      </c>
      <c r="C2759" s="61">
        <v>5619.72</v>
      </c>
      <c r="D2759" s="3">
        <f t="shared" si="46"/>
        <v>2.395481255409293E-2</v>
      </c>
    </row>
    <row r="2760" spans="2:4" x14ac:dyDescent="0.2">
      <c r="B2760" s="2">
        <v>40127</v>
      </c>
      <c r="C2760" s="61">
        <v>5613.2</v>
      </c>
      <c r="D2760" s="3">
        <f t="shared" si="46"/>
        <v>-1.1602001523208783E-3</v>
      </c>
    </row>
    <row r="2761" spans="2:4" x14ac:dyDescent="0.2">
      <c r="B2761" s="2">
        <v>40128</v>
      </c>
      <c r="C2761" s="61">
        <v>5668.35</v>
      </c>
      <c r="D2761" s="3">
        <f t="shared" si="46"/>
        <v>9.8250552269651958E-3</v>
      </c>
    </row>
    <row r="2762" spans="2:4" x14ac:dyDescent="0.2">
      <c r="B2762" s="2">
        <v>40129</v>
      </c>
      <c r="C2762" s="61">
        <v>5663.96</v>
      </c>
      <c r="D2762" s="3">
        <f t="shared" si="46"/>
        <v>-7.7447581747780436E-4</v>
      </c>
    </row>
    <row r="2763" spans="2:4" x14ac:dyDescent="0.2">
      <c r="B2763" s="2">
        <v>40130</v>
      </c>
      <c r="C2763" s="61">
        <v>5686.83</v>
      </c>
      <c r="D2763" s="3">
        <f t="shared" si="46"/>
        <v>4.0378110014900326E-3</v>
      </c>
    </row>
    <row r="2764" spans="2:4" x14ac:dyDescent="0.2">
      <c r="B2764" s="2">
        <v>40133</v>
      </c>
      <c r="C2764" s="61">
        <v>5804.82</v>
      </c>
      <c r="D2764" s="3">
        <f t="shared" si="46"/>
        <v>2.0747938658268295E-2</v>
      </c>
    </row>
    <row r="2765" spans="2:4" x14ac:dyDescent="0.2">
      <c r="B2765" s="2">
        <v>40134</v>
      </c>
      <c r="C2765" s="61">
        <v>5778.43</v>
      </c>
      <c r="D2765" s="3">
        <f t="shared" si="46"/>
        <v>-4.5462219328075149E-3</v>
      </c>
    </row>
    <row r="2766" spans="2:4" x14ac:dyDescent="0.2">
      <c r="B2766" s="2">
        <v>40135</v>
      </c>
      <c r="C2766" s="61">
        <v>5787.61</v>
      </c>
      <c r="D2766" s="3">
        <f t="shared" si="46"/>
        <v>1.5886668178033414E-3</v>
      </c>
    </row>
    <row r="2767" spans="2:4" x14ac:dyDescent="0.2">
      <c r="B2767" s="2">
        <v>40136</v>
      </c>
      <c r="C2767" s="61">
        <v>5702.18</v>
      </c>
      <c r="D2767" s="3">
        <f t="shared" si="46"/>
        <v>-1.4760842558499854E-2</v>
      </c>
    </row>
    <row r="2768" spans="2:4" x14ac:dyDescent="0.2">
      <c r="B2768" s="2">
        <v>40137</v>
      </c>
      <c r="C2768" s="61">
        <v>5663.15</v>
      </c>
      <c r="D2768" s="3">
        <f t="shared" si="46"/>
        <v>-6.8447506041550144E-3</v>
      </c>
    </row>
    <row r="2769" spans="2:4" x14ac:dyDescent="0.2">
      <c r="B2769" s="2">
        <v>40140</v>
      </c>
      <c r="C2769" s="61">
        <v>5801.48</v>
      </c>
      <c r="D2769" s="3">
        <f t="shared" si="46"/>
        <v>2.4426335166824131E-2</v>
      </c>
    </row>
    <row r="2770" spans="2:4" x14ac:dyDescent="0.2">
      <c r="B2770" s="2">
        <v>40141</v>
      </c>
      <c r="C2770" s="61">
        <v>5769.31</v>
      </c>
      <c r="D2770" s="3">
        <f t="shared" si="46"/>
        <v>-5.5451367582063371E-3</v>
      </c>
    </row>
    <row r="2771" spans="2:4" x14ac:dyDescent="0.2">
      <c r="B2771" s="2">
        <v>40142</v>
      </c>
      <c r="C2771" s="61">
        <v>5803.02</v>
      </c>
      <c r="D2771" s="3">
        <f t="shared" si="46"/>
        <v>5.8429864229865291E-3</v>
      </c>
    </row>
    <row r="2772" spans="2:4" x14ac:dyDescent="0.2">
      <c r="B2772" s="2">
        <v>40143</v>
      </c>
      <c r="C2772" s="61">
        <v>5614.17</v>
      </c>
      <c r="D2772" s="3">
        <f t="shared" si="46"/>
        <v>-3.2543399815957996E-2</v>
      </c>
    </row>
    <row r="2773" spans="2:4" x14ac:dyDescent="0.2">
      <c r="B2773" s="2">
        <v>40144</v>
      </c>
      <c r="C2773" s="61">
        <v>5685.61</v>
      </c>
      <c r="D2773" s="3">
        <f t="shared" si="46"/>
        <v>1.2724944203684529E-2</v>
      </c>
    </row>
    <row r="2774" spans="2:4" x14ac:dyDescent="0.2">
      <c r="B2774" s="2">
        <v>40147</v>
      </c>
      <c r="C2774" s="61">
        <v>5625.95</v>
      </c>
      <c r="D2774" s="3">
        <f t="shared" si="46"/>
        <v>-1.0493157286553201E-2</v>
      </c>
    </row>
    <row r="2775" spans="2:4" x14ac:dyDescent="0.2">
      <c r="B2775" s="2">
        <v>40148</v>
      </c>
      <c r="C2775" s="61">
        <v>5776.61</v>
      </c>
      <c r="D2775" s="3">
        <f t="shared" si="46"/>
        <v>2.6779477243843219E-2</v>
      </c>
    </row>
    <row r="2776" spans="2:4" x14ac:dyDescent="0.2">
      <c r="B2776" s="2">
        <v>40149</v>
      </c>
      <c r="C2776" s="61">
        <v>5781.68</v>
      </c>
      <c r="D2776" s="3">
        <f t="shared" si="46"/>
        <v>8.776773921037595E-4</v>
      </c>
    </row>
    <row r="2777" spans="2:4" x14ac:dyDescent="0.2">
      <c r="B2777" s="2">
        <v>40150</v>
      </c>
      <c r="C2777" s="61">
        <v>5770.35</v>
      </c>
      <c r="D2777" s="3">
        <f t="shared" si="46"/>
        <v>-1.9596380290849424E-3</v>
      </c>
    </row>
    <row r="2778" spans="2:4" x14ac:dyDescent="0.2">
      <c r="B2778" s="2">
        <v>40151</v>
      </c>
      <c r="C2778" s="61">
        <v>5817.65</v>
      </c>
      <c r="D2778" s="3">
        <f t="shared" si="46"/>
        <v>8.1970764338383795E-3</v>
      </c>
    </row>
    <row r="2779" spans="2:4" x14ac:dyDescent="0.2">
      <c r="B2779" s="2">
        <v>40154</v>
      </c>
      <c r="C2779" s="61">
        <v>5784.75</v>
      </c>
      <c r="D2779" s="3">
        <f t="shared" si="46"/>
        <v>-5.6552044210290697E-3</v>
      </c>
    </row>
    <row r="2780" spans="2:4" x14ac:dyDescent="0.2">
      <c r="B2780" s="2">
        <v>40155</v>
      </c>
      <c r="C2780" s="61">
        <v>5688.58</v>
      </c>
      <c r="D2780" s="3">
        <f t="shared" si="46"/>
        <v>-1.6624746099658583E-2</v>
      </c>
    </row>
    <row r="2781" spans="2:4" x14ac:dyDescent="0.2">
      <c r="B2781" s="2">
        <v>40156</v>
      </c>
      <c r="C2781" s="61">
        <v>5647.84</v>
      </c>
      <c r="D2781" s="3">
        <f t="shared" si="46"/>
        <v>-7.161716983851818E-3</v>
      </c>
    </row>
    <row r="2782" spans="2:4" x14ac:dyDescent="0.2">
      <c r="B2782" s="2">
        <v>40157</v>
      </c>
      <c r="C2782" s="61">
        <v>5709.02</v>
      </c>
      <c r="D2782" s="3">
        <f t="shared" si="46"/>
        <v>1.0832459843055142E-2</v>
      </c>
    </row>
    <row r="2783" spans="2:4" x14ac:dyDescent="0.2">
      <c r="B2783" s="2">
        <v>40158</v>
      </c>
      <c r="C2783" s="61">
        <v>5756.29</v>
      </c>
      <c r="D2783" s="3">
        <f t="shared" si="46"/>
        <v>8.2798799093364295E-3</v>
      </c>
    </row>
    <row r="2784" spans="2:4" x14ac:dyDescent="0.2">
      <c r="B2784" s="2">
        <v>40161</v>
      </c>
      <c r="C2784" s="61">
        <v>5802.26</v>
      </c>
      <c r="D2784" s="3">
        <f t="shared" si="46"/>
        <v>7.9860465681889092E-3</v>
      </c>
    </row>
    <row r="2785" spans="2:4" x14ac:dyDescent="0.2">
      <c r="B2785" s="2">
        <v>40162</v>
      </c>
      <c r="C2785" s="61">
        <v>5811.34</v>
      </c>
      <c r="D2785" s="3">
        <f t="shared" si="46"/>
        <v>1.5649074670904817E-3</v>
      </c>
    </row>
    <row r="2786" spans="2:4" x14ac:dyDescent="0.2">
      <c r="B2786" s="2">
        <v>40163</v>
      </c>
      <c r="C2786" s="61">
        <v>5903.43</v>
      </c>
      <c r="D2786" s="3">
        <f t="shared" si="46"/>
        <v>1.5846603365144762E-2</v>
      </c>
    </row>
    <row r="2787" spans="2:4" x14ac:dyDescent="0.2">
      <c r="B2787" s="2">
        <v>40164</v>
      </c>
      <c r="C2787" s="61">
        <v>5844.44</v>
      </c>
      <c r="D2787" s="3">
        <f t="shared" si="46"/>
        <v>-9.9924958879838988E-3</v>
      </c>
    </row>
    <row r="2788" spans="2:4" x14ac:dyDescent="0.2">
      <c r="B2788" s="2">
        <v>40165</v>
      </c>
      <c r="C2788" s="61">
        <v>5831.21</v>
      </c>
      <c r="D2788" s="3">
        <f t="shared" si="46"/>
        <v>-2.2636899343648764E-3</v>
      </c>
    </row>
    <row r="2789" spans="2:4" x14ac:dyDescent="0.2">
      <c r="B2789" s="2">
        <v>40168</v>
      </c>
      <c r="C2789" s="61">
        <v>5930.53</v>
      </c>
      <c r="D2789" s="3">
        <f t="shared" si="46"/>
        <v>1.7032485539021813E-2</v>
      </c>
    </row>
    <row r="2790" spans="2:4" x14ac:dyDescent="0.2">
      <c r="B2790" s="2">
        <v>40169</v>
      </c>
      <c r="C2790" s="61">
        <v>5945.69</v>
      </c>
      <c r="D2790" s="3">
        <f t="shared" si="46"/>
        <v>2.5562639426830458E-3</v>
      </c>
    </row>
    <row r="2791" spans="2:4" x14ac:dyDescent="0.2">
      <c r="B2791" s="2">
        <v>40170</v>
      </c>
      <c r="C2791" s="61">
        <v>5957.44</v>
      </c>
      <c r="D2791" s="3">
        <f t="shared" si="46"/>
        <v>1.9762214309861914E-3</v>
      </c>
    </row>
    <row r="2792" spans="2:4" x14ac:dyDescent="0.2">
      <c r="B2792" s="2">
        <v>40175</v>
      </c>
      <c r="C2792" s="61">
        <v>6002.92</v>
      </c>
      <c r="D2792" s="3">
        <f t="shared" si="46"/>
        <v>7.6341515818876271E-3</v>
      </c>
    </row>
    <row r="2793" spans="2:4" x14ac:dyDescent="0.2">
      <c r="B2793" s="2">
        <v>40176</v>
      </c>
      <c r="C2793" s="61">
        <v>6011.55</v>
      </c>
      <c r="D2793" s="3">
        <f t="shared" si="46"/>
        <v>1.4376336849399873E-3</v>
      </c>
    </row>
    <row r="2794" spans="2:4" x14ac:dyDescent="0.2">
      <c r="B2794" s="2">
        <v>40177</v>
      </c>
      <c r="C2794" s="61">
        <v>5957.43</v>
      </c>
      <c r="D2794" s="3">
        <f t="shared" si="46"/>
        <v>-9.002669860518453E-3</v>
      </c>
    </row>
    <row r="2795" spans="2:4" x14ac:dyDescent="0.2">
      <c r="B2795" s="2">
        <v>40182</v>
      </c>
      <c r="C2795" s="61">
        <v>6048.3</v>
      </c>
      <c r="D2795" s="3">
        <f t="shared" si="46"/>
        <v>1.5253221607303802E-2</v>
      </c>
    </row>
    <row r="2796" spans="2:4" x14ac:dyDescent="0.2">
      <c r="B2796" s="2">
        <v>40183</v>
      </c>
      <c r="C2796" s="61">
        <v>6031.86</v>
      </c>
      <c r="D2796" s="3">
        <f t="shared" si="46"/>
        <v>-2.7181191409156868E-3</v>
      </c>
    </row>
    <row r="2797" spans="2:4" x14ac:dyDescent="0.2">
      <c r="B2797" s="2">
        <v>40184</v>
      </c>
      <c r="C2797" s="61">
        <v>6034.33</v>
      </c>
      <c r="D2797" s="3">
        <f t="shared" si="46"/>
        <v>4.0949226275155404E-4</v>
      </c>
    </row>
    <row r="2798" spans="2:4" x14ac:dyDescent="0.2">
      <c r="B2798" s="2">
        <v>40185</v>
      </c>
      <c r="C2798" s="61">
        <v>6019.36</v>
      </c>
      <c r="D2798" s="3">
        <f t="shared" si="46"/>
        <v>-2.4808056569660675E-3</v>
      </c>
    </row>
    <row r="2799" spans="2:4" x14ac:dyDescent="0.2">
      <c r="B2799" s="2">
        <v>40186</v>
      </c>
      <c r="C2799" s="61">
        <v>6037.61</v>
      </c>
      <c r="D2799" s="3">
        <f t="shared" si="46"/>
        <v>3.0318837883096528E-3</v>
      </c>
    </row>
    <row r="2800" spans="2:4" x14ac:dyDescent="0.2">
      <c r="B2800" s="2">
        <v>40189</v>
      </c>
      <c r="C2800" s="61">
        <v>6040.5</v>
      </c>
      <c r="D2800" s="3">
        <f t="shared" si="46"/>
        <v>4.7866622719916485E-4</v>
      </c>
    </row>
    <row r="2801" spans="2:4" x14ac:dyDescent="0.2">
      <c r="B2801" s="2">
        <v>40190</v>
      </c>
      <c r="C2801" s="61">
        <v>5943</v>
      </c>
      <c r="D2801" s="3">
        <f t="shared" si="46"/>
        <v>-1.6141047926496177E-2</v>
      </c>
    </row>
    <row r="2802" spans="2:4" x14ac:dyDescent="0.2">
      <c r="B2802" s="2">
        <v>40191</v>
      </c>
      <c r="C2802" s="61">
        <v>5963.14</v>
      </c>
      <c r="D2802" s="3">
        <f t="shared" si="46"/>
        <v>3.3888608446912549E-3</v>
      </c>
    </row>
    <row r="2803" spans="2:4" x14ac:dyDescent="0.2">
      <c r="B2803" s="2">
        <v>40192</v>
      </c>
      <c r="C2803" s="61">
        <v>5988.88</v>
      </c>
      <c r="D2803" s="3">
        <f t="shared" si="46"/>
        <v>4.3165178077322341E-3</v>
      </c>
    </row>
    <row r="2804" spans="2:4" x14ac:dyDescent="0.2">
      <c r="B2804" s="2">
        <v>40193</v>
      </c>
      <c r="C2804" s="61">
        <v>5875.97</v>
      </c>
      <c r="D2804" s="3">
        <f t="shared" si="46"/>
        <v>-1.885327473584375E-2</v>
      </c>
    </row>
    <row r="2805" spans="2:4" x14ac:dyDescent="0.2">
      <c r="B2805" s="2">
        <v>40196</v>
      </c>
      <c r="C2805" s="61">
        <v>5918.55</v>
      </c>
      <c r="D2805" s="3">
        <f t="shared" si="46"/>
        <v>7.2464631371500499E-3</v>
      </c>
    </row>
    <row r="2806" spans="2:4" x14ac:dyDescent="0.2">
      <c r="B2806" s="2">
        <v>40197</v>
      </c>
      <c r="C2806" s="61">
        <v>5976.48</v>
      </c>
      <c r="D2806" s="3">
        <f t="shared" si="46"/>
        <v>9.7878703398635025E-3</v>
      </c>
    </row>
    <row r="2807" spans="2:4" x14ac:dyDescent="0.2">
      <c r="B2807" s="2">
        <v>40198</v>
      </c>
      <c r="C2807" s="61">
        <v>5851.53</v>
      </c>
      <c r="D2807" s="3">
        <f t="shared" si="46"/>
        <v>-2.0906955264637372E-2</v>
      </c>
    </row>
    <row r="2808" spans="2:4" x14ac:dyDescent="0.2">
      <c r="B2808" s="2">
        <v>40199</v>
      </c>
      <c r="C2808" s="61">
        <v>5746.97</v>
      </c>
      <c r="D2808" s="3">
        <f t="shared" si="46"/>
        <v>-1.786883088696456E-2</v>
      </c>
    </row>
    <row r="2809" spans="2:4" x14ac:dyDescent="0.2">
      <c r="B2809" s="2">
        <v>40200</v>
      </c>
      <c r="C2809" s="61">
        <v>5695.32</v>
      </c>
      <c r="D2809" s="3">
        <f t="shared" si="46"/>
        <v>-8.9873446355210884E-3</v>
      </c>
    </row>
    <row r="2810" spans="2:4" x14ac:dyDescent="0.2">
      <c r="B2810" s="2">
        <v>40203</v>
      </c>
      <c r="C2810" s="61">
        <v>5631.37</v>
      </c>
      <c r="D2810" s="3">
        <f t="shared" si="46"/>
        <v>-1.1228517449414555E-2</v>
      </c>
    </row>
    <row r="2811" spans="2:4" x14ac:dyDescent="0.2">
      <c r="B2811" s="2">
        <v>40204</v>
      </c>
      <c r="C2811" s="61">
        <v>5668.93</v>
      </c>
      <c r="D2811" s="3">
        <f t="shared" si="46"/>
        <v>6.6697801778252686E-3</v>
      </c>
    </row>
    <row r="2812" spans="2:4" x14ac:dyDescent="0.2">
      <c r="B2812" s="2">
        <v>40205</v>
      </c>
      <c r="C2812" s="61">
        <v>5643.2</v>
      </c>
      <c r="D2812" s="3">
        <f t="shared" si="46"/>
        <v>-4.5387753950040244E-3</v>
      </c>
    </row>
    <row r="2813" spans="2:4" x14ac:dyDescent="0.2">
      <c r="B2813" s="2">
        <v>40206</v>
      </c>
      <c r="C2813" s="61">
        <v>5540.33</v>
      </c>
      <c r="D2813" s="3">
        <f t="shared" si="46"/>
        <v>-1.8229018996314128E-2</v>
      </c>
    </row>
    <row r="2814" spans="2:4" x14ac:dyDescent="0.2">
      <c r="B2814" s="2">
        <v>40207</v>
      </c>
      <c r="C2814" s="61">
        <v>5608.79</v>
      </c>
      <c r="D2814" s="3">
        <f t="shared" si="46"/>
        <v>1.2356664675208906E-2</v>
      </c>
    </row>
    <row r="2815" spans="2:4" x14ac:dyDescent="0.2">
      <c r="B2815" s="2">
        <v>40210</v>
      </c>
      <c r="C2815" s="61">
        <v>5654.48</v>
      </c>
      <c r="D2815" s="3">
        <f t="shared" si="46"/>
        <v>8.1461420377657578E-3</v>
      </c>
    </row>
    <row r="2816" spans="2:4" x14ac:dyDescent="0.2">
      <c r="B2816" s="2">
        <v>40211</v>
      </c>
      <c r="C2816" s="61">
        <v>5709.66</v>
      </c>
      <c r="D2816" s="3">
        <f t="shared" si="46"/>
        <v>9.7586338619997104E-3</v>
      </c>
    </row>
    <row r="2817" spans="2:4" x14ac:dyDescent="0.2">
      <c r="B2817" s="2">
        <v>40212</v>
      </c>
      <c r="C2817" s="61">
        <v>5672.09</v>
      </c>
      <c r="D2817" s="3">
        <f t="shared" si="46"/>
        <v>-6.5800765719850052E-3</v>
      </c>
    </row>
    <row r="2818" spans="2:4" x14ac:dyDescent="0.2">
      <c r="B2818" s="2">
        <v>40213</v>
      </c>
      <c r="C2818" s="61">
        <v>5533.24</v>
      </c>
      <c r="D2818" s="3">
        <f t="shared" si="46"/>
        <v>-2.4479512842708884E-2</v>
      </c>
    </row>
    <row r="2819" spans="2:4" x14ac:dyDescent="0.2">
      <c r="B2819" s="2">
        <v>40214</v>
      </c>
      <c r="C2819" s="61">
        <v>5434.34</v>
      </c>
      <c r="D2819" s="3">
        <f t="shared" si="46"/>
        <v>-1.7873795461610165E-2</v>
      </c>
    </row>
    <row r="2820" spans="2:4" x14ac:dyDescent="0.2">
      <c r="B2820" s="2">
        <v>40217</v>
      </c>
      <c r="C2820" s="61">
        <v>5484.85</v>
      </c>
      <c r="D2820" s="3">
        <f t="shared" si="46"/>
        <v>9.2945969519757643E-3</v>
      </c>
    </row>
    <row r="2821" spans="2:4" x14ac:dyDescent="0.2">
      <c r="B2821" s="2">
        <v>40218</v>
      </c>
      <c r="C2821" s="61">
        <v>5498.26</v>
      </c>
      <c r="D2821" s="3">
        <f t="shared" ref="D2821:D2884" si="47">C2821/C2820-1</f>
        <v>2.4449164516804345E-3</v>
      </c>
    </row>
    <row r="2822" spans="2:4" x14ac:dyDescent="0.2">
      <c r="B2822" s="2">
        <v>40219</v>
      </c>
      <c r="C2822" s="61">
        <v>5536.37</v>
      </c>
      <c r="D2822" s="3">
        <f t="shared" si="47"/>
        <v>6.9312837152115669E-3</v>
      </c>
    </row>
    <row r="2823" spans="2:4" x14ac:dyDescent="0.2">
      <c r="B2823" s="2">
        <v>40220</v>
      </c>
      <c r="C2823" s="61">
        <v>5503.93</v>
      </c>
      <c r="D2823" s="3">
        <f t="shared" si="47"/>
        <v>-5.8594349727347783E-3</v>
      </c>
    </row>
    <row r="2824" spans="2:4" x14ac:dyDescent="0.2">
      <c r="B2824" s="2">
        <v>40221</v>
      </c>
      <c r="C2824" s="61">
        <v>5500.39</v>
      </c>
      <c r="D2824" s="3">
        <f t="shared" si="47"/>
        <v>-6.4317678458847283E-4</v>
      </c>
    </row>
    <row r="2825" spans="2:4" x14ac:dyDescent="0.2">
      <c r="B2825" s="2">
        <v>40224</v>
      </c>
      <c r="C2825" s="61">
        <v>5511.1</v>
      </c>
      <c r="D2825" s="3">
        <f t="shared" si="47"/>
        <v>1.9471346577242254E-3</v>
      </c>
    </row>
    <row r="2826" spans="2:4" x14ac:dyDescent="0.2">
      <c r="B2826" s="2">
        <v>40225</v>
      </c>
      <c r="C2826" s="61">
        <v>5592.12</v>
      </c>
      <c r="D2826" s="3">
        <f t="shared" si="47"/>
        <v>1.4701239317014725E-2</v>
      </c>
    </row>
    <row r="2827" spans="2:4" x14ac:dyDescent="0.2">
      <c r="B2827" s="2">
        <v>40226</v>
      </c>
      <c r="C2827" s="61">
        <v>5648.34</v>
      </c>
      <c r="D2827" s="3">
        <f t="shared" si="47"/>
        <v>1.0053432329778289E-2</v>
      </c>
    </row>
    <row r="2828" spans="2:4" x14ac:dyDescent="0.2">
      <c r="B2828" s="2">
        <v>40227</v>
      </c>
      <c r="C2828" s="61">
        <v>5680.41</v>
      </c>
      <c r="D2828" s="3">
        <f t="shared" si="47"/>
        <v>5.6777743549432103E-3</v>
      </c>
    </row>
    <row r="2829" spans="2:4" x14ac:dyDescent="0.2">
      <c r="B2829" s="2">
        <v>40228</v>
      </c>
      <c r="C2829" s="61">
        <v>5722.05</v>
      </c>
      <c r="D2829" s="3">
        <f t="shared" si="47"/>
        <v>7.3304567804084453E-3</v>
      </c>
    </row>
    <row r="2830" spans="2:4" x14ac:dyDescent="0.2">
      <c r="B2830" s="2">
        <v>40231</v>
      </c>
      <c r="C2830" s="61">
        <v>5688.44</v>
      </c>
      <c r="D2830" s="3">
        <f t="shared" si="47"/>
        <v>-5.8737690163491729E-3</v>
      </c>
    </row>
    <row r="2831" spans="2:4" x14ac:dyDescent="0.2">
      <c r="B2831" s="2">
        <v>40232</v>
      </c>
      <c r="C2831" s="61">
        <v>5604.07</v>
      </c>
      <c r="D2831" s="3">
        <f t="shared" si="47"/>
        <v>-1.483183438693203E-2</v>
      </c>
    </row>
    <row r="2832" spans="2:4" x14ac:dyDescent="0.2">
      <c r="B2832" s="2">
        <v>40233</v>
      </c>
      <c r="C2832" s="61">
        <v>5615.51</v>
      </c>
      <c r="D2832" s="3">
        <f t="shared" si="47"/>
        <v>2.0413735017585921E-3</v>
      </c>
    </row>
    <row r="2833" spans="2:4" x14ac:dyDescent="0.2">
      <c r="B2833" s="2">
        <v>40234</v>
      </c>
      <c r="C2833" s="61">
        <v>5532.33</v>
      </c>
      <c r="D2833" s="3">
        <f t="shared" si="47"/>
        <v>-1.4812545966439439E-2</v>
      </c>
    </row>
    <row r="2834" spans="2:4" x14ac:dyDescent="0.2">
      <c r="B2834" s="2">
        <v>40235</v>
      </c>
      <c r="C2834" s="61">
        <v>5598.46</v>
      </c>
      <c r="D2834" s="3">
        <f t="shared" si="47"/>
        <v>1.1953372268104001E-2</v>
      </c>
    </row>
    <row r="2835" spans="2:4" x14ac:dyDescent="0.2">
      <c r="B2835" s="2">
        <v>40238</v>
      </c>
      <c r="C2835" s="61">
        <v>5713.51</v>
      </c>
      <c r="D2835" s="3">
        <f t="shared" si="47"/>
        <v>2.055029418804466E-2</v>
      </c>
    </row>
    <row r="2836" spans="2:4" x14ac:dyDescent="0.2">
      <c r="B2836" s="2">
        <v>40239</v>
      </c>
      <c r="C2836" s="61">
        <v>5776.56</v>
      </c>
      <c r="D2836" s="3">
        <f t="shared" si="47"/>
        <v>1.103524803492073E-2</v>
      </c>
    </row>
    <row r="2837" spans="2:4" x14ac:dyDescent="0.2">
      <c r="B2837" s="2">
        <v>40240</v>
      </c>
      <c r="C2837" s="61">
        <v>5817.88</v>
      </c>
      <c r="D2837" s="3">
        <f t="shared" si="47"/>
        <v>7.1530461035633763E-3</v>
      </c>
    </row>
    <row r="2838" spans="2:4" x14ac:dyDescent="0.2">
      <c r="B2838" s="2">
        <v>40241</v>
      </c>
      <c r="C2838" s="61">
        <v>5795.32</v>
      </c>
      <c r="D2838" s="3">
        <f t="shared" si="47"/>
        <v>-3.8777011557474816E-3</v>
      </c>
    </row>
    <row r="2839" spans="2:4" x14ac:dyDescent="0.2">
      <c r="B2839" s="2">
        <v>40242</v>
      </c>
      <c r="C2839" s="61">
        <v>5877.36</v>
      </c>
      <c r="D2839" s="3">
        <f t="shared" si="47"/>
        <v>1.4156250215691335E-2</v>
      </c>
    </row>
    <row r="2840" spans="2:4" x14ac:dyDescent="0.2">
      <c r="B2840" s="2">
        <v>40245</v>
      </c>
      <c r="C2840" s="61">
        <v>5875.91</v>
      </c>
      <c r="D2840" s="3">
        <f t="shared" si="47"/>
        <v>-2.4670940694460075E-4</v>
      </c>
    </row>
    <row r="2841" spans="2:4" x14ac:dyDescent="0.2">
      <c r="B2841" s="2">
        <v>40246</v>
      </c>
      <c r="C2841" s="61">
        <v>5885.89</v>
      </c>
      <c r="D2841" s="3">
        <f t="shared" si="47"/>
        <v>1.6984603235925544E-3</v>
      </c>
    </row>
    <row r="2842" spans="2:4" x14ac:dyDescent="0.2">
      <c r="B2842" s="2">
        <v>40247</v>
      </c>
      <c r="C2842" s="61">
        <v>5936.72</v>
      </c>
      <c r="D2842" s="3">
        <f t="shared" si="47"/>
        <v>8.6359072289832195E-3</v>
      </c>
    </row>
    <row r="2843" spans="2:4" x14ac:dyDescent="0.2">
      <c r="B2843" s="2">
        <v>40248</v>
      </c>
      <c r="C2843" s="61">
        <v>5928.63</v>
      </c>
      <c r="D2843" s="3">
        <f t="shared" si="47"/>
        <v>-1.3627053322373683E-3</v>
      </c>
    </row>
    <row r="2844" spans="2:4" x14ac:dyDescent="0.2">
      <c r="B2844" s="2">
        <v>40249</v>
      </c>
      <c r="C2844" s="61">
        <v>5945.11</v>
      </c>
      <c r="D2844" s="3">
        <f t="shared" si="47"/>
        <v>2.7797315737361217E-3</v>
      </c>
    </row>
    <row r="2845" spans="2:4" x14ac:dyDescent="0.2">
      <c r="B2845" s="2">
        <v>40252</v>
      </c>
      <c r="C2845" s="61">
        <v>5903.56</v>
      </c>
      <c r="D2845" s="3">
        <f t="shared" si="47"/>
        <v>-6.9889371264786337E-3</v>
      </c>
    </row>
    <row r="2846" spans="2:4" x14ac:dyDescent="0.2">
      <c r="B2846" s="2">
        <v>40253</v>
      </c>
      <c r="C2846" s="61">
        <v>5970.99</v>
      </c>
      <c r="D2846" s="3">
        <f t="shared" si="47"/>
        <v>1.1421921687930547E-2</v>
      </c>
    </row>
    <row r="2847" spans="2:4" x14ac:dyDescent="0.2">
      <c r="B2847" s="2">
        <v>40254</v>
      </c>
      <c r="C2847" s="61">
        <v>6024.28</v>
      </c>
      <c r="D2847" s="3">
        <f t="shared" si="47"/>
        <v>8.9248181624823619E-3</v>
      </c>
    </row>
    <row r="2848" spans="2:4" x14ac:dyDescent="0.2">
      <c r="B2848" s="2">
        <v>40255</v>
      </c>
      <c r="C2848" s="61">
        <v>6012.31</v>
      </c>
      <c r="D2848" s="3">
        <f t="shared" si="47"/>
        <v>-1.9869594374762878E-3</v>
      </c>
    </row>
    <row r="2849" spans="2:4" x14ac:dyDescent="0.2">
      <c r="B2849" s="2">
        <v>40256</v>
      </c>
      <c r="C2849" s="61">
        <v>5982.43</v>
      </c>
      <c r="D2849" s="3">
        <f t="shared" si="47"/>
        <v>-4.9698036195738871E-3</v>
      </c>
    </row>
    <row r="2850" spans="2:4" x14ac:dyDescent="0.2">
      <c r="B2850" s="2">
        <v>40259</v>
      </c>
      <c r="C2850" s="61">
        <v>5987.5</v>
      </c>
      <c r="D2850" s="3">
        <f t="shared" si="47"/>
        <v>8.4748170893766961E-4</v>
      </c>
    </row>
    <row r="2851" spans="2:4" x14ac:dyDescent="0.2">
      <c r="B2851" s="2">
        <v>40260</v>
      </c>
      <c r="C2851" s="61">
        <v>6017.27</v>
      </c>
      <c r="D2851" s="3">
        <f t="shared" si="47"/>
        <v>4.972025052192075E-3</v>
      </c>
    </row>
    <row r="2852" spans="2:4" x14ac:dyDescent="0.2">
      <c r="B2852" s="2">
        <v>40261</v>
      </c>
      <c r="C2852" s="61">
        <v>6039</v>
      </c>
      <c r="D2852" s="3">
        <f t="shared" si="47"/>
        <v>3.6112722214558524E-3</v>
      </c>
    </row>
    <row r="2853" spans="2:4" x14ac:dyDescent="0.2">
      <c r="B2853" s="2">
        <v>40262</v>
      </c>
      <c r="C2853" s="61">
        <v>6132.95</v>
      </c>
      <c r="D2853" s="3">
        <f t="shared" si="47"/>
        <v>1.5557211458850695E-2</v>
      </c>
    </row>
    <row r="2854" spans="2:4" x14ac:dyDescent="0.2">
      <c r="B2854" s="2">
        <v>40263</v>
      </c>
      <c r="C2854" s="61">
        <v>6120.05</v>
      </c>
      <c r="D2854" s="3">
        <f t="shared" si="47"/>
        <v>-2.1033923315858516E-3</v>
      </c>
    </row>
    <row r="2855" spans="2:4" x14ac:dyDescent="0.2">
      <c r="B2855" s="2">
        <v>40266</v>
      </c>
      <c r="C2855" s="61">
        <v>6156.85</v>
      </c>
      <c r="D2855" s="3">
        <f t="shared" si="47"/>
        <v>6.0130227694219496E-3</v>
      </c>
    </row>
    <row r="2856" spans="2:4" x14ac:dyDescent="0.2">
      <c r="B2856" s="2">
        <v>40267</v>
      </c>
      <c r="C2856" s="61">
        <v>6142.45</v>
      </c>
      <c r="D2856" s="3">
        <f t="shared" si="47"/>
        <v>-2.3388583447705447E-3</v>
      </c>
    </row>
    <row r="2857" spans="2:4" x14ac:dyDescent="0.2">
      <c r="B2857" s="2">
        <v>40268</v>
      </c>
      <c r="C2857" s="61">
        <v>6153.55</v>
      </c>
      <c r="D2857" s="3">
        <f t="shared" si="47"/>
        <v>1.8070965168621722E-3</v>
      </c>
    </row>
    <row r="2858" spans="2:4" x14ac:dyDescent="0.2">
      <c r="B2858" s="2">
        <v>40269</v>
      </c>
      <c r="C2858" s="61">
        <v>6235.56</v>
      </c>
      <c r="D2858" s="3">
        <f t="shared" si="47"/>
        <v>1.3327266374694391E-2</v>
      </c>
    </row>
    <row r="2859" spans="2:4" x14ac:dyDescent="0.2">
      <c r="B2859" s="2">
        <v>40273</v>
      </c>
      <c r="C2859" s="61">
        <v>6235.56</v>
      </c>
      <c r="D2859" s="3">
        <f t="shared" si="47"/>
        <v>0</v>
      </c>
    </row>
    <row r="2860" spans="2:4" x14ac:dyDescent="0.2">
      <c r="B2860" s="2">
        <v>40274</v>
      </c>
      <c r="C2860" s="61">
        <v>6252.21</v>
      </c>
      <c r="D2860" s="3">
        <f t="shared" si="47"/>
        <v>2.6701691588244536E-3</v>
      </c>
    </row>
    <row r="2861" spans="2:4" x14ac:dyDescent="0.2">
      <c r="B2861" s="2">
        <v>40275</v>
      </c>
      <c r="C2861" s="61">
        <v>6222.41</v>
      </c>
      <c r="D2861" s="3">
        <f t="shared" si="47"/>
        <v>-4.7663146311464066E-3</v>
      </c>
    </row>
    <row r="2862" spans="2:4" x14ac:dyDescent="0.2">
      <c r="B2862" s="2">
        <v>40276</v>
      </c>
      <c r="C2862" s="61">
        <v>6171.83</v>
      </c>
      <c r="D2862" s="3">
        <f t="shared" si="47"/>
        <v>-8.1286832593802094E-3</v>
      </c>
    </row>
    <row r="2863" spans="2:4" x14ac:dyDescent="0.2">
      <c r="B2863" s="2">
        <v>40277</v>
      </c>
      <c r="C2863" s="61">
        <v>6249.7</v>
      </c>
      <c r="D2863" s="3">
        <f t="shared" si="47"/>
        <v>1.2617003384733483E-2</v>
      </c>
    </row>
    <row r="2864" spans="2:4" x14ac:dyDescent="0.2">
      <c r="B2864" s="2">
        <v>40280</v>
      </c>
      <c r="C2864" s="61">
        <v>6250.69</v>
      </c>
      <c r="D2864" s="3">
        <f t="shared" si="47"/>
        <v>1.5840760356500283E-4</v>
      </c>
    </row>
    <row r="2865" spans="2:4" x14ac:dyDescent="0.2">
      <c r="B2865" s="2">
        <v>40281</v>
      </c>
      <c r="C2865" s="61">
        <v>6230.83</v>
      </c>
      <c r="D2865" s="3">
        <f t="shared" si="47"/>
        <v>-3.1772492316847201E-3</v>
      </c>
    </row>
    <row r="2866" spans="2:4" x14ac:dyDescent="0.2">
      <c r="B2866" s="2">
        <v>40282</v>
      </c>
      <c r="C2866" s="61">
        <v>6278.4</v>
      </c>
      <c r="D2866" s="3">
        <f t="shared" si="47"/>
        <v>7.6346168969463335E-3</v>
      </c>
    </row>
    <row r="2867" spans="2:4" x14ac:dyDescent="0.2">
      <c r="B2867" s="2">
        <v>40283</v>
      </c>
      <c r="C2867" s="61">
        <v>6291.45</v>
      </c>
      <c r="D2867" s="3">
        <f t="shared" si="47"/>
        <v>2.0785550458715107E-3</v>
      </c>
    </row>
    <row r="2868" spans="2:4" x14ac:dyDescent="0.2">
      <c r="B2868" s="2">
        <v>40284</v>
      </c>
      <c r="C2868" s="61">
        <v>6180.9</v>
      </c>
      <c r="D2868" s="3">
        <f t="shared" si="47"/>
        <v>-1.7571466037241024E-2</v>
      </c>
    </row>
    <row r="2869" spans="2:4" x14ac:dyDescent="0.2">
      <c r="B2869" s="2">
        <v>40287</v>
      </c>
      <c r="C2869" s="61">
        <v>6162.44</v>
      </c>
      <c r="D2869" s="3">
        <f t="shared" si="47"/>
        <v>-2.9866200715106261E-3</v>
      </c>
    </row>
    <row r="2870" spans="2:4" x14ac:dyDescent="0.2">
      <c r="B2870" s="2">
        <v>40288</v>
      </c>
      <c r="C2870" s="61">
        <v>6264.23</v>
      </c>
      <c r="D2870" s="3">
        <f t="shared" si="47"/>
        <v>1.6517807881293756E-2</v>
      </c>
    </row>
    <row r="2871" spans="2:4" x14ac:dyDescent="0.2">
      <c r="B2871" s="2">
        <v>40289</v>
      </c>
      <c r="C2871" s="61">
        <v>6230.38</v>
      </c>
      <c r="D2871" s="3">
        <f t="shared" si="47"/>
        <v>-5.4036968629822546E-3</v>
      </c>
    </row>
    <row r="2872" spans="2:4" x14ac:dyDescent="0.2">
      <c r="B2872" s="2">
        <v>40290</v>
      </c>
      <c r="C2872" s="61">
        <v>6168.72</v>
      </c>
      <c r="D2872" s="3">
        <f t="shared" si="47"/>
        <v>-9.8966676189895519E-3</v>
      </c>
    </row>
    <row r="2873" spans="2:4" x14ac:dyDescent="0.2">
      <c r="B2873" s="2">
        <v>40291</v>
      </c>
      <c r="C2873" s="61">
        <v>6259.53</v>
      </c>
      <c r="D2873" s="3">
        <f t="shared" si="47"/>
        <v>1.4721044236081227E-2</v>
      </c>
    </row>
    <row r="2874" spans="2:4" x14ac:dyDescent="0.2">
      <c r="B2874" s="2">
        <v>40294</v>
      </c>
      <c r="C2874" s="61">
        <v>6332.1</v>
      </c>
      <c r="D2874" s="3">
        <f t="shared" si="47"/>
        <v>1.1593522197353545E-2</v>
      </c>
    </row>
    <row r="2875" spans="2:4" x14ac:dyDescent="0.2">
      <c r="B2875" s="2">
        <v>40295</v>
      </c>
      <c r="C2875" s="61">
        <v>6159.51</v>
      </c>
      <c r="D2875" s="3">
        <f t="shared" si="47"/>
        <v>-2.7256360449140149E-2</v>
      </c>
    </row>
    <row r="2876" spans="2:4" x14ac:dyDescent="0.2">
      <c r="B2876" s="2">
        <v>40296</v>
      </c>
      <c r="C2876" s="61">
        <v>6084.34</v>
      </c>
      <c r="D2876" s="3">
        <f t="shared" si="47"/>
        <v>-1.2203892842125419E-2</v>
      </c>
    </row>
    <row r="2877" spans="2:4" x14ac:dyDescent="0.2">
      <c r="B2877" s="2">
        <v>40297</v>
      </c>
      <c r="C2877" s="61">
        <v>6144.91</v>
      </c>
      <c r="D2877" s="3">
        <f t="shared" si="47"/>
        <v>9.9550649700705929E-3</v>
      </c>
    </row>
    <row r="2878" spans="2:4" x14ac:dyDescent="0.2">
      <c r="B2878" s="2">
        <v>40298</v>
      </c>
      <c r="C2878" s="61">
        <v>6135.7</v>
      </c>
      <c r="D2878" s="3">
        <f t="shared" si="47"/>
        <v>-1.4988014470512789E-3</v>
      </c>
    </row>
    <row r="2879" spans="2:4" x14ac:dyDescent="0.2">
      <c r="B2879" s="2">
        <v>40301</v>
      </c>
      <c r="C2879" s="61">
        <v>6166.92</v>
      </c>
      <c r="D2879" s="3">
        <f t="shared" si="47"/>
        <v>5.0882539889498535E-3</v>
      </c>
    </row>
    <row r="2880" spans="2:4" x14ac:dyDescent="0.2">
      <c r="B2880" s="2">
        <v>40302</v>
      </c>
      <c r="C2880" s="61">
        <v>6006.86</v>
      </c>
      <c r="D2880" s="3">
        <f t="shared" si="47"/>
        <v>-2.5954609432261244E-2</v>
      </c>
    </row>
    <row r="2881" spans="2:4" x14ac:dyDescent="0.2">
      <c r="B2881" s="2">
        <v>40303</v>
      </c>
      <c r="C2881" s="61">
        <v>5958.45</v>
      </c>
      <c r="D2881" s="3">
        <f t="shared" si="47"/>
        <v>-8.0591190738588114E-3</v>
      </c>
    </row>
    <row r="2882" spans="2:4" x14ac:dyDescent="0.2">
      <c r="B2882" s="2">
        <v>40304</v>
      </c>
      <c r="C2882" s="61">
        <v>5908.26</v>
      </c>
      <c r="D2882" s="3">
        <f t="shared" si="47"/>
        <v>-8.423331571129955E-3</v>
      </c>
    </row>
    <row r="2883" spans="2:4" x14ac:dyDescent="0.2">
      <c r="B2883" s="2">
        <v>40305</v>
      </c>
      <c r="C2883" s="61">
        <v>5715.09</v>
      </c>
      <c r="D2883" s="3">
        <f t="shared" si="47"/>
        <v>-3.2694905098963112E-2</v>
      </c>
    </row>
    <row r="2884" spans="2:4" x14ac:dyDescent="0.2">
      <c r="B2884" s="2">
        <v>40308</v>
      </c>
      <c r="C2884" s="61">
        <v>6017.91</v>
      </c>
      <c r="D2884" s="3">
        <f t="shared" si="47"/>
        <v>5.2986042214558271E-2</v>
      </c>
    </row>
    <row r="2885" spans="2:4" x14ac:dyDescent="0.2">
      <c r="B2885" s="2">
        <v>40309</v>
      </c>
      <c r="C2885" s="61">
        <v>6037.71</v>
      </c>
      <c r="D2885" s="3">
        <f t="shared" ref="D2885:D2948" si="48">C2885/C2884-1</f>
        <v>3.2901788162336132E-3</v>
      </c>
    </row>
    <row r="2886" spans="2:4" x14ac:dyDescent="0.2">
      <c r="B2886" s="2">
        <v>40310</v>
      </c>
      <c r="C2886" s="61">
        <v>6183.49</v>
      </c>
      <c r="D2886" s="3">
        <f t="shared" si="48"/>
        <v>2.4144915870421002E-2</v>
      </c>
    </row>
    <row r="2887" spans="2:4" x14ac:dyDescent="0.2">
      <c r="B2887" s="2">
        <v>40311</v>
      </c>
      <c r="C2887" s="61">
        <v>6251.97</v>
      </c>
      <c r="D2887" s="3">
        <f t="shared" si="48"/>
        <v>1.1074652016903164E-2</v>
      </c>
    </row>
    <row r="2888" spans="2:4" x14ac:dyDescent="0.2">
      <c r="B2888" s="2">
        <v>40312</v>
      </c>
      <c r="C2888" s="61">
        <v>6056.71</v>
      </c>
      <c r="D2888" s="3">
        <f t="shared" si="48"/>
        <v>-3.1231755750587453E-2</v>
      </c>
    </row>
    <row r="2889" spans="2:4" x14ac:dyDescent="0.2">
      <c r="B2889" s="2">
        <v>40315</v>
      </c>
      <c r="C2889" s="61">
        <v>6066.92</v>
      </c>
      <c r="D2889" s="3">
        <f t="shared" si="48"/>
        <v>1.6857336738922424E-3</v>
      </c>
    </row>
    <row r="2890" spans="2:4" x14ac:dyDescent="0.2">
      <c r="B2890" s="2">
        <v>40316</v>
      </c>
      <c r="C2890" s="61">
        <v>6155.93</v>
      </c>
      <c r="D2890" s="3">
        <f t="shared" si="48"/>
        <v>1.4671365371556E-2</v>
      </c>
    </row>
    <row r="2891" spans="2:4" x14ac:dyDescent="0.2">
      <c r="B2891" s="2">
        <v>40317</v>
      </c>
      <c r="C2891" s="61">
        <v>5988.67</v>
      </c>
      <c r="D2891" s="3">
        <f t="shared" si="48"/>
        <v>-2.7170549372718678E-2</v>
      </c>
    </row>
    <row r="2892" spans="2:4" x14ac:dyDescent="0.2">
      <c r="B2892" s="2">
        <v>40318</v>
      </c>
      <c r="C2892" s="61">
        <v>5867.88</v>
      </c>
      <c r="D2892" s="3">
        <f t="shared" si="48"/>
        <v>-2.0169753885253328E-2</v>
      </c>
    </row>
    <row r="2893" spans="2:4" x14ac:dyDescent="0.2">
      <c r="B2893" s="2">
        <v>40319</v>
      </c>
      <c r="C2893" s="61">
        <v>5829.25</v>
      </c>
      <c r="D2893" s="3">
        <f t="shared" si="48"/>
        <v>-6.5832975452804199E-3</v>
      </c>
    </row>
    <row r="2894" spans="2:4" x14ac:dyDescent="0.2">
      <c r="B2894" s="2">
        <v>40322</v>
      </c>
      <c r="C2894" s="61">
        <v>5805.68</v>
      </c>
      <c r="D2894" s="3">
        <f t="shared" si="48"/>
        <v>-4.0434018098383095E-3</v>
      </c>
    </row>
    <row r="2895" spans="2:4" x14ac:dyDescent="0.2">
      <c r="B2895" s="2">
        <v>40323</v>
      </c>
      <c r="C2895" s="61">
        <v>5670.04</v>
      </c>
      <c r="D2895" s="3">
        <f t="shared" si="48"/>
        <v>-2.3363326948781293E-2</v>
      </c>
    </row>
    <row r="2896" spans="2:4" x14ac:dyDescent="0.2">
      <c r="B2896" s="2">
        <v>40324</v>
      </c>
      <c r="C2896" s="61">
        <v>5758.02</v>
      </c>
      <c r="D2896" s="3">
        <f t="shared" si="48"/>
        <v>1.5516645385217798E-2</v>
      </c>
    </row>
    <row r="2897" spans="2:4" x14ac:dyDescent="0.2">
      <c r="B2897" s="2">
        <v>40325</v>
      </c>
      <c r="C2897" s="61">
        <v>5937.14</v>
      </c>
      <c r="D2897" s="3">
        <f t="shared" si="48"/>
        <v>3.1107915568198807E-2</v>
      </c>
    </row>
    <row r="2898" spans="2:4" x14ac:dyDescent="0.2">
      <c r="B2898" s="2">
        <v>40326</v>
      </c>
      <c r="C2898" s="61">
        <v>5946.18</v>
      </c>
      <c r="D2898" s="3">
        <f t="shared" si="48"/>
        <v>1.522618634561379E-3</v>
      </c>
    </row>
    <row r="2899" spans="2:4" x14ac:dyDescent="0.2">
      <c r="B2899" s="2">
        <v>40329</v>
      </c>
      <c r="C2899" s="61">
        <v>5964.33</v>
      </c>
      <c r="D2899" s="3">
        <f t="shared" si="48"/>
        <v>3.0523798472295027E-3</v>
      </c>
    </row>
    <row r="2900" spans="2:4" x14ac:dyDescent="0.2">
      <c r="B2900" s="2">
        <v>40330</v>
      </c>
      <c r="C2900" s="61">
        <v>5981.27</v>
      </c>
      <c r="D2900" s="3">
        <f t="shared" si="48"/>
        <v>2.840218431911179E-3</v>
      </c>
    </row>
    <row r="2901" spans="2:4" x14ac:dyDescent="0.2">
      <c r="B2901" s="2">
        <v>40331</v>
      </c>
      <c r="C2901" s="61">
        <v>5981.2</v>
      </c>
      <c r="D2901" s="3">
        <f t="shared" si="48"/>
        <v>-1.1703200156643057E-5</v>
      </c>
    </row>
    <row r="2902" spans="2:4" x14ac:dyDescent="0.2">
      <c r="B2902" s="2">
        <v>40332</v>
      </c>
      <c r="C2902" s="61">
        <v>6054.63</v>
      </c>
      <c r="D2902" s="3">
        <f t="shared" si="48"/>
        <v>1.2276800642011754E-2</v>
      </c>
    </row>
    <row r="2903" spans="2:4" x14ac:dyDescent="0.2">
      <c r="B2903" s="2">
        <v>40333</v>
      </c>
      <c r="C2903" s="61">
        <v>5938.88</v>
      </c>
      <c r="D2903" s="3">
        <f t="shared" si="48"/>
        <v>-1.911760091037773E-2</v>
      </c>
    </row>
    <row r="2904" spans="2:4" x14ac:dyDescent="0.2">
      <c r="B2904" s="2">
        <v>40336</v>
      </c>
      <c r="C2904" s="61">
        <v>5904.95</v>
      </c>
      <c r="D2904" s="3">
        <f t="shared" si="48"/>
        <v>-5.7131984481922915E-3</v>
      </c>
    </row>
    <row r="2905" spans="2:4" x14ac:dyDescent="0.2">
      <c r="B2905" s="2">
        <v>40337</v>
      </c>
      <c r="C2905" s="61">
        <v>5868.55</v>
      </c>
      <c r="D2905" s="3">
        <f t="shared" si="48"/>
        <v>-6.1643197656202631E-3</v>
      </c>
    </row>
    <row r="2906" spans="2:4" x14ac:dyDescent="0.2">
      <c r="B2906" s="2">
        <v>40338</v>
      </c>
      <c r="C2906" s="61">
        <v>5984.75</v>
      </c>
      <c r="D2906" s="3">
        <f t="shared" si="48"/>
        <v>1.9800461783575196E-2</v>
      </c>
    </row>
    <row r="2907" spans="2:4" x14ac:dyDescent="0.2">
      <c r="B2907" s="2">
        <v>40339</v>
      </c>
      <c r="C2907" s="61">
        <v>6056.59</v>
      </c>
      <c r="D2907" s="3">
        <f t="shared" si="48"/>
        <v>1.2003843101215717E-2</v>
      </c>
    </row>
    <row r="2908" spans="2:4" x14ac:dyDescent="0.2">
      <c r="B2908" s="2">
        <v>40340</v>
      </c>
      <c r="C2908" s="61">
        <v>6047.83</v>
      </c>
      <c r="D2908" s="3">
        <f t="shared" si="48"/>
        <v>-1.4463584294133192E-3</v>
      </c>
    </row>
    <row r="2909" spans="2:4" x14ac:dyDescent="0.2">
      <c r="B2909" s="2">
        <v>40343</v>
      </c>
      <c r="C2909" s="61">
        <v>6125</v>
      </c>
      <c r="D2909" s="3">
        <f t="shared" si="48"/>
        <v>1.275994860966656E-2</v>
      </c>
    </row>
    <row r="2910" spans="2:4" x14ac:dyDescent="0.2">
      <c r="B2910" s="2">
        <v>40344</v>
      </c>
      <c r="C2910" s="61">
        <v>6175.05</v>
      </c>
      <c r="D2910" s="3">
        <f t="shared" si="48"/>
        <v>8.1714285714284962E-3</v>
      </c>
    </row>
    <row r="2911" spans="2:4" x14ac:dyDescent="0.2">
      <c r="B2911" s="2">
        <v>40345</v>
      </c>
      <c r="C2911" s="61">
        <v>6190.91</v>
      </c>
      <c r="D2911" s="3">
        <f t="shared" si="48"/>
        <v>2.5684002558683527E-3</v>
      </c>
    </row>
    <row r="2912" spans="2:4" x14ac:dyDescent="0.2">
      <c r="B2912" s="2">
        <v>40346</v>
      </c>
      <c r="C2912" s="61">
        <v>6223.54</v>
      </c>
      <c r="D2912" s="3">
        <f t="shared" si="48"/>
        <v>5.2706306504213263E-3</v>
      </c>
    </row>
    <row r="2913" spans="2:4" x14ac:dyDescent="0.2">
      <c r="B2913" s="2">
        <v>40347</v>
      </c>
      <c r="C2913" s="61">
        <v>6216.98</v>
      </c>
      <c r="D2913" s="3">
        <f t="shared" si="48"/>
        <v>-1.0540624789108222E-3</v>
      </c>
    </row>
    <row r="2914" spans="2:4" x14ac:dyDescent="0.2">
      <c r="B2914" s="2">
        <v>40350</v>
      </c>
      <c r="C2914" s="61">
        <v>6292.97</v>
      </c>
      <c r="D2914" s="3">
        <f t="shared" si="48"/>
        <v>1.222297642907022E-2</v>
      </c>
    </row>
    <row r="2915" spans="2:4" x14ac:dyDescent="0.2">
      <c r="B2915" s="2">
        <v>40351</v>
      </c>
      <c r="C2915" s="61">
        <v>6269.04</v>
      </c>
      <c r="D2915" s="3">
        <f t="shared" si="48"/>
        <v>-3.8026559796090487E-3</v>
      </c>
    </row>
    <row r="2916" spans="2:4" x14ac:dyDescent="0.2">
      <c r="B2916" s="2">
        <v>40352</v>
      </c>
      <c r="C2916" s="61">
        <v>6204.52</v>
      </c>
      <c r="D2916" s="3">
        <f t="shared" si="48"/>
        <v>-1.0291846917550251E-2</v>
      </c>
    </row>
    <row r="2917" spans="2:4" x14ac:dyDescent="0.2">
      <c r="B2917" s="2">
        <v>40353</v>
      </c>
      <c r="C2917" s="61">
        <v>6115.48</v>
      </c>
      <c r="D2917" s="3">
        <f t="shared" si="48"/>
        <v>-1.4350828105961555E-2</v>
      </c>
    </row>
    <row r="2918" spans="2:4" x14ac:dyDescent="0.2">
      <c r="B2918" s="2">
        <v>40354</v>
      </c>
      <c r="C2918" s="61">
        <v>6070.6</v>
      </c>
      <c r="D2918" s="3">
        <f t="shared" si="48"/>
        <v>-7.3387534584364866E-3</v>
      </c>
    </row>
    <row r="2919" spans="2:4" x14ac:dyDescent="0.2">
      <c r="B2919" s="2">
        <v>40357</v>
      </c>
      <c r="C2919" s="61">
        <v>6157.22</v>
      </c>
      <c r="D2919" s="3">
        <f t="shared" si="48"/>
        <v>1.4268770796955765E-2</v>
      </c>
    </row>
    <row r="2920" spans="2:4" x14ac:dyDescent="0.2">
      <c r="B2920" s="2">
        <v>40358</v>
      </c>
      <c r="C2920" s="61">
        <v>5952.03</v>
      </c>
      <c r="D2920" s="3">
        <f t="shared" si="48"/>
        <v>-3.3325104511451653E-2</v>
      </c>
    </row>
    <row r="2921" spans="2:4" x14ac:dyDescent="0.2">
      <c r="B2921" s="2">
        <v>40359</v>
      </c>
      <c r="C2921" s="61">
        <v>5965.52</v>
      </c>
      <c r="D2921" s="3">
        <f t="shared" si="48"/>
        <v>2.2664536301062466E-3</v>
      </c>
    </row>
    <row r="2922" spans="2:4" x14ac:dyDescent="0.2">
      <c r="B2922" s="2">
        <v>40360</v>
      </c>
      <c r="C2922" s="61">
        <v>5857.43</v>
      </c>
      <c r="D2922" s="3">
        <f t="shared" si="48"/>
        <v>-1.8119124569190959E-2</v>
      </c>
    </row>
    <row r="2923" spans="2:4" x14ac:dyDescent="0.2">
      <c r="B2923" s="2">
        <v>40361</v>
      </c>
      <c r="C2923" s="61">
        <v>5834.15</v>
      </c>
      <c r="D2923" s="3">
        <f t="shared" si="48"/>
        <v>-3.9744393018782409E-3</v>
      </c>
    </row>
    <row r="2924" spans="2:4" x14ac:dyDescent="0.2">
      <c r="B2924" s="2">
        <v>40364</v>
      </c>
      <c r="C2924" s="61">
        <v>5816.2</v>
      </c>
      <c r="D2924" s="3">
        <f t="shared" si="48"/>
        <v>-3.0767121174464229E-3</v>
      </c>
    </row>
    <row r="2925" spans="2:4" x14ac:dyDescent="0.2">
      <c r="B2925" s="2">
        <v>40365</v>
      </c>
      <c r="C2925" s="61">
        <v>5940.98</v>
      </c>
      <c r="D2925" s="3">
        <f t="shared" si="48"/>
        <v>2.1453870224545257E-2</v>
      </c>
    </row>
    <row r="2926" spans="2:4" x14ac:dyDescent="0.2">
      <c r="B2926" s="2">
        <v>40366</v>
      </c>
      <c r="C2926" s="61">
        <v>5992.86</v>
      </c>
      <c r="D2926" s="3">
        <f t="shared" si="48"/>
        <v>8.7325660076282841E-3</v>
      </c>
    </row>
    <row r="2927" spans="2:4" x14ac:dyDescent="0.2">
      <c r="B2927" s="2">
        <v>40367</v>
      </c>
      <c r="C2927" s="61">
        <v>6035.66</v>
      </c>
      <c r="D2927" s="3">
        <f t="shared" si="48"/>
        <v>7.1418321135485741E-3</v>
      </c>
    </row>
    <row r="2928" spans="2:4" x14ac:dyDescent="0.2">
      <c r="B2928" s="2">
        <v>40368</v>
      </c>
      <c r="C2928" s="61">
        <v>6065.24</v>
      </c>
      <c r="D2928" s="3">
        <f t="shared" si="48"/>
        <v>4.9008724812198423E-3</v>
      </c>
    </row>
    <row r="2929" spans="2:4" x14ac:dyDescent="0.2">
      <c r="B2929" s="2">
        <v>40371</v>
      </c>
      <c r="C2929" s="61">
        <v>6077.19</v>
      </c>
      <c r="D2929" s="3">
        <f t="shared" si="48"/>
        <v>1.9702435517803263E-3</v>
      </c>
    </row>
    <row r="2930" spans="2:4" x14ac:dyDescent="0.2">
      <c r="B2930" s="2">
        <v>40372</v>
      </c>
      <c r="C2930" s="61">
        <v>6191.13</v>
      </c>
      <c r="D2930" s="3">
        <f t="shared" si="48"/>
        <v>1.8748796730067685E-2</v>
      </c>
    </row>
    <row r="2931" spans="2:4" x14ac:dyDescent="0.2">
      <c r="B2931" s="2">
        <v>40373</v>
      </c>
      <c r="C2931" s="61">
        <v>6209.76</v>
      </c>
      <c r="D2931" s="3">
        <f t="shared" si="48"/>
        <v>3.0091437265895582E-3</v>
      </c>
    </row>
    <row r="2932" spans="2:4" x14ac:dyDescent="0.2">
      <c r="B2932" s="2">
        <v>40374</v>
      </c>
      <c r="C2932" s="61">
        <v>6149.36</v>
      </c>
      <c r="D2932" s="3">
        <f t="shared" si="48"/>
        <v>-9.7266238952875561E-3</v>
      </c>
    </row>
    <row r="2933" spans="2:4" x14ac:dyDescent="0.2">
      <c r="B2933" s="2">
        <v>40375</v>
      </c>
      <c r="C2933" s="61">
        <v>6040.27</v>
      </c>
      <c r="D2933" s="3">
        <f t="shared" si="48"/>
        <v>-1.774005750191876E-2</v>
      </c>
    </row>
    <row r="2934" spans="2:4" x14ac:dyDescent="0.2">
      <c r="B2934" s="2">
        <v>40378</v>
      </c>
      <c r="C2934" s="61">
        <v>6009.11</v>
      </c>
      <c r="D2934" s="3">
        <f t="shared" si="48"/>
        <v>-5.1587097927743297E-3</v>
      </c>
    </row>
    <row r="2935" spans="2:4" x14ac:dyDescent="0.2">
      <c r="B2935" s="2">
        <v>40379</v>
      </c>
      <c r="C2935" s="61">
        <v>5967.49</v>
      </c>
      <c r="D2935" s="3">
        <f t="shared" si="48"/>
        <v>-6.9261504615492075E-3</v>
      </c>
    </row>
    <row r="2936" spans="2:4" x14ac:dyDescent="0.2">
      <c r="B2936" s="2">
        <v>40380</v>
      </c>
      <c r="C2936" s="61">
        <v>5990.38</v>
      </c>
      <c r="D2936" s="3">
        <f t="shared" si="48"/>
        <v>3.8357835538895824E-3</v>
      </c>
    </row>
    <row r="2937" spans="2:4" x14ac:dyDescent="0.2">
      <c r="B2937" s="2">
        <v>40381</v>
      </c>
      <c r="C2937" s="61">
        <v>6142.15</v>
      </c>
      <c r="D2937" s="3">
        <f t="shared" si="48"/>
        <v>2.533562144638557E-2</v>
      </c>
    </row>
    <row r="2938" spans="2:4" x14ac:dyDescent="0.2">
      <c r="B2938" s="2">
        <v>40382</v>
      </c>
      <c r="C2938" s="61">
        <v>6166.34</v>
      </c>
      <c r="D2938" s="3">
        <f t="shared" si="48"/>
        <v>3.9383603461329297E-3</v>
      </c>
    </row>
    <row r="2939" spans="2:4" x14ac:dyDescent="0.2">
      <c r="B2939" s="2">
        <v>40385</v>
      </c>
      <c r="C2939" s="61">
        <v>6194.21</v>
      </c>
      <c r="D2939" s="3">
        <f t="shared" si="48"/>
        <v>4.5196988813460681E-3</v>
      </c>
    </row>
    <row r="2940" spans="2:4" x14ac:dyDescent="0.2">
      <c r="B2940" s="2">
        <v>40386</v>
      </c>
      <c r="C2940" s="61">
        <v>6207.31</v>
      </c>
      <c r="D2940" s="3">
        <f t="shared" si="48"/>
        <v>2.1148782492037554E-3</v>
      </c>
    </row>
    <row r="2941" spans="2:4" x14ac:dyDescent="0.2">
      <c r="B2941" s="2">
        <v>40387</v>
      </c>
      <c r="C2941" s="61">
        <v>6178.94</v>
      </c>
      <c r="D2941" s="3">
        <f t="shared" si="48"/>
        <v>-4.5704177816157099E-3</v>
      </c>
    </row>
    <row r="2942" spans="2:4" x14ac:dyDescent="0.2">
      <c r="B2942" s="2">
        <v>40388</v>
      </c>
      <c r="C2942" s="61">
        <v>6134.7</v>
      </c>
      <c r="D2942" s="3">
        <f t="shared" si="48"/>
        <v>-7.1598041087953535E-3</v>
      </c>
    </row>
    <row r="2943" spans="2:4" x14ac:dyDescent="0.2">
      <c r="B2943" s="2">
        <v>40389</v>
      </c>
      <c r="C2943" s="61">
        <v>6147.97</v>
      </c>
      <c r="D2943" s="3">
        <f t="shared" si="48"/>
        <v>2.1631049603079155E-3</v>
      </c>
    </row>
    <row r="2944" spans="2:4" x14ac:dyDescent="0.2">
      <c r="B2944" s="2">
        <v>40392</v>
      </c>
      <c r="C2944" s="61">
        <v>6292.13</v>
      </c>
      <c r="D2944" s="3">
        <f t="shared" si="48"/>
        <v>2.3448390281670228E-2</v>
      </c>
    </row>
    <row r="2945" spans="2:4" x14ac:dyDescent="0.2">
      <c r="B2945" s="2">
        <v>40393</v>
      </c>
      <c r="C2945" s="61">
        <v>6307.91</v>
      </c>
      <c r="D2945" s="3">
        <f t="shared" si="48"/>
        <v>2.5078947828476306E-3</v>
      </c>
    </row>
    <row r="2946" spans="2:4" x14ac:dyDescent="0.2">
      <c r="B2946" s="2">
        <v>40394</v>
      </c>
      <c r="C2946" s="61">
        <v>6331.33</v>
      </c>
      <c r="D2946" s="3">
        <f t="shared" si="48"/>
        <v>3.7127986924354595E-3</v>
      </c>
    </row>
    <row r="2947" spans="2:4" x14ac:dyDescent="0.2">
      <c r="B2947" s="2">
        <v>40395</v>
      </c>
      <c r="C2947" s="61">
        <v>6333.58</v>
      </c>
      <c r="D2947" s="3">
        <f t="shared" si="48"/>
        <v>3.5537556879838839E-4</v>
      </c>
    </row>
    <row r="2948" spans="2:4" x14ac:dyDescent="0.2">
      <c r="B2948" s="2">
        <v>40396</v>
      </c>
      <c r="C2948" s="61">
        <v>6259.63</v>
      </c>
      <c r="D2948" s="3">
        <f t="shared" si="48"/>
        <v>-1.1675861045411851E-2</v>
      </c>
    </row>
    <row r="2949" spans="2:4" x14ac:dyDescent="0.2">
      <c r="B2949" s="2">
        <v>40399</v>
      </c>
      <c r="C2949" s="61">
        <v>6351.6</v>
      </c>
      <c r="D2949" s="3">
        <f t="shared" ref="D2949:D3012" si="49">C2949/C2948-1</f>
        <v>1.469256170093125E-2</v>
      </c>
    </row>
    <row r="2950" spans="2:4" x14ac:dyDescent="0.2">
      <c r="B2950" s="2">
        <v>40400</v>
      </c>
      <c r="C2950" s="61">
        <v>6286.25</v>
      </c>
      <c r="D2950" s="3">
        <f t="shared" si="49"/>
        <v>-1.0288746142704253E-2</v>
      </c>
    </row>
    <row r="2951" spans="2:4" x14ac:dyDescent="0.2">
      <c r="B2951" s="2">
        <v>40401</v>
      </c>
      <c r="C2951" s="61">
        <v>6154.07</v>
      </c>
      <c r="D2951" s="3">
        <f t="shared" si="49"/>
        <v>-2.1026844303042358E-2</v>
      </c>
    </row>
    <row r="2952" spans="2:4" x14ac:dyDescent="0.2">
      <c r="B2952" s="2">
        <v>40402</v>
      </c>
      <c r="C2952" s="61">
        <v>6135.17</v>
      </c>
      <c r="D2952" s="3">
        <f t="shared" si="49"/>
        <v>-3.0711382873447324E-3</v>
      </c>
    </row>
    <row r="2953" spans="2:4" x14ac:dyDescent="0.2">
      <c r="B2953" s="2">
        <v>40403</v>
      </c>
      <c r="C2953" s="61">
        <v>6110.41</v>
      </c>
      <c r="D2953" s="3">
        <f t="shared" si="49"/>
        <v>-4.0357479906832916E-3</v>
      </c>
    </row>
    <row r="2954" spans="2:4" x14ac:dyDescent="0.2">
      <c r="B2954" s="2">
        <v>40406</v>
      </c>
      <c r="C2954" s="61">
        <v>6110.57</v>
      </c>
      <c r="D2954" s="3">
        <f t="shared" si="49"/>
        <v>2.6184822295105548E-5</v>
      </c>
    </row>
    <row r="2955" spans="2:4" x14ac:dyDescent="0.2">
      <c r="B2955" s="2">
        <v>40407</v>
      </c>
      <c r="C2955" s="61">
        <v>6206.4</v>
      </c>
      <c r="D2955" s="3">
        <f t="shared" si="49"/>
        <v>1.5682661355650884E-2</v>
      </c>
    </row>
    <row r="2956" spans="2:4" x14ac:dyDescent="0.2">
      <c r="B2956" s="2">
        <v>40408</v>
      </c>
      <c r="C2956" s="61">
        <v>6186.31</v>
      </c>
      <c r="D2956" s="3">
        <f t="shared" si="49"/>
        <v>-3.2369811807165805E-3</v>
      </c>
    </row>
    <row r="2957" spans="2:4" x14ac:dyDescent="0.2">
      <c r="B2957" s="2">
        <v>40409</v>
      </c>
      <c r="C2957" s="61">
        <v>6075.13</v>
      </c>
      <c r="D2957" s="3">
        <f t="shared" si="49"/>
        <v>-1.797194127032109E-2</v>
      </c>
    </row>
    <row r="2958" spans="2:4" x14ac:dyDescent="0.2">
      <c r="B2958" s="2">
        <v>40410</v>
      </c>
      <c r="C2958" s="61">
        <v>6005.16</v>
      </c>
      <c r="D2958" s="3">
        <f t="shared" si="49"/>
        <v>-1.1517449009321612E-2</v>
      </c>
    </row>
    <row r="2959" spans="2:4" x14ac:dyDescent="0.2">
      <c r="B2959" s="2">
        <v>40413</v>
      </c>
      <c r="C2959" s="61">
        <v>6010.91</v>
      </c>
      <c r="D2959" s="3">
        <f t="shared" si="49"/>
        <v>9.5750987484088945E-4</v>
      </c>
    </row>
    <row r="2960" spans="2:4" x14ac:dyDescent="0.2">
      <c r="B2960" s="2">
        <v>40414</v>
      </c>
      <c r="C2960" s="61">
        <v>5935.44</v>
      </c>
      <c r="D2960" s="3">
        <f t="shared" si="49"/>
        <v>-1.2555503243269373E-2</v>
      </c>
    </row>
    <row r="2961" spans="2:4" x14ac:dyDescent="0.2">
      <c r="B2961" s="2">
        <v>40415</v>
      </c>
      <c r="C2961" s="61">
        <v>5899.5</v>
      </c>
      <c r="D2961" s="3">
        <f t="shared" si="49"/>
        <v>-6.0551534511341654E-3</v>
      </c>
    </row>
    <row r="2962" spans="2:4" x14ac:dyDescent="0.2">
      <c r="B2962" s="2">
        <v>40416</v>
      </c>
      <c r="C2962" s="61">
        <v>5912.58</v>
      </c>
      <c r="D2962" s="3">
        <f t="shared" si="49"/>
        <v>2.2171370455124073E-3</v>
      </c>
    </row>
    <row r="2963" spans="2:4" x14ac:dyDescent="0.2">
      <c r="B2963" s="2">
        <v>40417</v>
      </c>
      <c r="C2963" s="61">
        <v>5951.17</v>
      </c>
      <c r="D2963" s="3">
        <f t="shared" si="49"/>
        <v>6.5267615829300851E-3</v>
      </c>
    </row>
    <row r="2964" spans="2:4" x14ac:dyDescent="0.2">
      <c r="B2964" s="2">
        <v>40420</v>
      </c>
      <c r="C2964" s="61">
        <v>5912.41</v>
      </c>
      <c r="D2964" s="3">
        <f t="shared" si="49"/>
        <v>-6.5130050057383704E-3</v>
      </c>
    </row>
    <row r="2965" spans="2:4" x14ac:dyDescent="0.2">
      <c r="B2965" s="2">
        <v>40421</v>
      </c>
      <c r="C2965" s="61">
        <v>5925.22</v>
      </c>
      <c r="D2965" s="3">
        <f t="shared" si="49"/>
        <v>2.1666291749049549E-3</v>
      </c>
    </row>
    <row r="2966" spans="2:4" x14ac:dyDescent="0.2">
      <c r="B2966" s="2">
        <v>40422</v>
      </c>
      <c r="C2966" s="61">
        <v>6083.9</v>
      </c>
      <c r="D2966" s="3">
        <f t="shared" si="49"/>
        <v>2.6780440219941193E-2</v>
      </c>
    </row>
    <row r="2967" spans="2:4" x14ac:dyDescent="0.2">
      <c r="B2967" s="2">
        <v>40423</v>
      </c>
      <c r="C2967" s="61">
        <v>6083.85</v>
      </c>
      <c r="D2967" s="3">
        <f t="shared" si="49"/>
        <v>-8.218412531291186E-6</v>
      </c>
    </row>
    <row r="2968" spans="2:4" x14ac:dyDescent="0.2">
      <c r="B2968" s="2">
        <v>40424</v>
      </c>
      <c r="C2968" s="61">
        <v>6134.62</v>
      </c>
      <c r="D2968" s="3">
        <f t="shared" si="49"/>
        <v>8.3450446674391277E-3</v>
      </c>
    </row>
    <row r="2969" spans="2:4" x14ac:dyDescent="0.2">
      <c r="B2969" s="2">
        <v>40427</v>
      </c>
      <c r="C2969" s="61">
        <v>6155.04</v>
      </c>
      <c r="D2969" s="3">
        <f t="shared" si="49"/>
        <v>3.328649533304473E-3</v>
      </c>
    </row>
    <row r="2970" spans="2:4" x14ac:dyDescent="0.2">
      <c r="B2970" s="2">
        <v>40428</v>
      </c>
      <c r="C2970" s="61">
        <v>6117.89</v>
      </c>
      <c r="D2970" s="3">
        <f t="shared" si="49"/>
        <v>-6.0357040734096978E-3</v>
      </c>
    </row>
    <row r="2971" spans="2:4" x14ac:dyDescent="0.2">
      <c r="B2971" s="2">
        <v>40429</v>
      </c>
      <c r="C2971" s="61">
        <v>6164.44</v>
      </c>
      <c r="D2971" s="3">
        <f t="shared" si="49"/>
        <v>7.608832456941661E-3</v>
      </c>
    </row>
    <row r="2972" spans="2:4" x14ac:dyDescent="0.2">
      <c r="B2972" s="2">
        <v>40430</v>
      </c>
      <c r="C2972" s="61">
        <v>6221.52</v>
      </c>
      <c r="D2972" s="3">
        <f t="shared" si="49"/>
        <v>9.2595596680316028E-3</v>
      </c>
    </row>
    <row r="2973" spans="2:4" x14ac:dyDescent="0.2">
      <c r="B2973" s="2">
        <v>40431</v>
      </c>
      <c r="C2973" s="61">
        <v>6214.77</v>
      </c>
      <c r="D2973" s="3">
        <f t="shared" si="49"/>
        <v>-1.0849438722370097E-3</v>
      </c>
    </row>
    <row r="2974" spans="2:4" x14ac:dyDescent="0.2">
      <c r="B2974" s="2">
        <v>40434</v>
      </c>
      <c r="C2974" s="61">
        <v>6261.68</v>
      </c>
      <c r="D2974" s="3">
        <f t="shared" si="49"/>
        <v>7.548147397248739E-3</v>
      </c>
    </row>
    <row r="2975" spans="2:4" x14ac:dyDescent="0.2">
      <c r="B2975" s="2">
        <v>40435</v>
      </c>
      <c r="C2975" s="61">
        <v>6275.41</v>
      </c>
      <c r="D2975" s="3">
        <f t="shared" si="49"/>
        <v>2.1927022779828498E-3</v>
      </c>
    </row>
    <row r="2976" spans="2:4" x14ac:dyDescent="0.2">
      <c r="B2976" s="2">
        <v>40436</v>
      </c>
      <c r="C2976" s="61">
        <v>6261.87</v>
      </c>
      <c r="D2976" s="3">
        <f t="shared" si="49"/>
        <v>-2.157627947815377E-3</v>
      </c>
    </row>
    <row r="2977" spans="2:4" x14ac:dyDescent="0.2">
      <c r="B2977" s="2">
        <v>40437</v>
      </c>
      <c r="C2977" s="61">
        <v>6249.65</v>
      </c>
      <c r="D2977" s="3">
        <f t="shared" si="49"/>
        <v>-1.9514937231210894E-3</v>
      </c>
    </row>
    <row r="2978" spans="2:4" x14ac:dyDescent="0.2">
      <c r="B2978" s="2">
        <v>40438</v>
      </c>
      <c r="C2978" s="61">
        <v>6209.76</v>
      </c>
      <c r="D2978" s="3">
        <f t="shared" si="49"/>
        <v>-6.3827574344161864E-3</v>
      </c>
    </row>
    <row r="2979" spans="2:4" x14ac:dyDescent="0.2">
      <c r="B2979" s="2">
        <v>40441</v>
      </c>
      <c r="C2979" s="61">
        <v>6294.58</v>
      </c>
      <c r="D2979" s="3">
        <f t="shared" si="49"/>
        <v>1.3659143026461429E-2</v>
      </c>
    </row>
    <row r="2980" spans="2:4" x14ac:dyDescent="0.2">
      <c r="B2980" s="2">
        <v>40442</v>
      </c>
      <c r="C2980" s="61">
        <v>6275.98</v>
      </c>
      <c r="D2980" s="3">
        <f t="shared" si="49"/>
        <v>-2.9549231243387597E-3</v>
      </c>
    </row>
    <row r="2981" spans="2:4" x14ac:dyDescent="0.2">
      <c r="B2981" s="2">
        <v>40443</v>
      </c>
      <c r="C2981" s="61">
        <v>6208.33</v>
      </c>
      <c r="D2981" s="3">
        <f t="shared" si="49"/>
        <v>-1.0779193050328373E-2</v>
      </c>
    </row>
    <row r="2982" spans="2:4" x14ac:dyDescent="0.2">
      <c r="B2982" s="2">
        <v>40444</v>
      </c>
      <c r="C2982" s="61">
        <v>6184.71</v>
      </c>
      <c r="D2982" s="3">
        <f t="shared" si="49"/>
        <v>-3.8045658011091055E-3</v>
      </c>
    </row>
    <row r="2983" spans="2:4" x14ac:dyDescent="0.2">
      <c r="B2983" s="2">
        <v>40445</v>
      </c>
      <c r="C2983" s="61">
        <v>6298.3</v>
      </c>
      <c r="D2983" s="3">
        <f t="shared" si="49"/>
        <v>1.8366261312171561E-2</v>
      </c>
    </row>
    <row r="2984" spans="2:4" x14ac:dyDescent="0.2">
      <c r="B2984" s="2">
        <v>40448</v>
      </c>
      <c r="C2984" s="61">
        <v>6278.89</v>
      </c>
      <c r="D2984" s="3">
        <f t="shared" si="49"/>
        <v>-3.081783973453156E-3</v>
      </c>
    </row>
    <row r="2985" spans="2:4" x14ac:dyDescent="0.2">
      <c r="B2985" s="2">
        <v>40449</v>
      </c>
      <c r="C2985" s="61">
        <v>6276.09</v>
      </c>
      <c r="D2985" s="3">
        <f t="shared" si="49"/>
        <v>-4.4593869298559241E-4</v>
      </c>
    </row>
    <row r="2986" spans="2:4" x14ac:dyDescent="0.2">
      <c r="B2986" s="2">
        <v>40450</v>
      </c>
      <c r="C2986" s="61">
        <v>6246.92</v>
      </c>
      <c r="D2986" s="3">
        <f t="shared" si="49"/>
        <v>-4.6477982310642041E-3</v>
      </c>
    </row>
    <row r="2987" spans="2:4" x14ac:dyDescent="0.2">
      <c r="B2987" s="2">
        <v>40451</v>
      </c>
      <c r="C2987" s="61">
        <v>6229.02</v>
      </c>
      <c r="D2987" s="3">
        <f t="shared" si="49"/>
        <v>-2.865412075070517E-3</v>
      </c>
    </row>
    <row r="2988" spans="2:4" x14ac:dyDescent="0.2">
      <c r="B2988" s="2">
        <v>40452</v>
      </c>
      <c r="C2988" s="61">
        <v>6211.34</v>
      </c>
      <c r="D2988" s="3">
        <f t="shared" si="49"/>
        <v>-2.838327698418075E-3</v>
      </c>
    </row>
    <row r="2989" spans="2:4" x14ac:dyDescent="0.2">
      <c r="B2989" s="2">
        <v>40455</v>
      </c>
      <c r="C2989" s="61">
        <v>6134.21</v>
      </c>
      <c r="D2989" s="3">
        <f t="shared" si="49"/>
        <v>-1.2417610370709098E-2</v>
      </c>
    </row>
    <row r="2990" spans="2:4" x14ac:dyDescent="0.2">
      <c r="B2990" s="2">
        <v>40456</v>
      </c>
      <c r="C2990" s="61">
        <v>6215.83</v>
      </c>
      <c r="D2990" s="3">
        <f t="shared" si="49"/>
        <v>1.3305706847336563E-2</v>
      </c>
    </row>
    <row r="2991" spans="2:4" x14ac:dyDescent="0.2">
      <c r="B2991" s="2">
        <v>40457</v>
      </c>
      <c r="C2991" s="61">
        <v>6270.73</v>
      </c>
      <c r="D2991" s="3">
        <f t="shared" si="49"/>
        <v>8.8322878843209995E-3</v>
      </c>
    </row>
    <row r="2992" spans="2:4" x14ac:dyDescent="0.2">
      <c r="B2992" s="2">
        <v>40458</v>
      </c>
      <c r="C2992" s="61">
        <v>6276.25</v>
      </c>
      <c r="D2992" s="3">
        <f t="shared" si="49"/>
        <v>8.8028028634634659E-4</v>
      </c>
    </row>
    <row r="2993" spans="2:4" x14ac:dyDescent="0.2">
      <c r="B2993" s="2">
        <v>40459</v>
      </c>
      <c r="C2993" s="61">
        <v>6291.67</v>
      </c>
      <c r="D2993" s="3">
        <f t="shared" si="49"/>
        <v>2.4568810993825796E-3</v>
      </c>
    </row>
    <row r="2994" spans="2:4" x14ac:dyDescent="0.2">
      <c r="B2994" s="2">
        <v>40462</v>
      </c>
      <c r="C2994" s="61">
        <v>6309.51</v>
      </c>
      <c r="D2994" s="3">
        <f t="shared" si="49"/>
        <v>2.8354951864926203E-3</v>
      </c>
    </row>
    <row r="2995" spans="2:4" x14ac:dyDescent="0.2">
      <c r="B2995" s="2">
        <v>40463</v>
      </c>
      <c r="C2995" s="61">
        <v>6304.57</v>
      </c>
      <c r="D2995" s="3">
        <f t="shared" si="49"/>
        <v>-7.8294510984222576E-4</v>
      </c>
    </row>
    <row r="2996" spans="2:4" x14ac:dyDescent="0.2">
      <c r="B2996" s="2">
        <v>40464</v>
      </c>
      <c r="C2996" s="61">
        <v>6434.52</v>
      </c>
      <c r="D2996" s="3">
        <f t="shared" si="49"/>
        <v>2.0612032224243793E-2</v>
      </c>
    </row>
    <row r="2997" spans="2:4" x14ac:dyDescent="0.2">
      <c r="B2997" s="2">
        <v>40465</v>
      </c>
      <c r="C2997" s="61">
        <v>6455.27</v>
      </c>
      <c r="D2997" s="3">
        <f t="shared" si="49"/>
        <v>3.2247937686105121E-3</v>
      </c>
    </row>
    <row r="2998" spans="2:4" x14ac:dyDescent="0.2">
      <c r="B2998" s="2">
        <v>40466</v>
      </c>
      <c r="C2998" s="61">
        <v>6492.3</v>
      </c>
      <c r="D2998" s="3">
        <f t="shared" si="49"/>
        <v>5.7363983226108584E-3</v>
      </c>
    </row>
    <row r="2999" spans="2:4" x14ac:dyDescent="0.2">
      <c r="B2999" s="2">
        <v>40469</v>
      </c>
      <c r="C2999" s="61">
        <v>6516.63</v>
      </c>
      <c r="D2999" s="3">
        <f t="shared" si="49"/>
        <v>3.7475162885263202E-3</v>
      </c>
    </row>
    <row r="3000" spans="2:4" x14ac:dyDescent="0.2">
      <c r="B3000" s="2">
        <v>40470</v>
      </c>
      <c r="C3000" s="61">
        <v>6490.69</v>
      </c>
      <c r="D3000" s="3">
        <f t="shared" si="49"/>
        <v>-3.9805850570003853E-3</v>
      </c>
    </row>
    <row r="3001" spans="2:4" x14ac:dyDescent="0.2">
      <c r="B3001" s="2">
        <v>40471</v>
      </c>
      <c r="C3001" s="61">
        <v>6524.55</v>
      </c>
      <c r="D3001" s="3">
        <f t="shared" si="49"/>
        <v>5.2167026926259741E-3</v>
      </c>
    </row>
    <row r="3002" spans="2:4" x14ac:dyDescent="0.2">
      <c r="B3002" s="2">
        <v>40472</v>
      </c>
      <c r="C3002" s="61">
        <v>6611.01</v>
      </c>
      <c r="D3002" s="3">
        <f t="shared" si="49"/>
        <v>1.3251488608409856E-2</v>
      </c>
    </row>
    <row r="3003" spans="2:4" x14ac:dyDescent="0.2">
      <c r="B3003" s="2">
        <v>40473</v>
      </c>
      <c r="C3003" s="61">
        <v>6605.84</v>
      </c>
      <c r="D3003" s="3">
        <f t="shared" si="49"/>
        <v>-7.8202876716271241E-4</v>
      </c>
    </row>
    <row r="3004" spans="2:4" x14ac:dyDescent="0.2">
      <c r="B3004" s="2">
        <v>40476</v>
      </c>
      <c r="C3004" s="61">
        <v>6639.21</v>
      </c>
      <c r="D3004" s="3">
        <f t="shared" si="49"/>
        <v>5.05159071367145E-3</v>
      </c>
    </row>
    <row r="3005" spans="2:4" x14ac:dyDescent="0.2">
      <c r="B3005" s="2">
        <v>40477</v>
      </c>
      <c r="C3005" s="61">
        <v>6613.8</v>
      </c>
      <c r="D3005" s="3">
        <f t="shared" si="49"/>
        <v>-3.8272625809395722E-3</v>
      </c>
    </row>
    <row r="3006" spans="2:4" x14ac:dyDescent="0.2">
      <c r="B3006" s="2">
        <v>40478</v>
      </c>
      <c r="C3006" s="61">
        <v>6568</v>
      </c>
      <c r="D3006" s="3">
        <f t="shared" si="49"/>
        <v>-6.9249145725603922E-3</v>
      </c>
    </row>
    <row r="3007" spans="2:4" x14ac:dyDescent="0.2">
      <c r="B3007" s="2">
        <v>40479</v>
      </c>
      <c r="C3007" s="61">
        <v>6595.28</v>
      </c>
      <c r="D3007" s="3">
        <f t="shared" si="49"/>
        <v>4.1534713763702324E-3</v>
      </c>
    </row>
    <row r="3008" spans="2:4" x14ac:dyDescent="0.2">
      <c r="B3008" s="2">
        <v>40480</v>
      </c>
      <c r="C3008" s="61">
        <v>6601.37</v>
      </c>
      <c r="D3008" s="3">
        <f t="shared" si="49"/>
        <v>9.2338763479338226E-4</v>
      </c>
    </row>
    <row r="3009" spans="2:4" x14ac:dyDescent="0.2">
      <c r="B3009" s="2">
        <v>40483</v>
      </c>
      <c r="C3009" s="61">
        <v>6604.86</v>
      </c>
      <c r="D3009" s="3">
        <f t="shared" si="49"/>
        <v>5.2867813802293107E-4</v>
      </c>
    </row>
    <row r="3010" spans="2:4" x14ac:dyDescent="0.2">
      <c r="B3010" s="2">
        <v>40484</v>
      </c>
      <c r="C3010" s="61">
        <v>6654.31</v>
      </c>
      <c r="D3010" s="3">
        <f t="shared" si="49"/>
        <v>7.4869111533024668E-3</v>
      </c>
    </row>
    <row r="3011" spans="2:4" x14ac:dyDescent="0.2">
      <c r="B3011" s="2">
        <v>40485</v>
      </c>
      <c r="C3011" s="61">
        <v>6617.8</v>
      </c>
      <c r="D3011" s="3">
        <f t="shared" si="49"/>
        <v>-5.4866695419961697E-3</v>
      </c>
    </row>
    <row r="3012" spans="2:4" x14ac:dyDescent="0.2">
      <c r="B3012" s="2">
        <v>40486</v>
      </c>
      <c r="C3012" s="61">
        <v>6734.69</v>
      </c>
      <c r="D3012" s="3">
        <f t="shared" si="49"/>
        <v>1.7662969566925479E-2</v>
      </c>
    </row>
    <row r="3013" spans="2:4" x14ac:dyDescent="0.2">
      <c r="B3013" s="2">
        <v>40487</v>
      </c>
      <c r="C3013" s="61">
        <v>6754.2</v>
      </c>
      <c r="D3013" s="3">
        <f t="shared" ref="D3013:D3076" si="50">C3013/C3012-1</f>
        <v>2.8969410618751024E-3</v>
      </c>
    </row>
    <row r="3014" spans="2:4" x14ac:dyDescent="0.2">
      <c r="B3014" s="2">
        <v>40490</v>
      </c>
      <c r="C3014" s="61">
        <v>6750.5</v>
      </c>
      <c r="D3014" s="3">
        <f t="shared" si="50"/>
        <v>-5.4780729027859021E-4</v>
      </c>
    </row>
    <row r="3015" spans="2:4" x14ac:dyDescent="0.2">
      <c r="B3015" s="2">
        <v>40491</v>
      </c>
      <c r="C3015" s="61">
        <v>6787.81</v>
      </c>
      <c r="D3015" s="3">
        <f t="shared" si="50"/>
        <v>5.52699800014822E-3</v>
      </c>
    </row>
    <row r="3016" spans="2:4" x14ac:dyDescent="0.2">
      <c r="B3016" s="2">
        <v>40492</v>
      </c>
      <c r="C3016" s="61">
        <v>6719.84</v>
      </c>
      <c r="D3016" s="3">
        <f t="shared" si="50"/>
        <v>-1.0013538976488823E-2</v>
      </c>
    </row>
    <row r="3017" spans="2:4" x14ac:dyDescent="0.2">
      <c r="B3017" s="2">
        <v>40493</v>
      </c>
      <c r="C3017" s="61">
        <v>6723.41</v>
      </c>
      <c r="D3017" s="3">
        <f t="shared" si="50"/>
        <v>5.3126264911074195E-4</v>
      </c>
    </row>
    <row r="3018" spans="2:4" x14ac:dyDescent="0.2">
      <c r="B3018" s="2">
        <v>40494</v>
      </c>
      <c r="C3018" s="61">
        <v>6734.61</v>
      </c>
      <c r="D3018" s="3">
        <f t="shared" si="50"/>
        <v>1.6658213614817452E-3</v>
      </c>
    </row>
    <row r="3019" spans="2:4" x14ac:dyDescent="0.2">
      <c r="B3019" s="2">
        <v>40497</v>
      </c>
      <c r="C3019" s="61">
        <v>6790.17</v>
      </c>
      <c r="D3019" s="3">
        <f t="shared" si="50"/>
        <v>8.2499209308335431E-3</v>
      </c>
    </row>
    <row r="3020" spans="2:4" x14ac:dyDescent="0.2">
      <c r="B3020" s="2">
        <v>40498</v>
      </c>
      <c r="C3020" s="61">
        <v>6663.24</v>
      </c>
      <c r="D3020" s="3">
        <f t="shared" si="50"/>
        <v>-1.8693199139344086E-2</v>
      </c>
    </row>
    <row r="3021" spans="2:4" x14ac:dyDescent="0.2">
      <c r="B3021" s="2">
        <v>40499</v>
      </c>
      <c r="C3021" s="61">
        <v>6700.07</v>
      </c>
      <c r="D3021" s="3">
        <f t="shared" si="50"/>
        <v>5.5273410533014378E-3</v>
      </c>
    </row>
    <row r="3022" spans="2:4" x14ac:dyDescent="0.2">
      <c r="B3022" s="2">
        <v>40500</v>
      </c>
      <c r="C3022" s="61">
        <v>6832.11</v>
      </c>
      <c r="D3022" s="3">
        <f t="shared" si="50"/>
        <v>1.970725678985441E-2</v>
      </c>
    </row>
    <row r="3023" spans="2:4" x14ac:dyDescent="0.2">
      <c r="B3023" s="2">
        <v>40501</v>
      </c>
      <c r="C3023" s="61">
        <v>6843.55</v>
      </c>
      <c r="D3023" s="3">
        <f t="shared" si="50"/>
        <v>1.674446108157035E-3</v>
      </c>
    </row>
    <row r="3024" spans="2:4" x14ac:dyDescent="0.2">
      <c r="B3024" s="2">
        <v>40504</v>
      </c>
      <c r="C3024" s="61">
        <v>6822.05</v>
      </c>
      <c r="D3024" s="3">
        <f t="shared" si="50"/>
        <v>-3.1416443220257939E-3</v>
      </c>
    </row>
    <row r="3025" spans="2:4" x14ac:dyDescent="0.2">
      <c r="B3025" s="2">
        <v>40505</v>
      </c>
      <c r="C3025" s="61">
        <v>6705</v>
      </c>
      <c r="D3025" s="3">
        <f t="shared" si="50"/>
        <v>-1.7157599255355871E-2</v>
      </c>
    </row>
    <row r="3026" spans="2:4" x14ac:dyDescent="0.2">
      <c r="B3026" s="2">
        <v>40506</v>
      </c>
      <c r="C3026" s="61">
        <v>6823.8</v>
      </c>
      <c r="D3026" s="3">
        <f t="shared" si="50"/>
        <v>1.7718120805369164E-2</v>
      </c>
    </row>
    <row r="3027" spans="2:4" x14ac:dyDescent="0.2">
      <c r="B3027" s="2">
        <v>40507</v>
      </c>
      <c r="C3027" s="61">
        <v>6879.66</v>
      </c>
      <c r="D3027" s="3">
        <f t="shared" si="50"/>
        <v>8.1860546909346965E-3</v>
      </c>
    </row>
    <row r="3028" spans="2:4" x14ac:dyDescent="0.2">
      <c r="B3028" s="2">
        <v>40508</v>
      </c>
      <c r="C3028" s="61">
        <v>6848.98</v>
      </c>
      <c r="D3028" s="3">
        <f t="shared" si="50"/>
        <v>-4.4595227089710976E-3</v>
      </c>
    </row>
    <row r="3029" spans="2:4" x14ac:dyDescent="0.2">
      <c r="B3029" s="2">
        <v>40511</v>
      </c>
      <c r="C3029" s="61">
        <v>6697.97</v>
      </c>
      <c r="D3029" s="3">
        <f t="shared" si="50"/>
        <v>-2.204853861450895E-2</v>
      </c>
    </row>
    <row r="3030" spans="2:4" x14ac:dyDescent="0.2">
      <c r="B3030" s="2">
        <v>40512</v>
      </c>
      <c r="C3030" s="61">
        <v>6688.49</v>
      </c>
      <c r="D3030" s="3">
        <f t="shared" si="50"/>
        <v>-1.4153542043335854E-3</v>
      </c>
    </row>
    <row r="3031" spans="2:4" x14ac:dyDescent="0.2">
      <c r="B3031" s="2">
        <v>40513</v>
      </c>
      <c r="C3031" s="61">
        <v>6866.63</v>
      </c>
      <c r="D3031" s="3">
        <f t="shared" si="50"/>
        <v>2.6633814209186202E-2</v>
      </c>
    </row>
    <row r="3032" spans="2:4" x14ac:dyDescent="0.2">
      <c r="B3032" s="2">
        <v>40514</v>
      </c>
      <c r="C3032" s="61">
        <v>6957.61</v>
      </c>
      <c r="D3032" s="3">
        <f t="shared" si="50"/>
        <v>1.3249585313319656E-2</v>
      </c>
    </row>
    <row r="3033" spans="2:4" x14ac:dyDescent="0.2">
      <c r="B3033" s="2">
        <v>40515</v>
      </c>
      <c r="C3033" s="61">
        <v>6947.72</v>
      </c>
      <c r="D3033" s="3">
        <f t="shared" si="50"/>
        <v>-1.4214651295486602E-3</v>
      </c>
    </row>
    <row r="3034" spans="2:4" x14ac:dyDescent="0.2">
      <c r="B3034" s="2">
        <v>40518</v>
      </c>
      <c r="C3034" s="61">
        <v>6954.38</v>
      </c>
      <c r="D3034" s="3">
        <f t="shared" si="50"/>
        <v>9.5858785328140073E-4</v>
      </c>
    </row>
    <row r="3035" spans="2:4" x14ac:dyDescent="0.2">
      <c r="B3035" s="2">
        <v>40519</v>
      </c>
      <c r="C3035" s="61">
        <v>7001.91</v>
      </c>
      <c r="D3035" s="3">
        <f t="shared" si="50"/>
        <v>6.8345416845210227E-3</v>
      </c>
    </row>
    <row r="3036" spans="2:4" x14ac:dyDescent="0.2">
      <c r="B3036" s="2">
        <v>40520</v>
      </c>
      <c r="C3036" s="61">
        <v>6975.87</v>
      </c>
      <c r="D3036" s="3">
        <f t="shared" si="50"/>
        <v>-3.7189852483108243E-3</v>
      </c>
    </row>
    <row r="3037" spans="2:4" x14ac:dyDescent="0.2">
      <c r="B3037" s="2">
        <v>40521</v>
      </c>
      <c r="C3037" s="61">
        <v>6964.16</v>
      </c>
      <c r="D3037" s="3">
        <f t="shared" si="50"/>
        <v>-1.6786436673849048E-3</v>
      </c>
    </row>
    <row r="3038" spans="2:4" x14ac:dyDescent="0.2">
      <c r="B3038" s="2">
        <v>40522</v>
      </c>
      <c r="C3038" s="61">
        <v>7006.17</v>
      </c>
      <c r="D3038" s="3">
        <f t="shared" si="50"/>
        <v>6.0323140192068969E-3</v>
      </c>
    </row>
    <row r="3039" spans="2:4" x14ac:dyDescent="0.2">
      <c r="B3039" s="2">
        <v>40525</v>
      </c>
      <c r="C3039" s="61">
        <v>7029.39</v>
      </c>
      <c r="D3039" s="3">
        <f t="shared" si="50"/>
        <v>3.3142216075259245E-3</v>
      </c>
    </row>
    <row r="3040" spans="2:4" x14ac:dyDescent="0.2">
      <c r="B3040" s="2">
        <v>40526</v>
      </c>
      <c r="C3040" s="61">
        <v>7027.4</v>
      </c>
      <c r="D3040" s="3">
        <f t="shared" si="50"/>
        <v>-2.8309711084473221E-4</v>
      </c>
    </row>
    <row r="3041" spans="2:4" x14ac:dyDescent="0.2">
      <c r="B3041" s="2">
        <v>40527</v>
      </c>
      <c r="C3041" s="61">
        <v>7016.37</v>
      </c>
      <c r="D3041" s="3">
        <f t="shared" si="50"/>
        <v>-1.569570538179077E-3</v>
      </c>
    </row>
    <row r="3042" spans="2:4" x14ac:dyDescent="0.2">
      <c r="B3042" s="2">
        <v>40528</v>
      </c>
      <c r="C3042" s="61">
        <v>7024.4</v>
      </c>
      <c r="D3042" s="3">
        <f t="shared" si="50"/>
        <v>1.1444664406237148E-3</v>
      </c>
    </row>
    <row r="3043" spans="2:4" x14ac:dyDescent="0.2">
      <c r="B3043" s="2">
        <v>40529</v>
      </c>
      <c r="C3043" s="61">
        <v>6982.45</v>
      </c>
      <c r="D3043" s="3">
        <f t="shared" si="50"/>
        <v>-5.9720403166106939E-3</v>
      </c>
    </row>
    <row r="3044" spans="2:4" x14ac:dyDescent="0.2">
      <c r="B3044" s="2">
        <v>40532</v>
      </c>
      <c r="C3044" s="61">
        <v>7018.6</v>
      </c>
      <c r="D3044" s="3">
        <f t="shared" si="50"/>
        <v>5.1772658594047005E-3</v>
      </c>
    </row>
    <row r="3045" spans="2:4" x14ac:dyDescent="0.2">
      <c r="B3045" s="2">
        <v>40533</v>
      </c>
      <c r="C3045" s="61">
        <v>7077.99</v>
      </c>
      <c r="D3045" s="3">
        <f t="shared" si="50"/>
        <v>8.4618014988744328E-3</v>
      </c>
    </row>
    <row r="3046" spans="2:4" x14ac:dyDescent="0.2">
      <c r="B3046" s="2">
        <v>40534</v>
      </c>
      <c r="C3046" s="61">
        <v>7067.92</v>
      </c>
      <c r="D3046" s="3">
        <f t="shared" si="50"/>
        <v>-1.4227202920602533E-3</v>
      </c>
    </row>
    <row r="3047" spans="2:4" x14ac:dyDescent="0.2">
      <c r="B3047" s="2">
        <v>40535</v>
      </c>
      <c r="C3047" s="61">
        <v>7057.69</v>
      </c>
      <c r="D3047" s="3">
        <f t="shared" si="50"/>
        <v>-1.4473848034499692E-3</v>
      </c>
    </row>
    <row r="3048" spans="2:4" x14ac:dyDescent="0.2">
      <c r="B3048" s="2">
        <v>40539</v>
      </c>
      <c r="C3048" s="61">
        <v>6970.73</v>
      </c>
      <c r="D3048" s="3">
        <f t="shared" si="50"/>
        <v>-1.2321311930674206E-2</v>
      </c>
    </row>
    <row r="3049" spans="2:4" x14ac:dyDescent="0.2">
      <c r="B3049" s="2">
        <v>40540</v>
      </c>
      <c r="C3049" s="61">
        <v>6972.1</v>
      </c>
      <c r="D3049" s="3">
        <f t="shared" si="50"/>
        <v>1.9653608732528305E-4</v>
      </c>
    </row>
    <row r="3050" spans="2:4" x14ac:dyDescent="0.2">
      <c r="B3050" s="2">
        <v>40541</v>
      </c>
      <c r="C3050" s="61">
        <v>6995.47</v>
      </c>
      <c r="D3050" s="3">
        <f t="shared" si="50"/>
        <v>3.351931268914754E-3</v>
      </c>
    </row>
    <row r="3051" spans="2:4" x14ac:dyDescent="0.2">
      <c r="B3051" s="2">
        <v>40542</v>
      </c>
      <c r="C3051" s="61">
        <v>6914.19</v>
      </c>
      <c r="D3051" s="3">
        <f t="shared" si="50"/>
        <v>-1.1618947690434034E-2</v>
      </c>
    </row>
    <row r="3052" spans="2:4" x14ac:dyDescent="0.2">
      <c r="B3052" s="2">
        <v>40546</v>
      </c>
      <c r="C3052" s="61">
        <v>6989.74</v>
      </c>
      <c r="D3052" s="3">
        <f t="shared" si="50"/>
        <v>1.0926804152040948E-2</v>
      </c>
    </row>
    <row r="3053" spans="2:4" x14ac:dyDescent="0.2">
      <c r="B3053" s="2">
        <v>40547</v>
      </c>
      <c r="C3053" s="61">
        <v>6975.35</v>
      </c>
      <c r="D3053" s="3">
        <f t="shared" si="50"/>
        <v>-2.0587317983215003E-3</v>
      </c>
    </row>
    <row r="3054" spans="2:4" x14ac:dyDescent="0.2">
      <c r="B3054" s="2">
        <v>40548</v>
      </c>
      <c r="C3054" s="61">
        <v>6939.82</v>
      </c>
      <c r="D3054" s="3">
        <f t="shared" si="50"/>
        <v>-5.0936512146344537E-3</v>
      </c>
    </row>
    <row r="3055" spans="2:4" x14ac:dyDescent="0.2">
      <c r="B3055" s="2">
        <v>40549</v>
      </c>
      <c r="C3055" s="61">
        <v>6981.39</v>
      </c>
      <c r="D3055" s="3">
        <f t="shared" si="50"/>
        <v>5.9900689066865187E-3</v>
      </c>
    </row>
    <row r="3056" spans="2:4" x14ac:dyDescent="0.2">
      <c r="B3056" s="2">
        <v>40550</v>
      </c>
      <c r="C3056" s="61">
        <v>6947.84</v>
      </c>
      <c r="D3056" s="3">
        <f t="shared" si="50"/>
        <v>-4.8056332621441156E-3</v>
      </c>
    </row>
    <row r="3057" spans="2:4" x14ac:dyDescent="0.2">
      <c r="B3057" s="2">
        <v>40553</v>
      </c>
      <c r="C3057" s="61">
        <v>6857.06</v>
      </c>
      <c r="D3057" s="3">
        <f t="shared" si="50"/>
        <v>-1.3065931282240206E-2</v>
      </c>
    </row>
    <row r="3058" spans="2:4" x14ac:dyDescent="0.2">
      <c r="B3058" s="2">
        <v>40554</v>
      </c>
      <c r="C3058" s="61">
        <v>6941.57</v>
      </c>
      <c r="D3058" s="3">
        <f t="shared" si="50"/>
        <v>1.2324523921330544E-2</v>
      </c>
    </row>
    <row r="3059" spans="2:4" x14ac:dyDescent="0.2">
      <c r="B3059" s="2">
        <v>40555</v>
      </c>
      <c r="C3059" s="61">
        <v>7068.78</v>
      </c>
      <c r="D3059" s="3">
        <f t="shared" si="50"/>
        <v>1.8325825425660192E-2</v>
      </c>
    </row>
    <row r="3060" spans="2:4" x14ac:dyDescent="0.2">
      <c r="B3060" s="2">
        <v>40556</v>
      </c>
      <c r="C3060" s="61">
        <v>7075.11</v>
      </c>
      <c r="D3060" s="3">
        <f t="shared" si="50"/>
        <v>8.9548691570540129E-4</v>
      </c>
    </row>
    <row r="3061" spans="2:4" x14ac:dyDescent="0.2">
      <c r="B3061" s="2">
        <v>40557</v>
      </c>
      <c r="C3061" s="61">
        <v>7075.7</v>
      </c>
      <c r="D3061" s="3">
        <f t="shared" si="50"/>
        <v>8.3390929610960285E-5</v>
      </c>
    </row>
    <row r="3062" spans="2:4" x14ac:dyDescent="0.2">
      <c r="B3062" s="2">
        <v>40560</v>
      </c>
      <c r="C3062" s="61">
        <v>7078.06</v>
      </c>
      <c r="D3062" s="3">
        <f t="shared" si="50"/>
        <v>3.3353590457485538E-4</v>
      </c>
    </row>
    <row r="3063" spans="2:4" x14ac:dyDescent="0.2">
      <c r="B3063" s="2">
        <v>40561</v>
      </c>
      <c r="C3063" s="61">
        <v>7143.45</v>
      </c>
      <c r="D3063" s="3">
        <f t="shared" si="50"/>
        <v>9.2384071341582441E-3</v>
      </c>
    </row>
    <row r="3064" spans="2:4" x14ac:dyDescent="0.2">
      <c r="B3064" s="2">
        <v>40562</v>
      </c>
      <c r="C3064" s="61">
        <v>7082.76</v>
      </c>
      <c r="D3064" s="3">
        <f t="shared" si="50"/>
        <v>-8.4958948407282131E-3</v>
      </c>
    </row>
    <row r="3065" spans="2:4" x14ac:dyDescent="0.2">
      <c r="B3065" s="2">
        <v>40563</v>
      </c>
      <c r="C3065" s="61">
        <v>7024.27</v>
      </c>
      <c r="D3065" s="3">
        <f t="shared" si="50"/>
        <v>-8.2580801834313267E-3</v>
      </c>
    </row>
    <row r="3066" spans="2:4" x14ac:dyDescent="0.2">
      <c r="B3066" s="2">
        <v>40564</v>
      </c>
      <c r="C3066" s="61">
        <v>7062.42</v>
      </c>
      <c r="D3066" s="3">
        <f t="shared" si="50"/>
        <v>5.4311693599475852E-3</v>
      </c>
    </row>
    <row r="3067" spans="2:4" x14ac:dyDescent="0.2">
      <c r="B3067" s="2">
        <v>40567</v>
      </c>
      <c r="C3067" s="61">
        <v>7067.77</v>
      </c>
      <c r="D3067" s="3">
        <f t="shared" si="50"/>
        <v>7.5753070477269091E-4</v>
      </c>
    </row>
    <row r="3068" spans="2:4" x14ac:dyDescent="0.2">
      <c r="B3068" s="2">
        <v>40568</v>
      </c>
      <c r="C3068" s="61">
        <v>7059.01</v>
      </c>
      <c r="D3068" s="3">
        <f t="shared" si="50"/>
        <v>-1.2394291268674751E-3</v>
      </c>
    </row>
    <row r="3069" spans="2:4" x14ac:dyDescent="0.2">
      <c r="B3069" s="2">
        <v>40569</v>
      </c>
      <c r="C3069" s="61">
        <v>7127.35</v>
      </c>
      <c r="D3069" s="3">
        <f t="shared" si="50"/>
        <v>9.6812442537976828E-3</v>
      </c>
    </row>
    <row r="3070" spans="2:4" x14ac:dyDescent="0.2">
      <c r="B3070" s="2">
        <v>40570</v>
      </c>
      <c r="C3070" s="61">
        <v>7155.58</v>
      </c>
      <c r="D3070" s="3">
        <f t="shared" si="50"/>
        <v>3.9607988943997086E-3</v>
      </c>
    </row>
    <row r="3071" spans="2:4" x14ac:dyDescent="0.2">
      <c r="B3071" s="2">
        <v>40571</v>
      </c>
      <c r="C3071" s="61">
        <v>7102.8</v>
      </c>
      <c r="D3071" s="3">
        <f t="shared" si="50"/>
        <v>-7.3760617587952382E-3</v>
      </c>
    </row>
    <row r="3072" spans="2:4" x14ac:dyDescent="0.2">
      <c r="B3072" s="2">
        <v>40574</v>
      </c>
      <c r="C3072" s="61">
        <v>7077.48</v>
      </c>
      <c r="D3072" s="3">
        <f t="shared" si="50"/>
        <v>-3.564791349890295E-3</v>
      </c>
    </row>
    <row r="3073" spans="2:4" x14ac:dyDescent="0.2">
      <c r="B3073" s="2">
        <v>40575</v>
      </c>
      <c r="C3073" s="61">
        <v>7184.27</v>
      </c>
      <c r="D3073" s="3">
        <f t="shared" si="50"/>
        <v>1.5088703888954891E-2</v>
      </c>
    </row>
    <row r="3074" spans="2:4" x14ac:dyDescent="0.2">
      <c r="B3074" s="2">
        <v>40576</v>
      </c>
      <c r="C3074" s="61">
        <v>7183.67</v>
      </c>
      <c r="D3074" s="3">
        <f t="shared" si="50"/>
        <v>-8.351579214038729E-5</v>
      </c>
    </row>
    <row r="3075" spans="2:4" x14ac:dyDescent="0.2">
      <c r="B3075" s="2">
        <v>40577</v>
      </c>
      <c r="C3075" s="61">
        <v>7193.68</v>
      </c>
      <c r="D3075" s="3">
        <f t="shared" si="50"/>
        <v>1.3934381729672207E-3</v>
      </c>
    </row>
    <row r="3076" spans="2:4" x14ac:dyDescent="0.2">
      <c r="B3076" s="2">
        <v>40578</v>
      </c>
      <c r="C3076" s="61">
        <v>7216.21</v>
      </c>
      <c r="D3076" s="3">
        <f t="shared" si="50"/>
        <v>3.1319157927514052E-3</v>
      </c>
    </row>
    <row r="3077" spans="2:4" x14ac:dyDescent="0.2">
      <c r="B3077" s="2">
        <v>40581</v>
      </c>
      <c r="C3077" s="61">
        <v>7283.62</v>
      </c>
      <c r="D3077" s="3">
        <f t="shared" ref="D3077:D3140" si="51">C3077/C3076-1</f>
        <v>9.341468721115298E-3</v>
      </c>
    </row>
    <row r="3078" spans="2:4" x14ac:dyDescent="0.2">
      <c r="B3078" s="2">
        <v>40582</v>
      </c>
      <c r="C3078" s="61">
        <v>7323.24</v>
      </c>
      <c r="D3078" s="3">
        <f t="shared" si="51"/>
        <v>5.4396028348540071E-3</v>
      </c>
    </row>
    <row r="3079" spans="2:4" x14ac:dyDescent="0.2">
      <c r="B3079" s="2">
        <v>40583</v>
      </c>
      <c r="C3079" s="61">
        <v>7320.9</v>
      </c>
      <c r="D3079" s="3">
        <f t="shared" si="51"/>
        <v>-3.1953069952650459E-4</v>
      </c>
    </row>
    <row r="3080" spans="2:4" x14ac:dyDescent="0.2">
      <c r="B3080" s="2">
        <v>40584</v>
      </c>
      <c r="C3080" s="61">
        <v>7340.28</v>
      </c>
      <c r="D3080" s="3">
        <f t="shared" si="51"/>
        <v>2.6472155062902125E-3</v>
      </c>
    </row>
    <row r="3081" spans="2:4" x14ac:dyDescent="0.2">
      <c r="B3081" s="2">
        <v>40585</v>
      </c>
      <c r="C3081" s="61">
        <v>7371.2</v>
      </c>
      <c r="D3081" s="3">
        <f t="shared" si="51"/>
        <v>4.2123733699532817E-3</v>
      </c>
    </row>
    <row r="3082" spans="2:4" x14ac:dyDescent="0.2">
      <c r="B3082" s="2">
        <v>40588</v>
      </c>
      <c r="C3082" s="61">
        <v>7396.63</v>
      </c>
      <c r="D3082" s="3">
        <f t="shared" si="51"/>
        <v>3.4499131756022816E-3</v>
      </c>
    </row>
    <row r="3083" spans="2:4" x14ac:dyDescent="0.2">
      <c r="B3083" s="2">
        <v>40589</v>
      </c>
      <c r="C3083" s="61">
        <v>7400.04</v>
      </c>
      <c r="D3083" s="3">
        <f t="shared" si="51"/>
        <v>4.6102076215781551E-4</v>
      </c>
    </row>
    <row r="3084" spans="2:4" x14ac:dyDescent="0.2">
      <c r="B3084" s="2">
        <v>40590</v>
      </c>
      <c r="C3084" s="61">
        <v>7414.3</v>
      </c>
      <c r="D3084" s="3">
        <f t="shared" si="51"/>
        <v>1.9270166107210329E-3</v>
      </c>
    </row>
    <row r="3085" spans="2:4" x14ac:dyDescent="0.2">
      <c r="B3085" s="2">
        <v>40591</v>
      </c>
      <c r="C3085" s="61">
        <v>7405.51</v>
      </c>
      <c r="D3085" s="3">
        <f t="shared" si="51"/>
        <v>-1.1855468486573484E-3</v>
      </c>
    </row>
    <row r="3086" spans="2:4" x14ac:dyDescent="0.2">
      <c r="B3086" s="2">
        <v>40592</v>
      </c>
      <c r="C3086" s="61">
        <v>7426.81</v>
      </c>
      <c r="D3086" s="3">
        <f t="shared" si="51"/>
        <v>2.8762367480430484E-3</v>
      </c>
    </row>
    <row r="3087" spans="2:4" x14ac:dyDescent="0.2">
      <c r="B3087" s="2">
        <v>40595</v>
      </c>
      <c r="C3087" s="61">
        <v>7321.81</v>
      </c>
      <c r="D3087" s="3">
        <f t="shared" si="51"/>
        <v>-1.4137967714267674E-2</v>
      </c>
    </row>
    <row r="3088" spans="2:4" x14ac:dyDescent="0.2">
      <c r="B3088" s="2">
        <v>40596</v>
      </c>
      <c r="C3088" s="61">
        <v>7318.35</v>
      </c>
      <c r="D3088" s="3">
        <f t="shared" si="51"/>
        <v>-4.7256074659129954E-4</v>
      </c>
    </row>
    <row r="3089" spans="2:4" x14ac:dyDescent="0.2">
      <c r="B3089" s="2">
        <v>40597</v>
      </c>
      <c r="C3089" s="61">
        <v>7194.6</v>
      </c>
      <c r="D3089" s="3">
        <f t="shared" si="51"/>
        <v>-1.6909549283649961E-2</v>
      </c>
    </row>
    <row r="3090" spans="2:4" x14ac:dyDescent="0.2">
      <c r="B3090" s="2">
        <v>40598</v>
      </c>
      <c r="C3090" s="61">
        <v>7130.5</v>
      </c>
      <c r="D3090" s="3">
        <f t="shared" si="51"/>
        <v>-8.9094598726823238E-3</v>
      </c>
    </row>
    <row r="3091" spans="2:4" x14ac:dyDescent="0.2">
      <c r="B3091" s="2">
        <v>40599</v>
      </c>
      <c r="C3091" s="61">
        <v>7185.17</v>
      </c>
      <c r="D3091" s="3">
        <f t="shared" si="51"/>
        <v>7.6670640207558982E-3</v>
      </c>
    </row>
    <row r="3092" spans="2:4" x14ac:dyDescent="0.2">
      <c r="B3092" s="2">
        <v>40602</v>
      </c>
      <c r="C3092" s="61">
        <v>7272.32</v>
      </c>
      <c r="D3092" s="3">
        <f t="shared" si="51"/>
        <v>1.2129149345109447E-2</v>
      </c>
    </row>
    <row r="3093" spans="2:4" x14ac:dyDescent="0.2">
      <c r="B3093" s="2">
        <v>40603</v>
      </c>
      <c r="C3093" s="61">
        <v>7223.3</v>
      </c>
      <c r="D3093" s="3">
        <f t="shared" si="51"/>
        <v>-6.7406274751385942E-3</v>
      </c>
    </row>
    <row r="3094" spans="2:4" x14ac:dyDescent="0.2">
      <c r="B3094" s="2">
        <v>40604</v>
      </c>
      <c r="C3094" s="61">
        <v>7181.12</v>
      </c>
      <c r="D3094" s="3">
        <f t="shared" si="51"/>
        <v>-5.8394362687415047E-3</v>
      </c>
    </row>
    <row r="3095" spans="2:4" x14ac:dyDescent="0.2">
      <c r="B3095" s="2">
        <v>40605</v>
      </c>
      <c r="C3095" s="61">
        <v>7225.96</v>
      </c>
      <c r="D3095" s="3">
        <f t="shared" si="51"/>
        <v>6.2441513301545459E-3</v>
      </c>
    </row>
    <row r="3096" spans="2:4" x14ac:dyDescent="0.2">
      <c r="B3096" s="2">
        <v>40606</v>
      </c>
      <c r="C3096" s="61">
        <v>7178.9</v>
      </c>
      <c r="D3096" s="3">
        <f t="shared" si="51"/>
        <v>-6.5126294637668503E-3</v>
      </c>
    </row>
    <row r="3097" spans="2:4" x14ac:dyDescent="0.2">
      <c r="B3097" s="2">
        <v>40609</v>
      </c>
      <c r="C3097" s="61">
        <v>7161.93</v>
      </c>
      <c r="D3097" s="3">
        <f t="shared" si="51"/>
        <v>-2.363871902380521E-3</v>
      </c>
    </row>
    <row r="3098" spans="2:4" x14ac:dyDescent="0.2">
      <c r="B3098" s="2">
        <v>40610</v>
      </c>
      <c r="C3098" s="61">
        <v>7164.75</v>
      </c>
      <c r="D3098" s="3">
        <f t="shared" si="51"/>
        <v>3.937486124550027E-4</v>
      </c>
    </row>
    <row r="3099" spans="2:4" x14ac:dyDescent="0.2">
      <c r="B3099" s="2">
        <v>40611</v>
      </c>
      <c r="C3099" s="61">
        <v>7131.8</v>
      </c>
      <c r="D3099" s="3">
        <f t="shared" si="51"/>
        <v>-4.5989043581422528E-3</v>
      </c>
    </row>
    <row r="3100" spans="2:4" x14ac:dyDescent="0.2">
      <c r="B3100" s="2">
        <v>40612</v>
      </c>
      <c r="C3100" s="61">
        <v>7063.09</v>
      </c>
      <c r="D3100" s="3">
        <f t="shared" si="51"/>
        <v>-9.6343139179450032E-3</v>
      </c>
    </row>
    <row r="3101" spans="2:4" x14ac:dyDescent="0.2">
      <c r="B3101" s="2">
        <v>40613</v>
      </c>
      <c r="C3101" s="61">
        <v>6981.49</v>
      </c>
      <c r="D3101" s="3">
        <f t="shared" si="51"/>
        <v>-1.1553017163875912E-2</v>
      </c>
    </row>
    <row r="3102" spans="2:4" x14ac:dyDescent="0.2">
      <c r="B3102" s="2">
        <v>40616</v>
      </c>
      <c r="C3102" s="61">
        <v>6866.63</v>
      </c>
      <c r="D3102" s="3">
        <f t="shared" si="51"/>
        <v>-1.6452075416565792E-2</v>
      </c>
    </row>
    <row r="3103" spans="2:4" x14ac:dyDescent="0.2">
      <c r="B3103" s="2">
        <v>40617</v>
      </c>
      <c r="C3103" s="61">
        <v>6647.66</v>
      </c>
      <c r="D3103" s="3">
        <f t="shared" si="51"/>
        <v>-3.1889005232552226E-2</v>
      </c>
    </row>
    <row r="3104" spans="2:4" x14ac:dyDescent="0.2">
      <c r="B3104" s="2">
        <v>40618</v>
      </c>
      <c r="C3104" s="61">
        <v>6513.84</v>
      </c>
      <c r="D3104" s="3">
        <f t="shared" si="51"/>
        <v>-2.0130391746870258E-2</v>
      </c>
    </row>
    <row r="3105" spans="2:4" x14ac:dyDescent="0.2">
      <c r="B3105" s="2">
        <v>40619</v>
      </c>
      <c r="C3105" s="61">
        <v>6656.88</v>
      </c>
      <c r="D3105" s="3">
        <f t="shared" si="51"/>
        <v>2.19593972219152E-2</v>
      </c>
    </row>
    <row r="3106" spans="2:4" x14ac:dyDescent="0.2">
      <c r="B3106" s="2">
        <v>40620</v>
      </c>
      <c r="C3106" s="61">
        <v>6664.4</v>
      </c>
      <c r="D3106" s="3">
        <f t="shared" si="51"/>
        <v>1.1296583384408088E-3</v>
      </c>
    </row>
    <row r="3107" spans="2:4" x14ac:dyDescent="0.2">
      <c r="B3107" s="2">
        <v>40623</v>
      </c>
      <c r="C3107" s="61">
        <v>6816.12</v>
      </c>
      <c r="D3107" s="3">
        <f t="shared" si="51"/>
        <v>2.2765740351719632E-2</v>
      </c>
    </row>
    <row r="3108" spans="2:4" x14ac:dyDescent="0.2">
      <c r="B3108" s="2">
        <v>40624</v>
      </c>
      <c r="C3108" s="61">
        <v>6780.97</v>
      </c>
      <c r="D3108" s="3">
        <f t="shared" si="51"/>
        <v>-5.1568927777092544E-3</v>
      </c>
    </row>
    <row r="3109" spans="2:4" x14ac:dyDescent="0.2">
      <c r="B3109" s="2">
        <v>40625</v>
      </c>
      <c r="C3109" s="61">
        <v>6804.45</v>
      </c>
      <c r="D3109" s="3">
        <f t="shared" si="51"/>
        <v>3.4626314524321966E-3</v>
      </c>
    </row>
    <row r="3110" spans="2:4" x14ac:dyDescent="0.2">
      <c r="B3110" s="2">
        <v>40626</v>
      </c>
      <c r="C3110" s="61">
        <v>6933.58</v>
      </c>
      <c r="D3110" s="3">
        <f t="shared" si="51"/>
        <v>1.8977286922528647E-2</v>
      </c>
    </row>
    <row r="3111" spans="2:4" x14ac:dyDescent="0.2">
      <c r="B3111" s="2">
        <v>40627</v>
      </c>
      <c r="C3111" s="61">
        <v>6946.36</v>
      </c>
      <c r="D3111" s="3">
        <f t="shared" si="51"/>
        <v>1.8432036552544773E-3</v>
      </c>
    </row>
    <row r="3112" spans="2:4" x14ac:dyDescent="0.2">
      <c r="B3112" s="2">
        <v>40630</v>
      </c>
      <c r="C3112" s="61">
        <v>6938.63</v>
      </c>
      <c r="D3112" s="3">
        <f t="shared" si="51"/>
        <v>-1.1128130416505622E-3</v>
      </c>
    </row>
    <row r="3113" spans="2:4" x14ac:dyDescent="0.2">
      <c r="B3113" s="2">
        <v>40631</v>
      </c>
      <c r="C3113" s="61">
        <v>6934.44</v>
      </c>
      <c r="D3113" s="3">
        <f t="shared" si="51"/>
        <v>-6.0386560459346761E-4</v>
      </c>
    </row>
    <row r="3114" spans="2:4" x14ac:dyDescent="0.2">
      <c r="B3114" s="2">
        <v>40632</v>
      </c>
      <c r="C3114" s="61">
        <v>7057.15</v>
      </c>
      <c r="D3114" s="3">
        <f t="shared" si="51"/>
        <v>1.7695733181049889E-2</v>
      </c>
    </row>
    <row r="3115" spans="2:4" x14ac:dyDescent="0.2">
      <c r="B3115" s="2">
        <v>40633</v>
      </c>
      <c r="C3115" s="61">
        <v>7041.31</v>
      </c>
      <c r="D3115" s="3">
        <f t="shared" si="51"/>
        <v>-2.2445321411617147E-3</v>
      </c>
    </row>
    <row r="3116" spans="2:4" x14ac:dyDescent="0.2">
      <c r="B3116" s="2">
        <v>40634</v>
      </c>
      <c r="C3116" s="61">
        <v>7179.81</v>
      </c>
      <c r="D3116" s="3">
        <f t="shared" si="51"/>
        <v>1.9669635337742575E-2</v>
      </c>
    </row>
    <row r="3117" spans="2:4" x14ac:dyDescent="0.2">
      <c r="B3117" s="2">
        <v>40637</v>
      </c>
      <c r="C3117" s="61">
        <v>7175.33</v>
      </c>
      <c r="D3117" s="3">
        <f t="shared" si="51"/>
        <v>-6.239719435473523E-4</v>
      </c>
    </row>
    <row r="3118" spans="2:4" x14ac:dyDescent="0.2">
      <c r="B3118" s="2">
        <v>40638</v>
      </c>
      <c r="C3118" s="61">
        <v>7175.31</v>
      </c>
      <c r="D3118" s="3">
        <f t="shared" si="51"/>
        <v>-2.7873282482104855E-6</v>
      </c>
    </row>
    <row r="3119" spans="2:4" x14ac:dyDescent="0.2">
      <c r="B3119" s="2">
        <v>40639</v>
      </c>
      <c r="C3119" s="61">
        <v>7215.11</v>
      </c>
      <c r="D3119" s="3">
        <f t="shared" si="51"/>
        <v>5.5467986749002662E-3</v>
      </c>
    </row>
    <row r="3120" spans="2:4" x14ac:dyDescent="0.2">
      <c r="B3120" s="2">
        <v>40640</v>
      </c>
      <c r="C3120" s="61">
        <v>7178.78</v>
      </c>
      <c r="D3120" s="3">
        <f t="shared" si="51"/>
        <v>-5.0352662675967608E-3</v>
      </c>
    </row>
    <row r="3121" spans="2:4" x14ac:dyDescent="0.2">
      <c r="B3121" s="2">
        <v>40641</v>
      </c>
      <c r="C3121" s="61">
        <v>7217.02</v>
      </c>
      <c r="D3121" s="3">
        <f t="shared" si="51"/>
        <v>5.3268104051107379E-3</v>
      </c>
    </row>
    <row r="3122" spans="2:4" x14ac:dyDescent="0.2">
      <c r="B3122" s="2">
        <v>40644</v>
      </c>
      <c r="C3122" s="61">
        <v>7204.86</v>
      </c>
      <c r="D3122" s="3">
        <f t="shared" si="51"/>
        <v>-1.6849059584150838E-3</v>
      </c>
    </row>
    <row r="3123" spans="2:4" x14ac:dyDescent="0.2">
      <c r="B3123" s="2">
        <v>40645</v>
      </c>
      <c r="C3123" s="61">
        <v>7102.91</v>
      </c>
      <c r="D3123" s="3">
        <f t="shared" si="51"/>
        <v>-1.415017085689374E-2</v>
      </c>
    </row>
    <row r="3124" spans="2:4" x14ac:dyDescent="0.2">
      <c r="B3124" s="2">
        <v>40646</v>
      </c>
      <c r="C3124" s="61">
        <v>7177.97</v>
      </c>
      <c r="D3124" s="3">
        <f t="shared" si="51"/>
        <v>1.0567499799378099E-2</v>
      </c>
    </row>
    <row r="3125" spans="2:4" x14ac:dyDescent="0.2">
      <c r="B3125" s="2">
        <v>40647</v>
      </c>
      <c r="C3125" s="61">
        <v>7146.56</v>
      </c>
      <c r="D3125" s="3">
        <f t="shared" si="51"/>
        <v>-4.3758890048299914E-3</v>
      </c>
    </row>
    <row r="3126" spans="2:4" x14ac:dyDescent="0.2">
      <c r="B3126" s="2">
        <v>40648</v>
      </c>
      <c r="C3126" s="61">
        <v>7178.29</v>
      </c>
      <c r="D3126" s="3">
        <f t="shared" si="51"/>
        <v>4.4398983566917849E-3</v>
      </c>
    </row>
    <row r="3127" spans="2:4" x14ac:dyDescent="0.2">
      <c r="B3127" s="2">
        <v>40651</v>
      </c>
      <c r="C3127" s="61">
        <v>7026.85</v>
      </c>
      <c r="D3127" s="3">
        <f t="shared" si="51"/>
        <v>-2.1096946487255241E-2</v>
      </c>
    </row>
    <row r="3128" spans="2:4" x14ac:dyDescent="0.2">
      <c r="B3128" s="2">
        <v>40652</v>
      </c>
      <c r="C3128" s="61">
        <v>7039.31</v>
      </c>
      <c r="D3128" s="3">
        <f t="shared" si="51"/>
        <v>1.7731985171165476E-3</v>
      </c>
    </row>
    <row r="3129" spans="2:4" x14ac:dyDescent="0.2">
      <c r="B3129" s="2">
        <v>40653</v>
      </c>
      <c r="C3129" s="61">
        <v>7249.19</v>
      </c>
      <c r="D3129" s="3">
        <f t="shared" si="51"/>
        <v>2.981542225019207E-2</v>
      </c>
    </row>
    <row r="3130" spans="2:4" x14ac:dyDescent="0.2">
      <c r="B3130" s="2">
        <v>40654</v>
      </c>
      <c r="C3130" s="61">
        <v>7295.49</v>
      </c>
      <c r="D3130" s="3">
        <f t="shared" si="51"/>
        <v>6.3869204697353243E-3</v>
      </c>
    </row>
    <row r="3131" spans="2:4" x14ac:dyDescent="0.2">
      <c r="B3131" s="2">
        <v>40659</v>
      </c>
      <c r="C3131" s="61">
        <v>7356.51</v>
      </c>
      <c r="D3131" s="3">
        <f t="shared" si="51"/>
        <v>8.364071501708592E-3</v>
      </c>
    </row>
    <row r="3132" spans="2:4" x14ac:dyDescent="0.2">
      <c r="B3132" s="2">
        <v>40660</v>
      </c>
      <c r="C3132" s="61">
        <v>7404.95</v>
      </c>
      <c r="D3132" s="3">
        <f t="shared" si="51"/>
        <v>6.5846440771506476E-3</v>
      </c>
    </row>
    <row r="3133" spans="2:4" x14ac:dyDescent="0.2">
      <c r="B3133" s="2">
        <v>40661</v>
      </c>
      <c r="C3133" s="61">
        <v>7475.22</v>
      </c>
      <c r="D3133" s="3">
        <f t="shared" si="51"/>
        <v>9.4895981741942581E-3</v>
      </c>
    </row>
    <row r="3134" spans="2:4" x14ac:dyDescent="0.2">
      <c r="B3134" s="2">
        <v>40662</v>
      </c>
      <c r="C3134" s="61">
        <v>7514.46</v>
      </c>
      <c r="D3134" s="3">
        <f t="shared" si="51"/>
        <v>5.249343832020914E-3</v>
      </c>
    </row>
    <row r="3135" spans="2:4" x14ac:dyDescent="0.2">
      <c r="B3135" s="2">
        <v>40665</v>
      </c>
      <c r="C3135" s="61">
        <v>7527.64</v>
      </c>
      <c r="D3135" s="3">
        <f t="shared" si="51"/>
        <v>1.7539517144280481E-3</v>
      </c>
    </row>
    <row r="3136" spans="2:4" x14ac:dyDescent="0.2">
      <c r="B3136" s="2">
        <v>40666</v>
      </c>
      <c r="C3136" s="61">
        <v>7500.7</v>
      </c>
      <c r="D3136" s="3">
        <f t="shared" si="51"/>
        <v>-3.5788108889374115E-3</v>
      </c>
    </row>
    <row r="3137" spans="2:4" x14ac:dyDescent="0.2">
      <c r="B3137" s="2">
        <v>40667</v>
      </c>
      <c r="C3137" s="61">
        <v>7373.93</v>
      </c>
      <c r="D3137" s="3">
        <f t="shared" si="51"/>
        <v>-1.6901089231671662E-2</v>
      </c>
    </row>
    <row r="3138" spans="2:4" x14ac:dyDescent="0.2">
      <c r="B3138" s="2">
        <v>40668</v>
      </c>
      <c r="C3138" s="61">
        <v>7376.96</v>
      </c>
      <c r="D3138" s="3">
        <f t="shared" si="51"/>
        <v>4.109070739755083E-4</v>
      </c>
    </row>
    <row r="3139" spans="2:4" x14ac:dyDescent="0.2">
      <c r="B3139" s="2">
        <v>40669</v>
      </c>
      <c r="C3139" s="61">
        <v>7492.25</v>
      </c>
      <c r="D3139" s="3">
        <f t="shared" si="51"/>
        <v>1.5628388929857184E-2</v>
      </c>
    </row>
    <row r="3140" spans="2:4" x14ac:dyDescent="0.2">
      <c r="B3140" s="2">
        <v>40672</v>
      </c>
      <c r="C3140" s="61">
        <v>7410.52</v>
      </c>
      <c r="D3140" s="3">
        <f t="shared" si="51"/>
        <v>-1.0908605559077689E-2</v>
      </c>
    </row>
    <row r="3141" spans="2:4" x14ac:dyDescent="0.2">
      <c r="B3141" s="2">
        <v>40673</v>
      </c>
      <c r="C3141" s="61">
        <v>7501.52</v>
      </c>
      <c r="D3141" s="3">
        <f t="shared" ref="D3141:D3204" si="52">C3141/C3140-1</f>
        <v>1.2279840011227172E-2</v>
      </c>
    </row>
    <row r="3142" spans="2:4" x14ac:dyDescent="0.2">
      <c r="B3142" s="2">
        <v>40674</v>
      </c>
      <c r="C3142" s="61">
        <v>7495.05</v>
      </c>
      <c r="D3142" s="3">
        <f t="shared" si="52"/>
        <v>-8.624918683147742E-4</v>
      </c>
    </row>
    <row r="3143" spans="2:4" x14ac:dyDescent="0.2">
      <c r="B3143" s="2">
        <v>40675</v>
      </c>
      <c r="C3143" s="61">
        <v>7443.95</v>
      </c>
      <c r="D3143" s="3">
        <f t="shared" si="52"/>
        <v>-6.8178331031815143E-3</v>
      </c>
    </row>
    <row r="3144" spans="2:4" x14ac:dyDescent="0.2">
      <c r="B3144" s="2">
        <v>40676</v>
      </c>
      <c r="C3144" s="61">
        <v>7403.31</v>
      </c>
      <c r="D3144" s="3">
        <f t="shared" si="52"/>
        <v>-5.4594670840076853E-3</v>
      </c>
    </row>
    <row r="3145" spans="2:4" x14ac:dyDescent="0.2">
      <c r="B3145" s="2">
        <v>40679</v>
      </c>
      <c r="C3145" s="61">
        <v>7387.54</v>
      </c>
      <c r="D3145" s="3">
        <f t="shared" si="52"/>
        <v>-2.1301282804584432E-3</v>
      </c>
    </row>
    <row r="3146" spans="2:4" x14ac:dyDescent="0.2">
      <c r="B3146" s="2">
        <v>40680</v>
      </c>
      <c r="C3146" s="61">
        <v>7256.65</v>
      </c>
      <c r="D3146" s="3">
        <f t="shared" si="52"/>
        <v>-1.7717670564220356E-2</v>
      </c>
    </row>
    <row r="3147" spans="2:4" x14ac:dyDescent="0.2">
      <c r="B3147" s="2">
        <v>40681</v>
      </c>
      <c r="C3147" s="61">
        <v>7303.53</v>
      </c>
      <c r="D3147" s="3">
        <f t="shared" si="52"/>
        <v>6.4602812592586822E-3</v>
      </c>
    </row>
    <row r="3148" spans="2:4" x14ac:dyDescent="0.2">
      <c r="B3148" s="2">
        <v>40682</v>
      </c>
      <c r="C3148" s="61">
        <v>7358.23</v>
      </c>
      <c r="D3148" s="3">
        <f t="shared" si="52"/>
        <v>7.4895290359593414E-3</v>
      </c>
    </row>
    <row r="3149" spans="2:4" x14ac:dyDescent="0.2">
      <c r="B3149" s="2">
        <v>40683</v>
      </c>
      <c r="C3149" s="61">
        <v>7266.82</v>
      </c>
      <c r="D3149" s="3">
        <f t="shared" si="52"/>
        <v>-1.2422824510785913E-2</v>
      </c>
    </row>
    <row r="3150" spans="2:4" x14ac:dyDescent="0.2">
      <c r="B3150" s="2">
        <v>40686</v>
      </c>
      <c r="C3150" s="61">
        <v>7121.52</v>
      </c>
      <c r="D3150" s="3">
        <f t="shared" si="52"/>
        <v>-1.9994990931383905E-2</v>
      </c>
    </row>
    <row r="3151" spans="2:4" x14ac:dyDescent="0.2">
      <c r="B3151" s="2">
        <v>40687</v>
      </c>
      <c r="C3151" s="61">
        <v>7150.66</v>
      </c>
      <c r="D3151" s="3">
        <f t="shared" si="52"/>
        <v>4.0918230939461786E-3</v>
      </c>
    </row>
    <row r="3152" spans="2:4" x14ac:dyDescent="0.2">
      <c r="B3152" s="2">
        <v>40688</v>
      </c>
      <c r="C3152" s="61">
        <v>7170.94</v>
      </c>
      <c r="D3152" s="3">
        <f t="shared" si="52"/>
        <v>2.8361018423472828E-3</v>
      </c>
    </row>
    <row r="3153" spans="2:4" x14ac:dyDescent="0.2">
      <c r="B3153" s="2">
        <v>40689</v>
      </c>
      <c r="C3153" s="61">
        <v>7114.09</v>
      </c>
      <c r="D3153" s="3">
        <f t="shared" si="52"/>
        <v>-7.9278309398767011E-3</v>
      </c>
    </row>
    <row r="3154" spans="2:4" x14ac:dyDescent="0.2">
      <c r="B3154" s="2">
        <v>40690</v>
      </c>
      <c r="C3154" s="61">
        <v>7163.47</v>
      </c>
      <c r="D3154" s="3">
        <f t="shared" si="52"/>
        <v>6.9411548068691875E-3</v>
      </c>
    </row>
    <row r="3155" spans="2:4" x14ac:dyDescent="0.2">
      <c r="B3155" s="2">
        <v>40693</v>
      </c>
      <c r="C3155" s="61">
        <v>7160.3</v>
      </c>
      <c r="D3155" s="3">
        <f t="shared" si="52"/>
        <v>-4.4252296722124829E-4</v>
      </c>
    </row>
    <row r="3156" spans="2:4" x14ac:dyDescent="0.2">
      <c r="B3156" s="2">
        <v>40694</v>
      </c>
      <c r="C3156" s="61">
        <v>7293.69</v>
      </c>
      <c r="D3156" s="3">
        <f t="shared" si="52"/>
        <v>1.8629107718950211E-2</v>
      </c>
    </row>
    <row r="3157" spans="2:4" x14ac:dyDescent="0.2">
      <c r="B3157" s="2">
        <v>40695</v>
      </c>
      <c r="C3157" s="61">
        <v>7217.43</v>
      </c>
      <c r="D3157" s="3">
        <f t="shared" si="52"/>
        <v>-1.0455613002471886E-2</v>
      </c>
    </row>
    <row r="3158" spans="2:4" x14ac:dyDescent="0.2">
      <c r="B3158" s="2">
        <v>40696</v>
      </c>
      <c r="C3158" s="61">
        <v>7074.12</v>
      </c>
      <c r="D3158" s="3">
        <f t="shared" si="52"/>
        <v>-1.9856098361882291E-2</v>
      </c>
    </row>
    <row r="3159" spans="2:4" x14ac:dyDescent="0.2">
      <c r="B3159" s="2">
        <v>40697</v>
      </c>
      <c r="C3159" s="61">
        <v>7109.03</v>
      </c>
      <c r="D3159" s="3">
        <f t="shared" si="52"/>
        <v>4.9348894279430677E-3</v>
      </c>
    </row>
    <row r="3160" spans="2:4" x14ac:dyDescent="0.2">
      <c r="B3160" s="2">
        <v>40700</v>
      </c>
      <c r="C3160" s="61">
        <v>7084.57</v>
      </c>
      <c r="D3160" s="3">
        <f t="shared" si="52"/>
        <v>-3.4406944407324724E-3</v>
      </c>
    </row>
    <row r="3161" spans="2:4" x14ac:dyDescent="0.2">
      <c r="B3161" s="2">
        <v>40701</v>
      </c>
      <c r="C3161" s="61">
        <v>7103.25</v>
      </c>
      <c r="D3161" s="3">
        <f t="shared" si="52"/>
        <v>2.6367161309719389E-3</v>
      </c>
    </row>
    <row r="3162" spans="2:4" x14ac:dyDescent="0.2">
      <c r="B3162" s="2">
        <v>40702</v>
      </c>
      <c r="C3162" s="61">
        <v>7060.23</v>
      </c>
      <c r="D3162" s="3">
        <f t="shared" si="52"/>
        <v>-6.05638264174857E-3</v>
      </c>
    </row>
    <row r="3163" spans="2:4" x14ac:dyDescent="0.2">
      <c r="B3163" s="2">
        <v>40703</v>
      </c>
      <c r="C3163" s="61">
        <v>7159.66</v>
      </c>
      <c r="D3163" s="3">
        <f t="shared" si="52"/>
        <v>1.4083110606878391E-2</v>
      </c>
    </row>
    <row r="3164" spans="2:4" x14ac:dyDescent="0.2">
      <c r="B3164" s="2">
        <v>40704</v>
      </c>
      <c r="C3164" s="61">
        <v>7069.9</v>
      </c>
      <c r="D3164" s="3">
        <f t="shared" si="52"/>
        <v>-1.2536908177203987E-2</v>
      </c>
    </row>
    <row r="3165" spans="2:4" x14ac:dyDescent="0.2">
      <c r="B3165" s="2">
        <v>40707</v>
      </c>
      <c r="C3165" s="61">
        <v>7085.14</v>
      </c>
      <c r="D3165" s="3">
        <f t="shared" si="52"/>
        <v>2.1556174769092884E-3</v>
      </c>
    </row>
    <row r="3166" spans="2:4" x14ac:dyDescent="0.2">
      <c r="B3166" s="2">
        <v>40708</v>
      </c>
      <c r="C3166" s="61">
        <v>7204.79</v>
      </c>
      <c r="D3166" s="3">
        <f t="shared" si="52"/>
        <v>1.6887457410862616E-2</v>
      </c>
    </row>
    <row r="3167" spans="2:4" x14ac:dyDescent="0.2">
      <c r="B3167" s="2">
        <v>40709</v>
      </c>
      <c r="C3167" s="61">
        <v>7115.08</v>
      </c>
      <c r="D3167" s="3">
        <f t="shared" si="52"/>
        <v>-1.2451438556848937E-2</v>
      </c>
    </row>
    <row r="3168" spans="2:4" x14ac:dyDescent="0.2">
      <c r="B3168" s="2">
        <v>40710</v>
      </c>
      <c r="C3168" s="61">
        <v>7110.2</v>
      </c>
      <c r="D3168" s="3">
        <f t="shared" si="52"/>
        <v>-6.8586720036878379E-4</v>
      </c>
    </row>
    <row r="3169" spans="2:4" x14ac:dyDescent="0.2">
      <c r="B3169" s="2">
        <v>40711</v>
      </c>
      <c r="C3169" s="61">
        <v>7164.05</v>
      </c>
      <c r="D3169" s="3">
        <f t="shared" si="52"/>
        <v>7.5736266209107672E-3</v>
      </c>
    </row>
    <row r="3170" spans="2:4" x14ac:dyDescent="0.2">
      <c r="B3170" s="2">
        <v>40714</v>
      </c>
      <c r="C3170" s="61">
        <v>7150.21</v>
      </c>
      <c r="D3170" s="3">
        <f t="shared" si="52"/>
        <v>-1.9318681472072496E-3</v>
      </c>
    </row>
    <row r="3171" spans="2:4" x14ac:dyDescent="0.2">
      <c r="B3171" s="2">
        <v>40715</v>
      </c>
      <c r="C3171" s="61">
        <v>7285.51</v>
      </c>
      <c r="D3171" s="3">
        <f t="shared" si="52"/>
        <v>1.8922521156721217E-2</v>
      </c>
    </row>
    <row r="3172" spans="2:4" x14ac:dyDescent="0.2">
      <c r="B3172" s="2">
        <v>40716</v>
      </c>
      <c r="C3172" s="61">
        <v>7278.19</v>
      </c>
      <c r="D3172" s="3">
        <f t="shared" si="52"/>
        <v>-1.0047340543078986E-3</v>
      </c>
    </row>
    <row r="3173" spans="2:4" x14ac:dyDescent="0.2">
      <c r="B3173" s="2">
        <v>40717</v>
      </c>
      <c r="C3173" s="61">
        <v>7149.44</v>
      </c>
      <c r="D3173" s="3">
        <f t="shared" si="52"/>
        <v>-1.7689837720642032E-2</v>
      </c>
    </row>
    <row r="3174" spans="2:4" x14ac:dyDescent="0.2">
      <c r="B3174" s="2">
        <v>40718</v>
      </c>
      <c r="C3174" s="61">
        <v>7121.38</v>
      </c>
      <c r="D3174" s="3">
        <f t="shared" si="52"/>
        <v>-3.9247829200608209E-3</v>
      </c>
    </row>
    <row r="3175" spans="2:4" x14ac:dyDescent="0.2">
      <c r="B3175" s="2">
        <v>40721</v>
      </c>
      <c r="C3175" s="61">
        <v>7107.9</v>
      </c>
      <c r="D3175" s="3">
        <f t="shared" si="52"/>
        <v>-1.8928915463014562E-3</v>
      </c>
    </row>
    <row r="3176" spans="2:4" x14ac:dyDescent="0.2">
      <c r="B3176" s="2">
        <v>40722</v>
      </c>
      <c r="C3176" s="61">
        <v>7170.43</v>
      </c>
      <c r="D3176" s="3">
        <f t="shared" si="52"/>
        <v>8.7972537599010359E-3</v>
      </c>
    </row>
    <row r="3177" spans="2:4" x14ac:dyDescent="0.2">
      <c r="B3177" s="2">
        <v>40723</v>
      </c>
      <c r="C3177" s="61">
        <v>7294.14</v>
      </c>
      <c r="D3177" s="3">
        <f t="shared" si="52"/>
        <v>1.7252800738588814E-2</v>
      </c>
    </row>
    <row r="3178" spans="2:4" x14ac:dyDescent="0.2">
      <c r="B3178" s="2">
        <v>40724</v>
      </c>
      <c r="C3178" s="61">
        <v>7376.24</v>
      </c>
      <c r="D3178" s="3">
        <f t="shared" si="52"/>
        <v>1.1255610668289728E-2</v>
      </c>
    </row>
    <row r="3179" spans="2:4" x14ac:dyDescent="0.2">
      <c r="B3179" s="2">
        <v>40725</v>
      </c>
      <c r="C3179" s="61">
        <v>7419.44</v>
      </c>
      <c r="D3179" s="3">
        <f t="shared" si="52"/>
        <v>5.8566424085984004E-3</v>
      </c>
    </row>
    <row r="3180" spans="2:4" x14ac:dyDescent="0.2">
      <c r="B3180" s="2">
        <v>40728</v>
      </c>
      <c r="C3180" s="61">
        <v>7442.96</v>
      </c>
      <c r="D3180" s="3">
        <f t="shared" si="52"/>
        <v>3.1700505698544212E-3</v>
      </c>
    </row>
    <row r="3181" spans="2:4" x14ac:dyDescent="0.2">
      <c r="B3181" s="2">
        <v>40729</v>
      </c>
      <c r="C3181" s="61">
        <v>7439.44</v>
      </c>
      <c r="D3181" s="3">
        <f t="shared" si="52"/>
        <v>-4.7293012457416683E-4</v>
      </c>
    </row>
    <row r="3182" spans="2:4" x14ac:dyDescent="0.2">
      <c r="B3182" s="2">
        <v>40730</v>
      </c>
      <c r="C3182" s="61">
        <v>7431.19</v>
      </c>
      <c r="D3182" s="3">
        <f t="shared" si="52"/>
        <v>-1.1089544374307536E-3</v>
      </c>
    </row>
    <row r="3183" spans="2:4" x14ac:dyDescent="0.2">
      <c r="B3183" s="2">
        <v>40731</v>
      </c>
      <c r="C3183" s="61">
        <v>7471.44</v>
      </c>
      <c r="D3183" s="3">
        <f t="shared" si="52"/>
        <v>5.4163599638819004E-3</v>
      </c>
    </row>
    <row r="3184" spans="2:4" x14ac:dyDescent="0.2">
      <c r="B3184" s="2">
        <v>40732</v>
      </c>
      <c r="C3184" s="61">
        <v>7402.73</v>
      </c>
      <c r="D3184" s="3">
        <f t="shared" si="52"/>
        <v>-9.1963530457315201E-3</v>
      </c>
    </row>
    <row r="3185" spans="2:4" x14ac:dyDescent="0.2">
      <c r="B3185" s="2">
        <v>40735</v>
      </c>
      <c r="C3185" s="61">
        <v>7230.25</v>
      </c>
      <c r="D3185" s="3">
        <f t="shared" si="52"/>
        <v>-2.3299512477153672E-2</v>
      </c>
    </row>
    <row r="3186" spans="2:4" x14ac:dyDescent="0.2">
      <c r="B3186" s="2">
        <v>40736</v>
      </c>
      <c r="C3186" s="61">
        <v>7174.14</v>
      </c>
      <c r="D3186" s="3">
        <f t="shared" si="52"/>
        <v>-7.7604508834410169E-3</v>
      </c>
    </row>
    <row r="3187" spans="2:4" x14ac:dyDescent="0.2">
      <c r="B3187" s="2">
        <v>40737</v>
      </c>
      <c r="C3187" s="61">
        <v>7267.87</v>
      </c>
      <c r="D3187" s="3">
        <f t="shared" si="52"/>
        <v>1.3064980610916432E-2</v>
      </c>
    </row>
    <row r="3188" spans="2:4" x14ac:dyDescent="0.2">
      <c r="B3188" s="2">
        <v>40738</v>
      </c>
      <c r="C3188" s="61">
        <v>7214.74</v>
      </c>
      <c r="D3188" s="3">
        <f t="shared" si="52"/>
        <v>-7.3102573381197411E-3</v>
      </c>
    </row>
    <row r="3189" spans="2:4" x14ac:dyDescent="0.2">
      <c r="B3189" s="2">
        <v>40739</v>
      </c>
      <c r="C3189" s="61">
        <v>7220.12</v>
      </c>
      <c r="D3189" s="3">
        <f t="shared" si="52"/>
        <v>7.456956175828644E-4</v>
      </c>
    </row>
    <row r="3190" spans="2:4" x14ac:dyDescent="0.2">
      <c r="B3190" s="2">
        <v>40742</v>
      </c>
      <c r="C3190" s="61">
        <v>7107.92</v>
      </c>
      <c r="D3190" s="3">
        <f t="shared" si="52"/>
        <v>-1.5539907923967977E-2</v>
      </c>
    </row>
    <row r="3191" spans="2:4" x14ac:dyDescent="0.2">
      <c r="B3191" s="2">
        <v>40743</v>
      </c>
      <c r="C3191" s="61">
        <v>7192.67</v>
      </c>
      <c r="D3191" s="3">
        <f t="shared" si="52"/>
        <v>1.1923319339553595E-2</v>
      </c>
    </row>
    <row r="3192" spans="2:4" x14ac:dyDescent="0.2">
      <c r="B3192" s="2">
        <v>40744</v>
      </c>
      <c r="C3192" s="61">
        <v>7221.36</v>
      </c>
      <c r="D3192" s="3">
        <f t="shared" si="52"/>
        <v>3.9887830249405454E-3</v>
      </c>
    </row>
    <row r="3193" spans="2:4" x14ac:dyDescent="0.2">
      <c r="B3193" s="2">
        <v>40745</v>
      </c>
      <c r="C3193" s="61">
        <v>7290.14</v>
      </c>
      <c r="D3193" s="3">
        <f t="shared" si="52"/>
        <v>9.5245216967441149E-3</v>
      </c>
    </row>
    <row r="3194" spans="2:4" x14ac:dyDescent="0.2">
      <c r="B3194" s="2">
        <v>40746</v>
      </c>
      <c r="C3194" s="61">
        <v>7326.39</v>
      </c>
      <c r="D3194" s="3">
        <f t="shared" si="52"/>
        <v>4.9724696645057076E-3</v>
      </c>
    </row>
    <row r="3195" spans="2:4" x14ac:dyDescent="0.2">
      <c r="B3195" s="2">
        <v>40749</v>
      </c>
      <c r="C3195" s="61">
        <v>7344.54</v>
      </c>
      <c r="D3195" s="3">
        <f t="shared" si="52"/>
        <v>2.4773455958526647E-3</v>
      </c>
    </row>
    <row r="3196" spans="2:4" x14ac:dyDescent="0.2">
      <c r="B3196" s="2">
        <v>40750</v>
      </c>
      <c r="C3196" s="61">
        <v>7349.45</v>
      </c>
      <c r="D3196" s="3">
        <f t="shared" si="52"/>
        <v>6.6852382858550996E-4</v>
      </c>
    </row>
    <row r="3197" spans="2:4" x14ac:dyDescent="0.2">
      <c r="B3197" s="2">
        <v>40751</v>
      </c>
      <c r="C3197" s="61">
        <v>7252.68</v>
      </c>
      <c r="D3197" s="3">
        <f t="shared" si="52"/>
        <v>-1.3166971678152728E-2</v>
      </c>
    </row>
    <row r="3198" spans="2:4" x14ac:dyDescent="0.2">
      <c r="B3198" s="2">
        <v>40752</v>
      </c>
      <c r="C3198" s="61">
        <v>7190.06</v>
      </c>
      <c r="D3198" s="3">
        <f t="shared" si="52"/>
        <v>-8.6340497581584019E-3</v>
      </c>
    </row>
    <row r="3199" spans="2:4" x14ac:dyDescent="0.2">
      <c r="B3199" s="2">
        <v>40753</v>
      </c>
      <c r="C3199" s="61">
        <v>7158.77</v>
      </c>
      <c r="D3199" s="3">
        <f t="shared" si="52"/>
        <v>-4.3518412920059424E-3</v>
      </c>
    </row>
    <row r="3200" spans="2:4" x14ac:dyDescent="0.2">
      <c r="B3200" s="2">
        <v>40756</v>
      </c>
      <c r="C3200" s="61">
        <v>6953.98</v>
      </c>
      <c r="D3200" s="3">
        <f t="shared" si="52"/>
        <v>-2.860686961586989E-2</v>
      </c>
    </row>
    <row r="3201" spans="2:4" x14ac:dyDescent="0.2">
      <c r="B3201" s="2">
        <v>40757</v>
      </c>
      <c r="C3201" s="61">
        <v>6796.75</v>
      </c>
      <c r="D3201" s="3">
        <f t="shared" si="52"/>
        <v>-2.2610073655661922E-2</v>
      </c>
    </row>
    <row r="3202" spans="2:4" x14ac:dyDescent="0.2">
      <c r="B3202" s="2">
        <v>40758</v>
      </c>
      <c r="C3202" s="61">
        <v>6640.59</v>
      </c>
      <c r="D3202" s="3">
        <f t="shared" si="52"/>
        <v>-2.2975686909184501E-2</v>
      </c>
    </row>
    <row r="3203" spans="2:4" x14ac:dyDescent="0.2">
      <c r="B3203" s="2">
        <v>40759</v>
      </c>
      <c r="C3203" s="61">
        <v>6414.76</v>
      </c>
      <c r="D3203" s="3">
        <f t="shared" si="52"/>
        <v>-3.4007520416107551E-2</v>
      </c>
    </row>
    <row r="3204" spans="2:4" x14ac:dyDescent="0.2">
      <c r="B3204" s="2">
        <v>40760</v>
      </c>
      <c r="C3204" s="61">
        <v>6236.16</v>
      </c>
      <c r="D3204" s="3">
        <f t="shared" si="52"/>
        <v>-2.7842039296871679E-2</v>
      </c>
    </row>
    <row r="3205" spans="2:4" x14ac:dyDescent="0.2">
      <c r="B3205" s="2">
        <v>40763</v>
      </c>
      <c r="C3205" s="61">
        <v>5923.27</v>
      </c>
      <c r="D3205" s="3">
        <f t="shared" ref="D3205:D3268" si="53">C3205/C3204-1</f>
        <v>-5.017350420771749E-2</v>
      </c>
    </row>
    <row r="3206" spans="2:4" x14ac:dyDescent="0.2">
      <c r="B3206" s="2">
        <v>40764</v>
      </c>
      <c r="C3206" s="61">
        <v>5917.08</v>
      </c>
      <c r="D3206" s="3">
        <f t="shared" si="53"/>
        <v>-1.0450308697730337E-3</v>
      </c>
    </row>
    <row r="3207" spans="2:4" x14ac:dyDescent="0.2">
      <c r="B3207" s="2">
        <v>40765</v>
      </c>
      <c r="C3207" s="61">
        <v>5613.42</v>
      </c>
      <c r="D3207" s="3">
        <f t="shared" si="53"/>
        <v>-5.1319231783244379E-2</v>
      </c>
    </row>
    <row r="3208" spans="2:4" x14ac:dyDescent="0.2">
      <c r="B3208" s="2">
        <v>40766</v>
      </c>
      <c r="C3208" s="61">
        <v>5797.66</v>
      </c>
      <c r="D3208" s="3">
        <f t="shared" si="53"/>
        <v>3.2821345988719886E-2</v>
      </c>
    </row>
    <row r="3209" spans="2:4" x14ac:dyDescent="0.2">
      <c r="B3209" s="2">
        <v>40767</v>
      </c>
      <c r="C3209" s="61">
        <v>5997.74</v>
      </c>
      <c r="D3209" s="3">
        <f t="shared" si="53"/>
        <v>3.4510474915741884E-2</v>
      </c>
    </row>
    <row r="3210" spans="2:4" x14ac:dyDescent="0.2">
      <c r="B3210" s="2">
        <v>40770</v>
      </c>
      <c r="C3210" s="61">
        <v>6022.24</v>
      </c>
      <c r="D3210" s="3">
        <f t="shared" si="53"/>
        <v>4.0848719684414281E-3</v>
      </c>
    </row>
    <row r="3211" spans="2:4" x14ac:dyDescent="0.2">
      <c r="B3211" s="2">
        <v>40771</v>
      </c>
      <c r="C3211" s="61">
        <v>5994.9</v>
      </c>
      <c r="D3211" s="3">
        <f t="shared" si="53"/>
        <v>-4.5398389967852282E-3</v>
      </c>
    </row>
    <row r="3212" spans="2:4" x14ac:dyDescent="0.2">
      <c r="B3212" s="2">
        <v>40772</v>
      </c>
      <c r="C3212" s="61">
        <v>5948.94</v>
      </c>
      <c r="D3212" s="3">
        <f t="shared" si="53"/>
        <v>-7.6665165390582546E-3</v>
      </c>
    </row>
    <row r="3213" spans="2:4" x14ac:dyDescent="0.2">
      <c r="B3213" s="2">
        <v>40773</v>
      </c>
      <c r="C3213" s="61">
        <v>5602.8</v>
      </c>
      <c r="D3213" s="3">
        <f t="shared" si="53"/>
        <v>-5.8185155674792433E-2</v>
      </c>
    </row>
    <row r="3214" spans="2:4" x14ac:dyDescent="0.2">
      <c r="B3214" s="2">
        <v>40774</v>
      </c>
      <c r="C3214" s="61">
        <v>5480</v>
      </c>
      <c r="D3214" s="3">
        <f t="shared" si="53"/>
        <v>-2.191761262226033E-2</v>
      </c>
    </row>
    <row r="3215" spans="2:4" x14ac:dyDescent="0.2">
      <c r="B3215" s="2">
        <v>40777</v>
      </c>
      <c r="C3215" s="61">
        <v>5473.78</v>
      </c>
      <c r="D3215" s="3">
        <f t="shared" si="53"/>
        <v>-1.1350364963503834E-3</v>
      </c>
    </row>
    <row r="3216" spans="2:4" x14ac:dyDescent="0.2">
      <c r="B3216" s="2">
        <v>40778</v>
      </c>
      <c r="C3216" s="61">
        <v>5532.38</v>
      </c>
      <c r="D3216" s="3">
        <f t="shared" si="53"/>
        <v>1.0705581883086346E-2</v>
      </c>
    </row>
    <row r="3217" spans="2:4" x14ac:dyDescent="0.2">
      <c r="B3217" s="2">
        <v>40779</v>
      </c>
      <c r="C3217" s="61">
        <v>5681.08</v>
      </c>
      <c r="D3217" s="3">
        <f t="shared" si="53"/>
        <v>2.6878124785354451E-2</v>
      </c>
    </row>
    <row r="3218" spans="2:4" x14ac:dyDescent="0.2">
      <c r="B3218" s="2">
        <v>40780</v>
      </c>
      <c r="C3218" s="61">
        <v>5584.14</v>
      </c>
      <c r="D3218" s="3">
        <f t="shared" si="53"/>
        <v>-1.7063656910305758E-2</v>
      </c>
    </row>
    <row r="3219" spans="2:4" x14ac:dyDescent="0.2">
      <c r="B3219" s="2">
        <v>40781</v>
      </c>
      <c r="C3219" s="61">
        <v>5537.48</v>
      </c>
      <c r="D3219" s="3">
        <f t="shared" si="53"/>
        <v>-8.355807698231188E-3</v>
      </c>
    </row>
    <row r="3220" spans="2:4" x14ac:dyDescent="0.2">
      <c r="B3220" s="2">
        <v>40784</v>
      </c>
      <c r="C3220" s="61">
        <v>5670.07</v>
      </c>
      <c r="D3220" s="3">
        <f t="shared" si="53"/>
        <v>2.3944104538526467E-2</v>
      </c>
    </row>
    <row r="3221" spans="2:4" x14ac:dyDescent="0.2">
      <c r="B3221" s="2">
        <v>40785</v>
      </c>
      <c r="C3221" s="61">
        <v>5643.92</v>
      </c>
      <c r="D3221" s="3">
        <f t="shared" si="53"/>
        <v>-4.611936007844597E-3</v>
      </c>
    </row>
    <row r="3222" spans="2:4" x14ac:dyDescent="0.2">
      <c r="B3222" s="2">
        <v>40786</v>
      </c>
      <c r="C3222" s="61">
        <v>5784.85</v>
      </c>
      <c r="D3222" s="3">
        <f t="shared" si="53"/>
        <v>2.4970233454761903E-2</v>
      </c>
    </row>
    <row r="3223" spans="2:4" x14ac:dyDescent="0.2">
      <c r="B3223" s="2">
        <v>40787</v>
      </c>
      <c r="C3223" s="61">
        <v>5730.63</v>
      </c>
      <c r="D3223" s="3">
        <f t="shared" si="53"/>
        <v>-9.3727581527611736E-3</v>
      </c>
    </row>
    <row r="3224" spans="2:4" x14ac:dyDescent="0.2">
      <c r="B3224" s="2">
        <v>40788</v>
      </c>
      <c r="C3224" s="61">
        <v>5538.33</v>
      </c>
      <c r="D3224" s="3">
        <f t="shared" si="53"/>
        <v>-3.3556519963773623E-2</v>
      </c>
    </row>
    <row r="3225" spans="2:4" x14ac:dyDescent="0.2">
      <c r="B3225" s="2">
        <v>40791</v>
      </c>
      <c r="C3225" s="61">
        <v>5246.18</v>
      </c>
      <c r="D3225" s="3">
        <f t="shared" si="53"/>
        <v>-5.2750558381317036E-2</v>
      </c>
    </row>
    <row r="3226" spans="2:4" x14ac:dyDescent="0.2">
      <c r="B3226" s="2">
        <v>40792</v>
      </c>
      <c r="C3226" s="61">
        <v>5193.97</v>
      </c>
      <c r="D3226" s="3">
        <f t="shared" si="53"/>
        <v>-9.9520031718316471E-3</v>
      </c>
    </row>
    <row r="3227" spans="2:4" x14ac:dyDescent="0.2">
      <c r="B3227" s="2">
        <v>40793</v>
      </c>
      <c r="C3227" s="61">
        <v>5405.53</v>
      </c>
      <c r="D3227" s="3">
        <f t="shared" si="53"/>
        <v>4.0731848662968639E-2</v>
      </c>
    </row>
    <row r="3228" spans="2:4" x14ac:dyDescent="0.2">
      <c r="B3228" s="2">
        <v>40794</v>
      </c>
      <c r="C3228" s="61">
        <v>5408.46</v>
      </c>
      <c r="D3228" s="3">
        <f t="shared" si="53"/>
        <v>5.4203750603543099E-4</v>
      </c>
    </row>
    <row r="3229" spans="2:4" x14ac:dyDescent="0.2">
      <c r="B3229" s="2">
        <v>40795</v>
      </c>
      <c r="C3229" s="61">
        <v>5189.93</v>
      </c>
      <c r="D3229" s="3">
        <f t="shared" si="53"/>
        <v>-4.0405217011866501E-2</v>
      </c>
    </row>
    <row r="3230" spans="2:4" x14ac:dyDescent="0.2">
      <c r="B3230" s="2">
        <v>40798</v>
      </c>
      <c r="C3230" s="61">
        <v>5072.33</v>
      </c>
      <c r="D3230" s="3">
        <f t="shared" si="53"/>
        <v>-2.2659265153865293E-2</v>
      </c>
    </row>
    <row r="3231" spans="2:4" x14ac:dyDescent="0.2">
      <c r="B3231" s="2">
        <v>40799</v>
      </c>
      <c r="C3231" s="61">
        <v>5166.3599999999997</v>
      </c>
      <c r="D3231" s="3">
        <f t="shared" si="53"/>
        <v>1.8537831726248122E-2</v>
      </c>
    </row>
    <row r="3232" spans="2:4" x14ac:dyDescent="0.2">
      <c r="B3232" s="2">
        <v>40800</v>
      </c>
      <c r="C3232" s="61">
        <v>5340.19</v>
      </c>
      <c r="D3232" s="3">
        <f t="shared" si="53"/>
        <v>3.3646513212397089E-2</v>
      </c>
    </row>
    <row r="3233" spans="2:4" x14ac:dyDescent="0.2">
      <c r="B3233" s="2">
        <v>40801</v>
      </c>
      <c r="C3233" s="61">
        <v>5508.24</v>
      </c>
      <c r="D3233" s="3">
        <f t="shared" si="53"/>
        <v>3.1468917772588645E-2</v>
      </c>
    </row>
    <row r="3234" spans="2:4" x14ac:dyDescent="0.2">
      <c r="B3234" s="2">
        <v>40802</v>
      </c>
      <c r="C3234" s="61">
        <v>5573.51</v>
      </c>
      <c r="D3234" s="3">
        <f t="shared" si="53"/>
        <v>1.1849519991866897E-2</v>
      </c>
    </row>
    <row r="3235" spans="2:4" x14ac:dyDescent="0.2">
      <c r="B3235" s="2">
        <v>40805</v>
      </c>
      <c r="C3235" s="61">
        <v>5415.91</v>
      </c>
      <c r="D3235" s="3">
        <f t="shared" si="53"/>
        <v>-2.8276615633595403E-2</v>
      </c>
    </row>
    <row r="3236" spans="2:4" x14ac:dyDescent="0.2">
      <c r="B3236" s="2">
        <v>40806</v>
      </c>
      <c r="C3236" s="61">
        <v>5571.68</v>
      </c>
      <c r="D3236" s="3">
        <f t="shared" si="53"/>
        <v>2.8761556229701002E-2</v>
      </c>
    </row>
    <row r="3237" spans="2:4" x14ac:dyDescent="0.2">
      <c r="B3237" s="2">
        <v>40807</v>
      </c>
      <c r="C3237" s="61">
        <v>5433.8</v>
      </c>
      <c r="D3237" s="3">
        <f t="shared" si="53"/>
        <v>-2.4746575539155158E-2</v>
      </c>
    </row>
    <row r="3238" spans="2:4" x14ac:dyDescent="0.2">
      <c r="B3238" s="2">
        <v>40808</v>
      </c>
      <c r="C3238" s="61">
        <v>5164.21</v>
      </c>
      <c r="D3238" s="3">
        <f t="shared" si="53"/>
        <v>-4.9613530126246808E-2</v>
      </c>
    </row>
    <row r="3239" spans="2:4" x14ac:dyDescent="0.2">
      <c r="B3239" s="2">
        <v>40809</v>
      </c>
      <c r="C3239" s="61">
        <v>5196.5600000000004</v>
      </c>
      <c r="D3239" s="3">
        <f t="shared" si="53"/>
        <v>6.2642688813971947E-3</v>
      </c>
    </row>
    <row r="3240" spans="2:4" x14ac:dyDescent="0.2">
      <c r="B3240" s="2">
        <v>40812</v>
      </c>
      <c r="C3240" s="61">
        <v>5345.56</v>
      </c>
      <c r="D3240" s="3">
        <f t="shared" si="53"/>
        <v>2.8672814323321472E-2</v>
      </c>
    </row>
    <row r="3241" spans="2:4" x14ac:dyDescent="0.2">
      <c r="B3241" s="2">
        <v>40813</v>
      </c>
      <c r="C3241" s="61">
        <v>5628.44</v>
      </c>
      <c r="D3241" s="3">
        <f t="shared" si="53"/>
        <v>5.2918683917119846E-2</v>
      </c>
    </row>
    <row r="3242" spans="2:4" x14ac:dyDescent="0.2">
      <c r="B3242" s="2">
        <v>40814</v>
      </c>
      <c r="C3242" s="61">
        <v>5578.42</v>
      </c>
      <c r="D3242" s="3">
        <f t="shared" si="53"/>
        <v>-8.8870095443852604E-3</v>
      </c>
    </row>
    <row r="3243" spans="2:4" x14ac:dyDescent="0.2">
      <c r="B3243" s="2">
        <v>40815</v>
      </c>
      <c r="C3243" s="61">
        <v>5639.58</v>
      </c>
      <c r="D3243" s="3">
        <f t="shared" si="53"/>
        <v>1.0963677887287027E-2</v>
      </c>
    </row>
    <row r="3244" spans="2:4" x14ac:dyDescent="0.2">
      <c r="B3244" s="2">
        <v>40816</v>
      </c>
      <c r="C3244" s="61">
        <v>5502.02</v>
      </c>
      <c r="D3244" s="3">
        <f t="shared" si="53"/>
        <v>-2.4391887339128004E-2</v>
      </c>
    </row>
    <row r="3245" spans="2:4" x14ac:dyDescent="0.2">
      <c r="B3245" s="2">
        <v>40819</v>
      </c>
      <c r="C3245" s="61">
        <v>5376.7</v>
      </c>
      <c r="D3245" s="3">
        <f t="shared" si="53"/>
        <v>-2.2777089141806206E-2</v>
      </c>
    </row>
    <row r="3246" spans="2:4" x14ac:dyDescent="0.2">
      <c r="B3246" s="2">
        <v>40820</v>
      </c>
      <c r="C3246" s="61">
        <v>5216.71</v>
      </c>
      <c r="D3246" s="3">
        <f t="shared" si="53"/>
        <v>-2.9756170141536642E-2</v>
      </c>
    </row>
    <row r="3247" spans="2:4" x14ac:dyDescent="0.2">
      <c r="B3247" s="2">
        <v>40821</v>
      </c>
      <c r="C3247" s="61">
        <v>5473.03</v>
      </c>
      <c r="D3247" s="3">
        <f t="shared" si="53"/>
        <v>4.9134416135840242E-2</v>
      </c>
    </row>
    <row r="3248" spans="2:4" x14ac:dyDescent="0.2">
      <c r="B3248" s="2">
        <v>40822</v>
      </c>
      <c r="C3248" s="61">
        <v>5645.25</v>
      </c>
      <c r="D3248" s="3">
        <f t="shared" si="53"/>
        <v>3.1467030146006936E-2</v>
      </c>
    </row>
    <row r="3249" spans="2:4" x14ac:dyDescent="0.2">
      <c r="B3249" s="2">
        <v>40823</v>
      </c>
      <c r="C3249" s="61">
        <v>5675.7</v>
      </c>
      <c r="D3249" s="3">
        <f t="shared" si="53"/>
        <v>5.3939152384747668E-3</v>
      </c>
    </row>
    <row r="3250" spans="2:4" x14ac:dyDescent="0.2">
      <c r="B3250" s="2">
        <v>40826</v>
      </c>
      <c r="C3250" s="61">
        <v>5847.29</v>
      </c>
      <c r="D3250" s="3">
        <f t="shared" si="53"/>
        <v>3.0232394242119875E-2</v>
      </c>
    </row>
    <row r="3251" spans="2:4" x14ac:dyDescent="0.2">
      <c r="B3251" s="2">
        <v>40827</v>
      </c>
      <c r="C3251" s="61">
        <v>5865.01</v>
      </c>
      <c r="D3251" s="3">
        <f t="shared" si="53"/>
        <v>3.0304636848865751E-3</v>
      </c>
    </row>
    <row r="3252" spans="2:4" x14ac:dyDescent="0.2">
      <c r="B3252" s="2">
        <v>40828</v>
      </c>
      <c r="C3252" s="61">
        <v>5994.47</v>
      </c>
      <c r="D3252" s="3">
        <f t="shared" si="53"/>
        <v>2.2073278647436245E-2</v>
      </c>
    </row>
    <row r="3253" spans="2:4" x14ac:dyDescent="0.2">
      <c r="B3253" s="2">
        <v>40829</v>
      </c>
      <c r="C3253" s="61">
        <v>5914.84</v>
      </c>
      <c r="D3253" s="3">
        <f t="shared" si="53"/>
        <v>-1.328391000372009E-2</v>
      </c>
    </row>
    <row r="3254" spans="2:4" x14ac:dyDescent="0.2">
      <c r="B3254" s="2">
        <v>40830</v>
      </c>
      <c r="C3254" s="61">
        <v>5967.2</v>
      </c>
      <c r="D3254" s="3">
        <f t="shared" si="53"/>
        <v>8.8523104597926228E-3</v>
      </c>
    </row>
    <row r="3255" spans="2:4" x14ac:dyDescent="0.2">
      <c r="B3255" s="2">
        <v>40833</v>
      </c>
      <c r="C3255" s="61">
        <v>5859.43</v>
      </c>
      <c r="D3255" s="3">
        <f t="shared" si="53"/>
        <v>-1.8060396836036885E-2</v>
      </c>
    </row>
    <row r="3256" spans="2:4" x14ac:dyDescent="0.2">
      <c r="B3256" s="2">
        <v>40834</v>
      </c>
      <c r="C3256" s="61">
        <v>5877.41</v>
      </c>
      <c r="D3256" s="3">
        <f t="shared" si="53"/>
        <v>3.0685578631368671E-3</v>
      </c>
    </row>
    <row r="3257" spans="2:4" x14ac:dyDescent="0.2">
      <c r="B3257" s="2">
        <v>40835</v>
      </c>
      <c r="C3257" s="61">
        <v>5913.53</v>
      </c>
      <c r="D3257" s="3">
        <f t="shared" si="53"/>
        <v>6.1455641175278686E-3</v>
      </c>
    </row>
    <row r="3258" spans="2:4" x14ac:dyDescent="0.2">
      <c r="B3258" s="2">
        <v>40836</v>
      </c>
      <c r="C3258" s="61">
        <v>5766.48</v>
      </c>
      <c r="D3258" s="3">
        <f t="shared" si="53"/>
        <v>-2.4866703982223792E-2</v>
      </c>
    </row>
    <row r="3259" spans="2:4" x14ac:dyDescent="0.2">
      <c r="B3259" s="2">
        <v>40837</v>
      </c>
      <c r="C3259" s="61">
        <v>5970.96</v>
      </c>
      <c r="D3259" s="3">
        <f t="shared" si="53"/>
        <v>3.5460107379198469E-2</v>
      </c>
    </row>
    <row r="3260" spans="2:4" x14ac:dyDescent="0.2">
      <c r="B3260" s="2">
        <v>40840</v>
      </c>
      <c r="C3260" s="61">
        <v>6055.27</v>
      </c>
      <c r="D3260" s="3">
        <f t="shared" si="53"/>
        <v>1.4120007502981258E-2</v>
      </c>
    </row>
    <row r="3261" spans="2:4" x14ac:dyDescent="0.2">
      <c r="B3261" s="2">
        <v>40841</v>
      </c>
      <c r="C3261" s="61">
        <v>6046.75</v>
      </c>
      <c r="D3261" s="3">
        <f t="shared" si="53"/>
        <v>-1.407038827335616E-3</v>
      </c>
    </row>
    <row r="3262" spans="2:4" x14ac:dyDescent="0.2">
      <c r="B3262" s="2">
        <v>40842</v>
      </c>
      <c r="C3262" s="61">
        <v>6016.07</v>
      </c>
      <c r="D3262" s="3">
        <f t="shared" si="53"/>
        <v>-5.0737999751933049E-3</v>
      </c>
    </row>
    <row r="3263" spans="2:4" x14ac:dyDescent="0.2">
      <c r="B3263" s="2">
        <v>40843</v>
      </c>
      <c r="C3263" s="61">
        <v>6337.84</v>
      </c>
      <c r="D3263" s="3">
        <f t="shared" si="53"/>
        <v>5.3485082454160393E-2</v>
      </c>
    </row>
    <row r="3264" spans="2:4" x14ac:dyDescent="0.2">
      <c r="B3264" s="2">
        <v>40844</v>
      </c>
      <c r="C3264" s="61">
        <v>6346.19</v>
      </c>
      <c r="D3264" s="3">
        <f t="shared" si="53"/>
        <v>1.3174835590674672E-3</v>
      </c>
    </row>
    <row r="3265" spans="2:4" x14ac:dyDescent="0.2">
      <c r="B3265" s="2">
        <v>40847</v>
      </c>
      <c r="C3265" s="61">
        <v>6141.34</v>
      </c>
      <c r="D3265" s="3">
        <f t="shared" si="53"/>
        <v>-3.2279210045712436E-2</v>
      </c>
    </row>
    <row r="3266" spans="2:4" x14ac:dyDescent="0.2">
      <c r="B3266" s="2">
        <v>40848</v>
      </c>
      <c r="C3266" s="61">
        <v>5834.51</v>
      </c>
      <c r="D3266" s="3">
        <f t="shared" si="53"/>
        <v>-4.9961409073589813E-2</v>
      </c>
    </row>
    <row r="3267" spans="2:4" x14ac:dyDescent="0.2">
      <c r="B3267" s="2">
        <v>40849</v>
      </c>
      <c r="C3267" s="61">
        <v>5965.63</v>
      </c>
      <c r="D3267" s="3">
        <f t="shared" si="53"/>
        <v>2.2473181124036179E-2</v>
      </c>
    </row>
    <row r="3268" spans="2:4" x14ac:dyDescent="0.2">
      <c r="B3268" s="2">
        <v>40850</v>
      </c>
      <c r="C3268" s="61">
        <v>6133.18</v>
      </c>
      <c r="D3268" s="3">
        <f t="shared" si="53"/>
        <v>2.8085885313034797E-2</v>
      </c>
    </row>
    <row r="3269" spans="2:4" x14ac:dyDescent="0.2">
      <c r="B3269" s="2">
        <v>40851</v>
      </c>
      <c r="C3269" s="61">
        <v>5966.16</v>
      </c>
      <c r="D3269" s="3">
        <f t="shared" ref="D3269:D3332" si="54">C3269/C3268-1</f>
        <v>-2.7232202544194117E-2</v>
      </c>
    </row>
    <row r="3270" spans="2:4" x14ac:dyDescent="0.2">
      <c r="B3270" s="2">
        <v>40854</v>
      </c>
      <c r="C3270" s="61">
        <v>5928.68</v>
      </c>
      <c r="D3270" s="3">
        <f t="shared" si="54"/>
        <v>-6.2820976976815102E-3</v>
      </c>
    </row>
    <row r="3271" spans="2:4" x14ac:dyDescent="0.2">
      <c r="B3271" s="2">
        <v>40855</v>
      </c>
      <c r="C3271" s="61">
        <v>5961.44</v>
      </c>
      <c r="D3271" s="3">
        <f t="shared" si="54"/>
        <v>5.5256819393185719E-3</v>
      </c>
    </row>
    <row r="3272" spans="2:4" x14ac:dyDescent="0.2">
      <c r="B3272" s="2">
        <v>40856</v>
      </c>
      <c r="C3272" s="61">
        <v>5829.54</v>
      </c>
      <c r="D3272" s="3">
        <f t="shared" si="54"/>
        <v>-2.2125526718376753E-2</v>
      </c>
    </row>
    <row r="3273" spans="2:4" x14ac:dyDescent="0.2">
      <c r="B3273" s="2">
        <v>40857</v>
      </c>
      <c r="C3273" s="61">
        <v>5867.81</v>
      </c>
      <c r="D3273" s="3">
        <f t="shared" si="54"/>
        <v>6.5648404505329605E-3</v>
      </c>
    </row>
    <row r="3274" spans="2:4" x14ac:dyDescent="0.2">
      <c r="B3274" s="2">
        <v>40858</v>
      </c>
      <c r="C3274" s="61">
        <v>6057.03</v>
      </c>
      <c r="D3274" s="3">
        <f t="shared" si="54"/>
        <v>3.2247124566064489E-2</v>
      </c>
    </row>
    <row r="3275" spans="2:4" x14ac:dyDescent="0.2">
      <c r="B3275" s="2">
        <v>40861</v>
      </c>
      <c r="C3275" s="61">
        <v>5985.02</v>
      </c>
      <c r="D3275" s="3">
        <f t="shared" si="54"/>
        <v>-1.188866490672813E-2</v>
      </c>
    </row>
    <row r="3276" spans="2:4" x14ac:dyDescent="0.2">
      <c r="B3276" s="2">
        <v>40862</v>
      </c>
      <c r="C3276" s="61">
        <v>5933.14</v>
      </c>
      <c r="D3276" s="3">
        <f t="shared" si="54"/>
        <v>-8.6683085436640717E-3</v>
      </c>
    </row>
    <row r="3277" spans="2:4" x14ac:dyDescent="0.2">
      <c r="B3277" s="2">
        <v>40863</v>
      </c>
      <c r="C3277" s="61">
        <v>5913.36</v>
      </c>
      <c r="D3277" s="3">
        <f t="shared" si="54"/>
        <v>-3.3338164951443039E-3</v>
      </c>
    </row>
    <row r="3278" spans="2:4" x14ac:dyDescent="0.2">
      <c r="B3278" s="2">
        <v>40864</v>
      </c>
      <c r="C3278" s="61">
        <v>5850.17</v>
      </c>
      <c r="D3278" s="3">
        <f t="shared" si="54"/>
        <v>-1.0685972103846142E-2</v>
      </c>
    </row>
    <row r="3279" spans="2:4" x14ac:dyDescent="0.2">
      <c r="B3279" s="2">
        <v>40865</v>
      </c>
      <c r="C3279" s="61">
        <v>5800.24</v>
      </c>
      <c r="D3279" s="3">
        <f t="shared" si="54"/>
        <v>-8.5347947153673331E-3</v>
      </c>
    </row>
    <row r="3280" spans="2:4" x14ac:dyDescent="0.2">
      <c r="B3280" s="2">
        <v>40868</v>
      </c>
      <c r="C3280" s="61">
        <v>5606</v>
      </c>
      <c r="D3280" s="3">
        <f t="shared" si="54"/>
        <v>-3.3488269450919206E-2</v>
      </c>
    </row>
    <row r="3281" spans="2:4" x14ac:dyDescent="0.2">
      <c r="B3281" s="2">
        <v>40869</v>
      </c>
      <c r="C3281" s="61">
        <v>5537.39</v>
      </c>
      <c r="D3281" s="3">
        <f t="shared" si="54"/>
        <v>-1.2238672850517274E-2</v>
      </c>
    </row>
    <row r="3282" spans="2:4" x14ac:dyDescent="0.2">
      <c r="B3282" s="2">
        <v>40870</v>
      </c>
      <c r="C3282" s="61">
        <v>5457.77</v>
      </c>
      <c r="D3282" s="3">
        <f t="shared" si="54"/>
        <v>-1.4378615195967726E-2</v>
      </c>
    </row>
    <row r="3283" spans="2:4" x14ac:dyDescent="0.2">
      <c r="B3283" s="2">
        <v>40871</v>
      </c>
      <c r="C3283" s="61">
        <v>5428.11</v>
      </c>
      <c r="D3283" s="3">
        <f t="shared" si="54"/>
        <v>-5.4344539986113105E-3</v>
      </c>
    </row>
    <row r="3284" spans="2:4" x14ac:dyDescent="0.2">
      <c r="B3284" s="2">
        <v>40872</v>
      </c>
      <c r="C3284" s="61">
        <v>5492.87</v>
      </c>
      <c r="D3284" s="3">
        <f t="shared" si="54"/>
        <v>1.1930487775671406E-2</v>
      </c>
    </row>
    <row r="3285" spans="2:4" x14ac:dyDescent="0.2">
      <c r="B3285" s="2">
        <v>40875</v>
      </c>
      <c r="C3285" s="61">
        <v>5745.33</v>
      </c>
      <c r="D3285" s="3">
        <f t="shared" si="54"/>
        <v>4.5961400870583091E-2</v>
      </c>
    </row>
    <row r="3286" spans="2:4" x14ac:dyDescent="0.2">
      <c r="B3286" s="2">
        <v>40876</v>
      </c>
      <c r="C3286" s="61">
        <v>5799.91</v>
      </c>
      <c r="D3286" s="3">
        <f t="shared" si="54"/>
        <v>9.4998894754523278E-3</v>
      </c>
    </row>
    <row r="3287" spans="2:4" x14ac:dyDescent="0.2">
      <c r="B3287" s="2">
        <v>40877</v>
      </c>
      <c r="C3287" s="61">
        <v>6088.84</v>
      </c>
      <c r="D3287" s="3">
        <f t="shared" si="54"/>
        <v>4.9816290252779893E-2</v>
      </c>
    </row>
    <row r="3288" spans="2:4" x14ac:dyDescent="0.2">
      <c r="B3288" s="2">
        <v>40878</v>
      </c>
      <c r="C3288" s="61">
        <v>6035.88</v>
      </c>
      <c r="D3288" s="3">
        <f t="shared" si="54"/>
        <v>-8.6978800559712743E-3</v>
      </c>
    </row>
    <row r="3289" spans="2:4" x14ac:dyDescent="0.2">
      <c r="B3289" s="2">
        <v>40879</v>
      </c>
      <c r="C3289" s="61">
        <v>6080.68</v>
      </c>
      <c r="D3289" s="3">
        <f t="shared" si="54"/>
        <v>7.4222814237525636E-3</v>
      </c>
    </row>
    <row r="3290" spans="2:4" x14ac:dyDescent="0.2">
      <c r="B3290" s="2">
        <v>40882</v>
      </c>
      <c r="C3290" s="61">
        <v>6106.09</v>
      </c>
      <c r="D3290" s="3">
        <f t="shared" si="54"/>
        <v>4.1788089489991354E-3</v>
      </c>
    </row>
    <row r="3291" spans="2:4" x14ac:dyDescent="0.2">
      <c r="B3291" s="2">
        <v>40883</v>
      </c>
      <c r="C3291" s="61">
        <v>6028.82</v>
      </c>
      <c r="D3291" s="3">
        <f t="shared" si="54"/>
        <v>-1.2654579280685474E-2</v>
      </c>
    </row>
    <row r="3292" spans="2:4" x14ac:dyDescent="0.2">
      <c r="B3292" s="2">
        <v>40884</v>
      </c>
      <c r="C3292" s="61">
        <v>5994.73</v>
      </c>
      <c r="D3292" s="3">
        <f t="shared" si="54"/>
        <v>-5.6545061886074111E-3</v>
      </c>
    </row>
    <row r="3293" spans="2:4" x14ac:dyDescent="0.2">
      <c r="B3293" s="2">
        <v>40885</v>
      </c>
      <c r="C3293" s="61">
        <v>5874.44</v>
      </c>
      <c r="D3293" s="3">
        <f t="shared" si="54"/>
        <v>-2.0065957933051215E-2</v>
      </c>
    </row>
    <row r="3294" spans="2:4" x14ac:dyDescent="0.2">
      <c r="B3294" s="2">
        <v>40886</v>
      </c>
      <c r="C3294" s="61">
        <v>5986.71</v>
      </c>
      <c r="D3294" s="3">
        <f t="shared" si="54"/>
        <v>1.9111608936341229E-2</v>
      </c>
    </row>
    <row r="3295" spans="2:4" x14ac:dyDescent="0.2">
      <c r="B3295" s="2">
        <v>40889</v>
      </c>
      <c r="C3295" s="61">
        <v>5785.43</v>
      </c>
      <c r="D3295" s="3">
        <f t="shared" si="54"/>
        <v>-3.3621137486198549E-2</v>
      </c>
    </row>
    <row r="3296" spans="2:4" x14ac:dyDescent="0.2">
      <c r="B3296" s="2">
        <v>40890</v>
      </c>
      <c r="C3296" s="61">
        <v>5774.26</v>
      </c>
      <c r="D3296" s="3">
        <f t="shared" si="54"/>
        <v>-1.9307121510414582E-3</v>
      </c>
    </row>
    <row r="3297" spans="2:4" x14ac:dyDescent="0.2">
      <c r="B3297" s="2">
        <v>40891</v>
      </c>
      <c r="C3297" s="61">
        <v>5675.14</v>
      </c>
      <c r="D3297" s="3">
        <f t="shared" si="54"/>
        <v>-1.7165835968591669E-2</v>
      </c>
    </row>
    <row r="3298" spans="2:4" x14ac:dyDescent="0.2">
      <c r="B3298" s="2">
        <v>40892</v>
      </c>
      <c r="C3298" s="61">
        <v>5730.62</v>
      </c>
      <c r="D3298" s="3">
        <f t="shared" si="54"/>
        <v>9.7759702844333329E-3</v>
      </c>
    </row>
    <row r="3299" spans="2:4" x14ac:dyDescent="0.2">
      <c r="B3299" s="2">
        <v>40893</v>
      </c>
      <c r="C3299" s="61">
        <v>5701.78</v>
      </c>
      <c r="D3299" s="3">
        <f t="shared" si="54"/>
        <v>-5.0326142721032197E-3</v>
      </c>
    </row>
    <row r="3300" spans="2:4" x14ac:dyDescent="0.2">
      <c r="B3300" s="2">
        <v>40896</v>
      </c>
      <c r="C3300" s="61">
        <v>5670.71</v>
      </c>
      <c r="D3300" s="3">
        <f t="shared" si="54"/>
        <v>-5.4491755206268477E-3</v>
      </c>
    </row>
    <row r="3301" spans="2:4" x14ac:dyDescent="0.2">
      <c r="B3301" s="2">
        <v>40897</v>
      </c>
      <c r="C3301" s="61">
        <v>5847.03</v>
      </c>
      <c r="D3301" s="3">
        <f t="shared" si="54"/>
        <v>3.1093108270392911E-2</v>
      </c>
    </row>
    <row r="3302" spans="2:4" x14ac:dyDescent="0.2">
      <c r="B3302" s="2">
        <v>40898</v>
      </c>
      <c r="C3302" s="61">
        <v>5791.53</v>
      </c>
      <c r="D3302" s="3">
        <f t="shared" si="54"/>
        <v>-9.4919985018034891E-3</v>
      </c>
    </row>
    <row r="3303" spans="2:4" x14ac:dyDescent="0.2">
      <c r="B3303" s="2">
        <v>40899</v>
      </c>
      <c r="C3303" s="61">
        <v>5852.18</v>
      </c>
      <c r="D3303" s="3">
        <f t="shared" si="54"/>
        <v>1.047218955958118E-2</v>
      </c>
    </row>
    <row r="3304" spans="2:4" x14ac:dyDescent="0.2">
      <c r="B3304" s="2">
        <v>40900</v>
      </c>
      <c r="C3304" s="61">
        <v>5878.93</v>
      </c>
      <c r="D3304" s="3">
        <f t="shared" si="54"/>
        <v>4.5709462114973398E-3</v>
      </c>
    </row>
    <row r="3305" spans="2:4" x14ac:dyDescent="0.2">
      <c r="B3305" s="2">
        <v>40904</v>
      </c>
      <c r="C3305" s="61">
        <v>5889.76</v>
      </c>
      <c r="D3305" s="3">
        <f t="shared" si="54"/>
        <v>1.842171959863359E-3</v>
      </c>
    </row>
    <row r="3306" spans="2:4" x14ac:dyDescent="0.2">
      <c r="B3306" s="2">
        <v>40905</v>
      </c>
      <c r="C3306" s="61">
        <v>5771.27</v>
      </c>
      <c r="D3306" s="3">
        <f t="shared" si="54"/>
        <v>-2.0117967455380192E-2</v>
      </c>
    </row>
    <row r="3307" spans="2:4" x14ac:dyDescent="0.2">
      <c r="B3307" s="2">
        <v>40906</v>
      </c>
      <c r="C3307" s="61">
        <v>5848.78</v>
      </c>
      <c r="D3307" s="3">
        <f t="shared" si="54"/>
        <v>1.3430319496401832E-2</v>
      </c>
    </row>
    <row r="3308" spans="2:4" x14ac:dyDescent="0.2">
      <c r="B3308" s="2">
        <v>40907</v>
      </c>
      <c r="C3308" s="61">
        <v>5898.35</v>
      </c>
      <c r="D3308" s="3">
        <f t="shared" si="54"/>
        <v>8.4752717660778742E-3</v>
      </c>
    </row>
    <row r="3309" spans="2:4" x14ac:dyDescent="0.2">
      <c r="B3309" s="2">
        <v>40910</v>
      </c>
      <c r="C3309" s="61">
        <v>6075.52</v>
      </c>
      <c r="D3309" s="3">
        <f t="shared" si="54"/>
        <v>3.0037213797078799E-2</v>
      </c>
    </row>
    <row r="3310" spans="2:4" x14ac:dyDescent="0.2">
      <c r="B3310" s="2">
        <v>40911</v>
      </c>
      <c r="C3310" s="61">
        <v>6166.57</v>
      </c>
      <c r="D3310" s="3">
        <f t="shared" si="54"/>
        <v>1.4986371536921839E-2</v>
      </c>
    </row>
    <row r="3311" spans="2:4" x14ac:dyDescent="0.2">
      <c r="B3311" s="2">
        <v>40912</v>
      </c>
      <c r="C3311" s="61">
        <v>6111.55</v>
      </c>
      <c r="D3311" s="3">
        <f t="shared" si="54"/>
        <v>-8.9223020252748864E-3</v>
      </c>
    </row>
    <row r="3312" spans="2:4" x14ac:dyDescent="0.2">
      <c r="B3312" s="2">
        <v>40913</v>
      </c>
      <c r="C3312" s="61">
        <v>6095.99</v>
      </c>
      <c r="D3312" s="3">
        <f t="shared" si="54"/>
        <v>-2.5459989691649643E-3</v>
      </c>
    </row>
    <row r="3313" spans="2:4" x14ac:dyDescent="0.2">
      <c r="B3313" s="2">
        <v>40914</v>
      </c>
      <c r="C3313" s="61">
        <v>6057.92</v>
      </c>
      <c r="D3313" s="3">
        <f t="shared" si="54"/>
        <v>-6.2450889847259772E-3</v>
      </c>
    </row>
    <row r="3314" spans="2:4" x14ac:dyDescent="0.2">
      <c r="B3314" s="2">
        <v>40917</v>
      </c>
      <c r="C3314" s="61">
        <v>6017.23</v>
      </c>
      <c r="D3314" s="3">
        <f t="shared" si="54"/>
        <v>-6.7168268976811607E-3</v>
      </c>
    </row>
    <row r="3315" spans="2:4" x14ac:dyDescent="0.2">
      <c r="B3315" s="2">
        <v>40918</v>
      </c>
      <c r="C3315" s="61">
        <v>6162.98</v>
      </c>
      <c r="D3315" s="3">
        <f t="shared" si="54"/>
        <v>2.4222108844102586E-2</v>
      </c>
    </row>
    <row r="3316" spans="2:4" x14ac:dyDescent="0.2">
      <c r="B3316" s="2">
        <v>40919</v>
      </c>
      <c r="C3316" s="61">
        <v>6152.34</v>
      </c>
      <c r="D3316" s="3">
        <f t="shared" si="54"/>
        <v>-1.7264375350884986E-3</v>
      </c>
    </row>
    <row r="3317" spans="2:4" x14ac:dyDescent="0.2">
      <c r="B3317" s="2">
        <v>40920</v>
      </c>
      <c r="C3317" s="61">
        <v>6179.21</v>
      </c>
      <c r="D3317" s="3">
        <f t="shared" si="54"/>
        <v>4.3674439319023595E-3</v>
      </c>
    </row>
    <row r="3318" spans="2:4" x14ac:dyDescent="0.2">
      <c r="B3318" s="2">
        <v>40921</v>
      </c>
      <c r="C3318" s="61">
        <v>6143.08</v>
      </c>
      <c r="D3318" s="3">
        <f t="shared" si="54"/>
        <v>-5.8470257524829705E-3</v>
      </c>
    </row>
    <row r="3319" spans="2:4" x14ac:dyDescent="0.2">
      <c r="B3319" s="2">
        <v>40924</v>
      </c>
      <c r="C3319" s="61">
        <v>6220.01</v>
      </c>
      <c r="D3319" s="3">
        <f t="shared" si="54"/>
        <v>1.2523034048067094E-2</v>
      </c>
    </row>
    <row r="3320" spans="2:4" x14ac:dyDescent="0.2">
      <c r="B3320" s="2">
        <v>40925</v>
      </c>
      <c r="C3320" s="61">
        <v>6332.93</v>
      </c>
      <c r="D3320" s="3">
        <f t="shared" si="54"/>
        <v>1.8154311649016597E-2</v>
      </c>
    </row>
    <row r="3321" spans="2:4" x14ac:dyDescent="0.2">
      <c r="B3321" s="2">
        <v>40926</v>
      </c>
      <c r="C3321" s="61">
        <v>6354.57</v>
      </c>
      <c r="D3321" s="3">
        <f t="shared" si="54"/>
        <v>3.4170597180134266E-3</v>
      </c>
    </row>
    <row r="3322" spans="2:4" x14ac:dyDescent="0.2">
      <c r="B3322" s="2">
        <v>40927</v>
      </c>
      <c r="C3322" s="61">
        <v>6416.26</v>
      </c>
      <c r="D3322" s="3">
        <f t="shared" si="54"/>
        <v>9.7079739463095116E-3</v>
      </c>
    </row>
    <row r="3323" spans="2:4" x14ac:dyDescent="0.2">
      <c r="B3323" s="2">
        <v>40928</v>
      </c>
      <c r="C3323" s="61">
        <v>6404.39</v>
      </c>
      <c r="D3323" s="3">
        <f t="shared" si="54"/>
        <v>-1.8499873758233143E-3</v>
      </c>
    </row>
    <row r="3324" spans="2:4" x14ac:dyDescent="0.2">
      <c r="B3324" s="2">
        <v>40931</v>
      </c>
      <c r="C3324" s="61">
        <v>6436.62</v>
      </c>
      <c r="D3324" s="3">
        <f t="shared" si="54"/>
        <v>5.0324855294570092E-3</v>
      </c>
    </row>
    <row r="3325" spans="2:4" x14ac:dyDescent="0.2">
      <c r="B3325" s="2">
        <v>40932</v>
      </c>
      <c r="C3325" s="61">
        <v>6419.22</v>
      </c>
      <c r="D3325" s="3">
        <f t="shared" si="54"/>
        <v>-2.7032821574055621E-3</v>
      </c>
    </row>
    <row r="3326" spans="2:4" x14ac:dyDescent="0.2">
      <c r="B3326" s="2">
        <v>40933</v>
      </c>
      <c r="C3326" s="61">
        <v>6421.85</v>
      </c>
      <c r="D3326" s="3">
        <f t="shared" si="54"/>
        <v>4.0970709837018227E-4</v>
      </c>
    </row>
    <row r="3327" spans="2:4" x14ac:dyDescent="0.2">
      <c r="B3327" s="2">
        <v>40934</v>
      </c>
      <c r="C3327" s="61">
        <v>6539.85</v>
      </c>
      <c r="D3327" s="3">
        <f t="shared" si="54"/>
        <v>1.8374767395688218E-2</v>
      </c>
    </row>
    <row r="3328" spans="2:4" x14ac:dyDescent="0.2">
      <c r="B3328" s="2">
        <v>40935</v>
      </c>
      <c r="C3328" s="61">
        <v>6511.98</v>
      </c>
      <c r="D3328" s="3">
        <f t="shared" si="54"/>
        <v>-4.2615656322393392E-3</v>
      </c>
    </row>
    <row r="3329" spans="2:4" x14ac:dyDescent="0.2">
      <c r="B3329" s="2">
        <v>40938</v>
      </c>
      <c r="C3329" s="61">
        <v>6444.45</v>
      </c>
      <c r="D3329" s="3">
        <f t="shared" si="54"/>
        <v>-1.0370117844342275E-2</v>
      </c>
    </row>
    <row r="3330" spans="2:4" x14ac:dyDescent="0.2">
      <c r="B3330" s="2">
        <v>40939</v>
      </c>
      <c r="C3330" s="61">
        <v>6458.91</v>
      </c>
      <c r="D3330" s="3">
        <f t="shared" si="54"/>
        <v>2.2437911691455259E-3</v>
      </c>
    </row>
    <row r="3331" spans="2:4" x14ac:dyDescent="0.2">
      <c r="B3331" s="2">
        <v>40940</v>
      </c>
      <c r="C3331" s="61">
        <v>6616.64</v>
      </c>
      <c r="D3331" s="3">
        <f t="shared" si="54"/>
        <v>2.4420529160493087E-2</v>
      </c>
    </row>
    <row r="3332" spans="2:4" x14ac:dyDescent="0.2">
      <c r="B3332" s="2">
        <v>40941</v>
      </c>
      <c r="C3332" s="61">
        <v>6655.63</v>
      </c>
      <c r="D3332" s="3">
        <f t="shared" si="54"/>
        <v>5.892718963099064E-3</v>
      </c>
    </row>
    <row r="3333" spans="2:4" x14ac:dyDescent="0.2">
      <c r="B3333" s="2">
        <v>40942</v>
      </c>
      <c r="C3333" s="61">
        <v>6766.67</v>
      </c>
      <c r="D3333" s="3">
        <f t="shared" ref="D3333:D3396" si="55">C3333/C3332-1</f>
        <v>1.6683619732467125E-2</v>
      </c>
    </row>
    <row r="3334" spans="2:4" x14ac:dyDescent="0.2">
      <c r="B3334" s="2">
        <v>40945</v>
      </c>
      <c r="C3334" s="61">
        <v>6764.83</v>
      </c>
      <c r="D3334" s="3">
        <f t="shared" si="55"/>
        <v>-2.7192104831474939E-4</v>
      </c>
    </row>
    <row r="3335" spans="2:4" x14ac:dyDescent="0.2">
      <c r="B3335" s="2">
        <v>40946</v>
      </c>
      <c r="C3335" s="61">
        <v>6754.2</v>
      </c>
      <c r="D3335" s="3">
        <f t="shared" si="55"/>
        <v>-1.5713624732625053E-3</v>
      </c>
    </row>
    <row r="3336" spans="2:4" x14ac:dyDescent="0.2">
      <c r="B3336" s="2">
        <v>40947</v>
      </c>
      <c r="C3336" s="61">
        <v>6748.76</v>
      </c>
      <c r="D3336" s="3">
        <f t="shared" si="55"/>
        <v>-8.0542477273393143E-4</v>
      </c>
    </row>
    <row r="3337" spans="2:4" x14ac:dyDescent="0.2">
      <c r="B3337" s="2">
        <v>40948</v>
      </c>
      <c r="C3337" s="61">
        <v>6788.8</v>
      </c>
      <c r="D3337" s="3">
        <f t="shared" si="55"/>
        <v>5.9329417552260733E-3</v>
      </c>
    </row>
    <row r="3338" spans="2:4" x14ac:dyDescent="0.2">
      <c r="B3338" s="2">
        <v>40949</v>
      </c>
      <c r="C3338" s="61">
        <v>6692.96</v>
      </c>
      <c r="D3338" s="3">
        <f t="shared" si="55"/>
        <v>-1.4117369785529132E-2</v>
      </c>
    </row>
    <row r="3339" spans="2:4" x14ac:dyDescent="0.2">
      <c r="B3339" s="2">
        <v>40952</v>
      </c>
      <c r="C3339" s="61">
        <v>6738.47</v>
      </c>
      <c r="D3339" s="3">
        <f t="shared" si="55"/>
        <v>6.7996820539790725E-3</v>
      </c>
    </row>
    <row r="3340" spans="2:4" x14ac:dyDescent="0.2">
      <c r="B3340" s="2">
        <v>40953</v>
      </c>
      <c r="C3340" s="61">
        <v>6728.19</v>
      </c>
      <c r="D3340" s="3">
        <f t="shared" si="55"/>
        <v>-1.5255688605871898E-3</v>
      </c>
    </row>
    <row r="3341" spans="2:4" x14ac:dyDescent="0.2">
      <c r="B3341" s="2">
        <v>40954</v>
      </c>
      <c r="C3341" s="61">
        <v>6757.94</v>
      </c>
      <c r="D3341" s="3">
        <f t="shared" si="55"/>
        <v>4.421694393291542E-3</v>
      </c>
    </row>
    <row r="3342" spans="2:4" x14ac:dyDescent="0.2">
      <c r="B3342" s="2">
        <v>40955</v>
      </c>
      <c r="C3342" s="61">
        <v>6751.96</v>
      </c>
      <c r="D3342" s="3">
        <f t="shared" si="55"/>
        <v>-8.8488503893191517E-4</v>
      </c>
    </row>
    <row r="3343" spans="2:4" x14ac:dyDescent="0.2">
      <c r="B3343" s="2">
        <v>40956</v>
      </c>
      <c r="C3343" s="61">
        <v>6848.03</v>
      </c>
      <c r="D3343" s="3">
        <f t="shared" si="55"/>
        <v>1.4228461069082154E-2</v>
      </c>
    </row>
    <row r="3344" spans="2:4" x14ac:dyDescent="0.2">
      <c r="B3344" s="2">
        <v>40959</v>
      </c>
      <c r="C3344" s="61">
        <v>6948.25</v>
      </c>
      <c r="D3344" s="3">
        <f t="shared" si="55"/>
        <v>1.4634865793520246E-2</v>
      </c>
    </row>
    <row r="3345" spans="2:4" x14ac:dyDescent="0.2">
      <c r="B3345" s="2">
        <v>40960</v>
      </c>
      <c r="C3345" s="61">
        <v>6908.18</v>
      </c>
      <c r="D3345" s="3">
        <f t="shared" si="55"/>
        <v>-5.7669197279890394E-3</v>
      </c>
    </row>
    <row r="3346" spans="2:4" x14ac:dyDescent="0.2">
      <c r="B3346" s="2">
        <v>40961</v>
      </c>
      <c r="C3346" s="61">
        <v>6843.87</v>
      </c>
      <c r="D3346" s="3">
        <f t="shared" si="55"/>
        <v>-9.3092536673914372E-3</v>
      </c>
    </row>
    <row r="3347" spans="2:4" x14ac:dyDescent="0.2">
      <c r="B3347" s="2">
        <v>40962</v>
      </c>
      <c r="C3347" s="61">
        <v>6809.46</v>
      </c>
      <c r="D3347" s="3">
        <f t="shared" si="55"/>
        <v>-5.0278570457942262E-3</v>
      </c>
    </row>
    <row r="3348" spans="2:4" x14ac:dyDescent="0.2">
      <c r="B3348" s="2">
        <v>40963</v>
      </c>
      <c r="C3348" s="61">
        <v>6864.43</v>
      </c>
      <c r="D3348" s="3">
        <f t="shared" si="55"/>
        <v>8.0725931277958463E-3</v>
      </c>
    </row>
    <row r="3349" spans="2:4" x14ac:dyDescent="0.2">
      <c r="B3349" s="2">
        <v>40966</v>
      </c>
      <c r="C3349" s="61">
        <v>6849.6</v>
      </c>
      <c r="D3349" s="3">
        <f t="shared" si="55"/>
        <v>-2.1604124450245177E-3</v>
      </c>
    </row>
    <row r="3350" spans="2:4" x14ac:dyDescent="0.2">
      <c r="B3350" s="2">
        <v>40967</v>
      </c>
      <c r="C3350" s="61">
        <v>6887.63</v>
      </c>
      <c r="D3350" s="3">
        <f t="shared" si="55"/>
        <v>5.5521490306003063E-3</v>
      </c>
    </row>
    <row r="3351" spans="2:4" x14ac:dyDescent="0.2">
      <c r="B3351" s="2">
        <v>40968</v>
      </c>
      <c r="C3351" s="61">
        <v>6856.08</v>
      </c>
      <c r="D3351" s="3">
        <f t="shared" si="55"/>
        <v>-4.5806757912373319E-3</v>
      </c>
    </row>
    <row r="3352" spans="2:4" x14ac:dyDescent="0.2">
      <c r="B3352" s="2">
        <v>40969</v>
      </c>
      <c r="C3352" s="61">
        <v>6941.77</v>
      </c>
      <c r="D3352" s="3">
        <f t="shared" si="55"/>
        <v>1.2498395584648936E-2</v>
      </c>
    </row>
    <row r="3353" spans="2:4" x14ac:dyDescent="0.2">
      <c r="B3353" s="2">
        <v>40970</v>
      </c>
      <c r="C3353" s="61">
        <v>6921.37</v>
      </c>
      <c r="D3353" s="3">
        <f t="shared" si="55"/>
        <v>-2.9387317643772004E-3</v>
      </c>
    </row>
    <row r="3354" spans="2:4" x14ac:dyDescent="0.2">
      <c r="B3354" s="2">
        <v>40973</v>
      </c>
      <c r="C3354" s="61">
        <v>6866.46</v>
      </c>
      <c r="D3354" s="3">
        <f t="shared" si="55"/>
        <v>-7.9334004684044057E-3</v>
      </c>
    </row>
    <row r="3355" spans="2:4" x14ac:dyDescent="0.2">
      <c r="B3355" s="2">
        <v>40974</v>
      </c>
      <c r="C3355" s="61">
        <v>6633.11</v>
      </c>
      <c r="D3355" s="3">
        <f t="shared" si="55"/>
        <v>-3.39840325291344E-2</v>
      </c>
    </row>
    <row r="3356" spans="2:4" x14ac:dyDescent="0.2">
      <c r="B3356" s="2">
        <v>40975</v>
      </c>
      <c r="C3356" s="61">
        <v>6671.11</v>
      </c>
      <c r="D3356" s="3">
        <f t="shared" si="55"/>
        <v>5.7288360964917739E-3</v>
      </c>
    </row>
    <row r="3357" spans="2:4" x14ac:dyDescent="0.2">
      <c r="B3357" s="2">
        <v>40976</v>
      </c>
      <c r="C3357" s="61">
        <v>6834.54</v>
      </c>
      <c r="D3357" s="3">
        <f t="shared" si="55"/>
        <v>2.449817196838322E-2</v>
      </c>
    </row>
    <row r="3358" spans="2:4" x14ac:dyDescent="0.2">
      <c r="B3358" s="2">
        <v>40977</v>
      </c>
      <c r="C3358" s="61">
        <v>6880.21</v>
      </c>
      <c r="D3358" s="3">
        <f t="shared" si="55"/>
        <v>6.6822346492960705E-3</v>
      </c>
    </row>
    <row r="3359" spans="2:4" x14ac:dyDescent="0.2">
      <c r="B3359" s="2">
        <v>40980</v>
      </c>
      <c r="C3359" s="61">
        <v>6901.35</v>
      </c>
      <c r="D3359" s="3">
        <f t="shared" si="55"/>
        <v>3.0725806334399586E-3</v>
      </c>
    </row>
    <row r="3360" spans="2:4" x14ac:dyDescent="0.2">
      <c r="B3360" s="2">
        <v>40981</v>
      </c>
      <c r="C3360" s="61">
        <v>6995.91</v>
      </c>
      <c r="D3360" s="3">
        <f t="shared" si="55"/>
        <v>1.3701667065139311E-2</v>
      </c>
    </row>
    <row r="3361" spans="2:4" x14ac:dyDescent="0.2">
      <c r="B3361" s="2">
        <v>40982</v>
      </c>
      <c r="C3361" s="61">
        <v>7079.42</v>
      </c>
      <c r="D3361" s="3">
        <f t="shared" si="55"/>
        <v>1.1936974603732775E-2</v>
      </c>
    </row>
    <row r="3362" spans="2:4" x14ac:dyDescent="0.2">
      <c r="B3362" s="2">
        <v>40983</v>
      </c>
      <c r="C3362" s="61">
        <v>7144.45</v>
      </c>
      <c r="D3362" s="3">
        <f t="shared" si="55"/>
        <v>9.1857807560506988E-3</v>
      </c>
    </row>
    <row r="3363" spans="2:4" x14ac:dyDescent="0.2">
      <c r="B3363" s="2">
        <v>40984</v>
      </c>
      <c r="C3363" s="61">
        <v>7157.82</v>
      </c>
      <c r="D3363" s="3">
        <f t="shared" si="55"/>
        <v>1.8713826816618706E-3</v>
      </c>
    </row>
    <row r="3364" spans="2:4" x14ac:dyDescent="0.2">
      <c r="B3364" s="2">
        <v>40987</v>
      </c>
      <c r="C3364" s="61">
        <v>7154.22</v>
      </c>
      <c r="D3364" s="3">
        <f t="shared" si="55"/>
        <v>-5.0294642782289234E-4</v>
      </c>
    </row>
    <row r="3365" spans="2:4" x14ac:dyDescent="0.2">
      <c r="B3365" s="2">
        <v>40988</v>
      </c>
      <c r="C3365" s="61">
        <v>7054.94</v>
      </c>
      <c r="D3365" s="3">
        <f t="shared" si="55"/>
        <v>-1.3877124270710195E-2</v>
      </c>
    </row>
    <row r="3366" spans="2:4" x14ac:dyDescent="0.2">
      <c r="B3366" s="2">
        <v>40989</v>
      </c>
      <c r="C3366" s="61">
        <v>7071.32</v>
      </c>
      <c r="D3366" s="3">
        <f t="shared" si="55"/>
        <v>2.3217773645134443E-3</v>
      </c>
    </row>
    <row r="3367" spans="2:4" x14ac:dyDescent="0.2">
      <c r="B3367" s="2">
        <v>40990</v>
      </c>
      <c r="C3367" s="61">
        <v>6981.26</v>
      </c>
      <c r="D3367" s="3">
        <f t="shared" si="55"/>
        <v>-1.2735953117663956E-2</v>
      </c>
    </row>
    <row r="3368" spans="2:4" x14ac:dyDescent="0.2">
      <c r="B3368" s="2">
        <v>40991</v>
      </c>
      <c r="C3368" s="61">
        <v>6995.62</v>
      </c>
      <c r="D3368" s="3">
        <f t="shared" si="55"/>
        <v>2.0569352810237973E-3</v>
      </c>
    </row>
    <row r="3369" spans="2:4" x14ac:dyDescent="0.2">
      <c r="B3369" s="2">
        <v>40994</v>
      </c>
      <c r="C3369" s="61">
        <v>7079.23</v>
      </c>
      <c r="D3369" s="3">
        <f t="shared" si="55"/>
        <v>1.1951764103824924E-2</v>
      </c>
    </row>
    <row r="3370" spans="2:4" x14ac:dyDescent="0.2">
      <c r="B3370" s="2">
        <v>40995</v>
      </c>
      <c r="C3370" s="61">
        <v>7078.9</v>
      </c>
      <c r="D3370" s="3">
        <f t="shared" si="55"/>
        <v>-4.6615239227998373E-5</v>
      </c>
    </row>
    <row r="3371" spans="2:4" x14ac:dyDescent="0.2">
      <c r="B3371" s="2">
        <v>40996</v>
      </c>
      <c r="C3371" s="61">
        <v>6998.8</v>
      </c>
      <c r="D3371" s="3">
        <f t="shared" si="55"/>
        <v>-1.1315317351565879E-2</v>
      </c>
    </row>
    <row r="3372" spans="2:4" x14ac:dyDescent="0.2">
      <c r="B3372" s="2">
        <v>40997</v>
      </c>
      <c r="C3372" s="61">
        <v>6875.15</v>
      </c>
      <c r="D3372" s="3">
        <f t="shared" si="55"/>
        <v>-1.7667314396753842E-2</v>
      </c>
    </row>
    <row r="3373" spans="2:4" x14ac:dyDescent="0.2">
      <c r="B3373" s="2">
        <v>40998</v>
      </c>
      <c r="C3373" s="61">
        <v>6946.83</v>
      </c>
      <c r="D3373" s="3">
        <f t="shared" si="55"/>
        <v>1.0425954342814459E-2</v>
      </c>
    </row>
    <row r="3374" spans="2:4" x14ac:dyDescent="0.2">
      <c r="B3374" s="2">
        <v>41001</v>
      </c>
      <c r="C3374" s="61">
        <v>7056.65</v>
      </c>
      <c r="D3374" s="3">
        <f t="shared" si="55"/>
        <v>1.5808649412753617E-2</v>
      </c>
    </row>
    <row r="3375" spans="2:4" x14ac:dyDescent="0.2">
      <c r="B3375" s="2">
        <v>41002</v>
      </c>
      <c r="C3375" s="61">
        <v>6982.28</v>
      </c>
      <c r="D3375" s="3">
        <f t="shared" si="55"/>
        <v>-1.0538995132251094E-2</v>
      </c>
    </row>
    <row r="3376" spans="2:4" x14ac:dyDescent="0.2">
      <c r="B3376" s="2">
        <v>41003</v>
      </c>
      <c r="C3376" s="61">
        <v>6784.06</v>
      </c>
      <c r="D3376" s="3">
        <f t="shared" si="55"/>
        <v>-2.8389007602101279E-2</v>
      </c>
    </row>
    <row r="3377" spans="2:4" x14ac:dyDescent="0.2">
      <c r="B3377" s="2">
        <v>41004</v>
      </c>
      <c r="C3377" s="61">
        <v>6775.26</v>
      </c>
      <c r="D3377" s="3">
        <f t="shared" si="55"/>
        <v>-1.2971583388119434E-3</v>
      </c>
    </row>
    <row r="3378" spans="2:4" x14ac:dyDescent="0.2">
      <c r="B3378" s="2">
        <v>41009</v>
      </c>
      <c r="C3378" s="61">
        <v>6606.43</v>
      </c>
      <c r="D3378" s="3">
        <f t="shared" si="55"/>
        <v>-2.4918600909780597E-2</v>
      </c>
    </row>
    <row r="3379" spans="2:4" x14ac:dyDescent="0.2">
      <c r="B3379" s="2">
        <v>41010</v>
      </c>
      <c r="C3379" s="61">
        <v>6674.73</v>
      </c>
      <c r="D3379" s="3">
        <f t="shared" si="55"/>
        <v>1.033841272820557E-2</v>
      </c>
    </row>
    <row r="3380" spans="2:4" x14ac:dyDescent="0.2">
      <c r="B3380" s="2">
        <v>41011</v>
      </c>
      <c r="C3380" s="61">
        <v>6743.24</v>
      </c>
      <c r="D3380" s="3">
        <f t="shared" si="55"/>
        <v>1.0264085588480798E-2</v>
      </c>
    </row>
    <row r="3381" spans="2:4" x14ac:dyDescent="0.2">
      <c r="B3381" s="2">
        <v>41012</v>
      </c>
      <c r="C3381" s="61">
        <v>6583.9</v>
      </c>
      <c r="D3381" s="3">
        <f t="shared" si="55"/>
        <v>-2.3629590523249977E-2</v>
      </c>
    </row>
    <row r="3382" spans="2:4" x14ac:dyDescent="0.2">
      <c r="B3382" s="2">
        <v>41015</v>
      </c>
      <c r="C3382" s="61">
        <v>6625.19</v>
      </c>
      <c r="D3382" s="3">
        <f t="shared" si="55"/>
        <v>6.2713589210041665E-3</v>
      </c>
    </row>
    <row r="3383" spans="2:4" x14ac:dyDescent="0.2">
      <c r="B3383" s="2">
        <v>41016</v>
      </c>
      <c r="C3383" s="61">
        <v>6801</v>
      </c>
      <c r="D3383" s="3">
        <f t="shared" si="55"/>
        <v>2.6536597440979026E-2</v>
      </c>
    </row>
    <row r="3384" spans="2:4" x14ac:dyDescent="0.2">
      <c r="B3384" s="2">
        <v>41017</v>
      </c>
      <c r="C3384" s="61">
        <v>6732.03</v>
      </c>
      <c r="D3384" s="3">
        <f t="shared" si="55"/>
        <v>-1.0141155712395267E-2</v>
      </c>
    </row>
    <row r="3385" spans="2:4" x14ac:dyDescent="0.2">
      <c r="B3385" s="2">
        <v>41018</v>
      </c>
      <c r="C3385" s="61">
        <v>6671.22</v>
      </c>
      <c r="D3385" s="3">
        <f t="shared" si="55"/>
        <v>-9.0329365733663458E-3</v>
      </c>
    </row>
    <row r="3386" spans="2:4" x14ac:dyDescent="0.2">
      <c r="B3386" s="2">
        <v>41019</v>
      </c>
      <c r="C3386" s="61">
        <v>6750.12</v>
      </c>
      <c r="D3386" s="3">
        <f t="shared" si="55"/>
        <v>1.1826922212128999E-2</v>
      </c>
    </row>
    <row r="3387" spans="2:4" x14ac:dyDescent="0.2">
      <c r="B3387" s="2">
        <v>41022</v>
      </c>
      <c r="C3387" s="61">
        <v>6523</v>
      </c>
      <c r="D3387" s="3">
        <f t="shared" si="55"/>
        <v>-3.364680924190977E-2</v>
      </c>
    </row>
    <row r="3388" spans="2:4" x14ac:dyDescent="0.2">
      <c r="B3388" s="2">
        <v>41023</v>
      </c>
      <c r="C3388" s="61">
        <v>6590.41</v>
      </c>
      <c r="D3388" s="3">
        <f t="shared" si="55"/>
        <v>1.0334202054269381E-2</v>
      </c>
    </row>
    <row r="3389" spans="2:4" x14ac:dyDescent="0.2">
      <c r="B3389" s="2">
        <v>41024</v>
      </c>
      <c r="C3389" s="61">
        <v>6704.5</v>
      </c>
      <c r="D3389" s="3">
        <f t="shared" si="55"/>
        <v>1.7311517796313236E-2</v>
      </c>
    </row>
    <row r="3390" spans="2:4" x14ac:dyDescent="0.2">
      <c r="B3390" s="2">
        <v>41025</v>
      </c>
      <c r="C3390" s="61">
        <v>6739.9</v>
      </c>
      <c r="D3390" s="3">
        <f t="shared" si="55"/>
        <v>5.2800357968527667E-3</v>
      </c>
    </row>
    <row r="3391" spans="2:4" x14ac:dyDescent="0.2">
      <c r="B3391" s="2">
        <v>41026</v>
      </c>
      <c r="C3391" s="61">
        <v>6801.32</v>
      </c>
      <c r="D3391" s="3">
        <f t="shared" si="55"/>
        <v>9.1128948500720508E-3</v>
      </c>
    </row>
    <row r="3392" spans="2:4" x14ac:dyDescent="0.2">
      <c r="B3392" s="2">
        <v>41029</v>
      </c>
      <c r="C3392" s="61">
        <v>6761.19</v>
      </c>
      <c r="D3392" s="3">
        <f t="shared" si="55"/>
        <v>-5.9003252309846044E-3</v>
      </c>
    </row>
    <row r="3393" spans="2:4" x14ac:dyDescent="0.2">
      <c r="B3393" s="2">
        <v>41031</v>
      </c>
      <c r="C3393" s="61">
        <v>6710.77</v>
      </c>
      <c r="D3393" s="3">
        <f t="shared" si="55"/>
        <v>-7.457267137885415E-3</v>
      </c>
    </row>
    <row r="3394" spans="2:4" x14ac:dyDescent="0.2">
      <c r="B3394" s="2">
        <v>41032</v>
      </c>
      <c r="C3394" s="61">
        <v>6694.44</v>
      </c>
      <c r="D3394" s="3">
        <f t="shared" si="55"/>
        <v>-2.433401830192472E-3</v>
      </c>
    </row>
    <row r="3395" spans="2:4" x14ac:dyDescent="0.2">
      <c r="B3395" s="2">
        <v>41033</v>
      </c>
      <c r="C3395" s="61">
        <v>6561.47</v>
      </c>
      <c r="D3395" s="3">
        <f t="shared" si="55"/>
        <v>-1.986275177610064E-2</v>
      </c>
    </row>
    <row r="3396" spans="2:4" x14ac:dyDescent="0.2">
      <c r="B3396" s="2">
        <v>41036</v>
      </c>
      <c r="C3396" s="61">
        <v>6569.48</v>
      </c>
      <c r="D3396" s="3">
        <f t="shared" si="55"/>
        <v>1.2207630302354389E-3</v>
      </c>
    </row>
    <row r="3397" spans="2:4" x14ac:dyDescent="0.2">
      <c r="B3397" s="2">
        <v>41037</v>
      </c>
      <c r="C3397" s="61">
        <v>6444.74</v>
      </c>
      <c r="D3397" s="3">
        <f t="shared" ref="D3397:D3460" si="56">C3397/C3396-1</f>
        <v>-1.8987804209769976E-2</v>
      </c>
    </row>
    <row r="3398" spans="2:4" x14ac:dyDescent="0.2">
      <c r="B3398" s="2">
        <v>41038</v>
      </c>
      <c r="C3398" s="61">
        <v>6475.31</v>
      </c>
      <c r="D3398" s="3">
        <f t="shared" si="56"/>
        <v>4.7434031473729821E-3</v>
      </c>
    </row>
    <row r="3399" spans="2:4" x14ac:dyDescent="0.2">
      <c r="B3399" s="2">
        <v>41039</v>
      </c>
      <c r="C3399" s="61">
        <v>6518</v>
      </c>
      <c r="D3399" s="3">
        <f t="shared" si="56"/>
        <v>6.5927345563376871E-3</v>
      </c>
    </row>
    <row r="3400" spans="2:4" x14ac:dyDescent="0.2">
      <c r="B3400" s="2">
        <v>41040</v>
      </c>
      <c r="C3400" s="61">
        <v>6579.93</v>
      </c>
      <c r="D3400" s="3">
        <f t="shared" si="56"/>
        <v>9.5013807916539683E-3</v>
      </c>
    </row>
    <row r="3401" spans="2:4" x14ac:dyDescent="0.2">
      <c r="B3401" s="2">
        <v>41043</v>
      </c>
      <c r="C3401" s="61">
        <v>6451.97</v>
      </c>
      <c r="D3401" s="3">
        <f t="shared" si="56"/>
        <v>-1.9447015393780798E-2</v>
      </c>
    </row>
    <row r="3402" spans="2:4" x14ac:dyDescent="0.2">
      <c r="B3402" s="2">
        <v>41044</v>
      </c>
      <c r="C3402" s="61">
        <v>6401.06</v>
      </c>
      <c r="D3402" s="3">
        <f t="shared" si="56"/>
        <v>-7.8906132545563112E-3</v>
      </c>
    </row>
    <row r="3403" spans="2:4" x14ac:dyDescent="0.2">
      <c r="B3403" s="2">
        <v>41045</v>
      </c>
      <c r="C3403" s="61">
        <v>6384.26</v>
      </c>
      <c r="D3403" s="3">
        <f t="shared" si="56"/>
        <v>-2.6245653063711183E-3</v>
      </c>
    </row>
    <row r="3404" spans="2:4" x14ac:dyDescent="0.2">
      <c r="B3404" s="2">
        <v>41046</v>
      </c>
      <c r="C3404" s="61">
        <v>6308.96</v>
      </c>
      <c r="D3404" s="3">
        <f t="shared" si="56"/>
        <v>-1.1794632424118046E-2</v>
      </c>
    </row>
    <row r="3405" spans="2:4" x14ac:dyDescent="0.2">
      <c r="B3405" s="2">
        <v>41047</v>
      </c>
      <c r="C3405" s="61">
        <v>6271.22</v>
      </c>
      <c r="D3405" s="3">
        <f t="shared" si="56"/>
        <v>-5.9819685019401048E-3</v>
      </c>
    </row>
    <row r="3406" spans="2:4" x14ac:dyDescent="0.2">
      <c r="B3406" s="2">
        <v>41050</v>
      </c>
      <c r="C3406" s="61">
        <v>6331.04</v>
      </c>
      <c r="D3406" s="3">
        <f t="shared" si="56"/>
        <v>9.5388138193206462E-3</v>
      </c>
    </row>
    <row r="3407" spans="2:4" x14ac:dyDescent="0.2">
      <c r="B3407" s="2">
        <v>41051</v>
      </c>
      <c r="C3407" s="61">
        <v>6435.6</v>
      </c>
      <c r="D3407" s="3">
        <f t="shared" si="56"/>
        <v>1.6515454017033582E-2</v>
      </c>
    </row>
    <row r="3408" spans="2:4" x14ac:dyDescent="0.2">
      <c r="B3408" s="2">
        <v>41052</v>
      </c>
      <c r="C3408" s="61">
        <v>6285.75</v>
      </c>
      <c r="D3408" s="3">
        <f t="shared" si="56"/>
        <v>-2.3284542233824368E-2</v>
      </c>
    </row>
    <row r="3409" spans="2:4" x14ac:dyDescent="0.2">
      <c r="B3409" s="2">
        <v>41053</v>
      </c>
      <c r="C3409" s="61">
        <v>6315.89</v>
      </c>
      <c r="D3409" s="3">
        <f t="shared" si="56"/>
        <v>4.794972755836735E-3</v>
      </c>
    </row>
    <row r="3410" spans="2:4" x14ac:dyDescent="0.2">
      <c r="B3410" s="2">
        <v>41054</v>
      </c>
      <c r="C3410" s="61">
        <v>6339.94</v>
      </c>
      <c r="D3410" s="3">
        <f t="shared" si="56"/>
        <v>3.807856058291037E-3</v>
      </c>
    </row>
    <row r="3411" spans="2:4" x14ac:dyDescent="0.2">
      <c r="B3411" s="2">
        <v>41057</v>
      </c>
      <c r="C3411" s="61">
        <v>6323.19</v>
      </c>
      <c r="D3411" s="3">
        <f t="shared" si="56"/>
        <v>-2.6419808389354094E-3</v>
      </c>
    </row>
    <row r="3412" spans="2:4" x14ac:dyDescent="0.2">
      <c r="B3412" s="2">
        <v>41058</v>
      </c>
      <c r="C3412" s="61">
        <v>6396.84</v>
      </c>
      <c r="D3412" s="3">
        <f t="shared" si="56"/>
        <v>1.1647601922447404E-2</v>
      </c>
    </row>
    <row r="3413" spans="2:4" x14ac:dyDescent="0.2">
      <c r="B3413" s="2">
        <v>41059</v>
      </c>
      <c r="C3413" s="61">
        <v>6280.8</v>
      </c>
      <c r="D3413" s="3">
        <f t="shared" si="56"/>
        <v>-1.8140206727071506E-2</v>
      </c>
    </row>
    <row r="3414" spans="2:4" x14ac:dyDescent="0.2">
      <c r="B3414" s="2">
        <v>41060</v>
      </c>
      <c r="C3414" s="61">
        <v>6264.38</v>
      </c>
      <c r="D3414" s="3">
        <f t="shared" si="56"/>
        <v>-2.6143166475608437E-3</v>
      </c>
    </row>
    <row r="3415" spans="2:4" x14ac:dyDescent="0.2">
      <c r="B3415" s="2">
        <v>41061</v>
      </c>
      <c r="C3415" s="61">
        <v>6050.29</v>
      </c>
      <c r="D3415" s="3">
        <f t="shared" si="56"/>
        <v>-3.4175768392083472E-2</v>
      </c>
    </row>
    <row r="3416" spans="2:4" x14ac:dyDescent="0.2">
      <c r="B3416" s="2">
        <v>41064</v>
      </c>
      <c r="C3416" s="61">
        <v>5978.23</v>
      </c>
      <c r="D3416" s="3">
        <f t="shared" si="56"/>
        <v>-1.1910172900803206E-2</v>
      </c>
    </row>
    <row r="3417" spans="2:4" x14ac:dyDescent="0.2">
      <c r="B3417" s="2">
        <v>41065</v>
      </c>
      <c r="C3417" s="61">
        <v>5969.4</v>
      </c>
      <c r="D3417" s="3">
        <f t="shared" si="56"/>
        <v>-1.477025808642396E-3</v>
      </c>
    </row>
    <row r="3418" spans="2:4" x14ac:dyDescent="0.2">
      <c r="B3418" s="2">
        <v>41066</v>
      </c>
      <c r="C3418" s="61">
        <v>6093.99</v>
      </c>
      <c r="D3418" s="3">
        <f t="shared" si="56"/>
        <v>2.0871444366268088E-2</v>
      </c>
    </row>
    <row r="3419" spans="2:4" x14ac:dyDescent="0.2">
      <c r="B3419" s="2">
        <v>41067</v>
      </c>
      <c r="C3419" s="61">
        <v>6144.22</v>
      </c>
      <c r="D3419" s="3">
        <f t="shared" si="56"/>
        <v>8.2425471653220228E-3</v>
      </c>
    </row>
    <row r="3420" spans="2:4" x14ac:dyDescent="0.2">
      <c r="B3420" s="2">
        <v>41068</v>
      </c>
      <c r="C3420" s="61">
        <v>6130.82</v>
      </c>
      <c r="D3420" s="3">
        <f t="shared" si="56"/>
        <v>-2.1809114907995752E-3</v>
      </c>
    </row>
    <row r="3421" spans="2:4" x14ac:dyDescent="0.2">
      <c r="B3421" s="2">
        <v>41071</v>
      </c>
      <c r="C3421" s="61">
        <v>6141.05</v>
      </c>
      <c r="D3421" s="3">
        <f t="shared" si="56"/>
        <v>1.6686185534724451E-3</v>
      </c>
    </row>
    <row r="3422" spans="2:4" x14ac:dyDescent="0.2">
      <c r="B3422" s="2">
        <v>41072</v>
      </c>
      <c r="C3422" s="61">
        <v>6161.24</v>
      </c>
      <c r="D3422" s="3">
        <f t="shared" si="56"/>
        <v>3.2877113848608364E-3</v>
      </c>
    </row>
    <row r="3423" spans="2:4" x14ac:dyDescent="0.2">
      <c r="B3423" s="2">
        <v>41073</v>
      </c>
      <c r="C3423" s="61">
        <v>6152.49</v>
      </c>
      <c r="D3423" s="3">
        <f t="shared" si="56"/>
        <v>-1.4201686673461777E-3</v>
      </c>
    </row>
    <row r="3424" spans="2:4" x14ac:dyDescent="0.2">
      <c r="B3424" s="2">
        <v>41074</v>
      </c>
      <c r="C3424" s="61">
        <v>6138.61</v>
      </c>
      <c r="D3424" s="3">
        <f t="shared" si="56"/>
        <v>-2.2559971653753896E-3</v>
      </c>
    </row>
    <row r="3425" spans="2:4" x14ac:dyDescent="0.2">
      <c r="B3425" s="2">
        <v>41075</v>
      </c>
      <c r="C3425" s="61">
        <v>6229.41</v>
      </c>
      <c r="D3425" s="3">
        <f t="shared" si="56"/>
        <v>1.4791622207633415E-2</v>
      </c>
    </row>
    <row r="3426" spans="2:4" x14ac:dyDescent="0.2">
      <c r="B3426" s="2">
        <v>41078</v>
      </c>
      <c r="C3426" s="61">
        <v>6248.2</v>
      </c>
      <c r="D3426" s="3">
        <f t="shared" si="56"/>
        <v>3.016337020680826E-3</v>
      </c>
    </row>
    <row r="3427" spans="2:4" x14ac:dyDescent="0.2">
      <c r="B3427" s="2">
        <v>41079</v>
      </c>
      <c r="C3427" s="61">
        <v>6363.36</v>
      </c>
      <c r="D3427" s="3">
        <f t="shared" si="56"/>
        <v>1.843090810153325E-2</v>
      </c>
    </row>
    <row r="3428" spans="2:4" x14ac:dyDescent="0.2">
      <c r="B3428" s="2">
        <v>41080</v>
      </c>
      <c r="C3428" s="61">
        <v>6392.13</v>
      </c>
      <c r="D3428" s="3">
        <f t="shared" si="56"/>
        <v>4.521196349098755E-3</v>
      </c>
    </row>
    <row r="3429" spans="2:4" x14ac:dyDescent="0.2">
      <c r="B3429" s="2">
        <v>41081</v>
      </c>
      <c r="C3429" s="61">
        <v>6343.13</v>
      </c>
      <c r="D3429" s="3">
        <f t="shared" si="56"/>
        <v>-7.6656763864314525E-3</v>
      </c>
    </row>
    <row r="3430" spans="2:4" x14ac:dyDescent="0.2">
      <c r="B3430" s="2">
        <v>41082</v>
      </c>
      <c r="C3430" s="61">
        <v>6263.25</v>
      </c>
      <c r="D3430" s="3">
        <f t="shared" si="56"/>
        <v>-1.2593151961255766E-2</v>
      </c>
    </row>
    <row r="3431" spans="2:4" x14ac:dyDescent="0.2">
      <c r="B3431" s="2">
        <v>41085</v>
      </c>
      <c r="C3431" s="61">
        <v>6132.39</v>
      </c>
      <c r="D3431" s="3">
        <f t="shared" si="56"/>
        <v>-2.089330619087526E-2</v>
      </c>
    </row>
    <row r="3432" spans="2:4" x14ac:dyDescent="0.2">
      <c r="B3432" s="2">
        <v>41086</v>
      </c>
      <c r="C3432" s="61">
        <v>6136.69</v>
      </c>
      <c r="D3432" s="3">
        <f t="shared" si="56"/>
        <v>7.0119480333108442E-4</v>
      </c>
    </row>
    <row r="3433" spans="2:4" x14ac:dyDescent="0.2">
      <c r="B3433" s="2">
        <v>41087</v>
      </c>
      <c r="C3433" s="61">
        <v>6228.99</v>
      </c>
      <c r="D3433" s="3">
        <f t="shared" si="56"/>
        <v>1.5040681540048562E-2</v>
      </c>
    </row>
    <row r="3434" spans="2:4" x14ac:dyDescent="0.2">
      <c r="B3434" s="2">
        <v>41088</v>
      </c>
      <c r="C3434" s="61">
        <v>6149.91</v>
      </c>
      <c r="D3434" s="3">
        <f t="shared" si="56"/>
        <v>-1.2695477115872711E-2</v>
      </c>
    </row>
    <row r="3435" spans="2:4" x14ac:dyDescent="0.2">
      <c r="B3435" s="2">
        <v>41089</v>
      </c>
      <c r="C3435" s="61">
        <v>6416.28</v>
      </c>
      <c r="D3435" s="3">
        <f t="shared" si="56"/>
        <v>4.3312828968228745E-2</v>
      </c>
    </row>
    <row r="3436" spans="2:4" x14ac:dyDescent="0.2">
      <c r="B3436" s="2">
        <v>41092</v>
      </c>
      <c r="C3436" s="61">
        <v>6496.08</v>
      </c>
      <c r="D3436" s="3">
        <f t="shared" si="56"/>
        <v>1.2437113093568319E-2</v>
      </c>
    </row>
    <row r="3437" spans="2:4" x14ac:dyDescent="0.2">
      <c r="B3437" s="2">
        <v>41093</v>
      </c>
      <c r="C3437" s="61">
        <v>6578.21</v>
      </c>
      <c r="D3437" s="3">
        <f t="shared" si="56"/>
        <v>1.2643009322545362E-2</v>
      </c>
    </row>
    <row r="3438" spans="2:4" x14ac:dyDescent="0.2">
      <c r="B3438" s="2">
        <v>41094</v>
      </c>
      <c r="C3438" s="61">
        <v>6564.8</v>
      </c>
      <c r="D3438" s="3">
        <f t="shared" si="56"/>
        <v>-2.0385484805136578E-3</v>
      </c>
    </row>
    <row r="3439" spans="2:4" x14ac:dyDescent="0.2">
      <c r="B3439" s="2">
        <v>41095</v>
      </c>
      <c r="C3439" s="61">
        <v>6535.56</v>
      </c>
      <c r="D3439" s="3">
        <f t="shared" si="56"/>
        <v>-4.4540580063368029E-3</v>
      </c>
    </row>
    <row r="3440" spans="2:4" x14ac:dyDescent="0.2">
      <c r="B3440" s="2">
        <v>41096</v>
      </c>
      <c r="C3440" s="61">
        <v>6410.11</v>
      </c>
      <c r="D3440" s="3">
        <f t="shared" si="56"/>
        <v>-1.9194988646726641E-2</v>
      </c>
    </row>
    <row r="3441" spans="2:4" x14ac:dyDescent="0.2">
      <c r="B3441" s="2">
        <v>41099</v>
      </c>
      <c r="C3441" s="61">
        <v>6387.57</v>
      </c>
      <c r="D3441" s="3">
        <f t="shared" si="56"/>
        <v>-3.5163203127559495E-3</v>
      </c>
    </row>
    <row r="3442" spans="2:4" x14ac:dyDescent="0.2">
      <c r="B3442" s="2">
        <v>41100</v>
      </c>
      <c r="C3442" s="61">
        <v>6438.33</v>
      </c>
      <c r="D3442" s="3">
        <f t="shared" si="56"/>
        <v>7.9466839502346787E-3</v>
      </c>
    </row>
    <row r="3443" spans="2:4" x14ac:dyDescent="0.2">
      <c r="B3443" s="2">
        <v>41101</v>
      </c>
      <c r="C3443" s="61">
        <v>6453.85</v>
      </c>
      <c r="D3443" s="3">
        <f t="shared" si="56"/>
        <v>2.4105629876070012E-3</v>
      </c>
    </row>
    <row r="3444" spans="2:4" x14ac:dyDescent="0.2">
      <c r="B3444" s="2">
        <v>41102</v>
      </c>
      <c r="C3444" s="61">
        <v>6419.35</v>
      </c>
      <c r="D3444" s="3">
        <f t="shared" si="56"/>
        <v>-5.3456463971117696E-3</v>
      </c>
    </row>
    <row r="3445" spans="2:4" x14ac:dyDescent="0.2">
      <c r="B3445" s="2">
        <v>41103</v>
      </c>
      <c r="C3445" s="61">
        <v>6557.1</v>
      </c>
      <c r="D3445" s="3">
        <f t="shared" si="56"/>
        <v>2.1458558888360901E-2</v>
      </c>
    </row>
    <row r="3446" spans="2:4" x14ac:dyDescent="0.2">
      <c r="B3446" s="2">
        <v>41106</v>
      </c>
      <c r="C3446" s="61">
        <v>6565.72</v>
      </c>
      <c r="D3446" s="3">
        <f t="shared" si="56"/>
        <v>1.3146055420840685E-3</v>
      </c>
    </row>
    <row r="3447" spans="2:4" x14ac:dyDescent="0.2">
      <c r="B3447" s="2">
        <v>41107</v>
      </c>
      <c r="C3447" s="61">
        <v>6577.64</v>
      </c>
      <c r="D3447" s="3">
        <f t="shared" si="56"/>
        <v>1.8154901518798727E-3</v>
      </c>
    </row>
    <row r="3448" spans="2:4" x14ac:dyDescent="0.2">
      <c r="B3448" s="2">
        <v>41108</v>
      </c>
      <c r="C3448" s="61">
        <v>6684.42</v>
      </c>
      <c r="D3448" s="3">
        <f t="shared" si="56"/>
        <v>1.6233785977949555E-2</v>
      </c>
    </row>
    <row r="3449" spans="2:4" x14ac:dyDescent="0.2">
      <c r="B3449" s="2">
        <v>41109</v>
      </c>
      <c r="C3449" s="61">
        <v>6758.39</v>
      </c>
      <c r="D3449" s="3">
        <f t="shared" si="56"/>
        <v>1.1066031159023604E-2</v>
      </c>
    </row>
    <row r="3450" spans="2:4" x14ac:dyDescent="0.2">
      <c r="B3450" s="2">
        <v>41110</v>
      </c>
      <c r="C3450" s="61">
        <v>6630.02</v>
      </c>
      <c r="D3450" s="3">
        <f t="shared" si="56"/>
        <v>-1.8994168729534633E-2</v>
      </c>
    </row>
    <row r="3451" spans="2:4" x14ac:dyDescent="0.2">
      <c r="B3451" s="2">
        <v>41113</v>
      </c>
      <c r="C3451" s="61">
        <v>6419.33</v>
      </c>
      <c r="D3451" s="3">
        <f t="shared" si="56"/>
        <v>-3.1778184681192645E-2</v>
      </c>
    </row>
    <row r="3452" spans="2:4" x14ac:dyDescent="0.2">
      <c r="B3452" s="2">
        <v>41114</v>
      </c>
      <c r="C3452" s="61">
        <v>6390.41</v>
      </c>
      <c r="D3452" s="3">
        <f t="shared" si="56"/>
        <v>-4.5051430601013021E-3</v>
      </c>
    </row>
    <row r="3453" spans="2:4" x14ac:dyDescent="0.2">
      <c r="B3453" s="2">
        <v>41115</v>
      </c>
      <c r="C3453" s="61">
        <v>6406.52</v>
      </c>
      <c r="D3453" s="3">
        <f t="shared" si="56"/>
        <v>2.5209650085049606E-3</v>
      </c>
    </row>
    <row r="3454" spans="2:4" x14ac:dyDescent="0.2">
      <c r="B3454" s="2">
        <v>41116</v>
      </c>
      <c r="C3454" s="61">
        <v>6582.96</v>
      </c>
      <c r="D3454" s="3">
        <f t="shared" si="56"/>
        <v>2.7540692919088672E-2</v>
      </c>
    </row>
    <row r="3455" spans="2:4" x14ac:dyDescent="0.2">
      <c r="B3455" s="2">
        <v>41117</v>
      </c>
      <c r="C3455" s="61">
        <v>6689.4</v>
      </c>
      <c r="D3455" s="3">
        <f t="shared" si="56"/>
        <v>1.6169018192424112E-2</v>
      </c>
    </row>
    <row r="3456" spans="2:4" x14ac:dyDescent="0.2">
      <c r="B3456" s="2">
        <v>41120</v>
      </c>
      <c r="C3456" s="61">
        <v>6774.06</v>
      </c>
      <c r="D3456" s="3">
        <f t="shared" si="56"/>
        <v>1.265584357341476E-2</v>
      </c>
    </row>
    <row r="3457" spans="2:4" x14ac:dyDescent="0.2">
      <c r="B3457" s="2">
        <v>41121</v>
      </c>
      <c r="C3457" s="61">
        <v>6772.26</v>
      </c>
      <c r="D3457" s="3">
        <f t="shared" si="56"/>
        <v>-2.657195241849708E-4</v>
      </c>
    </row>
    <row r="3458" spans="2:4" x14ac:dyDescent="0.2">
      <c r="B3458" s="2">
        <v>41122</v>
      </c>
      <c r="C3458" s="61">
        <v>6754.46</v>
      </c>
      <c r="D3458" s="3">
        <f t="shared" si="56"/>
        <v>-2.6283692593019881E-3</v>
      </c>
    </row>
    <row r="3459" spans="2:4" x14ac:dyDescent="0.2">
      <c r="B3459" s="2">
        <v>41123</v>
      </c>
      <c r="C3459" s="61">
        <v>6606.09</v>
      </c>
      <c r="D3459" s="3">
        <f t="shared" si="56"/>
        <v>-2.19662267598002E-2</v>
      </c>
    </row>
    <row r="3460" spans="2:4" x14ac:dyDescent="0.2">
      <c r="B3460" s="2">
        <v>41124</v>
      </c>
      <c r="C3460" s="61">
        <v>6865.66</v>
      </c>
      <c r="D3460" s="3">
        <f t="shared" si="56"/>
        <v>3.9292531588276836E-2</v>
      </c>
    </row>
    <row r="3461" spans="2:4" x14ac:dyDescent="0.2">
      <c r="B3461" s="2">
        <v>41127</v>
      </c>
      <c r="C3461" s="61">
        <v>6918.72</v>
      </c>
      <c r="D3461" s="3">
        <f t="shared" ref="D3461:D3524" si="57">C3461/C3460-1</f>
        <v>7.7283174523643527E-3</v>
      </c>
    </row>
    <row r="3462" spans="2:4" x14ac:dyDescent="0.2">
      <c r="B3462" s="2">
        <v>41128</v>
      </c>
      <c r="C3462" s="61">
        <v>6967.95</v>
      </c>
      <c r="D3462" s="3">
        <f t="shared" si="57"/>
        <v>7.1154780074926816E-3</v>
      </c>
    </row>
    <row r="3463" spans="2:4" x14ac:dyDescent="0.2">
      <c r="B3463" s="2">
        <v>41129</v>
      </c>
      <c r="C3463" s="61">
        <v>6966.15</v>
      </c>
      <c r="D3463" s="3">
        <f t="shared" si="57"/>
        <v>-2.5832561944338917E-4</v>
      </c>
    </row>
    <row r="3464" spans="2:4" x14ac:dyDescent="0.2">
      <c r="B3464" s="2">
        <v>41130</v>
      </c>
      <c r="C3464" s="61">
        <v>6964.99</v>
      </c>
      <c r="D3464" s="3">
        <f t="shared" si="57"/>
        <v>-1.6651952656776547E-4</v>
      </c>
    </row>
    <row r="3465" spans="2:4" x14ac:dyDescent="0.2">
      <c r="B3465" s="2">
        <v>41131</v>
      </c>
      <c r="C3465" s="61">
        <v>6944.56</v>
      </c>
      <c r="D3465" s="3">
        <f t="shared" si="57"/>
        <v>-2.9332418280570982E-3</v>
      </c>
    </row>
    <row r="3466" spans="2:4" x14ac:dyDescent="0.2">
      <c r="B3466" s="2">
        <v>41134</v>
      </c>
      <c r="C3466" s="61">
        <v>6909.68</v>
      </c>
      <c r="D3466" s="3">
        <f t="shared" si="57"/>
        <v>-5.0226364233298959E-3</v>
      </c>
    </row>
    <row r="3467" spans="2:4" x14ac:dyDescent="0.2">
      <c r="B3467" s="2">
        <v>41135</v>
      </c>
      <c r="C3467" s="61">
        <v>6974.39</v>
      </c>
      <c r="D3467" s="3">
        <f t="shared" si="57"/>
        <v>9.3651225527087156E-3</v>
      </c>
    </row>
    <row r="3468" spans="2:4" x14ac:dyDescent="0.2">
      <c r="B3468" s="2">
        <v>41136</v>
      </c>
      <c r="C3468" s="61">
        <v>6946.8</v>
      </c>
      <c r="D3468" s="3">
        <f t="shared" si="57"/>
        <v>-3.9559015197028202E-3</v>
      </c>
    </row>
    <row r="3469" spans="2:4" x14ac:dyDescent="0.2">
      <c r="B3469" s="2">
        <v>41137</v>
      </c>
      <c r="C3469" s="61">
        <v>6996.29</v>
      </c>
      <c r="D3469" s="3">
        <f t="shared" si="57"/>
        <v>7.1241434905280343E-3</v>
      </c>
    </row>
    <row r="3470" spans="2:4" x14ac:dyDescent="0.2">
      <c r="B3470" s="2">
        <v>41138</v>
      </c>
      <c r="C3470" s="61">
        <v>7040.88</v>
      </c>
      <c r="D3470" s="3">
        <f t="shared" si="57"/>
        <v>6.3733778902819171E-3</v>
      </c>
    </row>
    <row r="3471" spans="2:4" x14ac:dyDescent="0.2">
      <c r="B3471" s="2">
        <v>41141</v>
      </c>
      <c r="C3471" s="61">
        <v>7033.68</v>
      </c>
      <c r="D3471" s="3">
        <f t="shared" si="57"/>
        <v>-1.0225994477962574E-3</v>
      </c>
    </row>
    <row r="3472" spans="2:4" x14ac:dyDescent="0.2">
      <c r="B3472" s="2">
        <v>41142</v>
      </c>
      <c r="C3472" s="61">
        <v>7089.32</v>
      </c>
      <c r="D3472" s="3">
        <f t="shared" si="57"/>
        <v>7.9105105719907698E-3</v>
      </c>
    </row>
    <row r="3473" spans="2:4" x14ac:dyDescent="0.2">
      <c r="B3473" s="2">
        <v>41143</v>
      </c>
      <c r="C3473" s="61">
        <v>7017.75</v>
      </c>
      <c r="D3473" s="3">
        <f t="shared" si="57"/>
        <v>-1.0095467548368542E-2</v>
      </c>
    </row>
    <row r="3474" spans="2:4" x14ac:dyDescent="0.2">
      <c r="B3474" s="2">
        <v>41144</v>
      </c>
      <c r="C3474" s="61">
        <v>6949.57</v>
      </c>
      <c r="D3474" s="3">
        <f t="shared" si="57"/>
        <v>-9.715364611164623E-3</v>
      </c>
    </row>
    <row r="3475" spans="2:4" x14ac:dyDescent="0.2">
      <c r="B3475" s="2">
        <v>41145</v>
      </c>
      <c r="C3475" s="61">
        <v>6971.07</v>
      </c>
      <c r="D3475" s="3">
        <f t="shared" si="57"/>
        <v>3.093716589659401E-3</v>
      </c>
    </row>
    <row r="3476" spans="2:4" x14ac:dyDescent="0.2">
      <c r="B3476" s="2">
        <v>41148</v>
      </c>
      <c r="C3476" s="61">
        <v>7047.45</v>
      </c>
      <c r="D3476" s="3">
        <f t="shared" si="57"/>
        <v>1.0956711093132121E-2</v>
      </c>
    </row>
    <row r="3477" spans="2:4" x14ac:dyDescent="0.2">
      <c r="B3477" s="2">
        <v>41149</v>
      </c>
      <c r="C3477" s="61">
        <v>7002.68</v>
      </c>
      <c r="D3477" s="3">
        <f t="shared" si="57"/>
        <v>-6.3526523778103527E-3</v>
      </c>
    </row>
    <row r="3478" spans="2:4" x14ac:dyDescent="0.2">
      <c r="B3478" s="2">
        <v>41150</v>
      </c>
      <c r="C3478" s="61">
        <v>7010.57</v>
      </c>
      <c r="D3478" s="3">
        <f t="shared" si="57"/>
        <v>1.1267114876019058E-3</v>
      </c>
    </row>
    <row r="3479" spans="2:4" x14ac:dyDescent="0.2">
      <c r="B3479" s="2">
        <v>41151</v>
      </c>
      <c r="C3479" s="61">
        <v>6895.49</v>
      </c>
      <c r="D3479" s="3">
        <f t="shared" si="57"/>
        <v>-1.6415213028327269E-2</v>
      </c>
    </row>
    <row r="3480" spans="2:4" x14ac:dyDescent="0.2">
      <c r="B3480" s="2">
        <v>41152</v>
      </c>
      <c r="C3480" s="61">
        <v>6970.79</v>
      </c>
      <c r="D3480" s="3">
        <f t="shared" si="57"/>
        <v>1.0920181161889975E-2</v>
      </c>
    </row>
    <row r="3481" spans="2:4" x14ac:dyDescent="0.2">
      <c r="B3481" s="2">
        <v>41155</v>
      </c>
      <c r="C3481" s="61">
        <v>7014.83</v>
      </c>
      <c r="D3481" s="3">
        <f t="shared" si="57"/>
        <v>6.3177918141272826E-3</v>
      </c>
    </row>
    <row r="3482" spans="2:4" x14ac:dyDescent="0.2">
      <c r="B3482" s="2">
        <v>41156</v>
      </c>
      <c r="C3482" s="61">
        <v>6932.58</v>
      </c>
      <c r="D3482" s="3">
        <f t="shared" si="57"/>
        <v>-1.17251594122737E-2</v>
      </c>
    </row>
    <row r="3483" spans="2:4" x14ac:dyDescent="0.2">
      <c r="B3483" s="2">
        <v>41157</v>
      </c>
      <c r="C3483" s="61">
        <v>6964.69</v>
      </c>
      <c r="D3483" s="3">
        <f t="shared" si="57"/>
        <v>4.6317532578059595E-3</v>
      </c>
    </row>
    <row r="3484" spans="2:4" x14ac:dyDescent="0.2">
      <c r="B3484" s="2">
        <v>41158</v>
      </c>
      <c r="C3484" s="61">
        <v>7167.33</v>
      </c>
      <c r="D3484" s="3">
        <f t="shared" si="57"/>
        <v>2.909533661943331E-2</v>
      </c>
    </row>
    <row r="3485" spans="2:4" x14ac:dyDescent="0.2">
      <c r="B3485" s="2">
        <v>41159</v>
      </c>
      <c r="C3485" s="61">
        <v>7214.5</v>
      </c>
      <c r="D3485" s="3">
        <f t="shared" si="57"/>
        <v>6.581251316738701E-3</v>
      </c>
    </row>
    <row r="3486" spans="2:4" x14ac:dyDescent="0.2">
      <c r="B3486" s="2">
        <v>41162</v>
      </c>
      <c r="C3486" s="61">
        <v>7213.7</v>
      </c>
      <c r="D3486" s="3">
        <f t="shared" si="57"/>
        <v>-1.1088779541201799E-4</v>
      </c>
    </row>
    <row r="3487" spans="2:4" x14ac:dyDescent="0.2">
      <c r="B3487" s="2">
        <v>41163</v>
      </c>
      <c r="C3487" s="61">
        <v>7310.11</v>
      </c>
      <c r="D3487" s="3">
        <f t="shared" si="57"/>
        <v>1.3364847443059658E-2</v>
      </c>
    </row>
    <row r="3488" spans="2:4" x14ac:dyDescent="0.2">
      <c r="B3488" s="2">
        <v>41164</v>
      </c>
      <c r="C3488" s="61">
        <v>7343.53</v>
      </c>
      <c r="D3488" s="3">
        <f t="shared" si="57"/>
        <v>4.5717506302915822E-3</v>
      </c>
    </row>
    <row r="3489" spans="2:4" x14ac:dyDescent="0.2">
      <c r="B3489" s="2">
        <v>41165</v>
      </c>
      <c r="C3489" s="61">
        <v>7310.32</v>
      </c>
      <c r="D3489" s="3">
        <f t="shared" si="57"/>
        <v>-4.5223482439644691E-3</v>
      </c>
    </row>
    <row r="3490" spans="2:4" x14ac:dyDescent="0.2">
      <c r="B3490" s="2">
        <v>41166</v>
      </c>
      <c r="C3490" s="61">
        <v>7412.13</v>
      </c>
      <c r="D3490" s="3">
        <f t="shared" si="57"/>
        <v>1.392688692150279E-2</v>
      </c>
    </row>
    <row r="3491" spans="2:4" x14ac:dyDescent="0.2">
      <c r="B3491" s="2">
        <v>41169</v>
      </c>
      <c r="C3491" s="61">
        <v>7403.69</v>
      </c>
      <c r="D3491" s="3">
        <f t="shared" si="57"/>
        <v>-1.1386740383668714E-3</v>
      </c>
    </row>
    <row r="3492" spans="2:4" x14ac:dyDescent="0.2">
      <c r="B3492" s="2">
        <v>41170</v>
      </c>
      <c r="C3492" s="61">
        <v>7347.69</v>
      </c>
      <c r="D3492" s="3">
        <f t="shared" si="57"/>
        <v>-7.5637958909678948E-3</v>
      </c>
    </row>
    <row r="3493" spans="2:4" x14ac:dyDescent="0.2">
      <c r="B3493" s="2">
        <v>41171</v>
      </c>
      <c r="C3493" s="61">
        <v>7390.76</v>
      </c>
      <c r="D3493" s="3">
        <f t="shared" si="57"/>
        <v>5.8617061960970496E-3</v>
      </c>
    </row>
    <row r="3494" spans="2:4" x14ac:dyDescent="0.2">
      <c r="B3494" s="2">
        <v>41172</v>
      </c>
      <c r="C3494" s="61">
        <v>7389.49</v>
      </c>
      <c r="D3494" s="3">
        <f t="shared" si="57"/>
        <v>-1.7183618464144956E-4</v>
      </c>
    </row>
    <row r="3495" spans="2:4" x14ac:dyDescent="0.2">
      <c r="B3495" s="2">
        <v>41173</v>
      </c>
      <c r="C3495" s="61">
        <v>7451.62</v>
      </c>
      <c r="D3495" s="3">
        <f t="shared" si="57"/>
        <v>8.4078874184823071E-3</v>
      </c>
    </row>
    <row r="3496" spans="2:4" x14ac:dyDescent="0.2">
      <c r="B3496" s="2">
        <v>41176</v>
      </c>
      <c r="C3496" s="61">
        <v>7413.16</v>
      </c>
      <c r="D3496" s="3">
        <f t="shared" si="57"/>
        <v>-5.161293785780785E-3</v>
      </c>
    </row>
    <row r="3497" spans="2:4" x14ac:dyDescent="0.2">
      <c r="B3497" s="2">
        <v>41177</v>
      </c>
      <c r="C3497" s="61">
        <v>7425.11</v>
      </c>
      <c r="D3497" s="3">
        <f t="shared" si="57"/>
        <v>1.6119981222582069E-3</v>
      </c>
    </row>
    <row r="3498" spans="2:4" x14ac:dyDescent="0.2">
      <c r="B3498" s="2">
        <v>41178</v>
      </c>
      <c r="C3498" s="61">
        <v>7276.51</v>
      </c>
      <c r="D3498" s="3">
        <f t="shared" si="57"/>
        <v>-2.0013171522037965E-2</v>
      </c>
    </row>
    <row r="3499" spans="2:4" x14ac:dyDescent="0.2">
      <c r="B3499" s="2">
        <v>41179</v>
      </c>
      <c r="C3499" s="61">
        <v>7290.02</v>
      </c>
      <c r="D3499" s="3">
        <f t="shared" si="57"/>
        <v>1.8566593050790559E-3</v>
      </c>
    </row>
    <row r="3500" spans="2:4" x14ac:dyDescent="0.2">
      <c r="B3500" s="2">
        <v>41180</v>
      </c>
      <c r="C3500" s="61">
        <v>7216.15</v>
      </c>
      <c r="D3500" s="3">
        <f t="shared" si="57"/>
        <v>-1.0133031185099783E-2</v>
      </c>
    </row>
    <row r="3501" spans="2:4" x14ac:dyDescent="0.2">
      <c r="B3501" s="2">
        <v>41183</v>
      </c>
      <c r="C3501" s="61">
        <v>7326.73</v>
      </c>
      <c r="D3501" s="3">
        <f t="shared" si="57"/>
        <v>1.532396083784282E-2</v>
      </c>
    </row>
    <row r="3502" spans="2:4" x14ac:dyDescent="0.2">
      <c r="B3502" s="2">
        <v>41184</v>
      </c>
      <c r="C3502" s="61">
        <v>7305.86</v>
      </c>
      <c r="D3502" s="3">
        <f t="shared" si="57"/>
        <v>-2.8484740122810548E-3</v>
      </c>
    </row>
    <row r="3503" spans="2:4" x14ac:dyDescent="0.2">
      <c r="B3503" s="2">
        <v>41185</v>
      </c>
      <c r="C3503" s="61">
        <v>7322.08</v>
      </c>
      <c r="D3503" s="3">
        <f t="shared" si="57"/>
        <v>2.2201356171620557E-3</v>
      </c>
    </row>
    <row r="3504" spans="2:4" x14ac:dyDescent="0.2">
      <c r="B3504" s="2">
        <v>41186</v>
      </c>
      <c r="C3504" s="61">
        <v>7305.21</v>
      </c>
      <c r="D3504" s="3">
        <f t="shared" si="57"/>
        <v>-2.3039901230251791E-3</v>
      </c>
    </row>
    <row r="3505" spans="2:4" x14ac:dyDescent="0.2">
      <c r="B3505" s="2">
        <v>41187</v>
      </c>
      <c r="C3505" s="61">
        <v>7397.87</v>
      </c>
      <c r="D3505" s="3">
        <f t="shared" si="57"/>
        <v>1.2684098061520377E-2</v>
      </c>
    </row>
    <row r="3506" spans="2:4" x14ac:dyDescent="0.2">
      <c r="B3506" s="2">
        <v>41190</v>
      </c>
      <c r="C3506" s="61">
        <v>7291.21</v>
      </c>
      <c r="D3506" s="3">
        <f t="shared" si="57"/>
        <v>-1.4417663462591213E-2</v>
      </c>
    </row>
    <row r="3507" spans="2:4" x14ac:dyDescent="0.2">
      <c r="B3507" s="2">
        <v>41191</v>
      </c>
      <c r="C3507" s="61">
        <v>7234.53</v>
      </c>
      <c r="D3507" s="3">
        <f t="shared" si="57"/>
        <v>-7.7737440013386783E-3</v>
      </c>
    </row>
    <row r="3508" spans="2:4" x14ac:dyDescent="0.2">
      <c r="B3508" s="2">
        <v>41192</v>
      </c>
      <c r="C3508" s="61">
        <v>7205.23</v>
      </c>
      <c r="D3508" s="3">
        <f t="shared" si="57"/>
        <v>-4.050021217687938E-3</v>
      </c>
    </row>
    <row r="3509" spans="2:4" x14ac:dyDescent="0.2">
      <c r="B3509" s="2">
        <v>41193</v>
      </c>
      <c r="C3509" s="61">
        <v>7281.7</v>
      </c>
      <c r="D3509" s="3">
        <f t="shared" si="57"/>
        <v>1.0613124077926805E-2</v>
      </c>
    </row>
    <row r="3510" spans="2:4" x14ac:dyDescent="0.2">
      <c r="B3510" s="2">
        <v>41194</v>
      </c>
      <c r="C3510" s="61">
        <v>7232.49</v>
      </c>
      <c r="D3510" s="3">
        <f t="shared" si="57"/>
        <v>-6.7580372715162484E-3</v>
      </c>
    </row>
    <row r="3511" spans="2:4" x14ac:dyDescent="0.2">
      <c r="B3511" s="2">
        <v>41197</v>
      </c>
      <c r="C3511" s="61">
        <v>7261.25</v>
      </c>
      <c r="D3511" s="3">
        <f t="shared" si="57"/>
        <v>3.9765004860012887E-3</v>
      </c>
    </row>
    <row r="3512" spans="2:4" x14ac:dyDescent="0.2">
      <c r="B3512" s="2">
        <v>41198</v>
      </c>
      <c r="C3512" s="61">
        <v>7376.27</v>
      </c>
      <c r="D3512" s="3">
        <f t="shared" si="57"/>
        <v>1.5840247891203418E-2</v>
      </c>
    </row>
    <row r="3513" spans="2:4" x14ac:dyDescent="0.2">
      <c r="B3513" s="2">
        <v>41199</v>
      </c>
      <c r="C3513" s="61">
        <v>7394.55</v>
      </c>
      <c r="D3513" s="3">
        <f t="shared" si="57"/>
        <v>2.4782173103750083E-3</v>
      </c>
    </row>
    <row r="3514" spans="2:4" x14ac:dyDescent="0.2">
      <c r="B3514" s="2">
        <v>41200</v>
      </c>
      <c r="C3514" s="61">
        <v>7437.23</v>
      </c>
      <c r="D3514" s="3">
        <f t="shared" si="57"/>
        <v>5.7718184338464429E-3</v>
      </c>
    </row>
    <row r="3515" spans="2:4" x14ac:dyDescent="0.2">
      <c r="B3515" s="2">
        <v>41201</v>
      </c>
      <c r="C3515" s="61">
        <v>7380.64</v>
      </c>
      <c r="D3515" s="3">
        <f t="shared" si="57"/>
        <v>-7.6090157222513666E-3</v>
      </c>
    </row>
    <row r="3516" spans="2:4" x14ac:dyDescent="0.2">
      <c r="B3516" s="2">
        <v>41204</v>
      </c>
      <c r="C3516" s="61">
        <v>7328.05</v>
      </c>
      <c r="D3516" s="3">
        <f t="shared" si="57"/>
        <v>-7.1253983394393705E-3</v>
      </c>
    </row>
    <row r="3517" spans="2:4" x14ac:dyDescent="0.2">
      <c r="B3517" s="2">
        <v>41205</v>
      </c>
      <c r="C3517" s="61">
        <v>7173.69</v>
      </c>
      <c r="D3517" s="3">
        <f t="shared" si="57"/>
        <v>-2.1064266755821848E-2</v>
      </c>
    </row>
    <row r="3518" spans="2:4" x14ac:dyDescent="0.2">
      <c r="B3518" s="2">
        <v>41206</v>
      </c>
      <c r="C3518" s="61">
        <v>7192.85</v>
      </c>
      <c r="D3518" s="3">
        <f t="shared" si="57"/>
        <v>2.6708709185929713E-3</v>
      </c>
    </row>
    <row r="3519" spans="2:4" x14ac:dyDescent="0.2">
      <c r="B3519" s="2">
        <v>41207</v>
      </c>
      <c r="C3519" s="61">
        <v>7200.23</v>
      </c>
      <c r="D3519" s="3">
        <f t="shared" si="57"/>
        <v>1.0260188937625259E-3</v>
      </c>
    </row>
    <row r="3520" spans="2:4" x14ac:dyDescent="0.2">
      <c r="B3520" s="2">
        <v>41208</v>
      </c>
      <c r="C3520" s="61">
        <v>7231.85</v>
      </c>
      <c r="D3520" s="3">
        <f t="shared" si="57"/>
        <v>4.3915263817961847E-3</v>
      </c>
    </row>
    <row r="3521" spans="2:4" x14ac:dyDescent="0.2">
      <c r="B3521" s="2">
        <v>41211</v>
      </c>
      <c r="C3521" s="61">
        <v>7203.16</v>
      </c>
      <c r="D3521" s="3">
        <f t="shared" si="57"/>
        <v>-3.967172991696577E-3</v>
      </c>
    </row>
    <row r="3522" spans="2:4" x14ac:dyDescent="0.2">
      <c r="B3522" s="2">
        <v>41212</v>
      </c>
      <c r="C3522" s="61">
        <v>7284.4</v>
      </c>
      <c r="D3522" s="3">
        <f t="shared" si="57"/>
        <v>1.1278383376184919E-2</v>
      </c>
    </row>
    <row r="3523" spans="2:4" x14ac:dyDescent="0.2">
      <c r="B3523" s="2">
        <v>41213</v>
      </c>
      <c r="C3523" s="61">
        <v>7260.63</v>
      </c>
      <c r="D3523" s="3">
        <f t="shared" si="57"/>
        <v>-3.263137664049176E-3</v>
      </c>
    </row>
    <row r="3524" spans="2:4" x14ac:dyDescent="0.2">
      <c r="B3524" s="2">
        <v>41214</v>
      </c>
      <c r="C3524" s="61">
        <v>7335.67</v>
      </c>
      <c r="D3524" s="3">
        <f t="shared" si="57"/>
        <v>1.0335191298826762E-2</v>
      </c>
    </row>
    <row r="3525" spans="2:4" x14ac:dyDescent="0.2">
      <c r="B3525" s="2">
        <v>41215</v>
      </c>
      <c r="C3525" s="61">
        <v>7363.85</v>
      </c>
      <c r="D3525" s="3">
        <f t="shared" ref="D3525:D3588" si="58">C3525/C3524-1</f>
        <v>3.8415032301071239E-3</v>
      </c>
    </row>
    <row r="3526" spans="2:4" x14ac:dyDescent="0.2">
      <c r="B3526" s="2">
        <v>41218</v>
      </c>
      <c r="C3526" s="61">
        <v>7326.47</v>
      </c>
      <c r="D3526" s="3">
        <f t="shared" si="58"/>
        <v>-5.0761490253060648E-3</v>
      </c>
    </row>
    <row r="3527" spans="2:4" x14ac:dyDescent="0.2">
      <c r="B3527" s="2">
        <v>41219</v>
      </c>
      <c r="C3527" s="61">
        <v>7377.76</v>
      </c>
      <c r="D3527" s="3">
        <f t="shared" si="58"/>
        <v>7.0006428743991655E-3</v>
      </c>
    </row>
    <row r="3528" spans="2:4" x14ac:dyDescent="0.2">
      <c r="B3528" s="2">
        <v>41220</v>
      </c>
      <c r="C3528" s="61">
        <v>7232.83</v>
      </c>
      <c r="D3528" s="3">
        <f t="shared" si="58"/>
        <v>-1.9644173841382839E-2</v>
      </c>
    </row>
    <row r="3529" spans="2:4" x14ac:dyDescent="0.2">
      <c r="B3529" s="2">
        <v>41221</v>
      </c>
      <c r="C3529" s="61">
        <v>7204.96</v>
      </c>
      <c r="D3529" s="3">
        <f t="shared" si="58"/>
        <v>-3.8532635220238642E-3</v>
      </c>
    </row>
    <row r="3530" spans="2:4" x14ac:dyDescent="0.2">
      <c r="B3530" s="2">
        <v>41222</v>
      </c>
      <c r="C3530" s="61">
        <v>7163.5</v>
      </c>
      <c r="D3530" s="3">
        <f t="shared" si="58"/>
        <v>-5.7543692123204204E-3</v>
      </c>
    </row>
    <row r="3531" spans="2:4" x14ac:dyDescent="0.2">
      <c r="B3531" s="2">
        <v>41225</v>
      </c>
      <c r="C3531" s="61">
        <v>7168.76</v>
      </c>
      <c r="D3531" s="3">
        <f t="shared" si="58"/>
        <v>7.3427793676272834E-4</v>
      </c>
    </row>
    <row r="3532" spans="2:4" x14ac:dyDescent="0.2">
      <c r="B3532" s="2">
        <v>41226</v>
      </c>
      <c r="C3532" s="61">
        <v>7169.12</v>
      </c>
      <c r="D3532" s="3">
        <f t="shared" si="58"/>
        <v>5.0217889844272889E-5</v>
      </c>
    </row>
    <row r="3533" spans="2:4" x14ac:dyDescent="0.2">
      <c r="B3533" s="2">
        <v>41227</v>
      </c>
      <c r="C3533" s="61">
        <v>7101.92</v>
      </c>
      <c r="D3533" s="3">
        <f t="shared" si="58"/>
        <v>-9.373535385095999E-3</v>
      </c>
    </row>
    <row r="3534" spans="2:4" x14ac:dyDescent="0.2">
      <c r="B3534" s="2">
        <v>41228</v>
      </c>
      <c r="C3534" s="61">
        <v>7043.42</v>
      </c>
      <c r="D3534" s="3">
        <f t="shared" si="58"/>
        <v>-8.2372090927523844E-3</v>
      </c>
    </row>
    <row r="3535" spans="2:4" x14ac:dyDescent="0.2">
      <c r="B3535" s="2">
        <v>41229</v>
      </c>
      <c r="C3535" s="61">
        <v>6950.53</v>
      </c>
      <c r="D3535" s="3">
        <f t="shared" si="58"/>
        <v>-1.3188195507296219E-2</v>
      </c>
    </row>
    <row r="3536" spans="2:4" x14ac:dyDescent="0.2">
      <c r="B3536" s="2">
        <v>41232</v>
      </c>
      <c r="C3536" s="61">
        <v>7123.84</v>
      </c>
      <c r="D3536" s="3">
        <f t="shared" si="58"/>
        <v>2.4934789145576008E-2</v>
      </c>
    </row>
    <row r="3537" spans="2:4" x14ac:dyDescent="0.2">
      <c r="B3537" s="2">
        <v>41233</v>
      </c>
      <c r="C3537" s="61">
        <v>7172.99</v>
      </c>
      <c r="D3537" s="3">
        <f t="shared" si="58"/>
        <v>6.8993688797052144E-3</v>
      </c>
    </row>
    <row r="3538" spans="2:4" x14ac:dyDescent="0.2">
      <c r="B3538" s="2">
        <v>41234</v>
      </c>
      <c r="C3538" s="61">
        <v>7184.71</v>
      </c>
      <c r="D3538" s="3">
        <f t="shared" si="58"/>
        <v>1.6339071990898457E-3</v>
      </c>
    </row>
    <row r="3539" spans="2:4" x14ac:dyDescent="0.2">
      <c r="B3539" s="2">
        <v>41235</v>
      </c>
      <c r="C3539" s="61">
        <v>7244.99</v>
      </c>
      <c r="D3539" s="3">
        <f t="shared" si="58"/>
        <v>8.3900394031213299E-3</v>
      </c>
    </row>
    <row r="3540" spans="2:4" x14ac:dyDescent="0.2">
      <c r="B3540" s="2">
        <v>41236</v>
      </c>
      <c r="C3540" s="61">
        <v>7309.13</v>
      </c>
      <c r="D3540" s="3">
        <f t="shared" si="58"/>
        <v>8.8530142898748387E-3</v>
      </c>
    </row>
    <row r="3541" spans="2:4" x14ac:dyDescent="0.2">
      <c r="B3541" s="2">
        <v>41239</v>
      </c>
      <c r="C3541" s="61">
        <v>7292.03</v>
      </c>
      <c r="D3541" s="3">
        <f t="shared" si="58"/>
        <v>-2.3395397263422657E-3</v>
      </c>
    </row>
    <row r="3542" spans="2:4" x14ac:dyDescent="0.2">
      <c r="B3542" s="2">
        <v>41240</v>
      </c>
      <c r="C3542" s="61">
        <v>7332.33</v>
      </c>
      <c r="D3542" s="3">
        <f t="shared" si="58"/>
        <v>5.5265817611831469E-3</v>
      </c>
    </row>
    <row r="3543" spans="2:4" x14ac:dyDescent="0.2">
      <c r="B3543" s="2">
        <v>41241</v>
      </c>
      <c r="C3543" s="61">
        <v>7343.41</v>
      </c>
      <c r="D3543" s="3">
        <f t="shared" si="58"/>
        <v>1.5111158390306301E-3</v>
      </c>
    </row>
    <row r="3544" spans="2:4" x14ac:dyDescent="0.2">
      <c r="B3544" s="2">
        <v>41242</v>
      </c>
      <c r="C3544" s="61">
        <v>7400.96</v>
      </c>
      <c r="D3544" s="3">
        <f t="shared" si="58"/>
        <v>7.8369585791886465E-3</v>
      </c>
    </row>
    <row r="3545" spans="2:4" x14ac:dyDescent="0.2">
      <c r="B3545" s="2">
        <v>41243</v>
      </c>
      <c r="C3545" s="61">
        <v>7405.5</v>
      </c>
      <c r="D3545" s="3">
        <f t="shared" si="58"/>
        <v>6.1343393289514658E-4</v>
      </c>
    </row>
    <row r="3546" spans="2:4" x14ac:dyDescent="0.2">
      <c r="B3546" s="2">
        <v>41246</v>
      </c>
      <c r="C3546" s="61">
        <v>7435.21</v>
      </c>
      <c r="D3546" s="3">
        <f t="shared" si="58"/>
        <v>4.0118830598878663E-3</v>
      </c>
    </row>
    <row r="3547" spans="2:4" x14ac:dyDescent="0.2">
      <c r="B3547" s="2">
        <v>41247</v>
      </c>
      <c r="C3547" s="61">
        <v>7435.12</v>
      </c>
      <c r="D3547" s="3">
        <f t="shared" si="58"/>
        <v>-1.2104567322257509E-5</v>
      </c>
    </row>
    <row r="3548" spans="2:4" x14ac:dyDescent="0.2">
      <c r="B3548" s="2">
        <v>41248</v>
      </c>
      <c r="C3548" s="61">
        <v>7454.55</v>
      </c>
      <c r="D3548" s="3">
        <f t="shared" si="58"/>
        <v>2.6132732222210464E-3</v>
      </c>
    </row>
    <row r="3549" spans="2:4" x14ac:dyDescent="0.2">
      <c r="B3549" s="2">
        <v>41249</v>
      </c>
      <c r="C3549" s="61">
        <v>7534.54</v>
      </c>
      <c r="D3549" s="3">
        <f t="shared" si="58"/>
        <v>1.0730359310756388E-2</v>
      </c>
    </row>
    <row r="3550" spans="2:4" x14ac:dyDescent="0.2">
      <c r="B3550" s="2">
        <v>41250</v>
      </c>
      <c r="C3550" s="61">
        <v>7517.8</v>
      </c>
      <c r="D3550" s="3">
        <f t="shared" si="58"/>
        <v>-2.2217680176891408E-3</v>
      </c>
    </row>
    <row r="3551" spans="2:4" x14ac:dyDescent="0.2">
      <c r="B3551" s="2">
        <v>41253</v>
      </c>
      <c r="C3551" s="61">
        <v>7530.92</v>
      </c>
      <c r="D3551" s="3">
        <f t="shared" si="58"/>
        <v>1.745191412381164E-3</v>
      </c>
    </row>
    <row r="3552" spans="2:4" x14ac:dyDescent="0.2">
      <c r="B3552" s="2">
        <v>41254</v>
      </c>
      <c r="C3552" s="61">
        <v>7589.75</v>
      </c>
      <c r="D3552" s="3">
        <f t="shared" si="58"/>
        <v>7.8117945748992224E-3</v>
      </c>
    </row>
    <row r="3553" spans="2:4" x14ac:dyDescent="0.2">
      <c r="B3553" s="2">
        <v>41255</v>
      </c>
      <c r="C3553" s="61">
        <v>7614.79</v>
      </c>
      <c r="D3553" s="3">
        <f t="shared" si="58"/>
        <v>3.2991864027140938E-3</v>
      </c>
    </row>
    <row r="3554" spans="2:4" x14ac:dyDescent="0.2">
      <c r="B3554" s="2">
        <v>41256</v>
      </c>
      <c r="C3554" s="61">
        <v>7581.98</v>
      </c>
      <c r="D3554" s="3">
        <f t="shared" si="58"/>
        <v>-4.3087202667441149E-3</v>
      </c>
    </row>
    <row r="3555" spans="2:4" x14ac:dyDescent="0.2">
      <c r="B3555" s="2">
        <v>41257</v>
      </c>
      <c r="C3555" s="61">
        <v>7596.47</v>
      </c>
      <c r="D3555" s="3">
        <f t="shared" si="58"/>
        <v>1.9111102904518784E-3</v>
      </c>
    </row>
    <row r="3556" spans="2:4" x14ac:dyDescent="0.2">
      <c r="B3556" s="2">
        <v>41260</v>
      </c>
      <c r="C3556" s="61">
        <v>7604.94</v>
      </c>
      <c r="D3556" s="3">
        <f t="shared" si="58"/>
        <v>1.1149915684520728E-3</v>
      </c>
    </row>
    <row r="3557" spans="2:4" x14ac:dyDescent="0.2">
      <c r="B3557" s="2">
        <v>41261</v>
      </c>
      <c r="C3557" s="61">
        <v>7653.58</v>
      </c>
      <c r="D3557" s="3">
        <f t="shared" si="58"/>
        <v>6.3958427022436926E-3</v>
      </c>
    </row>
    <row r="3558" spans="2:4" x14ac:dyDescent="0.2">
      <c r="B3558" s="2">
        <v>41262</v>
      </c>
      <c r="C3558" s="61">
        <v>7668.5</v>
      </c>
      <c r="D3558" s="3">
        <f t="shared" si="58"/>
        <v>1.9494145223541981E-3</v>
      </c>
    </row>
    <row r="3559" spans="2:4" x14ac:dyDescent="0.2">
      <c r="B3559" s="2">
        <v>41263</v>
      </c>
      <c r="C3559" s="61">
        <v>7672.1</v>
      </c>
      <c r="D3559" s="3">
        <f t="shared" si="58"/>
        <v>4.6945295690159483E-4</v>
      </c>
    </row>
    <row r="3560" spans="2:4" x14ac:dyDescent="0.2">
      <c r="B3560" s="2">
        <v>41264</v>
      </c>
      <c r="C3560" s="61">
        <v>7636.23</v>
      </c>
      <c r="D3560" s="3">
        <f t="shared" si="58"/>
        <v>-4.6753822291160096E-3</v>
      </c>
    </row>
    <row r="3561" spans="2:4" x14ac:dyDescent="0.2">
      <c r="B3561" s="2">
        <v>41270</v>
      </c>
      <c r="C3561" s="61">
        <v>7655.88</v>
      </c>
      <c r="D3561" s="3">
        <f t="shared" si="58"/>
        <v>2.5732593177523189E-3</v>
      </c>
    </row>
    <row r="3562" spans="2:4" x14ac:dyDescent="0.2">
      <c r="B3562" s="2">
        <v>41271</v>
      </c>
      <c r="C3562" s="61">
        <v>7612.39</v>
      </c>
      <c r="D3562" s="3">
        <f t="shared" si="58"/>
        <v>-5.6806010543529739E-3</v>
      </c>
    </row>
    <row r="3563" spans="2:4" x14ac:dyDescent="0.2">
      <c r="B3563" s="2">
        <v>41276</v>
      </c>
      <c r="C3563" s="61">
        <v>7778.78</v>
      </c>
      <c r="D3563" s="3">
        <f t="shared" si="58"/>
        <v>2.1857787107596893E-2</v>
      </c>
    </row>
    <row r="3564" spans="2:4" x14ac:dyDescent="0.2">
      <c r="B3564" s="2">
        <v>41277</v>
      </c>
      <c r="C3564" s="61">
        <v>7756.44</v>
      </c>
      <c r="D3564" s="3">
        <f t="shared" si="58"/>
        <v>-2.8719156474408258E-3</v>
      </c>
    </row>
    <row r="3565" spans="2:4" x14ac:dyDescent="0.2">
      <c r="B3565" s="2">
        <v>41278</v>
      </c>
      <c r="C3565" s="61">
        <v>7776.37</v>
      </c>
      <c r="D3565" s="3">
        <f t="shared" si="58"/>
        <v>2.5694777501019672E-3</v>
      </c>
    </row>
    <row r="3566" spans="2:4" x14ac:dyDescent="0.2">
      <c r="B3566" s="2">
        <v>41281</v>
      </c>
      <c r="C3566" s="61">
        <v>7732.66</v>
      </c>
      <c r="D3566" s="3">
        <f t="shared" si="58"/>
        <v>-5.620874521145458E-3</v>
      </c>
    </row>
    <row r="3567" spans="2:4" x14ac:dyDescent="0.2">
      <c r="B3567" s="2">
        <v>41282</v>
      </c>
      <c r="C3567" s="61">
        <v>7695.83</v>
      </c>
      <c r="D3567" s="3">
        <f t="shared" si="58"/>
        <v>-4.7629147020559204E-3</v>
      </c>
    </row>
    <row r="3568" spans="2:4" x14ac:dyDescent="0.2">
      <c r="B3568" s="2">
        <v>41283</v>
      </c>
      <c r="C3568" s="61">
        <v>7720.47</v>
      </c>
      <c r="D3568" s="3">
        <f t="shared" si="58"/>
        <v>3.2017339260352884E-3</v>
      </c>
    </row>
    <row r="3569" spans="2:4" x14ac:dyDescent="0.2">
      <c r="B3569" s="2">
        <v>41284</v>
      </c>
      <c r="C3569" s="61">
        <v>7708.47</v>
      </c>
      <c r="D3569" s="3">
        <f t="shared" si="58"/>
        <v>-1.5543095174257449E-3</v>
      </c>
    </row>
    <row r="3570" spans="2:4" x14ac:dyDescent="0.2">
      <c r="B3570" s="2">
        <v>41285</v>
      </c>
      <c r="C3570" s="61">
        <v>7715.53</v>
      </c>
      <c r="D3570" s="3">
        <f t="shared" si="58"/>
        <v>9.1587565366402224E-4</v>
      </c>
    </row>
    <row r="3571" spans="2:4" x14ac:dyDescent="0.2">
      <c r="B3571" s="2">
        <v>41288</v>
      </c>
      <c r="C3571" s="61">
        <v>7729.52</v>
      </c>
      <c r="D3571" s="3">
        <f t="shared" si="58"/>
        <v>1.8132260518721743E-3</v>
      </c>
    </row>
    <row r="3572" spans="2:4" x14ac:dyDescent="0.2">
      <c r="B3572" s="2">
        <v>41289</v>
      </c>
      <c r="C3572" s="61">
        <v>7675.91</v>
      </c>
      <c r="D3572" s="3">
        <f t="shared" si="58"/>
        <v>-6.9357476272783325E-3</v>
      </c>
    </row>
    <row r="3573" spans="2:4" x14ac:dyDescent="0.2">
      <c r="B3573" s="2">
        <v>41290</v>
      </c>
      <c r="C3573" s="61">
        <v>7691.13</v>
      </c>
      <c r="D3573" s="3">
        <f t="shared" si="58"/>
        <v>1.9828267918722275E-3</v>
      </c>
    </row>
    <row r="3574" spans="2:4" x14ac:dyDescent="0.2">
      <c r="B3574" s="2">
        <v>41291</v>
      </c>
      <c r="C3574" s="61">
        <v>7735.46</v>
      </c>
      <c r="D3574" s="3">
        <f t="shared" si="58"/>
        <v>5.7637824350909028E-3</v>
      </c>
    </row>
    <row r="3575" spans="2:4" x14ac:dyDescent="0.2">
      <c r="B3575" s="2">
        <v>41292</v>
      </c>
      <c r="C3575" s="61">
        <v>7702.23</v>
      </c>
      <c r="D3575" s="3">
        <f t="shared" si="58"/>
        <v>-4.2958014132321587E-3</v>
      </c>
    </row>
    <row r="3576" spans="2:4" x14ac:dyDescent="0.2">
      <c r="B3576" s="2">
        <v>41295</v>
      </c>
      <c r="C3576" s="61">
        <v>7748.86</v>
      </c>
      <c r="D3576" s="3">
        <f t="shared" si="58"/>
        <v>6.0540908282407102E-3</v>
      </c>
    </row>
    <row r="3577" spans="2:4" x14ac:dyDescent="0.2">
      <c r="B3577" s="2">
        <v>41296</v>
      </c>
      <c r="C3577" s="61">
        <v>7696.21</v>
      </c>
      <c r="D3577" s="3">
        <f t="shared" si="58"/>
        <v>-6.7945478431665762E-3</v>
      </c>
    </row>
    <row r="3578" spans="2:4" x14ac:dyDescent="0.2">
      <c r="B3578" s="2">
        <v>41297</v>
      </c>
      <c r="C3578" s="61">
        <v>7707.54</v>
      </c>
      <c r="D3578" s="3">
        <f t="shared" si="58"/>
        <v>1.4721531766934692E-3</v>
      </c>
    </row>
    <row r="3579" spans="2:4" x14ac:dyDescent="0.2">
      <c r="B3579" s="2">
        <v>41298</v>
      </c>
      <c r="C3579" s="61">
        <v>7748.13</v>
      </c>
      <c r="D3579" s="3">
        <f t="shared" si="58"/>
        <v>5.2662717287228489E-3</v>
      </c>
    </row>
    <row r="3580" spans="2:4" x14ac:dyDescent="0.2">
      <c r="B3580" s="2">
        <v>41299</v>
      </c>
      <c r="C3580" s="61">
        <v>7857.97</v>
      </c>
      <c r="D3580" s="3">
        <f t="shared" si="58"/>
        <v>1.4176323835557669E-2</v>
      </c>
    </row>
    <row r="3581" spans="2:4" x14ac:dyDescent="0.2">
      <c r="B3581" s="2">
        <v>41302</v>
      </c>
      <c r="C3581" s="61">
        <v>7833</v>
      </c>
      <c r="D3581" s="3">
        <f t="shared" si="58"/>
        <v>-3.1776654784887448E-3</v>
      </c>
    </row>
    <row r="3582" spans="2:4" x14ac:dyDescent="0.2">
      <c r="B3582" s="2">
        <v>41303</v>
      </c>
      <c r="C3582" s="61">
        <v>7848.57</v>
      </c>
      <c r="D3582" s="3">
        <f t="shared" si="58"/>
        <v>1.9877441593258993E-3</v>
      </c>
    </row>
    <row r="3583" spans="2:4" x14ac:dyDescent="0.2">
      <c r="B3583" s="2">
        <v>41304</v>
      </c>
      <c r="C3583" s="61">
        <v>7811.31</v>
      </c>
      <c r="D3583" s="3">
        <f t="shared" si="58"/>
        <v>-4.7473616212888592E-3</v>
      </c>
    </row>
    <row r="3584" spans="2:4" x14ac:dyDescent="0.2">
      <c r="B3584" s="2">
        <v>41305</v>
      </c>
      <c r="C3584" s="61">
        <v>7776.05</v>
      </c>
      <c r="D3584" s="3">
        <f t="shared" si="58"/>
        <v>-4.5139675675399671E-3</v>
      </c>
    </row>
    <row r="3585" spans="2:4" x14ac:dyDescent="0.2">
      <c r="B3585" s="2">
        <v>41306</v>
      </c>
      <c r="C3585" s="61">
        <v>7833.39</v>
      </c>
      <c r="D3585" s="3">
        <f t="shared" si="58"/>
        <v>7.3739237787822098E-3</v>
      </c>
    </row>
    <row r="3586" spans="2:4" x14ac:dyDescent="0.2">
      <c r="B3586" s="2">
        <v>41309</v>
      </c>
      <c r="C3586" s="61">
        <v>7638.23</v>
      </c>
      <c r="D3586" s="3">
        <f t="shared" si="58"/>
        <v>-2.491386232525139E-2</v>
      </c>
    </row>
    <row r="3587" spans="2:4" x14ac:dyDescent="0.2">
      <c r="B3587" s="2">
        <v>41310</v>
      </c>
      <c r="C3587" s="61">
        <v>7664.66</v>
      </c>
      <c r="D3587" s="3">
        <f t="shared" si="58"/>
        <v>3.4602257329250374E-3</v>
      </c>
    </row>
    <row r="3588" spans="2:4" x14ac:dyDescent="0.2">
      <c r="B3588" s="2">
        <v>41311</v>
      </c>
      <c r="C3588" s="61">
        <v>7581.18</v>
      </c>
      <c r="D3588" s="3">
        <f t="shared" si="58"/>
        <v>-1.0891546396056606E-2</v>
      </c>
    </row>
    <row r="3589" spans="2:4" x14ac:dyDescent="0.2">
      <c r="B3589" s="2">
        <v>41312</v>
      </c>
      <c r="C3589" s="61">
        <v>7590.85</v>
      </c>
      <c r="D3589" s="3">
        <f t="shared" ref="D3589:D3652" si="59">C3589/C3588-1</f>
        <v>1.2755270287738707E-3</v>
      </c>
    </row>
    <row r="3590" spans="2:4" x14ac:dyDescent="0.2">
      <c r="B3590" s="2">
        <v>41313</v>
      </c>
      <c r="C3590" s="61">
        <v>7652.14</v>
      </c>
      <c r="D3590" s="3">
        <f t="shared" si="59"/>
        <v>8.0741945895386191E-3</v>
      </c>
    </row>
    <row r="3591" spans="2:4" x14ac:dyDescent="0.2">
      <c r="B3591" s="2">
        <v>41316</v>
      </c>
      <c r="C3591" s="61">
        <v>7633.74</v>
      </c>
      <c r="D3591" s="3">
        <f t="shared" si="59"/>
        <v>-2.4045561111010194E-3</v>
      </c>
    </row>
    <row r="3592" spans="2:4" x14ac:dyDescent="0.2">
      <c r="B3592" s="2">
        <v>41317</v>
      </c>
      <c r="C3592" s="61">
        <v>7660.19</v>
      </c>
      <c r="D3592" s="3">
        <f t="shared" si="59"/>
        <v>3.464880910274637E-3</v>
      </c>
    </row>
    <row r="3593" spans="2:4" x14ac:dyDescent="0.2">
      <c r="B3593" s="2">
        <v>41318</v>
      </c>
      <c r="C3593" s="61">
        <v>7711.89</v>
      </c>
      <c r="D3593" s="3">
        <f t="shared" si="59"/>
        <v>6.7491798506305045E-3</v>
      </c>
    </row>
    <row r="3594" spans="2:4" x14ac:dyDescent="0.2">
      <c r="B3594" s="2">
        <v>41319</v>
      </c>
      <c r="C3594" s="61">
        <v>7631.19</v>
      </c>
      <c r="D3594" s="3">
        <f t="shared" si="59"/>
        <v>-1.0464360876516698E-2</v>
      </c>
    </row>
    <row r="3595" spans="2:4" x14ac:dyDescent="0.2">
      <c r="B3595" s="2">
        <v>41320</v>
      </c>
      <c r="C3595" s="61">
        <v>7593.51</v>
      </c>
      <c r="D3595" s="3">
        <f t="shared" si="59"/>
        <v>-4.937630959260586E-3</v>
      </c>
    </row>
    <row r="3596" spans="2:4" x14ac:dyDescent="0.2">
      <c r="B3596" s="2">
        <v>41323</v>
      </c>
      <c r="C3596" s="61">
        <v>7628.73</v>
      </c>
      <c r="D3596" s="3">
        <f t="shared" si="59"/>
        <v>4.6381712804750563E-3</v>
      </c>
    </row>
    <row r="3597" spans="2:4" x14ac:dyDescent="0.2">
      <c r="B3597" s="2">
        <v>41324</v>
      </c>
      <c r="C3597" s="61">
        <v>7752.45</v>
      </c>
      <c r="D3597" s="3">
        <f t="shared" si="59"/>
        <v>1.6217640419833979E-2</v>
      </c>
    </row>
    <row r="3598" spans="2:4" x14ac:dyDescent="0.2">
      <c r="B3598" s="2">
        <v>41325</v>
      </c>
      <c r="C3598" s="61">
        <v>7728.9</v>
      </c>
      <c r="D3598" s="3">
        <f t="shared" si="59"/>
        <v>-3.0377493566550173E-3</v>
      </c>
    </row>
    <row r="3599" spans="2:4" x14ac:dyDescent="0.2">
      <c r="B3599" s="2">
        <v>41326</v>
      </c>
      <c r="C3599" s="61">
        <v>7583.57</v>
      </c>
      <c r="D3599" s="3">
        <f t="shared" si="59"/>
        <v>-1.8803451978936181E-2</v>
      </c>
    </row>
    <row r="3600" spans="2:4" x14ac:dyDescent="0.2">
      <c r="B3600" s="2">
        <v>41327</v>
      </c>
      <c r="C3600" s="61">
        <v>7661.91</v>
      </c>
      <c r="D3600" s="3">
        <f t="shared" si="59"/>
        <v>1.0330227056650099E-2</v>
      </c>
    </row>
    <row r="3601" spans="2:4" x14ac:dyDescent="0.2">
      <c r="B3601" s="2">
        <v>41330</v>
      </c>
      <c r="C3601" s="61">
        <v>7773.19</v>
      </c>
      <c r="D3601" s="3">
        <f t="shared" si="59"/>
        <v>1.4523793675467411E-2</v>
      </c>
    </row>
    <row r="3602" spans="2:4" x14ac:dyDescent="0.2">
      <c r="B3602" s="2">
        <v>41331</v>
      </c>
      <c r="C3602" s="61">
        <v>7597.11</v>
      </c>
      <c r="D3602" s="3">
        <f t="shared" si="59"/>
        <v>-2.26522187158682E-2</v>
      </c>
    </row>
    <row r="3603" spans="2:4" x14ac:dyDescent="0.2">
      <c r="B3603" s="2">
        <v>41332</v>
      </c>
      <c r="C3603" s="61">
        <v>7675.83</v>
      </c>
      <c r="D3603" s="3">
        <f t="shared" si="59"/>
        <v>1.036183496092602E-2</v>
      </c>
    </row>
    <row r="3604" spans="2:4" x14ac:dyDescent="0.2">
      <c r="B3604" s="2">
        <v>41333</v>
      </c>
      <c r="C3604" s="61">
        <v>7741.7</v>
      </c>
      <c r="D3604" s="3">
        <f t="shared" si="59"/>
        <v>8.5814823934349249E-3</v>
      </c>
    </row>
    <row r="3605" spans="2:4" x14ac:dyDescent="0.2">
      <c r="B3605" s="2">
        <v>41334</v>
      </c>
      <c r="C3605" s="61">
        <v>7708.16</v>
      </c>
      <c r="D3605" s="3">
        <f t="shared" si="59"/>
        <v>-4.3323817766123263E-3</v>
      </c>
    </row>
    <row r="3606" spans="2:4" x14ac:dyDescent="0.2">
      <c r="B3606" s="2">
        <v>41337</v>
      </c>
      <c r="C3606" s="61">
        <v>7691.68</v>
      </c>
      <c r="D3606" s="3">
        <f t="shared" si="59"/>
        <v>-2.1379940219196092E-3</v>
      </c>
    </row>
    <row r="3607" spans="2:4" x14ac:dyDescent="0.2">
      <c r="B3607" s="2">
        <v>41338</v>
      </c>
      <c r="C3607" s="61">
        <v>7870.31</v>
      </c>
      <c r="D3607" s="3">
        <f t="shared" si="59"/>
        <v>2.3223795061677155E-2</v>
      </c>
    </row>
    <row r="3608" spans="2:4" x14ac:dyDescent="0.2">
      <c r="B3608" s="2">
        <v>41339</v>
      </c>
      <c r="C3608" s="61">
        <v>7919.33</v>
      </c>
      <c r="D3608" s="3">
        <f t="shared" si="59"/>
        <v>6.2284713054503449E-3</v>
      </c>
    </row>
    <row r="3609" spans="2:4" x14ac:dyDescent="0.2">
      <c r="B3609" s="2">
        <v>41340</v>
      </c>
      <c r="C3609" s="61">
        <v>7939.77</v>
      </c>
      <c r="D3609" s="3">
        <f t="shared" si="59"/>
        <v>2.5810264252152937E-3</v>
      </c>
    </row>
    <row r="3610" spans="2:4" x14ac:dyDescent="0.2">
      <c r="B3610" s="2">
        <v>41341</v>
      </c>
      <c r="C3610" s="61">
        <v>7986.47</v>
      </c>
      <c r="D3610" s="3">
        <f t="shared" si="59"/>
        <v>5.8817824697692256E-3</v>
      </c>
    </row>
    <row r="3611" spans="2:4" x14ac:dyDescent="0.2">
      <c r="B3611" s="2">
        <v>41344</v>
      </c>
      <c r="C3611" s="61">
        <v>7984.29</v>
      </c>
      <c r="D3611" s="3">
        <f t="shared" si="59"/>
        <v>-2.7296164638446196E-4</v>
      </c>
    </row>
    <row r="3612" spans="2:4" x14ac:dyDescent="0.2">
      <c r="B3612" s="2">
        <v>41345</v>
      </c>
      <c r="C3612" s="61">
        <v>7966.12</v>
      </c>
      <c r="D3612" s="3">
        <f t="shared" si="59"/>
        <v>-2.275718943074434E-3</v>
      </c>
    </row>
    <row r="3613" spans="2:4" x14ac:dyDescent="0.2">
      <c r="B3613" s="2">
        <v>41346</v>
      </c>
      <c r="C3613" s="61">
        <v>7970.91</v>
      </c>
      <c r="D3613" s="3">
        <f t="shared" si="59"/>
        <v>6.0129649063789259E-4</v>
      </c>
    </row>
    <row r="3614" spans="2:4" x14ac:dyDescent="0.2">
      <c r="B3614" s="2">
        <v>41347</v>
      </c>
      <c r="C3614" s="61">
        <v>8058.37</v>
      </c>
      <c r="D3614" s="3">
        <f t="shared" si="59"/>
        <v>1.0972398383622517E-2</v>
      </c>
    </row>
    <row r="3615" spans="2:4" x14ac:dyDescent="0.2">
      <c r="B3615" s="2">
        <v>41348</v>
      </c>
      <c r="C3615" s="61">
        <v>8042.85</v>
      </c>
      <c r="D3615" s="3">
        <f t="shared" si="59"/>
        <v>-1.925947803339878E-3</v>
      </c>
    </row>
    <row r="3616" spans="2:4" x14ac:dyDescent="0.2">
      <c r="B3616" s="2">
        <v>41351</v>
      </c>
      <c r="C3616" s="61">
        <v>8010.7</v>
      </c>
      <c r="D3616" s="3">
        <f t="shared" si="59"/>
        <v>-3.9973392516334805E-3</v>
      </c>
    </row>
    <row r="3617" spans="2:4" x14ac:dyDescent="0.2">
      <c r="B3617" s="2">
        <v>41352</v>
      </c>
      <c r="C3617" s="61">
        <v>7947.79</v>
      </c>
      <c r="D3617" s="3">
        <f t="shared" si="59"/>
        <v>-7.8532462830963601E-3</v>
      </c>
    </row>
    <row r="3618" spans="2:4" x14ac:dyDescent="0.2">
      <c r="B3618" s="2">
        <v>41353</v>
      </c>
      <c r="C3618" s="61">
        <v>8001.97</v>
      </c>
      <c r="D3618" s="3">
        <f t="shared" si="59"/>
        <v>6.816989376921212E-3</v>
      </c>
    </row>
    <row r="3619" spans="2:4" x14ac:dyDescent="0.2">
      <c r="B3619" s="2">
        <v>41354</v>
      </c>
      <c r="C3619" s="61">
        <v>7932.51</v>
      </c>
      <c r="D3619" s="3">
        <f t="shared" si="59"/>
        <v>-8.6803624607439955E-3</v>
      </c>
    </row>
    <row r="3620" spans="2:4" x14ac:dyDescent="0.2">
      <c r="B3620" s="2">
        <v>41355</v>
      </c>
      <c r="C3620" s="61">
        <v>7911.35</v>
      </c>
      <c r="D3620" s="3">
        <f t="shared" si="59"/>
        <v>-2.6675037283281355E-3</v>
      </c>
    </row>
    <row r="3621" spans="2:4" x14ac:dyDescent="0.2">
      <c r="B3621" s="2">
        <v>41358</v>
      </c>
      <c r="C3621" s="61">
        <v>7870.9</v>
      </c>
      <c r="D3621" s="3">
        <f t="shared" si="59"/>
        <v>-5.1129074051837753E-3</v>
      </c>
    </row>
    <row r="3622" spans="2:4" x14ac:dyDescent="0.2">
      <c r="B3622" s="2">
        <v>41359</v>
      </c>
      <c r="C3622" s="61">
        <v>7879.67</v>
      </c>
      <c r="D3622" s="3">
        <f t="shared" si="59"/>
        <v>1.1142309011675788E-3</v>
      </c>
    </row>
    <row r="3623" spans="2:4" x14ac:dyDescent="0.2">
      <c r="B3623" s="2">
        <v>41360</v>
      </c>
      <c r="C3623" s="61">
        <v>7789.09</v>
      </c>
      <c r="D3623" s="3">
        <f t="shared" si="59"/>
        <v>-1.14954052644336E-2</v>
      </c>
    </row>
    <row r="3624" spans="2:4" x14ac:dyDescent="0.2">
      <c r="B3624" s="2">
        <v>41361</v>
      </c>
      <c r="C3624" s="61">
        <v>7795.31</v>
      </c>
      <c r="D3624" s="3">
        <f t="shared" si="59"/>
        <v>7.9855284763685752E-4</v>
      </c>
    </row>
    <row r="3625" spans="2:4" x14ac:dyDescent="0.2">
      <c r="B3625" s="2">
        <v>41366</v>
      </c>
      <c r="C3625" s="61">
        <v>7943.87</v>
      </c>
      <c r="D3625" s="3">
        <f t="shared" si="59"/>
        <v>1.9057612846698824E-2</v>
      </c>
    </row>
    <row r="3626" spans="2:4" x14ac:dyDescent="0.2">
      <c r="B3626" s="2">
        <v>41367</v>
      </c>
      <c r="C3626" s="61">
        <v>7874.75</v>
      </c>
      <c r="D3626" s="3">
        <f t="shared" si="59"/>
        <v>-8.7010487331741215E-3</v>
      </c>
    </row>
    <row r="3627" spans="2:4" x14ac:dyDescent="0.2">
      <c r="B3627" s="2">
        <v>41368</v>
      </c>
      <c r="C3627" s="61">
        <v>7817.39</v>
      </c>
      <c r="D3627" s="3">
        <f t="shared" si="59"/>
        <v>-7.2840407631987736E-3</v>
      </c>
    </row>
    <row r="3628" spans="2:4" x14ac:dyDescent="0.2">
      <c r="B3628" s="2">
        <v>41369</v>
      </c>
      <c r="C3628" s="61">
        <v>7658.75</v>
      </c>
      <c r="D3628" s="3">
        <f t="shared" si="59"/>
        <v>-2.029321806894635E-2</v>
      </c>
    </row>
    <row r="3629" spans="2:4" x14ac:dyDescent="0.2">
      <c r="B3629" s="2">
        <v>41372</v>
      </c>
      <c r="C3629" s="61">
        <v>7662.64</v>
      </c>
      <c r="D3629" s="3">
        <f t="shared" si="59"/>
        <v>5.0791578260156456E-4</v>
      </c>
    </row>
    <row r="3630" spans="2:4" x14ac:dyDescent="0.2">
      <c r="B3630" s="2">
        <v>41373</v>
      </c>
      <c r="C3630" s="61">
        <v>7637.51</v>
      </c>
      <c r="D3630" s="3">
        <f t="shared" si="59"/>
        <v>-3.2795485628973609E-3</v>
      </c>
    </row>
    <row r="3631" spans="2:4" x14ac:dyDescent="0.2">
      <c r="B3631" s="2">
        <v>41374</v>
      </c>
      <c r="C3631" s="61">
        <v>7810.63</v>
      </c>
      <c r="D3631" s="3">
        <f t="shared" si="59"/>
        <v>2.2667073431000384E-2</v>
      </c>
    </row>
    <row r="3632" spans="2:4" x14ac:dyDescent="0.2">
      <c r="B3632" s="2">
        <v>41375</v>
      </c>
      <c r="C3632" s="61">
        <v>7871.63</v>
      </c>
      <c r="D3632" s="3">
        <f t="shared" si="59"/>
        <v>7.8098693703325672E-3</v>
      </c>
    </row>
    <row r="3633" spans="2:4" x14ac:dyDescent="0.2">
      <c r="B3633" s="2">
        <v>41376</v>
      </c>
      <c r="C3633" s="61">
        <v>7744.77</v>
      </c>
      <c r="D3633" s="3">
        <f t="shared" si="59"/>
        <v>-1.611610301805344E-2</v>
      </c>
    </row>
    <row r="3634" spans="2:4" x14ac:dyDescent="0.2">
      <c r="B3634" s="2">
        <v>41379</v>
      </c>
      <c r="C3634" s="61">
        <v>7712.63</v>
      </c>
      <c r="D3634" s="3">
        <f t="shared" si="59"/>
        <v>-4.1498972855230631E-3</v>
      </c>
    </row>
    <row r="3635" spans="2:4" x14ac:dyDescent="0.2">
      <c r="B3635" s="2">
        <v>41380</v>
      </c>
      <c r="C3635" s="61">
        <v>7682.58</v>
      </c>
      <c r="D3635" s="3">
        <f t="shared" si="59"/>
        <v>-3.8962066117523841E-3</v>
      </c>
    </row>
    <row r="3636" spans="2:4" x14ac:dyDescent="0.2">
      <c r="B3636" s="2">
        <v>41381</v>
      </c>
      <c r="C3636" s="61">
        <v>7503.03</v>
      </c>
      <c r="D3636" s="3">
        <f t="shared" si="59"/>
        <v>-2.3371055036198851E-2</v>
      </c>
    </row>
    <row r="3637" spans="2:4" x14ac:dyDescent="0.2">
      <c r="B3637" s="2">
        <v>41382</v>
      </c>
      <c r="C3637" s="61">
        <v>7473.73</v>
      </c>
      <c r="D3637" s="3">
        <f t="shared" si="59"/>
        <v>-3.9050890107064085E-3</v>
      </c>
    </row>
    <row r="3638" spans="2:4" x14ac:dyDescent="0.2">
      <c r="B3638" s="2">
        <v>41383</v>
      </c>
      <c r="C3638" s="61">
        <v>7459.96</v>
      </c>
      <c r="D3638" s="3">
        <f t="shared" si="59"/>
        <v>-1.8424535004608611E-3</v>
      </c>
    </row>
    <row r="3639" spans="2:4" x14ac:dyDescent="0.2">
      <c r="B3639" s="2">
        <v>41386</v>
      </c>
      <c r="C3639" s="61">
        <v>7478.11</v>
      </c>
      <c r="D3639" s="3">
        <f t="shared" si="59"/>
        <v>2.4329889168306362E-3</v>
      </c>
    </row>
    <row r="3640" spans="2:4" x14ac:dyDescent="0.2">
      <c r="B3640" s="2">
        <v>41387</v>
      </c>
      <c r="C3640" s="61">
        <v>7658.21</v>
      </c>
      <c r="D3640" s="3">
        <f t="shared" si="59"/>
        <v>2.4083625408024334E-2</v>
      </c>
    </row>
    <row r="3641" spans="2:4" x14ac:dyDescent="0.2">
      <c r="B3641" s="2">
        <v>41388</v>
      </c>
      <c r="C3641" s="61">
        <v>7759.03</v>
      </c>
      <c r="D3641" s="3">
        <f t="shared" si="59"/>
        <v>1.3164956301799036E-2</v>
      </c>
    </row>
    <row r="3642" spans="2:4" x14ac:dyDescent="0.2">
      <c r="B3642" s="2">
        <v>41389</v>
      </c>
      <c r="C3642" s="61">
        <v>7832.86</v>
      </c>
      <c r="D3642" s="3">
        <f t="shared" si="59"/>
        <v>9.5153646783168178E-3</v>
      </c>
    </row>
    <row r="3643" spans="2:4" x14ac:dyDescent="0.2">
      <c r="B3643" s="2">
        <v>41390</v>
      </c>
      <c r="C3643" s="61">
        <v>7814.76</v>
      </c>
      <c r="D3643" s="3">
        <f t="shared" si="59"/>
        <v>-2.3107779278577212E-3</v>
      </c>
    </row>
    <row r="3644" spans="2:4" x14ac:dyDescent="0.2">
      <c r="B3644" s="2">
        <v>41393</v>
      </c>
      <c r="C3644" s="61">
        <v>7873.5</v>
      </c>
      <c r="D3644" s="3">
        <f t="shared" si="59"/>
        <v>7.5165456136847553E-3</v>
      </c>
    </row>
    <row r="3645" spans="2:4" x14ac:dyDescent="0.2">
      <c r="B3645" s="2">
        <v>41394</v>
      </c>
      <c r="C3645" s="61">
        <v>7913.71</v>
      </c>
      <c r="D3645" s="3">
        <f t="shared" si="59"/>
        <v>5.1070045087953098E-3</v>
      </c>
    </row>
    <row r="3646" spans="2:4" x14ac:dyDescent="0.2">
      <c r="B3646" s="2">
        <v>41396</v>
      </c>
      <c r="C3646" s="61">
        <v>7961.71</v>
      </c>
      <c r="D3646" s="3">
        <f t="shared" si="59"/>
        <v>6.0654231706747108E-3</v>
      </c>
    </row>
    <row r="3647" spans="2:4" x14ac:dyDescent="0.2">
      <c r="B3647" s="2">
        <v>41397</v>
      </c>
      <c r="C3647" s="61">
        <v>8122.29</v>
      </c>
      <c r="D3647" s="3">
        <f t="shared" si="59"/>
        <v>2.0169034039170031E-2</v>
      </c>
    </row>
    <row r="3648" spans="2:4" x14ac:dyDescent="0.2">
      <c r="B3648" s="2">
        <v>41400</v>
      </c>
      <c r="C3648" s="61">
        <v>8112.08</v>
      </c>
      <c r="D3648" s="3">
        <f t="shared" si="59"/>
        <v>-1.2570346540199395E-3</v>
      </c>
    </row>
    <row r="3649" spans="2:4" x14ac:dyDescent="0.2">
      <c r="B3649" s="2">
        <v>41401</v>
      </c>
      <c r="C3649" s="61">
        <v>8181.78</v>
      </c>
      <c r="D3649" s="3">
        <f t="shared" si="59"/>
        <v>8.592124338024254E-3</v>
      </c>
    </row>
    <row r="3650" spans="2:4" x14ac:dyDescent="0.2">
      <c r="B3650" s="2">
        <v>41402</v>
      </c>
      <c r="C3650" s="61">
        <v>8249.7099999999991</v>
      </c>
      <c r="D3650" s="3">
        <f t="shared" si="59"/>
        <v>8.3025943009955583E-3</v>
      </c>
    </row>
    <row r="3651" spans="2:4" x14ac:dyDescent="0.2">
      <c r="B3651" s="2">
        <v>41403</v>
      </c>
      <c r="C3651" s="61">
        <v>8262.5499999999993</v>
      </c>
      <c r="D3651" s="3">
        <f t="shared" si="59"/>
        <v>1.5564183468268489E-3</v>
      </c>
    </row>
    <row r="3652" spans="2:4" x14ac:dyDescent="0.2">
      <c r="B3652" s="2">
        <v>41404</v>
      </c>
      <c r="C3652" s="61">
        <v>8278.59</v>
      </c>
      <c r="D3652" s="3">
        <f t="shared" si="59"/>
        <v>1.9412893114112428E-3</v>
      </c>
    </row>
    <row r="3653" spans="2:4" x14ac:dyDescent="0.2">
      <c r="B3653" s="2">
        <v>41407</v>
      </c>
      <c r="C3653" s="61">
        <v>8279.2900000000009</v>
      </c>
      <c r="D3653" s="3">
        <f t="shared" ref="D3653:D3716" si="60">C3653/C3652-1</f>
        <v>8.4555461739244109E-5</v>
      </c>
    </row>
    <row r="3654" spans="2:4" x14ac:dyDescent="0.2">
      <c r="B3654" s="2">
        <v>41408</v>
      </c>
      <c r="C3654" s="61">
        <v>8339.11</v>
      </c>
      <c r="D3654" s="3">
        <f t="shared" si="60"/>
        <v>7.2252572382414115E-3</v>
      </c>
    </row>
    <row r="3655" spans="2:4" x14ac:dyDescent="0.2">
      <c r="B3655" s="2">
        <v>41409</v>
      </c>
      <c r="C3655" s="61">
        <v>8362.42</v>
      </c>
      <c r="D3655" s="3">
        <f t="shared" si="60"/>
        <v>2.7952623241569441E-3</v>
      </c>
    </row>
    <row r="3656" spans="2:4" x14ac:dyDescent="0.2">
      <c r="B3656" s="2">
        <v>41410</v>
      </c>
      <c r="C3656" s="61">
        <v>8369.8700000000008</v>
      </c>
      <c r="D3656" s="3">
        <f t="shared" si="60"/>
        <v>8.9089043602208484E-4</v>
      </c>
    </row>
    <row r="3657" spans="2:4" x14ac:dyDescent="0.2">
      <c r="B3657" s="2">
        <v>41411</v>
      </c>
      <c r="C3657" s="61">
        <v>8398</v>
      </c>
      <c r="D3657" s="3">
        <f t="shared" si="60"/>
        <v>3.3608646251375163E-3</v>
      </c>
    </row>
    <row r="3658" spans="2:4" x14ac:dyDescent="0.2">
      <c r="B3658" s="2">
        <v>41414</v>
      </c>
      <c r="C3658" s="61">
        <v>8455.83</v>
      </c>
      <c r="D3658" s="3">
        <f t="shared" si="60"/>
        <v>6.8861633722314686E-3</v>
      </c>
    </row>
    <row r="3659" spans="2:4" x14ac:dyDescent="0.2">
      <c r="B3659" s="2">
        <v>41415</v>
      </c>
      <c r="C3659" s="61">
        <v>8472.2000000000007</v>
      </c>
      <c r="D3659" s="3">
        <f t="shared" si="60"/>
        <v>1.9359424207914255E-3</v>
      </c>
    </row>
    <row r="3660" spans="2:4" x14ac:dyDescent="0.2">
      <c r="B3660" s="2">
        <v>41416</v>
      </c>
      <c r="C3660" s="61">
        <v>8530.89</v>
      </c>
      <c r="D3660" s="3">
        <f t="shared" si="60"/>
        <v>6.9273624324259764E-3</v>
      </c>
    </row>
    <row r="3661" spans="2:4" x14ac:dyDescent="0.2">
      <c r="B3661" s="2">
        <v>41417</v>
      </c>
      <c r="C3661" s="61">
        <v>8351.98</v>
      </c>
      <c r="D3661" s="3">
        <f t="shared" si="60"/>
        <v>-2.0972020504308464E-2</v>
      </c>
    </row>
    <row r="3662" spans="2:4" x14ac:dyDescent="0.2">
      <c r="B3662" s="2">
        <v>41418</v>
      </c>
      <c r="C3662" s="61">
        <v>8305.32</v>
      </c>
      <c r="D3662" s="3">
        <f t="shared" si="60"/>
        <v>-5.5866992018659412E-3</v>
      </c>
    </row>
    <row r="3663" spans="2:4" x14ac:dyDescent="0.2">
      <c r="B3663" s="2">
        <v>41421</v>
      </c>
      <c r="C3663" s="61">
        <v>8383.2999999999993</v>
      </c>
      <c r="D3663" s="3">
        <f t="shared" si="60"/>
        <v>9.3891626090265579E-3</v>
      </c>
    </row>
    <row r="3664" spans="2:4" x14ac:dyDescent="0.2">
      <c r="B3664" s="2">
        <v>41422</v>
      </c>
      <c r="C3664" s="61">
        <v>8480.8700000000008</v>
      </c>
      <c r="D3664" s="3">
        <f t="shared" si="60"/>
        <v>1.1638614865268071E-2</v>
      </c>
    </row>
    <row r="3665" spans="2:4" x14ac:dyDescent="0.2">
      <c r="B3665" s="2">
        <v>41423</v>
      </c>
      <c r="C3665" s="61">
        <v>8336.58</v>
      </c>
      <c r="D3665" s="3">
        <f t="shared" si="60"/>
        <v>-1.7013584691193295E-2</v>
      </c>
    </row>
    <row r="3666" spans="2:4" x14ac:dyDescent="0.2">
      <c r="B3666" s="2">
        <v>41424</v>
      </c>
      <c r="C3666" s="61">
        <v>8400.2000000000007</v>
      </c>
      <c r="D3666" s="3">
        <f t="shared" si="60"/>
        <v>7.6314267961203885E-3</v>
      </c>
    </row>
    <row r="3667" spans="2:4" x14ac:dyDescent="0.2">
      <c r="B3667" s="2">
        <v>41425</v>
      </c>
      <c r="C3667" s="61">
        <v>8348.84</v>
      </c>
      <c r="D3667" s="3">
        <f t="shared" si="60"/>
        <v>-6.1141401395206074E-3</v>
      </c>
    </row>
    <row r="3668" spans="2:4" x14ac:dyDescent="0.2">
      <c r="B3668" s="2">
        <v>41428</v>
      </c>
      <c r="C3668" s="61">
        <v>8285.7999999999993</v>
      </c>
      <c r="D3668" s="3">
        <f t="shared" si="60"/>
        <v>-7.5507495652091805E-3</v>
      </c>
    </row>
    <row r="3669" spans="2:4" x14ac:dyDescent="0.2">
      <c r="B3669" s="2">
        <v>41429</v>
      </c>
      <c r="C3669" s="61">
        <v>8295.9599999999991</v>
      </c>
      <c r="D3669" s="3">
        <f t="shared" si="60"/>
        <v>1.2261942117839375E-3</v>
      </c>
    </row>
    <row r="3670" spans="2:4" x14ac:dyDescent="0.2">
      <c r="B3670" s="2">
        <v>41430</v>
      </c>
      <c r="C3670" s="61">
        <v>8196.18</v>
      </c>
      <c r="D3670" s="3">
        <f t="shared" si="60"/>
        <v>-1.2027541116398699E-2</v>
      </c>
    </row>
    <row r="3671" spans="2:4" x14ac:dyDescent="0.2">
      <c r="B3671" s="2">
        <v>41431</v>
      </c>
      <c r="C3671" s="61">
        <v>8098.81</v>
      </c>
      <c r="D3671" s="3">
        <f t="shared" si="60"/>
        <v>-1.1879924550217247E-2</v>
      </c>
    </row>
    <row r="3672" spans="2:4" x14ac:dyDescent="0.2">
      <c r="B3672" s="2">
        <v>41432</v>
      </c>
      <c r="C3672" s="61">
        <v>8254.68</v>
      </c>
      <c r="D3672" s="3">
        <f t="shared" si="60"/>
        <v>1.9246037380800329E-2</v>
      </c>
    </row>
    <row r="3673" spans="2:4" x14ac:dyDescent="0.2">
      <c r="B3673" s="2">
        <v>41435</v>
      </c>
      <c r="C3673" s="61">
        <v>8307.69</v>
      </c>
      <c r="D3673" s="3">
        <f t="shared" si="60"/>
        <v>6.4218116268590641E-3</v>
      </c>
    </row>
    <row r="3674" spans="2:4" x14ac:dyDescent="0.2">
      <c r="B3674" s="2">
        <v>41436</v>
      </c>
      <c r="C3674" s="61">
        <v>8222.4599999999991</v>
      </c>
      <c r="D3674" s="3">
        <f t="shared" si="60"/>
        <v>-1.0259169516436129E-2</v>
      </c>
    </row>
    <row r="3675" spans="2:4" x14ac:dyDescent="0.2">
      <c r="B3675" s="2">
        <v>41437</v>
      </c>
      <c r="C3675" s="61">
        <v>8143.27</v>
      </c>
      <c r="D3675" s="3">
        <f t="shared" si="60"/>
        <v>-9.6309376999096363E-3</v>
      </c>
    </row>
    <row r="3676" spans="2:4" x14ac:dyDescent="0.2">
      <c r="B3676" s="2">
        <v>41438</v>
      </c>
      <c r="C3676" s="61">
        <v>8095.39</v>
      </c>
      <c r="D3676" s="3">
        <f t="shared" si="60"/>
        <v>-5.8797018887989383E-3</v>
      </c>
    </row>
    <row r="3677" spans="2:4" x14ac:dyDescent="0.2">
      <c r="B3677" s="2">
        <v>41439</v>
      </c>
      <c r="C3677" s="61">
        <v>8127.96</v>
      </c>
      <c r="D3677" s="3">
        <f t="shared" si="60"/>
        <v>4.0232774455584153E-3</v>
      </c>
    </row>
    <row r="3678" spans="2:4" x14ac:dyDescent="0.2">
      <c r="B3678" s="2">
        <v>41442</v>
      </c>
      <c r="C3678" s="61">
        <v>8215.73</v>
      </c>
      <c r="D3678" s="3">
        <f t="shared" si="60"/>
        <v>1.0798527551808768E-2</v>
      </c>
    </row>
    <row r="3679" spans="2:4" x14ac:dyDescent="0.2">
      <c r="B3679" s="2">
        <v>41443</v>
      </c>
      <c r="C3679" s="61">
        <v>8229.51</v>
      </c>
      <c r="D3679" s="3">
        <f t="shared" si="60"/>
        <v>1.6772703095160324E-3</v>
      </c>
    </row>
    <row r="3680" spans="2:4" x14ac:dyDescent="0.2">
      <c r="B3680" s="2">
        <v>41444</v>
      </c>
      <c r="C3680" s="61">
        <v>8197.08</v>
      </c>
      <c r="D3680" s="3">
        <f t="shared" si="60"/>
        <v>-3.9406963476562584E-3</v>
      </c>
    </row>
    <row r="3681" spans="2:4" x14ac:dyDescent="0.2">
      <c r="B3681" s="2">
        <v>41445</v>
      </c>
      <c r="C3681" s="61">
        <v>7928.48</v>
      </c>
      <c r="D3681" s="3">
        <f t="shared" si="60"/>
        <v>-3.2767766082556271E-2</v>
      </c>
    </row>
    <row r="3682" spans="2:4" x14ac:dyDescent="0.2">
      <c r="B3682" s="2">
        <v>41446</v>
      </c>
      <c r="C3682" s="61">
        <v>7789.24</v>
      </c>
      <c r="D3682" s="3">
        <f t="shared" si="60"/>
        <v>-1.7562004318608326E-2</v>
      </c>
    </row>
    <row r="3683" spans="2:4" x14ac:dyDescent="0.2">
      <c r="B3683" s="2">
        <v>41449</v>
      </c>
      <c r="C3683" s="61">
        <v>7692.45</v>
      </c>
      <c r="D3683" s="3">
        <f t="shared" si="60"/>
        <v>-1.2426116026724054E-2</v>
      </c>
    </row>
    <row r="3684" spans="2:4" x14ac:dyDescent="0.2">
      <c r="B3684" s="2">
        <v>41450</v>
      </c>
      <c r="C3684" s="61">
        <v>7811.3</v>
      </c>
      <c r="D3684" s="3">
        <f t="shared" si="60"/>
        <v>1.5450214171037979E-2</v>
      </c>
    </row>
    <row r="3685" spans="2:4" x14ac:dyDescent="0.2">
      <c r="B3685" s="2">
        <v>41451</v>
      </c>
      <c r="C3685" s="61">
        <v>7940.99</v>
      </c>
      <c r="D3685" s="3">
        <f t="shared" si="60"/>
        <v>1.6602870200862707E-2</v>
      </c>
    </row>
    <row r="3686" spans="2:4" x14ac:dyDescent="0.2">
      <c r="B3686" s="2">
        <v>41452</v>
      </c>
      <c r="C3686" s="61">
        <v>7990.75</v>
      </c>
      <c r="D3686" s="3">
        <f t="shared" si="60"/>
        <v>6.2662212142314822E-3</v>
      </c>
    </row>
    <row r="3687" spans="2:4" x14ac:dyDescent="0.2">
      <c r="B3687" s="2">
        <v>41453</v>
      </c>
      <c r="C3687" s="61">
        <v>7959.22</v>
      </c>
      <c r="D3687" s="3">
        <f t="shared" si="60"/>
        <v>-3.9458123455244909E-3</v>
      </c>
    </row>
    <row r="3688" spans="2:4" x14ac:dyDescent="0.2">
      <c r="B3688" s="2">
        <v>41456</v>
      </c>
      <c r="C3688" s="61">
        <v>7983.92</v>
      </c>
      <c r="D3688" s="3">
        <f t="shared" si="60"/>
        <v>3.1033191694662676E-3</v>
      </c>
    </row>
    <row r="3689" spans="2:4" x14ac:dyDescent="0.2">
      <c r="B3689" s="2">
        <v>41457</v>
      </c>
      <c r="C3689" s="61">
        <v>7910.77</v>
      </c>
      <c r="D3689" s="3">
        <f t="shared" si="60"/>
        <v>-9.16216595356667E-3</v>
      </c>
    </row>
    <row r="3690" spans="2:4" x14ac:dyDescent="0.2">
      <c r="B3690" s="2">
        <v>41458</v>
      </c>
      <c r="C3690" s="61">
        <v>7829.32</v>
      </c>
      <c r="D3690" s="3">
        <f t="shared" si="60"/>
        <v>-1.0296090013993675E-2</v>
      </c>
    </row>
    <row r="3691" spans="2:4" x14ac:dyDescent="0.2">
      <c r="B3691" s="2">
        <v>41459</v>
      </c>
      <c r="C3691" s="61">
        <v>7994.31</v>
      </c>
      <c r="D3691" s="3">
        <f t="shared" si="60"/>
        <v>2.1073349920555096E-2</v>
      </c>
    </row>
    <row r="3692" spans="2:4" x14ac:dyDescent="0.2">
      <c r="B3692" s="2">
        <v>41460</v>
      </c>
      <c r="C3692" s="61">
        <v>7806</v>
      </c>
      <c r="D3692" s="3">
        <f t="shared" si="60"/>
        <v>-2.3555503852114912E-2</v>
      </c>
    </row>
    <row r="3693" spans="2:4" x14ac:dyDescent="0.2">
      <c r="B3693" s="2">
        <v>41463</v>
      </c>
      <c r="C3693" s="61">
        <v>7968.54</v>
      </c>
      <c r="D3693" s="3">
        <f t="shared" si="60"/>
        <v>2.0822444273635554E-2</v>
      </c>
    </row>
    <row r="3694" spans="2:4" x14ac:dyDescent="0.2">
      <c r="B3694" s="2">
        <v>41464</v>
      </c>
      <c r="C3694" s="61">
        <v>8057.75</v>
      </c>
      <c r="D3694" s="3">
        <f t="shared" si="60"/>
        <v>1.1195275420591511E-2</v>
      </c>
    </row>
    <row r="3695" spans="2:4" x14ac:dyDescent="0.2">
      <c r="B3695" s="2">
        <v>41465</v>
      </c>
      <c r="C3695" s="61">
        <v>8066.48</v>
      </c>
      <c r="D3695" s="3">
        <f t="shared" si="60"/>
        <v>1.0834289969283706E-3</v>
      </c>
    </row>
    <row r="3696" spans="2:4" x14ac:dyDescent="0.2">
      <c r="B3696" s="2">
        <v>41466</v>
      </c>
      <c r="C3696" s="61">
        <v>8158.8</v>
      </c>
      <c r="D3696" s="3">
        <f t="shared" si="60"/>
        <v>1.1444892939671325E-2</v>
      </c>
    </row>
    <row r="3697" spans="2:4" x14ac:dyDescent="0.2">
      <c r="B3697" s="2">
        <v>41467</v>
      </c>
      <c r="C3697" s="61">
        <v>8212.77</v>
      </c>
      <c r="D3697" s="3">
        <f t="shared" si="60"/>
        <v>6.6149433740256836E-3</v>
      </c>
    </row>
    <row r="3698" spans="2:4" x14ac:dyDescent="0.2">
      <c r="B3698" s="2">
        <v>41470</v>
      </c>
      <c r="C3698" s="61">
        <v>8234.81</v>
      </c>
      <c r="D3698" s="3">
        <f t="shared" si="60"/>
        <v>2.6836256220494903E-3</v>
      </c>
    </row>
    <row r="3699" spans="2:4" x14ac:dyDescent="0.2">
      <c r="B3699" s="2">
        <v>41471</v>
      </c>
      <c r="C3699" s="61">
        <v>8201.0499999999993</v>
      </c>
      <c r="D3699" s="3">
        <f t="shared" si="60"/>
        <v>-4.0996695734327737E-3</v>
      </c>
    </row>
    <row r="3700" spans="2:4" x14ac:dyDescent="0.2">
      <c r="B3700" s="2">
        <v>41472</v>
      </c>
      <c r="C3700" s="61">
        <v>8254.7199999999993</v>
      </c>
      <c r="D3700" s="3">
        <f t="shared" si="60"/>
        <v>6.5442839636387085E-3</v>
      </c>
    </row>
    <row r="3701" spans="2:4" x14ac:dyDescent="0.2">
      <c r="B3701" s="2">
        <v>41473</v>
      </c>
      <c r="C3701" s="61">
        <v>8337.09</v>
      </c>
      <c r="D3701" s="3">
        <f t="shared" si="60"/>
        <v>9.9785334935649228E-3</v>
      </c>
    </row>
    <row r="3702" spans="2:4" x14ac:dyDescent="0.2">
      <c r="B3702" s="2">
        <v>41474</v>
      </c>
      <c r="C3702" s="61">
        <v>8331.57</v>
      </c>
      <c r="D3702" s="3">
        <f t="shared" si="60"/>
        <v>-6.6210152463275218E-4</v>
      </c>
    </row>
    <row r="3703" spans="2:4" x14ac:dyDescent="0.2">
      <c r="B3703" s="2">
        <v>41477</v>
      </c>
      <c r="C3703" s="61">
        <v>8331.06</v>
      </c>
      <c r="D3703" s="3">
        <f t="shared" si="60"/>
        <v>-6.1212952660816278E-5</v>
      </c>
    </row>
    <row r="3704" spans="2:4" x14ac:dyDescent="0.2">
      <c r="B3704" s="2">
        <v>41478</v>
      </c>
      <c r="C3704" s="61">
        <v>8314.23</v>
      </c>
      <c r="D3704" s="3">
        <f t="shared" si="60"/>
        <v>-2.0201510972193137E-3</v>
      </c>
    </row>
    <row r="3705" spans="2:4" x14ac:dyDescent="0.2">
      <c r="B3705" s="2">
        <v>41479</v>
      </c>
      <c r="C3705" s="61">
        <v>8379.11</v>
      </c>
      <c r="D3705" s="3">
        <f t="shared" si="60"/>
        <v>7.8034887175362222E-3</v>
      </c>
    </row>
    <row r="3706" spans="2:4" x14ac:dyDescent="0.2">
      <c r="B3706" s="2">
        <v>41480</v>
      </c>
      <c r="C3706" s="61">
        <v>8298.98</v>
      </c>
      <c r="D3706" s="3">
        <f t="shared" si="60"/>
        <v>-9.5630681540165297E-3</v>
      </c>
    </row>
    <row r="3707" spans="2:4" x14ac:dyDescent="0.2">
      <c r="B3707" s="2">
        <v>41481</v>
      </c>
      <c r="C3707" s="61">
        <v>8244.91</v>
      </c>
      <c r="D3707" s="3">
        <f t="shared" si="60"/>
        <v>-6.5152585016471365E-3</v>
      </c>
    </row>
    <row r="3708" spans="2:4" x14ac:dyDescent="0.2">
      <c r="B3708" s="2">
        <v>41484</v>
      </c>
      <c r="C3708" s="61">
        <v>8259.0300000000007</v>
      </c>
      <c r="D3708" s="3">
        <f t="shared" si="60"/>
        <v>1.7125717563928333E-3</v>
      </c>
    </row>
    <row r="3709" spans="2:4" x14ac:dyDescent="0.2">
      <c r="B3709" s="2">
        <v>41485</v>
      </c>
      <c r="C3709" s="61">
        <v>8271.02</v>
      </c>
      <c r="D3709" s="3">
        <f t="shared" si="60"/>
        <v>1.4517443331723001E-3</v>
      </c>
    </row>
    <row r="3710" spans="2:4" x14ac:dyDescent="0.2">
      <c r="B3710" s="2">
        <v>41486</v>
      </c>
      <c r="C3710" s="61">
        <v>8275.9699999999993</v>
      </c>
      <c r="D3710" s="3">
        <f t="shared" si="60"/>
        <v>5.9847515784006156E-4</v>
      </c>
    </row>
    <row r="3711" spans="2:4" x14ac:dyDescent="0.2">
      <c r="B3711" s="2">
        <v>41487</v>
      </c>
      <c r="C3711" s="61">
        <v>8410.73</v>
      </c>
      <c r="D3711" s="3">
        <f t="shared" si="60"/>
        <v>1.6283287638790389E-2</v>
      </c>
    </row>
    <row r="3712" spans="2:4" x14ac:dyDescent="0.2">
      <c r="B3712" s="2">
        <v>41488</v>
      </c>
      <c r="C3712" s="61">
        <v>8406.94</v>
      </c>
      <c r="D3712" s="3">
        <f t="shared" si="60"/>
        <v>-4.506148693393941E-4</v>
      </c>
    </row>
    <row r="3713" spans="2:4" x14ac:dyDescent="0.2">
      <c r="B3713" s="2">
        <v>41491</v>
      </c>
      <c r="C3713" s="61">
        <v>8398.3799999999992</v>
      </c>
      <c r="D3713" s="3">
        <f t="shared" si="60"/>
        <v>-1.0182063866283064E-3</v>
      </c>
    </row>
    <row r="3714" spans="2:4" x14ac:dyDescent="0.2">
      <c r="B3714" s="2">
        <v>41492</v>
      </c>
      <c r="C3714" s="61">
        <v>8299.73</v>
      </c>
      <c r="D3714" s="3">
        <f t="shared" si="60"/>
        <v>-1.1746312979407869E-2</v>
      </c>
    </row>
    <row r="3715" spans="2:4" x14ac:dyDescent="0.2">
      <c r="B3715" s="2">
        <v>41493</v>
      </c>
      <c r="C3715" s="61">
        <v>8260.48</v>
      </c>
      <c r="D3715" s="3">
        <f t="shared" si="60"/>
        <v>-4.7290694998511906E-3</v>
      </c>
    </row>
    <row r="3716" spans="2:4" x14ac:dyDescent="0.2">
      <c r="B3716" s="2">
        <v>41494</v>
      </c>
      <c r="C3716" s="61">
        <v>8318.32</v>
      </c>
      <c r="D3716" s="3">
        <f t="shared" si="60"/>
        <v>7.0020144107849625E-3</v>
      </c>
    </row>
    <row r="3717" spans="2:4" x14ac:dyDescent="0.2">
      <c r="B3717" s="2">
        <v>41495</v>
      </c>
      <c r="C3717" s="61">
        <v>8338.31</v>
      </c>
      <c r="D3717" s="3">
        <f t="shared" ref="D3717:D3780" si="61">C3717/C3716-1</f>
        <v>2.4031294780677559E-3</v>
      </c>
    </row>
    <row r="3718" spans="2:4" x14ac:dyDescent="0.2">
      <c r="B3718" s="2">
        <v>41498</v>
      </c>
      <c r="C3718" s="61">
        <v>8359.25</v>
      </c>
      <c r="D3718" s="3">
        <f t="shared" si="61"/>
        <v>2.5113002514898231E-3</v>
      </c>
    </row>
    <row r="3719" spans="2:4" x14ac:dyDescent="0.2">
      <c r="B3719" s="2">
        <v>41499</v>
      </c>
      <c r="C3719" s="61">
        <v>8415.76</v>
      </c>
      <c r="D3719" s="3">
        <f t="shared" si="61"/>
        <v>6.7601758530968503E-3</v>
      </c>
    </row>
    <row r="3720" spans="2:4" x14ac:dyDescent="0.2">
      <c r="B3720" s="2">
        <v>41500</v>
      </c>
      <c r="C3720" s="61">
        <v>8438.1200000000008</v>
      </c>
      <c r="D3720" s="3">
        <f t="shared" si="61"/>
        <v>2.6569198741410727E-3</v>
      </c>
    </row>
    <row r="3721" spans="2:4" x14ac:dyDescent="0.2">
      <c r="B3721" s="2">
        <v>41501</v>
      </c>
      <c r="C3721" s="61">
        <v>8376.2900000000009</v>
      </c>
      <c r="D3721" s="3">
        <f t="shared" si="61"/>
        <v>-7.3274615672684895E-3</v>
      </c>
    </row>
    <row r="3722" spans="2:4" x14ac:dyDescent="0.2">
      <c r="B3722" s="2">
        <v>41502</v>
      </c>
      <c r="C3722" s="61">
        <v>8391.94</v>
      </c>
      <c r="D3722" s="3">
        <f t="shared" si="61"/>
        <v>1.8683689318301777E-3</v>
      </c>
    </row>
    <row r="3723" spans="2:4" x14ac:dyDescent="0.2">
      <c r="B3723" s="2">
        <v>41505</v>
      </c>
      <c r="C3723" s="61">
        <v>8366.2900000000009</v>
      </c>
      <c r="D3723" s="3">
        <f t="shared" si="61"/>
        <v>-3.0565042171416534E-3</v>
      </c>
    </row>
    <row r="3724" spans="2:4" x14ac:dyDescent="0.2">
      <c r="B3724" s="2">
        <v>41506</v>
      </c>
      <c r="C3724" s="61">
        <v>8300.0300000000007</v>
      </c>
      <c r="D3724" s="3">
        <f t="shared" si="61"/>
        <v>-7.9198784646480336E-3</v>
      </c>
    </row>
    <row r="3725" spans="2:4" x14ac:dyDescent="0.2">
      <c r="B3725" s="2">
        <v>41507</v>
      </c>
      <c r="C3725" s="61">
        <v>8285.41</v>
      </c>
      <c r="D3725" s="3">
        <f t="shared" si="61"/>
        <v>-1.7614394164841007E-3</v>
      </c>
    </row>
    <row r="3726" spans="2:4" x14ac:dyDescent="0.2">
      <c r="B3726" s="2">
        <v>41508</v>
      </c>
      <c r="C3726" s="61">
        <v>8397.89</v>
      </c>
      <c r="D3726" s="3">
        <f t="shared" si="61"/>
        <v>1.3575670968606124E-2</v>
      </c>
    </row>
    <row r="3727" spans="2:4" x14ac:dyDescent="0.2">
      <c r="B3727" s="2">
        <v>41509</v>
      </c>
      <c r="C3727" s="61">
        <v>8416.99</v>
      </c>
      <c r="D3727" s="3">
        <f t="shared" si="61"/>
        <v>2.2743808266123544E-3</v>
      </c>
    </row>
    <row r="3728" spans="2:4" x14ac:dyDescent="0.2">
      <c r="B3728" s="2">
        <v>41512</v>
      </c>
      <c r="C3728" s="61">
        <v>8435.15</v>
      </c>
      <c r="D3728" s="3">
        <f t="shared" si="61"/>
        <v>2.1575408786276284E-3</v>
      </c>
    </row>
    <row r="3729" spans="2:4" x14ac:dyDescent="0.2">
      <c r="B3729" s="2">
        <v>41513</v>
      </c>
      <c r="C3729" s="61">
        <v>8242.56</v>
      </c>
      <c r="D3729" s="3">
        <f t="shared" si="61"/>
        <v>-2.2831840571892581E-2</v>
      </c>
    </row>
    <row r="3730" spans="2:4" x14ac:dyDescent="0.2">
      <c r="B3730" s="2">
        <v>41514</v>
      </c>
      <c r="C3730" s="61">
        <v>8157.9</v>
      </c>
      <c r="D3730" s="3">
        <f t="shared" si="61"/>
        <v>-1.0271080829256873E-2</v>
      </c>
    </row>
    <row r="3731" spans="2:4" x14ac:dyDescent="0.2">
      <c r="B3731" s="2">
        <v>41515</v>
      </c>
      <c r="C3731" s="61">
        <v>8194.5499999999993</v>
      </c>
      <c r="D3731" s="3">
        <f t="shared" si="61"/>
        <v>4.492577746723958E-3</v>
      </c>
    </row>
    <row r="3732" spans="2:4" x14ac:dyDescent="0.2">
      <c r="B3732" s="2">
        <v>41516</v>
      </c>
      <c r="C3732" s="61">
        <v>8103.15</v>
      </c>
      <c r="D3732" s="3">
        <f t="shared" si="61"/>
        <v>-1.1153754629601331E-2</v>
      </c>
    </row>
    <row r="3733" spans="2:4" x14ac:dyDescent="0.2">
      <c r="B3733" s="2">
        <v>41519</v>
      </c>
      <c r="C3733" s="61">
        <v>8243.8700000000008</v>
      </c>
      <c r="D3733" s="3">
        <f t="shared" si="61"/>
        <v>1.7366086028273164E-2</v>
      </c>
    </row>
    <row r="3734" spans="2:4" x14ac:dyDescent="0.2">
      <c r="B3734" s="2">
        <v>41520</v>
      </c>
      <c r="C3734" s="61">
        <v>8180.71</v>
      </c>
      <c r="D3734" s="3">
        <f t="shared" si="61"/>
        <v>-7.6614502654700489E-3</v>
      </c>
    </row>
    <row r="3735" spans="2:4" x14ac:dyDescent="0.2">
      <c r="B3735" s="2">
        <v>41521</v>
      </c>
      <c r="C3735" s="61">
        <v>8195.92</v>
      </c>
      <c r="D3735" s="3">
        <f t="shared" si="61"/>
        <v>1.8592518253306434E-3</v>
      </c>
    </row>
    <row r="3736" spans="2:4" x14ac:dyDescent="0.2">
      <c r="B3736" s="2">
        <v>41522</v>
      </c>
      <c r="C3736" s="61">
        <v>8234.98</v>
      </c>
      <c r="D3736" s="3">
        <f t="shared" si="61"/>
        <v>4.7657859032297356E-3</v>
      </c>
    </row>
    <row r="3737" spans="2:4" x14ac:dyDescent="0.2">
      <c r="B3737" s="2">
        <v>41523</v>
      </c>
      <c r="C3737" s="61">
        <v>8275.67</v>
      </c>
      <c r="D3737" s="3">
        <f t="shared" si="61"/>
        <v>4.941117039749976E-3</v>
      </c>
    </row>
    <row r="3738" spans="2:4" x14ac:dyDescent="0.2">
      <c r="B3738" s="2">
        <v>41526</v>
      </c>
      <c r="C3738" s="61">
        <v>8276.32</v>
      </c>
      <c r="D3738" s="3">
        <f t="shared" si="61"/>
        <v>7.8543489530069621E-5</v>
      </c>
    </row>
    <row r="3739" spans="2:4" x14ac:dyDescent="0.2">
      <c r="B3739" s="2">
        <v>41527</v>
      </c>
      <c r="C3739" s="61">
        <v>8446.5400000000009</v>
      </c>
      <c r="D3739" s="3">
        <f t="shared" si="61"/>
        <v>2.0567111953138761E-2</v>
      </c>
    </row>
    <row r="3740" spans="2:4" x14ac:dyDescent="0.2">
      <c r="B3740" s="2">
        <v>41528</v>
      </c>
      <c r="C3740" s="61">
        <v>8495.73</v>
      </c>
      <c r="D3740" s="3">
        <f t="shared" si="61"/>
        <v>5.8236863851941489E-3</v>
      </c>
    </row>
    <row r="3741" spans="2:4" x14ac:dyDescent="0.2">
      <c r="B3741" s="2">
        <v>41529</v>
      </c>
      <c r="C3741" s="61">
        <v>8494</v>
      </c>
      <c r="D3741" s="3">
        <f t="shared" si="61"/>
        <v>-2.0363170675141706E-4</v>
      </c>
    </row>
    <row r="3742" spans="2:4" x14ac:dyDescent="0.2">
      <c r="B3742" s="2">
        <v>41530</v>
      </c>
      <c r="C3742" s="61">
        <v>8509.42</v>
      </c>
      <c r="D3742" s="3">
        <f t="shared" si="61"/>
        <v>1.8153991052507479E-3</v>
      </c>
    </row>
    <row r="3743" spans="2:4" x14ac:dyDescent="0.2">
      <c r="B3743" s="2">
        <v>41533</v>
      </c>
      <c r="C3743" s="61">
        <v>8613</v>
      </c>
      <c r="D3743" s="3">
        <f t="shared" si="61"/>
        <v>1.2172392477983296E-2</v>
      </c>
    </row>
    <row r="3744" spans="2:4" x14ac:dyDescent="0.2">
      <c r="B3744" s="2">
        <v>41534</v>
      </c>
      <c r="C3744" s="61">
        <v>8596.9500000000007</v>
      </c>
      <c r="D3744" s="3">
        <f t="shared" si="61"/>
        <v>-1.8634622082897012E-3</v>
      </c>
    </row>
    <row r="3745" spans="2:4" x14ac:dyDescent="0.2">
      <c r="B3745" s="2">
        <v>41535</v>
      </c>
      <c r="C3745" s="61">
        <v>8636.06</v>
      </c>
      <c r="D3745" s="3">
        <f t="shared" si="61"/>
        <v>4.5492878288229122E-3</v>
      </c>
    </row>
    <row r="3746" spans="2:4" x14ac:dyDescent="0.2">
      <c r="B3746" s="2">
        <v>41536</v>
      </c>
      <c r="C3746" s="61">
        <v>8694.18</v>
      </c>
      <c r="D3746" s="3">
        <f t="shared" si="61"/>
        <v>6.7299208203741578E-3</v>
      </c>
    </row>
    <row r="3747" spans="2:4" x14ac:dyDescent="0.2">
      <c r="B3747" s="2">
        <v>41537</v>
      </c>
      <c r="C3747" s="61">
        <v>8675.73</v>
      </c>
      <c r="D3747" s="3">
        <f t="shared" si="61"/>
        <v>-2.1221092730999702E-3</v>
      </c>
    </row>
    <row r="3748" spans="2:4" x14ac:dyDescent="0.2">
      <c r="B3748" s="2">
        <v>41540</v>
      </c>
      <c r="C3748" s="61">
        <v>8635.2900000000009</v>
      </c>
      <c r="D3748" s="3">
        <f t="shared" si="61"/>
        <v>-4.6612792237654688E-3</v>
      </c>
    </row>
    <row r="3749" spans="2:4" x14ac:dyDescent="0.2">
      <c r="B3749" s="2">
        <v>41541</v>
      </c>
      <c r="C3749" s="61">
        <v>8664.6</v>
      </c>
      <c r="D3749" s="3">
        <f t="shared" si="61"/>
        <v>3.3942114277574209E-3</v>
      </c>
    </row>
    <row r="3750" spans="2:4" x14ac:dyDescent="0.2">
      <c r="B3750" s="2">
        <v>41542</v>
      </c>
      <c r="C3750" s="61">
        <v>8665.6299999999992</v>
      </c>
      <c r="D3750" s="3">
        <f t="shared" si="61"/>
        <v>1.1887450084246964E-4</v>
      </c>
    </row>
    <row r="3751" spans="2:4" x14ac:dyDescent="0.2">
      <c r="B3751" s="2">
        <v>41543</v>
      </c>
      <c r="C3751" s="61">
        <v>8664.1</v>
      </c>
      <c r="D3751" s="3">
        <f t="shared" si="61"/>
        <v>-1.7655958078044431E-4</v>
      </c>
    </row>
    <row r="3752" spans="2:4" x14ac:dyDescent="0.2">
      <c r="B3752" s="2">
        <v>41544</v>
      </c>
      <c r="C3752" s="61">
        <v>8661.51</v>
      </c>
      <c r="D3752" s="3">
        <f t="shared" si="61"/>
        <v>-2.9893468450270522E-4</v>
      </c>
    </row>
    <row r="3753" spans="2:4" x14ac:dyDescent="0.2">
      <c r="B3753" s="2">
        <v>41547</v>
      </c>
      <c r="C3753" s="61">
        <v>8594.4</v>
      </c>
      <c r="D3753" s="3">
        <f t="shared" si="61"/>
        <v>-7.748071641088039E-3</v>
      </c>
    </row>
    <row r="3754" spans="2:4" x14ac:dyDescent="0.2">
      <c r="B3754" s="2">
        <v>41548</v>
      </c>
      <c r="C3754" s="61">
        <v>8689.14</v>
      </c>
      <c r="D3754" s="3">
        <f t="shared" si="61"/>
        <v>1.1023457134878401E-2</v>
      </c>
    </row>
    <row r="3755" spans="2:4" x14ac:dyDescent="0.2">
      <c r="B3755" s="2">
        <v>41549</v>
      </c>
      <c r="C3755" s="61">
        <v>8629.42</v>
      </c>
      <c r="D3755" s="3">
        <f t="shared" si="61"/>
        <v>-6.8729471501206563E-3</v>
      </c>
    </row>
    <row r="3756" spans="2:4" x14ac:dyDescent="0.2">
      <c r="B3756" s="2">
        <v>41550</v>
      </c>
      <c r="C3756" s="61">
        <v>8597.91</v>
      </c>
      <c r="D3756" s="3">
        <f t="shared" si="61"/>
        <v>-3.651462091310953E-3</v>
      </c>
    </row>
    <row r="3757" spans="2:4" x14ac:dyDescent="0.2">
      <c r="B3757" s="2">
        <v>41551</v>
      </c>
      <c r="C3757" s="61">
        <v>8622.9699999999993</v>
      </c>
      <c r="D3757" s="3">
        <f t="shared" si="61"/>
        <v>2.9146618189768159E-3</v>
      </c>
    </row>
    <row r="3758" spans="2:4" x14ac:dyDescent="0.2">
      <c r="B3758" s="2">
        <v>41554</v>
      </c>
      <c r="C3758" s="61">
        <v>8591.58</v>
      </c>
      <c r="D3758" s="3">
        <f t="shared" si="61"/>
        <v>-3.640277073908349E-3</v>
      </c>
    </row>
    <row r="3759" spans="2:4" x14ac:dyDescent="0.2">
      <c r="B3759" s="2">
        <v>41555</v>
      </c>
      <c r="C3759" s="61">
        <v>8555.89</v>
      </c>
      <c r="D3759" s="3">
        <f t="shared" si="61"/>
        <v>-4.1540671215306579E-3</v>
      </c>
    </row>
    <row r="3760" spans="2:4" x14ac:dyDescent="0.2">
      <c r="B3760" s="2">
        <v>41556</v>
      </c>
      <c r="C3760" s="61">
        <v>8516.69</v>
      </c>
      <c r="D3760" s="3">
        <f t="shared" si="61"/>
        <v>-4.5816390813812058E-3</v>
      </c>
    </row>
    <row r="3761" spans="2:4" x14ac:dyDescent="0.2">
      <c r="B3761" s="2">
        <v>41557</v>
      </c>
      <c r="C3761" s="61">
        <v>8685.77</v>
      </c>
      <c r="D3761" s="3">
        <f t="shared" si="61"/>
        <v>1.985278318219863E-2</v>
      </c>
    </row>
    <row r="3762" spans="2:4" x14ac:dyDescent="0.2">
      <c r="B3762" s="2">
        <v>41558</v>
      </c>
      <c r="C3762" s="61">
        <v>8724.83</v>
      </c>
      <c r="D3762" s="3">
        <f t="shared" si="61"/>
        <v>4.4970106277277822E-3</v>
      </c>
    </row>
    <row r="3763" spans="2:4" x14ac:dyDescent="0.2">
      <c r="B3763" s="2">
        <v>41561</v>
      </c>
      <c r="C3763" s="61">
        <v>8723.81</v>
      </c>
      <c r="D3763" s="3">
        <f t="shared" si="61"/>
        <v>-1.1690772198436061E-4</v>
      </c>
    </row>
    <row r="3764" spans="2:4" x14ac:dyDescent="0.2">
      <c r="B3764" s="2">
        <v>41562</v>
      </c>
      <c r="C3764" s="61">
        <v>8804.44</v>
      </c>
      <c r="D3764" s="3">
        <f t="shared" si="61"/>
        <v>9.2425213295568298E-3</v>
      </c>
    </row>
    <row r="3765" spans="2:4" x14ac:dyDescent="0.2">
      <c r="B3765" s="2">
        <v>41563</v>
      </c>
      <c r="C3765" s="61">
        <v>8846</v>
      </c>
      <c r="D3765" s="3">
        <f t="shared" si="61"/>
        <v>4.7203456437887592E-3</v>
      </c>
    </row>
    <row r="3766" spans="2:4" x14ac:dyDescent="0.2">
      <c r="B3766" s="2">
        <v>41564</v>
      </c>
      <c r="C3766" s="61">
        <v>8811.98</v>
      </c>
      <c r="D3766" s="3">
        <f t="shared" si="61"/>
        <v>-3.8458060140177386E-3</v>
      </c>
    </row>
    <row r="3767" spans="2:4" x14ac:dyDescent="0.2">
      <c r="B3767" s="2">
        <v>41565</v>
      </c>
      <c r="C3767" s="61">
        <v>8865.1</v>
      </c>
      <c r="D3767" s="3">
        <f t="shared" si="61"/>
        <v>6.0281571224629626E-3</v>
      </c>
    </row>
    <row r="3768" spans="2:4" x14ac:dyDescent="0.2">
      <c r="B3768" s="2">
        <v>41568</v>
      </c>
      <c r="C3768" s="61">
        <v>8867.2199999999993</v>
      </c>
      <c r="D3768" s="3">
        <f t="shared" si="61"/>
        <v>2.391399984207343E-4</v>
      </c>
    </row>
    <row r="3769" spans="2:4" x14ac:dyDescent="0.2">
      <c r="B3769" s="2">
        <v>41569</v>
      </c>
      <c r="C3769" s="61">
        <v>8947.4599999999991</v>
      </c>
      <c r="D3769" s="3">
        <f t="shared" si="61"/>
        <v>9.0490593444167988E-3</v>
      </c>
    </row>
    <row r="3770" spans="2:4" x14ac:dyDescent="0.2">
      <c r="B3770" s="2">
        <v>41570</v>
      </c>
      <c r="C3770" s="61">
        <v>8919.86</v>
      </c>
      <c r="D3770" s="3">
        <f t="shared" si="61"/>
        <v>-3.0846743098039697E-3</v>
      </c>
    </row>
    <row r="3771" spans="2:4" x14ac:dyDescent="0.2">
      <c r="B3771" s="2">
        <v>41571</v>
      </c>
      <c r="C3771" s="61">
        <v>8980.6299999999992</v>
      </c>
      <c r="D3771" s="3">
        <f t="shared" si="61"/>
        <v>6.812887197781059E-3</v>
      </c>
    </row>
    <row r="3772" spans="2:4" x14ac:dyDescent="0.2">
      <c r="B3772" s="2">
        <v>41572</v>
      </c>
      <c r="C3772" s="61">
        <v>8985.74</v>
      </c>
      <c r="D3772" s="3">
        <f t="shared" si="61"/>
        <v>5.6900239738189029E-4</v>
      </c>
    </row>
    <row r="3773" spans="2:4" x14ac:dyDescent="0.2">
      <c r="B3773" s="2">
        <v>41575</v>
      </c>
      <c r="C3773" s="61">
        <v>8978.65</v>
      </c>
      <c r="D3773" s="3">
        <f t="shared" si="61"/>
        <v>-7.8902794872770521E-4</v>
      </c>
    </row>
    <row r="3774" spans="2:4" x14ac:dyDescent="0.2">
      <c r="B3774" s="2">
        <v>41576</v>
      </c>
      <c r="C3774" s="61">
        <v>9022.0400000000009</v>
      </c>
      <c r="D3774" s="3">
        <f t="shared" si="61"/>
        <v>4.832575053042687E-3</v>
      </c>
    </row>
    <row r="3775" spans="2:4" x14ac:dyDescent="0.2">
      <c r="B3775" s="2">
        <v>41577</v>
      </c>
      <c r="C3775" s="61">
        <v>9010.27</v>
      </c>
      <c r="D3775" s="3">
        <f t="shared" si="61"/>
        <v>-1.3045829989670743E-3</v>
      </c>
    </row>
    <row r="3776" spans="2:4" x14ac:dyDescent="0.2">
      <c r="B3776" s="2">
        <v>41578</v>
      </c>
      <c r="C3776" s="61">
        <v>9033.92</v>
      </c>
      <c r="D3776" s="3">
        <f t="shared" si="61"/>
        <v>2.624782609178089E-3</v>
      </c>
    </row>
    <row r="3777" spans="2:4" x14ac:dyDescent="0.2">
      <c r="B3777" s="2">
        <v>41579</v>
      </c>
      <c r="C3777" s="61">
        <v>9007.83</v>
      </c>
      <c r="D3777" s="3">
        <f t="shared" si="61"/>
        <v>-2.8880043214906115E-3</v>
      </c>
    </row>
    <row r="3778" spans="2:4" x14ac:dyDescent="0.2">
      <c r="B3778" s="2">
        <v>41582</v>
      </c>
      <c r="C3778" s="61">
        <v>9037.23</v>
      </c>
      <c r="D3778" s="3">
        <f t="shared" si="61"/>
        <v>3.2638271370573069E-3</v>
      </c>
    </row>
    <row r="3779" spans="2:4" x14ac:dyDescent="0.2">
      <c r="B3779" s="2">
        <v>41583</v>
      </c>
      <c r="C3779" s="61">
        <v>9009.11</v>
      </c>
      <c r="D3779" s="3">
        <f t="shared" si="61"/>
        <v>-3.1115729045292362E-3</v>
      </c>
    </row>
    <row r="3780" spans="2:4" x14ac:dyDescent="0.2">
      <c r="B3780" s="2">
        <v>41584</v>
      </c>
      <c r="C3780" s="61">
        <v>9040.8700000000008</v>
      </c>
      <c r="D3780" s="3">
        <f t="shared" si="61"/>
        <v>3.5253204811573902E-3</v>
      </c>
    </row>
    <row r="3781" spans="2:4" x14ac:dyDescent="0.2">
      <c r="B3781" s="2">
        <v>41585</v>
      </c>
      <c r="C3781" s="61">
        <v>9081.0300000000007</v>
      </c>
      <c r="D3781" s="3">
        <f t="shared" ref="D3781:D3844" si="62">C3781/C3780-1</f>
        <v>4.4420503778950238E-3</v>
      </c>
    </row>
    <row r="3782" spans="2:4" x14ac:dyDescent="0.2">
      <c r="B3782" s="2">
        <v>41586</v>
      </c>
      <c r="C3782" s="61">
        <v>9078.2800000000007</v>
      </c>
      <c r="D3782" s="3">
        <f t="shared" si="62"/>
        <v>-3.0282908436596312E-4</v>
      </c>
    </row>
    <row r="3783" spans="2:4" x14ac:dyDescent="0.2">
      <c r="B3783" s="2">
        <v>41589</v>
      </c>
      <c r="C3783" s="61">
        <v>9107.86</v>
      </c>
      <c r="D3783" s="3">
        <f t="shared" si="62"/>
        <v>3.2583264671282031E-3</v>
      </c>
    </row>
    <row r="3784" spans="2:4" x14ac:dyDescent="0.2">
      <c r="B3784" s="2">
        <v>41590</v>
      </c>
      <c r="C3784" s="61">
        <v>9076.48</v>
      </c>
      <c r="D3784" s="3">
        <f t="shared" si="62"/>
        <v>-3.4453757523722484E-3</v>
      </c>
    </row>
    <row r="3785" spans="2:4" x14ac:dyDescent="0.2">
      <c r="B3785" s="2">
        <v>41591</v>
      </c>
      <c r="C3785" s="61">
        <v>9054.83</v>
      </c>
      <c r="D3785" s="3">
        <f t="shared" si="62"/>
        <v>-2.3852859258214343E-3</v>
      </c>
    </row>
    <row r="3786" spans="2:4" x14ac:dyDescent="0.2">
      <c r="B3786" s="2">
        <v>41592</v>
      </c>
      <c r="C3786" s="61">
        <v>9149.66</v>
      </c>
      <c r="D3786" s="3">
        <f t="shared" si="62"/>
        <v>1.0472863653983477E-2</v>
      </c>
    </row>
    <row r="3787" spans="2:4" x14ac:dyDescent="0.2">
      <c r="B3787" s="2">
        <v>41593</v>
      </c>
      <c r="C3787" s="61">
        <v>9168.69</v>
      </c>
      <c r="D3787" s="3">
        <f t="shared" si="62"/>
        <v>2.0798587051322759E-3</v>
      </c>
    </row>
    <row r="3788" spans="2:4" x14ac:dyDescent="0.2">
      <c r="B3788" s="2">
        <v>41596</v>
      </c>
      <c r="C3788" s="61">
        <v>9225.43</v>
      </c>
      <c r="D3788" s="3">
        <f t="shared" si="62"/>
        <v>6.1884522216368865E-3</v>
      </c>
    </row>
    <row r="3789" spans="2:4" x14ac:dyDescent="0.2">
      <c r="B3789" s="2">
        <v>41597</v>
      </c>
      <c r="C3789" s="61">
        <v>9193.2900000000009</v>
      </c>
      <c r="D3789" s="3">
        <f t="shared" si="62"/>
        <v>-3.4838484493404653E-3</v>
      </c>
    </row>
    <row r="3790" spans="2:4" x14ac:dyDescent="0.2">
      <c r="B3790" s="2">
        <v>41598</v>
      </c>
      <c r="C3790" s="61">
        <v>9202.07</v>
      </c>
      <c r="D3790" s="3">
        <f t="shared" si="62"/>
        <v>9.5504438563320804E-4</v>
      </c>
    </row>
    <row r="3791" spans="2:4" x14ac:dyDescent="0.2">
      <c r="B3791" s="2">
        <v>41599</v>
      </c>
      <c r="C3791" s="61">
        <v>9196.08</v>
      </c>
      <c r="D3791" s="3">
        <f t="shared" si="62"/>
        <v>-6.5094049491032369E-4</v>
      </c>
    </row>
    <row r="3792" spans="2:4" x14ac:dyDescent="0.2">
      <c r="B3792" s="2">
        <v>41600</v>
      </c>
      <c r="C3792" s="61">
        <v>9219.0400000000009</v>
      </c>
      <c r="D3792" s="3">
        <f t="shared" si="62"/>
        <v>2.4967159920314952E-3</v>
      </c>
    </row>
    <row r="3793" spans="2:4" x14ac:dyDescent="0.2">
      <c r="B3793" s="2">
        <v>41603</v>
      </c>
      <c r="C3793" s="61">
        <v>9299.9500000000007</v>
      </c>
      <c r="D3793" s="3">
        <f t="shared" si="62"/>
        <v>8.776401881323892E-3</v>
      </c>
    </row>
    <row r="3794" spans="2:4" x14ac:dyDescent="0.2">
      <c r="B3794" s="2">
        <v>41604</v>
      </c>
      <c r="C3794" s="61">
        <v>9290.07</v>
      </c>
      <c r="D3794" s="3">
        <f t="shared" si="62"/>
        <v>-1.0623713030716297E-3</v>
      </c>
    </row>
    <row r="3795" spans="2:4" x14ac:dyDescent="0.2">
      <c r="B3795" s="2">
        <v>41605</v>
      </c>
      <c r="C3795" s="61">
        <v>9351.1299999999992</v>
      </c>
      <c r="D3795" s="3">
        <f t="shared" si="62"/>
        <v>6.5726092483693321E-3</v>
      </c>
    </row>
    <row r="3796" spans="2:4" x14ac:dyDescent="0.2">
      <c r="B3796" s="2">
        <v>41606</v>
      </c>
      <c r="C3796" s="61">
        <v>9387.3700000000008</v>
      </c>
      <c r="D3796" s="3">
        <f t="shared" si="62"/>
        <v>3.875467456874393E-3</v>
      </c>
    </row>
    <row r="3797" spans="2:4" x14ac:dyDescent="0.2">
      <c r="B3797" s="2">
        <v>41607</v>
      </c>
      <c r="C3797" s="61">
        <v>9405.2999999999993</v>
      </c>
      <c r="D3797" s="3">
        <f t="shared" si="62"/>
        <v>1.9100131346689864E-3</v>
      </c>
    </row>
    <row r="3798" spans="2:4" x14ac:dyDescent="0.2">
      <c r="B3798" s="2">
        <v>41610</v>
      </c>
      <c r="C3798" s="61">
        <v>9401.9599999999991</v>
      </c>
      <c r="D3798" s="3">
        <f t="shared" si="62"/>
        <v>-3.5511892230977171E-4</v>
      </c>
    </row>
    <row r="3799" spans="2:4" x14ac:dyDescent="0.2">
      <c r="B3799" s="2">
        <v>41611</v>
      </c>
      <c r="C3799" s="61">
        <v>9223.4</v>
      </c>
      <c r="D3799" s="3">
        <f t="shared" si="62"/>
        <v>-1.8991784691702485E-2</v>
      </c>
    </row>
    <row r="3800" spans="2:4" x14ac:dyDescent="0.2">
      <c r="B3800" s="2">
        <v>41612</v>
      </c>
      <c r="C3800" s="61">
        <v>9140.6299999999992</v>
      </c>
      <c r="D3800" s="3">
        <f t="shared" si="62"/>
        <v>-8.9739141748162998E-3</v>
      </c>
    </row>
    <row r="3801" spans="2:4" x14ac:dyDescent="0.2">
      <c r="B3801" s="2">
        <v>41613</v>
      </c>
      <c r="C3801" s="61">
        <v>9084.9500000000007</v>
      </c>
      <c r="D3801" s="3">
        <f t="shared" si="62"/>
        <v>-6.0914838473933308E-3</v>
      </c>
    </row>
    <row r="3802" spans="2:4" x14ac:dyDescent="0.2">
      <c r="B3802" s="2">
        <v>41614</v>
      </c>
      <c r="C3802" s="61">
        <v>9172.41</v>
      </c>
      <c r="D3802" s="3">
        <f t="shared" si="62"/>
        <v>9.6269104397932459E-3</v>
      </c>
    </row>
    <row r="3803" spans="2:4" x14ac:dyDescent="0.2">
      <c r="B3803" s="2">
        <v>41617</v>
      </c>
      <c r="C3803" s="61">
        <v>9195.17</v>
      </c>
      <c r="D3803" s="3">
        <f t="shared" si="62"/>
        <v>2.4813544095827478E-3</v>
      </c>
    </row>
    <row r="3804" spans="2:4" x14ac:dyDescent="0.2">
      <c r="B3804" s="2">
        <v>41618</v>
      </c>
      <c r="C3804" s="61">
        <v>9114.44</v>
      </c>
      <c r="D3804" s="3">
        <f t="shared" si="62"/>
        <v>-8.7796092948797533E-3</v>
      </c>
    </row>
    <row r="3805" spans="2:4" x14ac:dyDescent="0.2">
      <c r="B3805" s="2">
        <v>41619</v>
      </c>
      <c r="C3805" s="61">
        <v>9077.11</v>
      </c>
      <c r="D3805" s="3">
        <f t="shared" si="62"/>
        <v>-4.0956986935016815E-3</v>
      </c>
    </row>
    <row r="3806" spans="2:4" x14ac:dyDescent="0.2">
      <c r="B3806" s="2">
        <v>41620</v>
      </c>
      <c r="C3806" s="61">
        <v>9017</v>
      </c>
      <c r="D3806" s="3">
        <f t="shared" si="62"/>
        <v>-6.6221517641629202E-3</v>
      </c>
    </row>
    <row r="3807" spans="2:4" x14ac:dyDescent="0.2">
      <c r="B3807" s="2">
        <v>41621</v>
      </c>
      <c r="C3807" s="61">
        <v>9006.4599999999991</v>
      </c>
      <c r="D3807" s="3">
        <f t="shared" si="62"/>
        <v>-1.1689031828768792E-3</v>
      </c>
    </row>
    <row r="3808" spans="2:4" x14ac:dyDescent="0.2">
      <c r="B3808" s="2">
        <v>41624</v>
      </c>
      <c r="C3808" s="61">
        <v>9163.56</v>
      </c>
      <c r="D3808" s="3">
        <f t="shared" si="62"/>
        <v>1.7443035332417089E-2</v>
      </c>
    </row>
    <row r="3809" spans="2:4" x14ac:dyDescent="0.2">
      <c r="B3809" s="2">
        <v>41625</v>
      </c>
      <c r="C3809" s="61">
        <v>9085.1200000000008</v>
      </c>
      <c r="D3809" s="3">
        <f t="shared" si="62"/>
        <v>-8.5599919681869086E-3</v>
      </c>
    </row>
    <row r="3810" spans="2:4" x14ac:dyDescent="0.2">
      <c r="B3810" s="2">
        <v>41626</v>
      </c>
      <c r="C3810" s="61">
        <v>9181.75</v>
      </c>
      <c r="D3810" s="3">
        <f t="shared" si="62"/>
        <v>1.0636073051319084E-2</v>
      </c>
    </row>
    <row r="3811" spans="2:4" x14ac:dyDescent="0.2">
      <c r="B3811" s="2">
        <v>41627</v>
      </c>
      <c r="C3811" s="61">
        <v>9335.74</v>
      </c>
      <c r="D3811" s="3">
        <f t="shared" si="62"/>
        <v>1.6771312658262261E-2</v>
      </c>
    </row>
    <row r="3812" spans="2:4" x14ac:dyDescent="0.2">
      <c r="B3812" s="2">
        <v>41628</v>
      </c>
      <c r="C3812" s="61">
        <v>9400.18</v>
      </c>
      <c r="D3812" s="3">
        <f t="shared" si="62"/>
        <v>6.9025058538476625E-3</v>
      </c>
    </row>
    <row r="3813" spans="2:4" x14ac:dyDescent="0.2">
      <c r="B3813" s="2">
        <v>41631</v>
      </c>
      <c r="C3813" s="61">
        <v>9488.82</v>
      </c>
      <c r="D3813" s="3">
        <f t="shared" si="62"/>
        <v>9.4296066671062384E-3</v>
      </c>
    </row>
    <row r="3814" spans="2:4" x14ac:dyDescent="0.2">
      <c r="B3814" s="2">
        <v>41635</v>
      </c>
      <c r="C3814" s="61">
        <v>9589.39</v>
      </c>
      <c r="D3814" s="3">
        <f t="shared" si="62"/>
        <v>1.0598788890504807E-2</v>
      </c>
    </row>
    <row r="3815" spans="2:4" x14ac:dyDescent="0.2">
      <c r="B3815" s="2">
        <v>41638</v>
      </c>
      <c r="C3815" s="61">
        <v>9552.16</v>
      </c>
      <c r="D3815" s="3">
        <f t="shared" si="62"/>
        <v>-3.8824158783822282E-3</v>
      </c>
    </row>
    <row r="3816" spans="2:4" x14ac:dyDescent="0.2">
      <c r="B3816" s="2">
        <v>41641</v>
      </c>
      <c r="C3816" s="61">
        <v>9400.0400000000009</v>
      </c>
      <c r="D3816" s="3">
        <f t="shared" si="62"/>
        <v>-1.5925193882849409E-2</v>
      </c>
    </row>
    <row r="3817" spans="2:4" x14ac:dyDescent="0.2">
      <c r="B3817" s="2">
        <v>41642</v>
      </c>
      <c r="C3817" s="61">
        <v>9435.15</v>
      </c>
      <c r="D3817" s="3">
        <f t="shared" si="62"/>
        <v>3.7350904889765779E-3</v>
      </c>
    </row>
    <row r="3818" spans="2:4" x14ac:dyDescent="0.2">
      <c r="B3818" s="2">
        <v>41645</v>
      </c>
      <c r="C3818" s="61">
        <v>9428</v>
      </c>
      <c r="D3818" s="3">
        <f t="shared" si="62"/>
        <v>-7.5780459240182285E-4</v>
      </c>
    </row>
    <row r="3819" spans="2:4" x14ac:dyDescent="0.2">
      <c r="B3819" s="2">
        <v>41646</v>
      </c>
      <c r="C3819" s="61">
        <v>9506.2000000000007</v>
      </c>
      <c r="D3819" s="3">
        <f t="shared" si="62"/>
        <v>8.2944420873993785E-3</v>
      </c>
    </row>
    <row r="3820" spans="2:4" x14ac:dyDescent="0.2">
      <c r="B3820" s="2">
        <v>41647</v>
      </c>
      <c r="C3820" s="61">
        <v>9497.84</v>
      </c>
      <c r="D3820" s="3">
        <f t="shared" si="62"/>
        <v>-8.7942605878277291E-4</v>
      </c>
    </row>
    <row r="3821" spans="2:4" x14ac:dyDescent="0.2">
      <c r="B3821" s="2">
        <v>41648</v>
      </c>
      <c r="C3821" s="61">
        <v>9421.61</v>
      </c>
      <c r="D3821" s="3">
        <f t="shared" si="62"/>
        <v>-8.0260353933104822E-3</v>
      </c>
    </row>
    <row r="3822" spans="2:4" x14ac:dyDescent="0.2">
      <c r="B3822" s="2">
        <v>41649</v>
      </c>
      <c r="C3822" s="61">
        <v>9473.24</v>
      </c>
      <c r="D3822" s="3">
        <f t="shared" si="62"/>
        <v>5.4799551244426592E-3</v>
      </c>
    </row>
    <row r="3823" spans="2:4" x14ac:dyDescent="0.2">
      <c r="B3823" s="2">
        <v>41652</v>
      </c>
      <c r="C3823" s="61">
        <v>9510.17</v>
      </c>
      <c r="D3823" s="3">
        <f t="shared" si="62"/>
        <v>3.8983494559412524E-3</v>
      </c>
    </row>
    <row r="3824" spans="2:4" x14ac:dyDescent="0.2">
      <c r="B3824" s="2">
        <v>41653</v>
      </c>
      <c r="C3824" s="61">
        <v>9540.51</v>
      </c>
      <c r="D3824" s="3">
        <f t="shared" si="62"/>
        <v>3.1902689436675846E-3</v>
      </c>
    </row>
    <row r="3825" spans="2:4" x14ac:dyDescent="0.2">
      <c r="B3825" s="2">
        <v>41654</v>
      </c>
      <c r="C3825" s="61">
        <v>9733.81</v>
      </c>
      <c r="D3825" s="3">
        <f t="shared" si="62"/>
        <v>2.0260971373647685E-2</v>
      </c>
    </row>
    <row r="3826" spans="2:4" x14ac:dyDescent="0.2">
      <c r="B3826" s="2">
        <v>41655</v>
      </c>
      <c r="C3826" s="61">
        <v>9717.7099999999991</v>
      </c>
      <c r="D3826" s="3">
        <f t="shared" si="62"/>
        <v>-1.6540285869561799E-3</v>
      </c>
    </row>
    <row r="3827" spans="2:4" x14ac:dyDescent="0.2">
      <c r="B3827" s="2">
        <v>41656</v>
      </c>
      <c r="C3827" s="61">
        <v>9742.9599999999991</v>
      </c>
      <c r="D3827" s="3">
        <f t="shared" si="62"/>
        <v>2.5983487879346345E-3</v>
      </c>
    </row>
    <row r="3828" spans="2:4" x14ac:dyDescent="0.2">
      <c r="B3828" s="2">
        <v>41659</v>
      </c>
      <c r="C3828" s="61">
        <v>9715.9</v>
      </c>
      <c r="D3828" s="3">
        <f t="shared" si="62"/>
        <v>-2.777390033418925E-3</v>
      </c>
    </row>
    <row r="3829" spans="2:4" x14ac:dyDescent="0.2">
      <c r="B3829" s="2">
        <v>41660</v>
      </c>
      <c r="C3829" s="61">
        <v>9730.1200000000008</v>
      </c>
      <c r="D3829" s="3">
        <f t="shared" si="62"/>
        <v>1.4635803168003836E-3</v>
      </c>
    </row>
    <row r="3830" spans="2:4" x14ac:dyDescent="0.2">
      <c r="B3830" s="2">
        <v>41661</v>
      </c>
      <c r="C3830" s="61">
        <v>9720.11</v>
      </c>
      <c r="D3830" s="3">
        <f t="shared" si="62"/>
        <v>-1.0287642906767758E-3</v>
      </c>
    </row>
    <row r="3831" spans="2:4" x14ac:dyDescent="0.2">
      <c r="B3831" s="2">
        <v>41662</v>
      </c>
      <c r="C3831" s="61">
        <v>9631.0400000000009</v>
      </c>
      <c r="D3831" s="3">
        <f t="shared" si="62"/>
        <v>-9.1634765450184785E-3</v>
      </c>
    </row>
    <row r="3832" spans="2:4" x14ac:dyDescent="0.2">
      <c r="B3832" s="2">
        <v>41663</v>
      </c>
      <c r="C3832" s="61">
        <v>9392.02</v>
      </c>
      <c r="D3832" s="3">
        <f t="shared" si="62"/>
        <v>-2.4817672857759931E-2</v>
      </c>
    </row>
    <row r="3833" spans="2:4" x14ac:dyDescent="0.2">
      <c r="B3833" s="2">
        <v>41666</v>
      </c>
      <c r="C3833" s="61">
        <v>9349.2199999999993</v>
      </c>
      <c r="D3833" s="3">
        <f t="shared" si="62"/>
        <v>-4.5570601425466428E-3</v>
      </c>
    </row>
    <row r="3834" spans="2:4" x14ac:dyDescent="0.2">
      <c r="B3834" s="2">
        <v>41667</v>
      </c>
      <c r="C3834" s="61">
        <v>9406.91</v>
      </c>
      <c r="D3834" s="3">
        <f t="shared" si="62"/>
        <v>6.1705682399173511E-3</v>
      </c>
    </row>
    <row r="3835" spans="2:4" x14ac:dyDescent="0.2">
      <c r="B3835" s="2">
        <v>41668</v>
      </c>
      <c r="C3835" s="61">
        <v>9336.73</v>
      </c>
      <c r="D3835" s="3">
        <f t="shared" si="62"/>
        <v>-7.4604732053352718E-3</v>
      </c>
    </row>
    <row r="3836" spans="2:4" x14ac:dyDescent="0.2">
      <c r="B3836" s="2">
        <v>41669</v>
      </c>
      <c r="C3836" s="61">
        <v>9373.48</v>
      </c>
      <c r="D3836" s="3">
        <f t="shared" si="62"/>
        <v>3.9360675525585975E-3</v>
      </c>
    </row>
    <row r="3837" spans="2:4" x14ac:dyDescent="0.2">
      <c r="B3837" s="2">
        <v>41670</v>
      </c>
      <c r="C3837" s="61">
        <v>9306.48</v>
      </c>
      <c r="D3837" s="3">
        <f t="shared" si="62"/>
        <v>-7.1478255674519708E-3</v>
      </c>
    </row>
    <row r="3838" spans="2:4" x14ac:dyDescent="0.2">
      <c r="B3838" s="2">
        <v>41673</v>
      </c>
      <c r="C3838" s="61">
        <v>9186.52</v>
      </c>
      <c r="D3838" s="3">
        <f t="shared" si="62"/>
        <v>-1.2889943351299227E-2</v>
      </c>
    </row>
    <row r="3839" spans="2:4" x14ac:dyDescent="0.2">
      <c r="B3839" s="2">
        <v>41674</v>
      </c>
      <c r="C3839" s="61">
        <v>9127.91</v>
      </c>
      <c r="D3839" s="3">
        <f t="shared" si="62"/>
        <v>-6.3800002612524054E-3</v>
      </c>
    </row>
    <row r="3840" spans="2:4" x14ac:dyDescent="0.2">
      <c r="B3840" s="2">
        <v>41675</v>
      </c>
      <c r="C3840" s="61">
        <v>9116.32</v>
      </c>
      <c r="D3840" s="3">
        <f t="shared" si="62"/>
        <v>-1.2697320635282061E-3</v>
      </c>
    </row>
    <row r="3841" spans="2:4" x14ac:dyDescent="0.2">
      <c r="B3841" s="2">
        <v>41676</v>
      </c>
      <c r="C3841" s="61">
        <v>9256.58</v>
      </c>
      <c r="D3841" s="3">
        <f t="shared" si="62"/>
        <v>1.5385594187128149E-2</v>
      </c>
    </row>
    <row r="3842" spans="2:4" x14ac:dyDescent="0.2">
      <c r="B3842" s="2">
        <v>41677</v>
      </c>
      <c r="C3842" s="61">
        <v>9301.92</v>
      </c>
      <c r="D3842" s="3">
        <f t="shared" si="62"/>
        <v>4.8981373250163163E-3</v>
      </c>
    </row>
    <row r="3843" spans="2:4" x14ac:dyDescent="0.2">
      <c r="B3843" s="2">
        <v>41680</v>
      </c>
      <c r="C3843" s="61">
        <v>9289.86</v>
      </c>
      <c r="D3843" s="3">
        <f t="shared" si="62"/>
        <v>-1.2965065276845378E-3</v>
      </c>
    </row>
    <row r="3844" spans="2:4" x14ac:dyDescent="0.2">
      <c r="B3844" s="2">
        <v>41681</v>
      </c>
      <c r="C3844" s="61">
        <v>9478.77</v>
      </c>
      <c r="D3844" s="3">
        <f t="shared" si="62"/>
        <v>2.0335075017276827E-2</v>
      </c>
    </row>
    <row r="3845" spans="2:4" x14ac:dyDescent="0.2">
      <c r="B3845" s="2">
        <v>41682</v>
      </c>
      <c r="C3845" s="61">
        <v>9540</v>
      </c>
      <c r="D3845" s="3">
        <f t="shared" ref="D3845:D3908" si="63">C3845/C3844-1</f>
        <v>6.4596988849818793E-3</v>
      </c>
    </row>
    <row r="3846" spans="2:4" x14ac:dyDescent="0.2">
      <c r="B3846" s="2">
        <v>41683</v>
      </c>
      <c r="C3846" s="61">
        <v>9596.77</v>
      </c>
      <c r="D3846" s="3">
        <f t="shared" si="63"/>
        <v>5.9507337526205628E-3</v>
      </c>
    </row>
    <row r="3847" spans="2:4" x14ac:dyDescent="0.2">
      <c r="B3847" s="2">
        <v>41684</v>
      </c>
      <c r="C3847" s="61">
        <v>9662.4</v>
      </c>
      <c r="D3847" s="3">
        <f t="shared" si="63"/>
        <v>6.8387592908862871E-3</v>
      </c>
    </row>
    <row r="3848" spans="2:4" x14ac:dyDescent="0.2">
      <c r="B3848" s="2">
        <v>41687</v>
      </c>
      <c r="C3848" s="61">
        <v>9656.76</v>
      </c>
      <c r="D3848" s="3">
        <f t="shared" si="63"/>
        <v>-5.8370591157475005E-4</v>
      </c>
    </row>
    <row r="3849" spans="2:4" x14ac:dyDescent="0.2">
      <c r="B3849" s="2">
        <v>41688</v>
      </c>
      <c r="C3849" s="61">
        <v>9659.7800000000007</v>
      </c>
      <c r="D3849" s="3">
        <f t="shared" si="63"/>
        <v>3.127342918329834E-4</v>
      </c>
    </row>
    <row r="3850" spans="2:4" x14ac:dyDescent="0.2">
      <c r="B3850" s="2">
        <v>41689</v>
      </c>
      <c r="C3850" s="61">
        <v>9660.0499999999993</v>
      </c>
      <c r="D3850" s="3">
        <f t="shared" si="63"/>
        <v>2.7950947122823422E-5</v>
      </c>
    </row>
    <row r="3851" spans="2:4" x14ac:dyDescent="0.2">
      <c r="B3851" s="2">
        <v>41690</v>
      </c>
      <c r="C3851" s="61">
        <v>9618.85</v>
      </c>
      <c r="D3851" s="3">
        <f t="shared" si="63"/>
        <v>-4.2649882764580482E-3</v>
      </c>
    </row>
    <row r="3852" spans="2:4" x14ac:dyDescent="0.2">
      <c r="B3852" s="2">
        <v>41691</v>
      </c>
      <c r="C3852" s="61">
        <v>9656.9500000000007</v>
      </c>
      <c r="D3852" s="3">
        <f t="shared" si="63"/>
        <v>3.9609724655234047E-3</v>
      </c>
    </row>
    <row r="3853" spans="2:4" x14ac:dyDescent="0.2">
      <c r="B3853" s="2">
        <v>41694</v>
      </c>
      <c r="C3853" s="61">
        <v>9708.94</v>
      </c>
      <c r="D3853" s="3">
        <f t="shared" si="63"/>
        <v>5.3836873961239373E-3</v>
      </c>
    </row>
    <row r="3854" spans="2:4" x14ac:dyDescent="0.2">
      <c r="B3854" s="2">
        <v>41695</v>
      </c>
      <c r="C3854" s="61">
        <v>9699.35</v>
      </c>
      <c r="D3854" s="3">
        <f t="shared" si="63"/>
        <v>-9.8774943505675061E-4</v>
      </c>
    </row>
    <row r="3855" spans="2:4" x14ac:dyDescent="0.2">
      <c r="B3855" s="2">
        <v>41696</v>
      </c>
      <c r="C3855" s="61">
        <v>9661.73</v>
      </c>
      <c r="D3855" s="3">
        <f t="shared" si="63"/>
        <v>-3.878610422347939E-3</v>
      </c>
    </row>
    <row r="3856" spans="2:4" x14ac:dyDescent="0.2">
      <c r="B3856" s="2">
        <v>41697</v>
      </c>
      <c r="C3856" s="61">
        <v>9588.33</v>
      </c>
      <c r="D3856" s="3">
        <f t="shared" si="63"/>
        <v>-7.5969831489804962E-3</v>
      </c>
    </row>
    <row r="3857" spans="2:4" x14ac:dyDescent="0.2">
      <c r="B3857" s="2">
        <v>41698</v>
      </c>
      <c r="C3857" s="61">
        <v>9692.08</v>
      </c>
      <c r="D3857" s="3">
        <f t="shared" si="63"/>
        <v>1.0820445270448564E-2</v>
      </c>
    </row>
    <row r="3858" spans="2:4" x14ac:dyDescent="0.2">
      <c r="B3858" s="2">
        <v>41701</v>
      </c>
      <c r="C3858" s="61">
        <v>9358.89</v>
      </c>
      <c r="D3858" s="3">
        <f t="shared" si="63"/>
        <v>-3.43775536314187E-2</v>
      </c>
    </row>
    <row r="3859" spans="2:4" x14ac:dyDescent="0.2">
      <c r="B3859" s="2">
        <v>41702</v>
      </c>
      <c r="C3859" s="61">
        <v>9589.15</v>
      </c>
      <c r="D3859" s="3">
        <f t="shared" si="63"/>
        <v>2.4603345054808878E-2</v>
      </c>
    </row>
    <row r="3860" spans="2:4" x14ac:dyDescent="0.2">
      <c r="B3860" s="2">
        <v>41703</v>
      </c>
      <c r="C3860" s="61">
        <v>9542.02</v>
      </c>
      <c r="D3860" s="3">
        <f t="shared" si="63"/>
        <v>-4.91492989472464E-3</v>
      </c>
    </row>
    <row r="3861" spans="2:4" x14ac:dyDescent="0.2">
      <c r="B3861" s="2">
        <v>41704</v>
      </c>
      <c r="C3861" s="61">
        <v>9542.8700000000008</v>
      </c>
      <c r="D3861" s="3">
        <f t="shared" si="63"/>
        <v>8.9079670761549323E-5</v>
      </c>
    </row>
    <row r="3862" spans="2:4" x14ac:dyDescent="0.2">
      <c r="B3862" s="2">
        <v>41705</v>
      </c>
      <c r="C3862" s="61">
        <v>9350.75</v>
      </c>
      <c r="D3862" s="3">
        <f t="shared" si="63"/>
        <v>-2.0132308204974025E-2</v>
      </c>
    </row>
    <row r="3863" spans="2:4" x14ac:dyDescent="0.2">
      <c r="B3863" s="2">
        <v>41708</v>
      </c>
      <c r="C3863" s="61">
        <v>9265.5</v>
      </c>
      <c r="D3863" s="3">
        <f t="shared" si="63"/>
        <v>-9.1169157554207292E-3</v>
      </c>
    </row>
    <row r="3864" spans="2:4" x14ac:dyDescent="0.2">
      <c r="B3864" s="2">
        <v>41709</v>
      </c>
      <c r="C3864" s="61">
        <v>9307.7900000000009</v>
      </c>
      <c r="D3864" s="3">
        <f t="shared" si="63"/>
        <v>4.5642436997463953E-3</v>
      </c>
    </row>
    <row r="3865" spans="2:4" x14ac:dyDescent="0.2">
      <c r="B3865" s="2">
        <v>41710</v>
      </c>
      <c r="C3865" s="61">
        <v>9188.69</v>
      </c>
      <c r="D3865" s="3">
        <f t="shared" si="63"/>
        <v>-1.2795733466268611E-2</v>
      </c>
    </row>
    <row r="3866" spans="2:4" x14ac:dyDescent="0.2">
      <c r="B3866" s="2">
        <v>41711</v>
      </c>
      <c r="C3866" s="61">
        <v>9017.7900000000009</v>
      </c>
      <c r="D3866" s="3">
        <f t="shared" si="63"/>
        <v>-1.8598951537161401E-2</v>
      </c>
    </row>
    <row r="3867" spans="2:4" x14ac:dyDescent="0.2">
      <c r="B3867" s="2">
        <v>41712</v>
      </c>
      <c r="C3867" s="61">
        <v>9056.41</v>
      </c>
      <c r="D3867" s="3">
        <f t="shared" si="63"/>
        <v>4.2826457480158453E-3</v>
      </c>
    </row>
    <row r="3868" spans="2:4" x14ac:dyDescent="0.2">
      <c r="B3868" s="2">
        <v>41715</v>
      </c>
      <c r="C3868" s="61">
        <v>9180.89</v>
      </c>
      <c r="D3868" s="3">
        <f t="shared" si="63"/>
        <v>1.3744960751556068E-2</v>
      </c>
    </row>
    <row r="3869" spans="2:4" x14ac:dyDescent="0.2">
      <c r="B3869" s="2">
        <v>41716</v>
      </c>
      <c r="C3869" s="61">
        <v>9242.5499999999993</v>
      </c>
      <c r="D3869" s="3">
        <f t="shared" si="63"/>
        <v>6.7161244715925328E-3</v>
      </c>
    </row>
    <row r="3870" spans="2:4" x14ac:dyDescent="0.2">
      <c r="B3870" s="2">
        <v>41717</v>
      </c>
      <c r="C3870" s="61">
        <v>9277.0499999999993</v>
      </c>
      <c r="D3870" s="3">
        <f t="shared" si="63"/>
        <v>3.7327360955581312E-3</v>
      </c>
    </row>
    <row r="3871" spans="2:4" x14ac:dyDescent="0.2">
      <c r="B3871" s="2">
        <v>41718</v>
      </c>
      <c r="C3871" s="61">
        <v>9296.1200000000008</v>
      </c>
      <c r="D3871" s="3">
        <f t="shared" si="63"/>
        <v>2.0556103502731293E-3</v>
      </c>
    </row>
    <row r="3872" spans="2:4" x14ac:dyDescent="0.2">
      <c r="B3872" s="2">
        <v>41719</v>
      </c>
      <c r="C3872" s="61">
        <v>9342.94</v>
      </c>
      <c r="D3872" s="3">
        <f t="shared" si="63"/>
        <v>5.0365098557247912E-3</v>
      </c>
    </row>
    <row r="3873" spans="2:4" x14ac:dyDescent="0.2">
      <c r="B3873" s="2">
        <v>41722</v>
      </c>
      <c r="C3873" s="61">
        <v>9188.77</v>
      </c>
      <c r="D3873" s="3">
        <f t="shared" si="63"/>
        <v>-1.6501229805607198E-2</v>
      </c>
    </row>
    <row r="3874" spans="2:4" x14ac:dyDescent="0.2">
      <c r="B3874" s="2">
        <v>41723</v>
      </c>
      <c r="C3874" s="61">
        <v>9338.4</v>
      </c>
      <c r="D3874" s="3">
        <f t="shared" si="63"/>
        <v>1.6284007543991175E-2</v>
      </c>
    </row>
    <row r="3875" spans="2:4" x14ac:dyDescent="0.2">
      <c r="B3875" s="2">
        <v>41724</v>
      </c>
      <c r="C3875" s="61">
        <v>9448.58</v>
      </c>
      <c r="D3875" s="3">
        <f t="shared" si="63"/>
        <v>1.1798595048402305E-2</v>
      </c>
    </row>
    <row r="3876" spans="2:4" x14ac:dyDescent="0.2">
      <c r="B3876" s="2">
        <v>41725</v>
      </c>
      <c r="C3876" s="61">
        <v>9451.2099999999991</v>
      </c>
      <c r="D3876" s="3">
        <f t="shared" si="63"/>
        <v>2.7834870424969793E-4</v>
      </c>
    </row>
    <row r="3877" spans="2:4" x14ac:dyDescent="0.2">
      <c r="B3877" s="2">
        <v>41726</v>
      </c>
      <c r="C3877" s="61">
        <v>9587.19</v>
      </c>
      <c r="D3877" s="3">
        <f t="shared" si="63"/>
        <v>1.4387575770721472E-2</v>
      </c>
    </row>
    <row r="3878" spans="2:4" x14ac:dyDescent="0.2">
      <c r="B3878" s="2">
        <v>41729</v>
      </c>
      <c r="C3878" s="61">
        <v>9555.91</v>
      </c>
      <c r="D3878" s="3">
        <f t="shared" si="63"/>
        <v>-3.2626869812740766E-3</v>
      </c>
    </row>
    <row r="3879" spans="2:4" x14ac:dyDescent="0.2">
      <c r="B3879" s="2">
        <v>41730</v>
      </c>
      <c r="C3879" s="61">
        <v>9603.7099999999991</v>
      </c>
      <c r="D3879" s="3">
        <f t="shared" si="63"/>
        <v>5.0021400368984725E-3</v>
      </c>
    </row>
    <row r="3880" spans="2:4" x14ac:dyDescent="0.2">
      <c r="B3880" s="2">
        <v>41731</v>
      </c>
      <c r="C3880" s="61">
        <v>9623.36</v>
      </c>
      <c r="D3880" s="3">
        <f t="shared" si="63"/>
        <v>2.046084273681803E-3</v>
      </c>
    </row>
    <row r="3881" spans="2:4" x14ac:dyDescent="0.2">
      <c r="B3881" s="2">
        <v>41732</v>
      </c>
      <c r="C3881" s="61">
        <v>9628.82</v>
      </c>
      <c r="D3881" s="3">
        <f t="shared" si="63"/>
        <v>5.6736940112389611E-4</v>
      </c>
    </row>
    <row r="3882" spans="2:4" x14ac:dyDescent="0.2">
      <c r="B3882" s="2">
        <v>41733</v>
      </c>
      <c r="C3882" s="61">
        <v>9695.77</v>
      </c>
      <c r="D3882" s="3">
        <f t="shared" si="63"/>
        <v>6.9530845939587138E-3</v>
      </c>
    </row>
    <row r="3883" spans="2:4" x14ac:dyDescent="0.2">
      <c r="B3883" s="2">
        <v>41736</v>
      </c>
      <c r="C3883" s="61">
        <v>9510.85</v>
      </c>
      <c r="D3883" s="3">
        <f t="shared" si="63"/>
        <v>-1.907223459302354E-2</v>
      </c>
    </row>
    <row r="3884" spans="2:4" x14ac:dyDescent="0.2">
      <c r="B3884" s="2">
        <v>41737</v>
      </c>
      <c r="C3884" s="61">
        <v>9490.7900000000009</v>
      </c>
      <c r="D3884" s="3">
        <f t="shared" si="63"/>
        <v>-2.1091700531498114E-3</v>
      </c>
    </row>
    <row r="3885" spans="2:4" x14ac:dyDescent="0.2">
      <c r="B3885" s="2">
        <v>41738</v>
      </c>
      <c r="C3885" s="61">
        <v>9506.35</v>
      </c>
      <c r="D3885" s="3">
        <f t="shared" si="63"/>
        <v>1.6394841736040444E-3</v>
      </c>
    </row>
    <row r="3886" spans="2:4" x14ac:dyDescent="0.2">
      <c r="B3886" s="2">
        <v>41739</v>
      </c>
      <c r="C3886" s="61">
        <v>9454.5400000000009</v>
      </c>
      <c r="D3886" s="3">
        <f t="shared" si="63"/>
        <v>-5.4500412881914873E-3</v>
      </c>
    </row>
    <row r="3887" spans="2:4" x14ac:dyDescent="0.2">
      <c r="B3887" s="2">
        <v>41740</v>
      </c>
      <c r="C3887" s="61">
        <v>9315.2900000000009</v>
      </c>
      <c r="D3887" s="3">
        <f t="shared" si="63"/>
        <v>-1.4728373881754186E-2</v>
      </c>
    </row>
    <row r="3888" spans="2:4" x14ac:dyDescent="0.2">
      <c r="B3888" s="2">
        <v>41743</v>
      </c>
      <c r="C3888" s="61">
        <v>9339.17</v>
      </c>
      <c r="D3888" s="3">
        <f t="shared" si="63"/>
        <v>2.5635272761233008E-3</v>
      </c>
    </row>
    <row r="3889" spans="2:4" x14ac:dyDescent="0.2">
      <c r="B3889" s="2">
        <v>41744</v>
      </c>
      <c r="C3889" s="61">
        <v>9173.7099999999991</v>
      </c>
      <c r="D3889" s="3">
        <f t="shared" si="63"/>
        <v>-1.7716777829293262E-2</v>
      </c>
    </row>
    <row r="3890" spans="2:4" x14ac:dyDescent="0.2">
      <c r="B3890" s="2">
        <v>41745</v>
      </c>
      <c r="C3890" s="61">
        <v>9317.82</v>
      </c>
      <c r="D3890" s="3">
        <f t="shared" si="63"/>
        <v>1.5709020668846163E-2</v>
      </c>
    </row>
    <row r="3891" spans="2:4" x14ac:dyDescent="0.2">
      <c r="B3891" s="2">
        <v>41746</v>
      </c>
      <c r="C3891" s="61">
        <v>9409.7099999999991</v>
      </c>
      <c r="D3891" s="3">
        <f t="shared" si="63"/>
        <v>9.8617487781476054E-3</v>
      </c>
    </row>
    <row r="3892" spans="2:4" x14ac:dyDescent="0.2">
      <c r="B3892" s="2">
        <v>41751</v>
      </c>
      <c r="C3892" s="61">
        <v>9600.09</v>
      </c>
      <c r="D3892" s="3">
        <f t="shared" si="63"/>
        <v>2.023229196223908E-2</v>
      </c>
    </row>
    <row r="3893" spans="2:4" x14ac:dyDescent="0.2">
      <c r="B3893" s="2">
        <v>41752</v>
      </c>
      <c r="C3893" s="61">
        <v>9544.19</v>
      </c>
      <c r="D3893" s="3">
        <f t="shared" si="63"/>
        <v>-5.8228620773346229E-3</v>
      </c>
    </row>
    <row r="3894" spans="2:4" x14ac:dyDescent="0.2">
      <c r="B3894" s="2">
        <v>41753</v>
      </c>
      <c r="C3894" s="61">
        <v>9548.68</v>
      </c>
      <c r="D3894" s="3">
        <f t="shared" si="63"/>
        <v>4.7044327491385651E-4</v>
      </c>
    </row>
    <row r="3895" spans="2:4" x14ac:dyDescent="0.2">
      <c r="B3895" s="2">
        <v>41754</v>
      </c>
      <c r="C3895" s="61">
        <v>9401.5499999999993</v>
      </c>
      <c r="D3895" s="3">
        <f t="shared" si="63"/>
        <v>-1.5408412471671573E-2</v>
      </c>
    </row>
    <row r="3896" spans="2:4" x14ac:dyDescent="0.2">
      <c r="B3896" s="2">
        <v>41757</v>
      </c>
      <c r="C3896" s="61">
        <v>9446.36</v>
      </c>
      <c r="D3896" s="3">
        <f t="shared" si="63"/>
        <v>4.766235354808579E-3</v>
      </c>
    </row>
    <row r="3897" spans="2:4" x14ac:dyDescent="0.2">
      <c r="B3897" s="2">
        <v>41758</v>
      </c>
      <c r="C3897" s="61">
        <v>9584.1200000000008</v>
      </c>
      <c r="D3897" s="3">
        <f t="shared" si="63"/>
        <v>1.4583395085514539E-2</v>
      </c>
    </row>
    <row r="3898" spans="2:4" x14ac:dyDescent="0.2">
      <c r="B3898" s="2">
        <v>41759</v>
      </c>
      <c r="C3898" s="61">
        <v>9603.23</v>
      </c>
      <c r="D3898" s="3">
        <f t="shared" si="63"/>
        <v>1.9939232814278895E-3</v>
      </c>
    </row>
    <row r="3899" spans="2:4" x14ac:dyDescent="0.2">
      <c r="B3899" s="2">
        <v>41761</v>
      </c>
      <c r="C3899" s="61">
        <v>9556.02</v>
      </c>
      <c r="D3899" s="3">
        <f t="shared" si="63"/>
        <v>-4.9160542859015832E-3</v>
      </c>
    </row>
    <row r="3900" spans="2:4" x14ac:dyDescent="0.2">
      <c r="B3900" s="2">
        <v>41764</v>
      </c>
      <c r="C3900" s="61">
        <v>9529.5</v>
      </c>
      <c r="D3900" s="3">
        <f t="shared" si="63"/>
        <v>-2.7752139489034544E-3</v>
      </c>
    </row>
    <row r="3901" spans="2:4" x14ac:dyDescent="0.2">
      <c r="B3901" s="2">
        <v>41765</v>
      </c>
      <c r="C3901" s="61">
        <v>9467.5300000000007</v>
      </c>
      <c r="D3901" s="3">
        <f t="shared" si="63"/>
        <v>-6.5029644787238938E-3</v>
      </c>
    </row>
    <row r="3902" spans="2:4" x14ac:dyDescent="0.2">
      <c r="B3902" s="2">
        <v>41766</v>
      </c>
      <c r="C3902" s="61">
        <v>9521.2999999999993</v>
      </c>
      <c r="D3902" s="3">
        <f t="shared" si="63"/>
        <v>5.6794116311222886E-3</v>
      </c>
    </row>
    <row r="3903" spans="2:4" x14ac:dyDescent="0.2">
      <c r="B3903" s="2">
        <v>41767</v>
      </c>
      <c r="C3903" s="61">
        <v>9607.4</v>
      </c>
      <c r="D3903" s="3">
        <f t="shared" si="63"/>
        <v>9.0428827996178462E-3</v>
      </c>
    </row>
    <row r="3904" spans="2:4" x14ac:dyDescent="0.2">
      <c r="B3904" s="2">
        <v>41768</v>
      </c>
      <c r="C3904" s="61">
        <v>9581.4500000000007</v>
      </c>
      <c r="D3904" s="3">
        <f t="shared" si="63"/>
        <v>-2.7010429460623264E-3</v>
      </c>
    </row>
    <row r="3905" spans="2:4" x14ac:dyDescent="0.2">
      <c r="B3905" s="2">
        <v>41771</v>
      </c>
      <c r="C3905" s="61">
        <v>9702.4599999999991</v>
      </c>
      <c r="D3905" s="3">
        <f t="shared" si="63"/>
        <v>1.262961242818128E-2</v>
      </c>
    </row>
    <row r="3906" spans="2:4" x14ac:dyDescent="0.2">
      <c r="B3906" s="2">
        <v>41772</v>
      </c>
      <c r="C3906" s="61">
        <v>9754.43</v>
      </c>
      <c r="D3906" s="3">
        <f t="shared" si="63"/>
        <v>5.356373538257353E-3</v>
      </c>
    </row>
    <row r="3907" spans="2:4" x14ac:dyDescent="0.2">
      <c r="B3907" s="2">
        <v>41773</v>
      </c>
      <c r="C3907" s="61">
        <v>9754.39</v>
      </c>
      <c r="D3907" s="3">
        <f t="shared" si="63"/>
        <v>-4.1007009123905647E-6</v>
      </c>
    </row>
    <row r="3908" spans="2:4" x14ac:dyDescent="0.2">
      <c r="B3908" s="2">
        <v>41774</v>
      </c>
      <c r="C3908" s="61">
        <v>9656.0499999999993</v>
      </c>
      <c r="D3908" s="3">
        <f t="shared" si="63"/>
        <v>-1.0081614534583894E-2</v>
      </c>
    </row>
    <row r="3909" spans="2:4" x14ac:dyDescent="0.2">
      <c r="B3909" s="2">
        <v>41775</v>
      </c>
      <c r="C3909" s="61">
        <v>9629.1</v>
      </c>
      <c r="D3909" s="3">
        <f t="shared" ref="D3909:D3972" si="64">C3909/C3908-1</f>
        <v>-2.7909963183702091E-3</v>
      </c>
    </row>
    <row r="3910" spans="2:4" x14ac:dyDescent="0.2">
      <c r="B3910" s="2">
        <v>41778</v>
      </c>
      <c r="C3910" s="61">
        <v>9659.39</v>
      </c>
      <c r="D3910" s="3">
        <f t="shared" si="64"/>
        <v>3.1456730120156262E-3</v>
      </c>
    </row>
    <row r="3911" spans="2:4" x14ac:dyDescent="0.2">
      <c r="B3911" s="2">
        <v>41779</v>
      </c>
      <c r="C3911" s="61">
        <v>9639.08</v>
      </c>
      <c r="D3911" s="3">
        <f t="shared" si="64"/>
        <v>-2.1026172460165693E-3</v>
      </c>
    </row>
    <row r="3912" spans="2:4" x14ac:dyDescent="0.2">
      <c r="B3912" s="2">
        <v>41780</v>
      </c>
      <c r="C3912" s="61">
        <v>9697.8700000000008</v>
      </c>
      <c r="D3912" s="3">
        <f t="shared" si="64"/>
        <v>6.0991297924699595E-3</v>
      </c>
    </row>
    <row r="3913" spans="2:4" x14ac:dyDescent="0.2">
      <c r="B3913" s="2">
        <v>41781</v>
      </c>
      <c r="C3913" s="61">
        <v>9720.91</v>
      </c>
      <c r="D3913" s="3">
        <f t="shared" si="64"/>
        <v>2.3757794237291296E-3</v>
      </c>
    </row>
    <row r="3914" spans="2:4" x14ac:dyDescent="0.2">
      <c r="B3914" s="2">
        <v>41782</v>
      </c>
      <c r="C3914" s="61">
        <v>9768.01</v>
      </c>
      <c r="D3914" s="3">
        <f t="shared" si="64"/>
        <v>4.8452253955648672E-3</v>
      </c>
    </row>
    <row r="3915" spans="2:4" x14ac:dyDescent="0.2">
      <c r="B3915" s="2">
        <v>41785</v>
      </c>
      <c r="C3915" s="61">
        <v>9892.82</v>
      </c>
      <c r="D3915" s="3">
        <f t="shared" si="64"/>
        <v>1.2777423446536096E-2</v>
      </c>
    </row>
    <row r="3916" spans="2:4" x14ac:dyDescent="0.2">
      <c r="B3916" s="2">
        <v>41786</v>
      </c>
      <c r="C3916" s="61">
        <v>9940.82</v>
      </c>
      <c r="D3916" s="3">
        <f t="shared" si="64"/>
        <v>4.8520037764763213E-3</v>
      </c>
    </row>
    <row r="3917" spans="2:4" x14ac:dyDescent="0.2">
      <c r="B3917" s="2">
        <v>41787</v>
      </c>
      <c r="C3917" s="61">
        <v>9939.17</v>
      </c>
      <c r="D3917" s="3">
        <f t="shared" si="64"/>
        <v>-1.6598228315167773E-4</v>
      </c>
    </row>
    <row r="3918" spans="2:4" x14ac:dyDescent="0.2">
      <c r="B3918" s="2">
        <v>41788</v>
      </c>
      <c r="C3918" s="61">
        <v>9938.9</v>
      </c>
      <c r="D3918" s="3">
        <f t="shared" si="64"/>
        <v>-2.7165246192617509E-5</v>
      </c>
    </row>
    <row r="3919" spans="2:4" x14ac:dyDescent="0.2">
      <c r="B3919" s="2">
        <v>41789</v>
      </c>
      <c r="C3919" s="61">
        <v>9943.27</v>
      </c>
      <c r="D3919" s="3">
        <f t="shared" si="64"/>
        <v>4.3968648441983227E-4</v>
      </c>
    </row>
    <row r="3920" spans="2:4" x14ac:dyDescent="0.2">
      <c r="B3920" s="2">
        <v>41792</v>
      </c>
      <c r="C3920" s="61">
        <v>9950.1200000000008</v>
      </c>
      <c r="D3920" s="3">
        <f t="shared" si="64"/>
        <v>6.8890817608302513E-4</v>
      </c>
    </row>
    <row r="3921" spans="2:4" x14ac:dyDescent="0.2">
      <c r="B3921" s="2">
        <v>41793</v>
      </c>
      <c r="C3921" s="61">
        <v>9919.74</v>
      </c>
      <c r="D3921" s="3">
        <f t="shared" si="64"/>
        <v>-3.0532295087899453E-3</v>
      </c>
    </row>
    <row r="3922" spans="2:4" x14ac:dyDescent="0.2">
      <c r="B3922" s="2">
        <v>41794</v>
      </c>
      <c r="C3922" s="61">
        <v>9926.67</v>
      </c>
      <c r="D3922" s="3">
        <f t="shared" si="64"/>
        <v>6.9860701994217678E-4</v>
      </c>
    </row>
    <row r="3923" spans="2:4" x14ac:dyDescent="0.2">
      <c r="B3923" s="2">
        <v>41795</v>
      </c>
      <c r="C3923" s="61">
        <v>9947.83</v>
      </c>
      <c r="D3923" s="3">
        <f t="shared" si="64"/>
        <v>2.1316312519705782E-3</v>
      </c>
    </row>
    <row r="3924" spans="2:4" x14ac:dyDescent="0.2">
      <c r="B3924" s="2">
        <v>41796</v>
      </c>
      <c r="C3924" s="61">
        <v>9987.19</v>
      </c>
      <c r="D3924" s="3">
        <f t="shared" si="64"/>
        <v>3.9566418002721093E-3</v>
      </c>
    </row>
    <row r="3925" spans="2:4" x14ac:dyDescent="0.2">
      <c r="B3925" s="2">
        <v>41799</v>
      </c>
      <c r="C3925" s="61">
        <v>10008.629999999999</v>
      </c>
      <c r="D3925" s="3">
        <f t="shared" si="64"/>
        <v>2.1467499867329209E-3</v>
      </c>
    </row>
    <row r="3926" spans="2:4" x14ac:dyDescent="0.2">
      <c r="B3926" s="2">
        <v>41800</v>
      </c>
      <c r="C3926" s="61">
        <v>10028.799999999999</v>
      </c>
      <c r="D3926" s="3">
        <f t="shared" si="64"/>
        <v>2.0152608299037755E-3</v>
      </c>
    </row>
    <row r="3927" spans="2:4" x14ac:dyDescent="0.2">
      <c r="B3927" s="2">
        <v>41801</v>
      </c>
      <c r="C3927" s="61">
        <v>9949.81</v>
      </c>
      <c r="D3927" s="3">
        <f t="shared" si="64"/>
        <v>-7.876316209317169E-3</v>
      </c>
    </row>
    <row r="3928" spans="2:4" x14ac:dyDescent="0.2">
      <c r="B3928" s="2">
        <v>41802</v>
      </c>
      <c r="C3928" s="61">
        <v>9938.7000000000007</v>
      </c>
      <c r="D3928" s="3">
        <f t="shared" si="64"/>
        <v>-1.1166042366637097E-3</v>
      </c>
    </row>
    <row r="3929" spans="2:4" x14ac:dyDescent="0.2">
      <c r="B3929" s="2">
        <v>41803</v>
      </c>
      <c r="C3929" s="61">
        <v>9912.8700000000008</v>
      </c>
      <c r="D3929" s="3">
        <f t="shared" si="64"/>
        <v>-2.5989314497871785E-3</v>
      </c>
    </row>
    <row r="3930" spans="2:4" x14ac:dyDescent="0.2">
      <c r="B3930" s="2">
        <v>41806</v>
      </c>
      <c r="C3930" s="61">
        <v>9883.98</v>
      </c>
      <c r="D3930" s="3">
        <f t="shared" si="64"/>
        <v>-2.9143931071426987E-3</v>
      </c>
    </row>
    <row r="3931" spans="2:4" x14ac:dyDescent="0.2">
      <c r="B3931" s="2">
        <v>41807</v>
      </c>
      <c r="C3931" s="61">
        <v>9920.32</v>
      </c>
      <c r="D3931" s="3">
        <f t="shared" si="64"/>
        <v>3.676656569519654E-3</v>
      </c>
    </row>
    <row r="3932" spans="2:4" x14ac:dyDescent="0.2">
      <c r="B3932" s="2">
        <v>41808</v>
      </c>
      <c r="C3932" s="61">
        <v>9930.33</v>
      </c>
      <c r="D3932" s="3">
        <f t="shared" si="64"/>
        <v>1.0090400309668013E-3</v>
      </c>
    </row>
    <row r="3933" spans="2:4" x14ac:dyDescent="0.2">
      <c r="B3933" s="2">
        <v>41809</v>
      </c>
      <c r="C3933" s="61">
        <v>10004</v>
      </c>
      <c r="D3933" s="3">
        <f t="shared" si="64"/>
        <v>7.41868598525941E-3</v>
      </c>
    </row>
    <row r="3934" spans="2:4" x14ac:dyDescent="0.2">
      <c r="B3934" s="2">
        <v>41810</v>
      </c>
      <c r="C3934" s="61">
        <v>9987.24</v>
      </c>
      <c r="D3934" s="3">
        <f t="shared" si="64"/>
        <v>-1.675329868052855E-3</v>
      </c>
    </row>
    <row r="3935" spans="2:4" x14ac:dyDescent="0.2">
      <c r="B3935" s="2">
        <v>41813</v>
      </c>
      <c r="C3935" s="61">
        <v>9920.92</v>
      </c>
      <c r="D3935" s="3">
        <f t="shared" si="64"/>
        <v>-6.6404732438591907E-3</v>
      </c>
    </row>
    <row r="3936" spans="2:4" x14ac:dyDescent="0.2">
      <c r="B3936" s="2">
        <v>41814</v>
      </c>
      <c r="C3936" s="61">
        <v>9938.08</v>
      </c>
      <c r="D3936" s="3">
        <f t="shared" si="64"/>
        <v>1.7296782959643764E-3</v>
      </c>
    </row>
    <row r="3937" spans="2:4" x14ac:dyDescent="0.2">
      <c r="B3937" s="2">
        <v>41815</v>
      </c>
      <c r="C3937" s="61">
        <v>9867.75</v>
      </c>
      <c r="D3937" s="3">
        <f t="shared" si="64"/>
        <v>-7.0768196673803851E-3</v>
      </c>
    </row>
    <row r="3938" spans="2:4" x14ac:dyDescent="0.2">
      <c r="B3938" s="2">
        <v>41816</v>
      </c>
      <c r="C3938" s="61">
        <v>9804.9</v>
      </c>
      <c r="D3938" s="3">
        <f t="shared" si="64"/>
        <v>-6.3692331078514242E-3</v>
      </c>
    </row>
    <row r="3939" spans="2:4" x14ac:dyDescent="0.2">
      <c r="B3939" s="2">
        <v>41817</v>
      </c>
      <c r="C3939" s="61">
        <v>9815.17</v>
      </c>
      <c r="D3939" s="3">
        <f t="shared" si="64"/>
        <v>1.0474354659404383E-3</v>
      </c>
    </row>
    <row r="3940" spans="2:4" x14ac:dyDescent="0.2">
      <c r="B3940" s="2">
        <v>41820</v>
      </c>
      <c r="C3940" s="61">
        <v>9833.07</v>
      </c>
      <c r="D3940" s="3">
        <f t="shared" si="64"/>
        <v>1.8237075873366315E-3</v>
      </c>
    </row>
    <row r="3941" spans="2:4" x14ac:dyDescent="0.2">
      <c r="B3941" s="2">
        <v>41821</v>
      </c>
      <c r="C3941" s="61">
        <v>9902.41</v>
      </c>
      <c r="D3941" s="3">
        <f t="shared" si="64"/>
        <v>7.0517142662465115E-3</v>
      </c>
    </row>
    <row r="3942" spans="2:4" x14ac:dyDescent="0.2">
      <c r="B3942" s="2">
        <v>41822</v>
      </c>
      <c r="C3942" s="61">
        <v>9911.27</v>
      </c>
      <c r="D3942" s="3">
        <f t="shared" si="64"/>
        <v>8.9473168652887125E-4</v>
      </c>
    </row>
    <row r="3943" spans="2:4" x14ac:dyDescent="0.2">
      <c r="B3943" s="2">
        <v>41823</v>
      </c>
      <c r="C3943" s="61">
        <v>10029.43</v>
      </c>
      <c r="D3943" s="3">
        <f t="shared" si="64"/>
        <v>1.1921781971432566E-2</v>
      </c>
    </row>
    <row r="3944" spans="2:4" x14ac:dyDescent="0.2">
      <c r="B3944" s="2">
        <v>41824</v>
      </c>
      <c r="C3944" s="61">
        <v>10009.08</v>
      </c>
      <c r="D3944" s="3">
        <f t="shared" si="64"/>
        <v>-2.0290285689217313E-3</v>
      </c>
    </row>
    <row r="3945" spans="2:4" x14ac:dyDescent="0.2">
      <c r="B3945" s="2">
        <v>41827</v>
      </c>
      <c r="C3945" s="61">
        <v>9906.07</v>
      </c>
      <c r="D3945" s="3">
        <f t="shared" si="64"/>
        <v>-1.0291655177099179E-2</v>
      </c>
    </row>
    <row r="3946" spans="2:4" x14ac:dyDescent="0.2">
      <c r="B3946" s="2">
        <v>41828</v>
      </c>
      <c r="C3946" s="61">
        <v>9772.67</v>
      </c>
      <c r="D3946" s="3">
        <f t="shared" si="64"/>
        <v>-1.3466490747592097E-2</v>
      </c>
    </row>
    <row r="3947" spans="2:4" x14ac:dyDescent="0.2">
      <c r="B3947" s="2">
        <v>41829</v>
      </c>
      <c r="C3947" s="61">
        <v>9808.2000000000007</v>
      </c>
      <c r="D3947" s="3">
        <f t="shared" si="64"/>
        <v>3.6356492135722895E-3</v>
      </c>
    </row>
    <row r="3948" spans="2:4" x14ac:dyDescent="0.2">
      <c r="B3948" s="2">
        <v>41830</v>
      </c>
      <c r="C3948" s="61">
        <v>9659.1299999999992</v>
      </c>
      <c r="D3948" s="3">
        <f t="shared" si="64"/>
        <v>-1.5198507371383285E-2</v>
      </c>
    </row>
    <row r="3949" spans="2:4" x14ac:dyDescent="0.2">
      <c r="B3949" s="2">
        <v>41831</v>
      </c>
      <c r="C3949" s="61">
        <v>9666.34</v>
      </c>
      <c r="D3949" s="3">
        <f t="shared" si="64"/>
        <v>7.4644403792079039E-4</v>
      </c>
    </row>
    <row r="3950" spans="2:4" x14ac:dyDescent="0.2">
      <c r="B3950" s="2">
        <v>41834</v>
      </c>
      <c r="C3950" s="61">
        <v>9783.01</v>
      </c>
      <c r="D3950" s="3">
        <f t="shared" si="64"/>
        <v>1.2069718218064018E-2</v>
      </c>
    </row>
    <row r="3951" spans="2:4" x14ac:dyDescent="0.2">
      <c r="B3951" s="2">
        <v>41835</v>
      </c>
      <c r="C3951" s="61">
        <v>9719.41</v>
      </c>
      <c r="D3951" s="3">
        <f t="shared" si="64"/>
        <v>-6.5010666451327248E-3</v>
      </c>
    </row>
    <row r="3952" spans="2:4" x14ac:dyDescent="0.2">
      <c r="B3952" s="2">
        <v>41836</v>
      </c>
      <c r="C3952" s="61">
        <v>9859.27</v>
      </c>
      <c r="D3952" s="3">
        <f t="shared" si="64"/>
        <v>1.4389762341541434E-2</v>
      </c>
    </row>
    <row r="3953" spans="2:4" x14ac:dyDescent="0.2">
      <c r="B3953" s="2">
        <v>41837</v>
      </c>
      <c r="C3953" s="61">
        <v>9753.8799999999992</v>
      </c>
      <c r="D3953" s="3">
        <f t="shared" si="64"/>
        <v>-1.0689432381910779E-2</v>
      </c>
    </row>
    <row r="3954" spans="2:4" x14ac:dyDescent="0.2">
      <c r="B3954" s="2">
        <v>41838</v>
      </c>
      <c r="C3954" s="61">
        <v>9720.02</v>
      </c>
      <c r="D3954" s="3">
        <f t="shared" si="64"/>
        <v>-3.4714390580977694E-3</v>
      </c>
    </row>
    <row r="3955" spans="2:4" x14ac:dyDescent="0.2">
      <c r="B3955" s="2">
        <v>41841</v>
      </c>
      <c r="C3955" s="61">
        <v>9612.0499999999993</v>
      </c>
      <c r="D3955" s="3">
        <f t="shared" si="64"/>
        <v>-1.1108001835387293E-2</v>
      </c>
    </row>
    <row r="3956" spans="2:4" x14ac:dyDescent="0.2">
      <c r="B3956" s="2">
        <v>41842</v>
      </c>
      <c r="C3956" s="61">
        <v>9734.33</v>
      </c>
      <c r="D3956" s="3">
        <f t="shared" si="64"/>
        <v>1.2721531827237786E-2</v>
      </c>
    </row>
    <row r="3957" spans="2:4" x14ac:dyDescent="0.2">
      <c r="B3957" s="2">
        <v>41843</v>
      </c>
      <c r="C3957" s="61">
        <v>9753.56</v>
      </c>
      <c r="D3957" s="3">
        <f t="shared" si="64"/>
        <v>1.9754826474960296E-3</v>
      </c>
    </row>
    <row r="3958" spans="2:4" x14ac:dyDescent="0.2">
      <c r="B3958" s="2">
        <v>41844</v>
      </c>
      <c r="C3958" s="61">
        <v>9794.06</v>
      </c>
      <c r="D3958" s="3">
        <f t="shared" si="64"/>
        <v>4.1523300210384306E-3</v>
      </c>
    </row>
    <row r="3959" spans="2:4" x14ac:dyDescent="0.2">
      <c r="B3959" s="2">
        <v>41845</v>
      </c>
      <c r="C3959" s="61">
        <v>9644.01</v>
      </c>
      <c r="D3959" s="3">
        <f t="shared" si="64"/>
        <v>-1.5320510595197456E-2</v>
      </c>
    </row>
    <row r="3960" spans="2:4" x14ac:dyDescent="0.2">
      <c r="B3960" s="2">
        <v>41848</v>
      </c>
      <c r="C3960" s="61">
        <v>9598.17</v>
      </c>
      <c r="D3960" s="3">
        <f t="shared" si="64"/>
        <v>-4.7532095051747714E-3</v>
      </c>
    </row>
    <row r="3961" spans="2:4" x14ac:dyDescent="0.2">
      <c r="B3961" s="2">
        <v>41849</v>
      </c>
      <c r="C3961" s="61">
        <v>9653.6299999999992</v>
      </c>
      <c r="D3961" s="3">
        <f t="shared" si="64"/>
        <v>5.7781847998106262E-3</v>
      </c>
    </row>
    <row r="3962" spans="2:4" x14ac:dyDescent="0.2">
      <c r="B3962" s="2">
        <v>41850</v>
      </c>
      <c r="C3962" s="61">
        <v>9593.68</v>
      </c>
      <c r="D3962" s="3">
        <f t="shared" si="64"/>
        <v>-6.2100992062051885E-3</v>
      </c>
    </row>
    <row r="3963" spans="2:4" x14ac:dyDescent="0.2">
      <c r="B3963" s="2">
        <v>41851</v>
      </c>
      <c r="C3963" s="61">
        <v>9407.48</v>
      </c>
      <c r="D3963" s="3">
        <f t="shared" si="64"/>
        <v>-1.9408610668690263E-2</v>
      </c>
    </row>
    <row r="3964" spans="2:4" x14ac:dyDescent="0.2">
      <c r="B3964" s="2">
        <v>41852</v>
      </c>
      <c r="C3964" s="61">
        <v>9210.08</v>
      </c>
      <c r="D3964" s="3">
        <f t="shared" si="64"/>
        <v>-2.0983302648530655E-2</v>
      </c>
    </row>
    <row r="3965" spans="2:4" x14ac:dyDescent="0.2">
      <c r="B3965" s="2">
        <v>41855</v>
      </c>
      <c r="C3965" s="61">
        <v>9154.14</v>
      </c>
      <c r="D3965" s="3">
        <f t="shared" si="64"/>
        <v>-6.0737800323125146E-3</v>
      </c>
    </row>
    <row r="3966" spans="2:4" x14ac:dyDescent="0.2">
      <c r="B3966" s="2">
        <v>41856</v>
      </c>
      <c r="C3966" s="61">
        <v>9189.74</v>
      </c>
      <c r="D3966" s="3">
        <f t="shared" si="64"/>
        <v>3.8889507916637367E-3</v>
      </c>
    </row>
    <row r="3967" spans="2:4" x14ac:dyDescent="0.2">
      <c r="B3967" s="2">
        <v>41857</v>
      </c>
      <c r="C3967" s="61">
        <v>9130.0400000000009</v>
      </c>
      <c r="D3967" s="3">
        <f t="shared" si="64"/>
        <v>-6.4963753055036211E-3</v>
      </c>
    </row>
    <row r="3968" spans="2:4" x14ac:dyDescent="0.2">
      <c r="B3968" s="2">
        <v>41858</v>
      </c>
      <c r="C3968" s="61">
        <v>9038.9699999999993</v>
      </c>
      <c r="D3968" s="3">
        <f t="shared" si="64"/>
        <v>-9.9747646231562737E-3</v>
      </c>
    </row>
    <row r="3969" spans="2:4" x14ac:dyDescent="0.2">
      <c r="B3969" s="2">
        <v>41859</v>
      </c>
      <c r="C3969" s="61">
        <v>9009.32</v>
      </c>
      <c r="D3969" s="3">
        <f t="shared" si="64"/>
        <v>-3.280241000910511E-3</v>
      </c>
    </row>
    <row r="3970" spans="2:4" x14ac:dyDescent="0.2">
      <c r="B3970" s="2">
        <v>41862</v>
      </c>
      <c r="C3970" s="61">
        <v>9180.74</v>
      </c>
      <c r="D3970" s="3">
        <f t="shared" si="64"/>
        <v>1.9026963189230806E-2</v>
      </c>
    </row>
    <row r="3971" spans="2:4" x14ac:dyDescent="0.2">
      <c r="B3971" s="2">
        <v>41863</v>
      </c>
      <c r="C3971" s="61">
        <v>9069.4699999999993</v>
      </c>
      <c r="D3971" s="3">
        <f t="shared" si="64"/>
        <v>-1.2119938044209966E-2</v>
      </c>
    </row>
    <row r="3972" spans="2:4" x14ac:dyDescent="0.2">
      <c r="B3972" s="2">
        <v>41864</v>
      </c>
      <c r="C3972" s="61">
        <v>9198.8799999999992</v>
      </c>
      <c r="D3972" s="3">
        <f t="shared" si="64"/>
        <v>1.4268749993108676E-2</v>
      </c>
    </row>
    <row r="3973" spans="2:4" x14ac:dyDescent="0.2">
      <c r="B3973" s="2">
        <v>41865</v>
      </c>
      <c r="C3973" s="61">
        <v>9225.1</v>
      </c>
      <c r="D3973" s="3">
        <f t="shared" ref="D3973:D4036" si="65">C3973/C3972-1</f>
        <v>2.8503469987652963E-3</v>
      </c>
    </row>
    <row r="3974" spans="2:4" x14ac:dyDescent="0.2">
      <c r="B3974" s="2">
        <v>41866</v>
      </c>
      <c r="C3974" s="61">
        <v>9092.6</v>
      </c>
      <c r="D3974" s="3">
        <f t="shared" si="65"/>
        <v>-1.4362987935090166E-2</v>
      </c>
    </row>
    <row r="3975" spans="2:4" x14ac:dyDescent="0.2">
      <c r="B3975" s="2">
        <v>41869</v>
      </c>
      <c r="C3975" s="61">
        <v>9245.33</v>
      </c>
      <c r="D3975" s="3">
        <f t="shared" si="65"/>
        <v>1.6797175725315139E-2</v>
      </c>
    </row>
    <row r="3976" spans="2:4" x14ac:dyDescent="0.2">
      <c r="B3976" s="2">
        <v>41870</v>
      </c>
      <c r="C3976" s="61">
        <v>9334.2800000000007</v>
      </c>
      <c r="D3976" s="3">
        <f t="shared" si="65"/>
        <v>9.6210735582180629E-3</v>
      </c>
    </row>
    <row r="3977" spans="2:4" x14ac:dyDescent="0.2">
      <c r="B3977" s="2">
        <v>41871</v>
      </c>
      <c r="C3977" s="61">
        <v>9314.57</v>
      </c>
      <c r="D3977" s="3">
        <f t="shared" si="65"/>
        <v>-2.1115715406009317E-3</v>
      </c>
    </row>
    <row r="3978" spans="2:4" x14ac:dyDescent="0.2">
      <c r="B3978" s="2">
        <v>41872</v>
      </c>
      <c r="C3978" s="61">
        <v>9401.5300000000007</v>
      </c>
      <c r="D3978" s="3">
        <f t="shared" si="65"/>
        <v>9.3359113732571775E-3</v>
      </c>
    </row>
    <row r="3979" spans="2:4" x14ac:dyDescent="0.2">
      <c r="B3979" s="2">
        <v>41873</v>
      </c>
      <c r="C3979" s="61">
        <v>9339.17</v>
      </c>
      <c r="D3979" s="3">
        <f t="shared" si="65"/>
        <v>-6.6329629326291606E-3</v>
      </c>
    </row>
    <row r="3980" spans="2:4" x14ac:dyDescent="0.2">
      <c r="B3980" s="2">
        <v>41876</v>
      </c>
      <c r="C3980" s="61">
        <v>9510.14</v>
      </c>
      <c r="D3980" s="3">
        <f t="shared" si="65"/>
        <v>1.8306766018821641E-2</v>
      </c>
    </row>
    <row r="3981" spans="2:4" x14ac:dyDescent="0.2">
      <c r="B3981" s="2">
        <v>41877</v>
      </c>
      <c r="C3981" s="61">
        <v>9588.15</v>
      </c>
      <c r="D3981" s="3">
        <f t="shared" si="65"/>
        <v>8.2028235125877202E-3</v>
      </c>
    </row>
    <row r="3982" spans="2:4" x14ac:dyDescent="0.2">
      <c r="B3982" s="2">
        <v>41878</v>
      </c>
      <c r="C3982" s="61">
        <v>9569.7099999999991</v>
      </c>
      <c r="D3982" s="3">
        <f t="shared" si="65"/>
        <v>-1.9232072923348609E-3</v>
      </c>
    </row>
    <row r="3983" spans="2:4" x14ac:dyDescent="0.2">
      <c r="B3983" s="2">
        <v>41879</v>
      </c>
      <c r="C3983" s="61">
        <v>9462.56</v>
      </c>
      <c r="D3983" s="3">
        <f t="shared" si="65"/>
        <v>-1.1196786527491343E-2</v>
      </c>
    </row>
    <row r="3984" spans="2:4" x14ac:dyDescent="0.2">
      <c r="B3984" s="2">
        <v>41880</v>
      </c>
      <c r="C3984" s="61">
        <v>9470.17</v>
      </c>
      <c r="D3984" s="3">
        <f t="shared" si="65"/>
        <v>8.0422211325492654E-4</v>
      </c>
    </row>
    <row r="3985" spans="2:4" x14ac:dyDescent="0.2">
      <c r="B3985" s="2">
        <v>41883</v>
      </c>
      <c r="C3985" s="61">
        <v>9479.0300000000007</v>
      </c>
      <c r="D3985" s="3">
        <f t="shared" si="65"/>
        <v>9.3556926644411398E-4</v>
      </c>
    </row>
    <row r="3986" spans="2:4" x14ac:dyDescent="0.2">
      <c r="B3986" s="2">
        <v>41884</v>
      </c>
      <c r="C3986" s="61">
        <v>9507.02</v>
      </c>
      <c r="D3986" s="3">
        <f t="shared" si="65"/>
        <v>2.9528337815156736E-3</v>
      </c>
    </row>
    <row r="3987" spans="2:4" x14ac:dyDescent="0.2">
      <c r="B3987" s="2">
        <v>41885</v>
      </c>
      <c r="C3987" s="61">
        <v>9626.49</v>
      </c>
      <c r="D3987" s="3">
        <f t="shared" si="65"/>
        <v>1.2566503489000791E-2</v>
      </c>
    </row>
    <row r="3988" spans="2:4" x14ac:dyDescent="0.2">
      <c r="B3988" s="2">
        <v>41886</v>
      </c>
      <c r="C3988" s="61">
        <v>9724.26</v>
      </c>
      <c r="D3988" s="3">
        <f t="shared" si="65"/>
        <v>1.0156349822209476E-2</v>
      </c>
    </row>
    <row r="3989" spans="2:4" x14ac:dyDescent="0.2">
      <c r="B3989" s="2">
        <v>41887</v>
      </c>
      <c r="C3989" s="61">
        <v>9747.02</v>
      </c>
      <c r="D3989" s="3">
        <f t="shared" si="65"/>
        <v>2.3405379946648264E-3</v>
      </c>
    </row>
    <row r="3990" spans="2:4" x14ac:dyDescent="0.2">
      <c r="B3990" s="2">
        <v>41890</v>
      </c>
      <c r="C3990" s="61">
        <v>9758.0300000000007</v>
      </c>
      <c r="D3990" s="3">
        <f t="shared" si="65"/>
        <v>1.1295760140022093E-3</v>
      </c>
    </row>
    <row r="3991" spans="2:4" x14ac:dyDescent="0.2">
      <c r="B3991" s="2">
        <v>41891</v>
      </c>
      <c r="C3991" s="61">
        <v>9710.7000000000007</v>
      </c>
      <c r="D3991" s="3">
        <f t="shared" si="65"/>
        <v>-4.8503642640983502E-3</v>
      </c>
    </row>
    <row r="3992" spans="2:4" x14ac:dyDescent="0.2">
      <c r="B3992" s="2">
        <v>41892</v>
      </c>
      <c r="C3992" s="61">
        <v>9700.17</v>
      </c>
      <c r="D3992" s="3">
        <f t="shared" si="65"/>
        <v>-1.0843708486515391E-3</v>
      </c>
    </row>
    <row r="3993" spans="2:4" x14ac:dyDescent="0.2">
      <c r="B3993" s="2">
        <v>41893</v>
      </c>
      <c r="C3993" s="61">
        <v>9691.2800000000007</v>
      </c>
      <c r="D3993" s="3">
        <f t="shared" si="65"/>
        <v>-9.1647878336142963E-4</v>
      </c>
    </row>
    <row r="3994" spans="2:4" x14ac:dyDescent="0.2">
      <c r="B3994" s="2">
        <v>41894</v>
      </c>
      <c r="C3994" s="61">
        <v>9651.1299999999992</v>
      </c>
      <c r="D3994" s="3">
        <f t="shared" si="65"/>
        <v>-4.1428995963382897E-3</v>
      </c>
    </row>
    <row r="3995" spans="2:4" x14ac:dyDescent="0.2">
      <c r="B3995" s="2">
        <v>41897</v>
      </c>
      <c r="C3995" s="61">
        <v>9659.6299999999992</v>
      </c>
      <c r="D3995" s="3">
        <f t="shared" si="65"/>
        <v>8.8072588391208129E-4</v>
      </c>
    </row>
    <row r="3996" spans="2:4" x14ac:dyDescent="0.2">
      <c r="B3996" s="2">
        <v>41898</v>
      </c>
      <c r="C3996" s="61">
        <v>9632.93</v>
      </c>
      <c r="D3996" s="3">
        <f t="shared" si="65"/>
        <v>-2.7640810258776627E-3</v>
      </c>
    </row>
    <row r="3997" spans="2:4" x14ac:dyDescent="0.2">
      <c r="B3997" s="2">
        <v>41899</v>
      </c>
      <c r="C3997" s="61">
        <v>9661.5</v>
      </c>
      <c r="D3997" s="3">
        <f t="shared" si="65"/>
        <v>2.9658681211219839E-3</v>
      </c>
    </row>
    <row r="3998" spans="2:4" x14ac:dyDescent="0.2">
      <c r="B3998" s="2">
        <v>41900</v>
      </c>
      <c r="C3998" s="61">
        <v>9798.1299999999992</v>
      </c>
      <c r="D3998" s="3">
        <f t="shared" si="65"/>
        <v>1.4141696423950689E-2</v>
      </c>
    </row>
    <row r="3999" spans="2:4" x14ac:dyDescent="0.2">
      <c r="B3999" s="2">
        <v>41901</v>
      </c>
      <c r="C3999" s="61">
        <v>9799.26</v>
      </c>
      <c r="D3999" s="3">
        <f t="shared" si="65"/>
        <v>1.1532812893899624E-4</v>
      </c>
    </row>
    <row r="4000" spans="2:4" x14ac:dyDescent="0.2">
      <c r="B4000" s="2">
        <v>41904</v>
      </c>
      <c r="C4000" s="61">
        <v>9749.5400000000009</v>
      </c>
      <c r="D4000" s="3">
        <f t="shared" si="65"/>
        <v>-5.0738525153939396E-3</v>
      </c>
    </row>
    <row r="4001" spans="2:4" x14ac:dyDescent="0.2">
      <c r="B4001" s="2">
        <v>41905</v>
      </c>
      <c r="C4001" s="61">
        <v>9595.0300000000007</v>
      </c>
      <c r="D4001" s="3">
        <f t="shared" si="65"/>
        <v>-1.5847927184256871E-2</v>
      </c>
    </row>
    <row r="4002" spans="2:4" x14ac:dyDescent="0.2">
      <c r="B4002" s="2">
        <v>41906</v>
      </c>
      <c r="C4002" s="61">
        <v>9661.9699999999993</v>
      </c>
      <c r="D4002" s="3">
        <f t="shared" si="65"/>
        <v>6.9765284735949784E-3</v>
      </c>
    </row>
    <row r="4003" spans="2:4" x14ac:dyDescent="0.2">
      <c r="B4003" s="2">
        <v>41907</v>
      </c>
      <c r="C4003" s="61">
        <v>9510.01</v>
      </c>
      <c r="D4003" s="3">
        <f t="shared" si="65"/>
        <v>-1.5727641464421738E-2</v>
      </c>
    </row>
    <row r="4004" spans="2:4" x14ac:dyDescent="0.2">
      <c r="B4004" s="2">
        <v>41908</v>
      </c>
      <c r="C4004" s="61">
        <v>9490.5499999999993</v>
      </c>
      <c r="D4004" s="3">
        <f t="shared" si="65"/>
        <v>-2.0462649355784679E-3</v>
      </c>
    </row>
    <row r="4005" spans="2:4" x14ac:dyDescent="0.2">
      <c r="B4005" s="2">
        <v>41911</v>
      </c>
      <c r="C4005" s="61">
        <v>9422.91</v>
      </c>
      <c r="D4005" s="3">
        <f t="shared" si="65"/>
        <v>-7.1270895785807697E-3</v>
      </c>
    </row>
    <row r="4006" spans="2:4" x14ac:dyDescent="0.2">
      <c r="B4006" s="2">
        <v>41912</v>
      </c>
      <c r="C4006" s="61">
        <v>9474.2999999999993</v>
      </c>
      <c r="D4006" s="3">
        <f t="shared" si="65"/>
        <v>5.4537292619796229E-3</v>
      </c>
    </row>
    <row r="4007" spans="2:4" x14ac:dyDescent="0.2">
      <c r="B4007" s="2">
        <v>41913</v>
      </c>
      <c r="C4007" s="61">
        <v>9382.0300000000007</v>
      </c>
      <c r="D4007" s="3">
        <f t="shared" si="65"/>
        <v>-9.7389780775358759E-3</v>
      </c>
    </row>
    <row r="4008" spans="2:4" x14ac:dyDescent="0.2">
      <c r="B4008" s="2">
        <v>41914</v>
      </c>
      <c r="C4008" s="61">
        <v>9195.68</v>
      </c>
      <c r="D4008" s="3">
        <f t="shared" si="65"/>
        <v>-1.9862439152294353E-2</v>
      </c>
    </row>
    <row r="4009" spans="2:4" x14ac:dyDescent="0.2">
      <c r="B4009" s="2">
        <v>41918</v>
      </c>
      <c r="C4009" s="61">
        <v>9209.51</v>
      </c>
      <c r="D4009" s="3">
        <f t="shared" si="65"/>
        <v>1.5039670801941796E-3</v>
      </c>
    </row>
    <row r="4010" spans="2:4" x14ac:dyDescent="0.2">
      <c r="B4010" s="2">
        <v>41919</v>
      </c>
      <c r="C4010" s="61">
        <v>9086.2099999999991</v>
      </c>
      <c r="D4010" s="3">
        <f t="shared" si="65"/>
        <v>-1.3388334449932815E-2</v>
      </c>
    </row>
    <row r="4011" spans="2:4" x14ac:dyDescent="0.2">
      <c r="B4011" s="2">
        <v>41920</v>
      </c>
      <c r="C4011" s="61">
        <v>8995.33</v>
      </c>
      <c r="D4011" s="3">
        <f t="shared" si="65"/>
        <v>-1.0001970018302386E-2</v>
      </c>
    </row>
    <row r="4012" spans="2:4" x14ac:dyDescent="0.2">
      <c r="B4012" s="2">
        <v>41921</v>
      </c>
      <c r="C4012" s="61">
        <v>9005.02</v>
      </c>
      <c r="D4012" s="3">
        <f t="shared" si="65"/>
        <v>1.0772256270754621E-3</v>
      </c>
    </row>
    <row r="4013" spans="2:4" x14ac:dyDescent="0.2">
      <c r="B4013" s="2">
        <v>41922</v>
      </c>
      <c r="C4013" s="61">
        <v>8788.81</v>
      </c>
      <c r="D4013" s="3">
        <f t="shared" si="65"/>
        <v>-2.4009941121729939E-2</v>
      </c>
    </row>
    <row r="4014" spans="2:4" x14ac:dyDescent="0.2">
      <c r="B4014" s="2">
        <v>41925</v>
      </c>
      <c r="C4014" s="61">
        <v>8812.43</v>
      </c>
      <c r="D4014" s="3">
        <f t="shared" si="65"/>
        <v>2.6875083202391181E-3</v>
      </c>
    </row>
    <row r="4015" spans="2:4" x14ac:dyDescent="0.2">
      <c r="B4015" s="2">
        <v>41926</v>
      </c>
      <c r="C4015" s="61">
        <v>8825.2099999999991</v>
      </c>
      <c r="D4015" s="3">
        <f t="shared" si="65"/>
        <v>1.4502242854692593E-3</v>
      </c>
    </row>
    <row r="4016" spans="2:4" x14ac:dyDescent="0.2">
      <c r="B4016" s="2">
        <v>41927</v>
      </c>
      <c r="C4016" s="61">
        <v>8571.9500000000007</v>
      </c>
      <c r="D4016" s="3">
        <f t="shared" si="65"/>
        <v>-2.8697334114428874E-2</v>
      </c>
    </row>
    <row r="4017" spans="2:4" x14ac:dyDescent="0.2">
      <c r="B4017" s="2">
        <v>41928</v>
      </c>
      <c r="C4017" s="61">
        <v>8582.9</v>
      </c>
      <c r="D4017" s="3">
        <f t="shared" si="65"/>
        <v>1.2774222901439369E-3</v>
      </c>
    </row>
    <row r="4018" spans="2:4" x14ac:dyDescent="0.2">
      <c r="B4018" s="2">
        <v>41929</v>
      </c>
      <c r="C4018" s="61">
        <v>8850.27</v>
      </c>
      <c r="D4018" s="3">
        <f t="shared" si="65"/>
        <v>3.1151475608477419E-2</v>
      </c>
    </row>
    <row r="4019" spans="2:4" x14ac:dyDescent="0.2">
      <c r="B4019" s="2">
        <v>41932</v>
      </c>
      <c r="C4019" s="61">
        <v>8717.76</v>
      </c>
      <c r="D4019" s="3">
        <f t="shared" si="65"/>
        <v>-1.4972424570097842E-2</v>
      </c>
    </row>
    <row r="4020" spans="2:4" x14ac:dyDescent="0.2">
      <c r="B4020" s="2">
        <v>41933</v>
      </c>
      <c r="C4020" s="61">
        <v>8886.9599999999991</v>
      </c>
      <c r="D4020" s="3">
        <f t="shared" si="65"/>
        <v>1.9408655434423494E-2</v>
      </c>
    </row>
    <row r="4021" spans="2:4" x14ac:dyDescent="0.2">
      <c r="B4021" s="2">
        <v>41934</v>
      </c>
      <c r="C4021" s="61">
        <v>8940.14</v>
      </c>
      <c r="D4021" s="3">
        <f t="shared" si="65"/>
        <v>5.98404853853296E-3</v>
      </c>
    </row>
    <row r="4022" spans="2:4" x14ac:dyDescent="0.2">
      <c r="B4022" s="2">
        <v>41935</v>
      </c>
      <c r="C4022" s="61">
        <v>9047.31</v>
      </c>
      <c r="D4022" s="3">
        <f t="shared" si="65"/>
        <v>1.1987508025601334E-2</v>
      </c>
    </row>
    <row r="4023" spans="2:4" x14ac:dyDescent="0.2">
      <c r="B4023" s="2">
        <v>41936</v>
      </c>
      <c r="C4023" s="61">
        <v>8987.7999999999993</v>
      </c>
      <c r="D4023" s="3">
        <f t="shared" si="65"/>
        <v>-6.5776457311621517E-3</v>
      </c>
    </row>
    <row r="4024" spans="2:4" x14ac:dyDescent="0.2">
      <c r="B4024" s="2">
        <v>41939</v>
      </c>
      <c r="C4024" s="61">
        <v>8902.61</v>
      </c>
      <c r="D4024" s="3">
        <f t="shared" si="65"/>
        <v>-9.4784040588351548E-3</v>
      </c>
    </row>
    <row r="4025" spans="2:4" x14ac:dyDescent="0.2">
      <c r="B4025" s="2">
        <v>41940</v>
      </c>
      <c r="C4025" s="61">
        <v>9068.19</v>
      </c>
      <c r="D4025" s="3">
        <f t="shared" si="65"/>
        <v>1.859904005679236E-2</v>
      </c>
    </row>
    <row r="4026" spans="2:4" x14ac:dyDescent="0.2">
      <c r="B4026" s="2">
        <v>41941</v>
      </c>
      <c r="C4026" s="61">
        <v>9082.81</v>
      </c>
      <c r="D4026" s="3">
        <f t="shared" si="65"/>
        <v>1.6122291217981477E-3</v>
      </c>
    </row>
    <row r="4027" spans="2:4" x14ac:dyDescent="0.2">
      <c r="B4027" s="2">
        <v>41942</v>
      </c>
      <c r="C4027" s="61">
        <v>9114.84</v>
      </c>
      <c r="D4027" s="3">
        <f t="shared" si="65"/>
        <v>3.5264417069167386E-3</v>
      </c>
    </row>
    <row r="4028" spans="2:4" x14ac:dyDescent="0.2">
      <c r="B4028" s="2">
        <v>41943</v>
      </c>
      <c r="C4028" s="61">
        <v>9326.8700000000008</v>
      </c>
      <c r="D4028" s="3">
        <f t="shared" si="65"/>
        <v>2.3262064940251292E-2</v>
      </c>
    </row>
    <row r="4029" spans="2:4" x14ac:dyDescent="0.2">
      <c r="B4029" s="2">
        <v>41946</v>
      </c>
      <c r="C4029" s="61">
        <v>9251.7000000000007</v>
      </c>
      <c r="D4029" s="3">
        <f t="shared" si="65"/>
        <v>-8.0595097819525785E-3</v>
      </c>
    </row>
    <row r="4030" spans="2:4" x14ac:dyDescent="0.2">
      <c r="B4030" s="2">
        <v>41947</v>
      </c>
      <c r="C4030" s="61">
        <v>9166.4699999999993</v>
      </c>
      <c r="D4030" s="3">
        <f t="shared" si="65"/>
        <v>-9.2123609714972465E-3</v>
      </c>
    </row>
    <row r="4031" spans="2:4" x14ac:dyDescent="0.2">
      <c r="B4031" s="2">
        <v>41948</v>
      </c>
      <c r="C4031" s="61">
        <v>9315.48</v>
      </c>
      <c r="D4031" s="3">
        <f t="shared" si="65"/>
        <v>1.6255985128408312E-2</v>
      </c>
    </row>
    <row r="4032" spans="2:4" x14ac:dyDescent="0.2">
      <c r="B4032" s="2">
        <v>41949</v>
      </c>
      <c r="C4032" s="61">
        <v>9377.41</v>
      </c>
      <c r="D4032" s="3">
        <f t="shared" si="65"/>
        <v>6.6480739586152193E-3</v>
      </c>
    </row>
    <row r="4033" spans="2:4" x14ac:dyDescent="0.2">
      <c r="B4033" s="2">
        <v>41950</v>
      </c>
      <c r="C4033" s="61">
        <v>9291.83</v>
      </c>
      <c r="D4033" s="3">
        <f t="shared" si="65"/>
        <v>-9.1261872947860923E-3</v>
      </c>
    </row>
    <row r="4034" spans="2:4" x14ac:dyDescent="0.2">
      <c r="B4034" s="2">
        <v>41953</v>
      </c>
      <c r="C4034" s="61">
        <v>9351.8700000000008</v>
      </c>
      <c r="D4034" s="3">
        <f t="shared" si="65"/>
        <v>6.4615904509661704E-3</v>
      </c>
    </row>
    <row r="4035" spans="2:4" x14ac:dyDescent="0.2">
      <c r="B4035" s="2">
        <v>41954</v>
      </c>
      <c r="C4035" s="61">
        <v>9369.0300000000007</v>
      </c>
      <c r="D4035" s="3">
        <f t="shared" si="65"/>
        <v>1.8349271322206651E-3</v>
      </c>
    </row>
    <row r="4036" spans="2:4" x14ac:dyDescent="0.2">
      <c r="B4036" s="2">
        <v>41955</v>
      </c>
      <c r="C4036" s="61">
        <v>9210.9599999999991</v>
      </c>
      <c r="D4036" s="3">
        <f t="shared" si="65"/>
        <v>-1.6871543799091393E-2</v>
      </c>
    </row>
    <row r="4037" spans="2:4" x14ac:dyDescent="0.2">
      <c r="B4037" s="2">
        <v>41956</v>
      </c>
      <c r="C4037" s="61">
        <v>9248.51</v>
      </c>
      <c r="D4037" s="3">
        <f t="shared" ref="D4037:D4100" si="66">C4037/C4036-1</f>
        <v>4.0766651901649187E-3</v>
      </c>
    </row>
    <row r="4038" spans="2:4" x14ac:dyDescent="0.2">
      <c r="B4038" s="2">
        <v>41957</v>
      </c>
      <c r="C4038" s="61">
        <v>9252.94</v>
      </c>
      <c r="D4038" s="3">
        <f t="shared" si="66"/>
        <v>4.7899607612467143E-4</v>
      </c>
    </row>
    <row r="4039" spans="2:4" x14ac:dyDescent="0.2">
      <c r="B4039" s="2">
        <v>41960</v>
      </c>
      <c r="C4039" s="61">
        <v>9306.35</v>
      </c>
      <c r="D4039" s="3">
        <f t="shared" si="66"/>
        <v>5.7722194243126079E-3</v>
      </c>
    </row>
    <row r="4040" spans="2:4" x14ac:dyDescent="0.2">
      <c r="B4040" s="2">
        <v>41961</v>
      </c>
      <c r="C4040" s="61">
        <v>9456.5300000000007</v>
      </c>
      <c r="D4040" s="3">
        <f t="shared" si="66"/>
        <v>1.6137368570922073E-2</v>
      </c>
    </row>
    <row r="4041" spans="2:4" x14ac:dyDescent="0.2">
      <c r="B4041" s="2">
        <v>41962</v>
      </c>
      <c r="C4041" s="61">
        <v>9472.7999999999993</v>
      </c>
      <c r="D4041" s="3">
        <f t="shared" si="66"/>
        <v>1.7205042441570395E-3</v>
      </c>
    </row>
    <row r="4042" spans="2:4" x14ac:dyDescent="0.2">
      <c r="B4042" s="2">
        <v>41963</v>
      </c>
      <c r="C4042" s="61">
        <v>9483.9699999999993</v>
      </c>
      <c r="D4042" s="3">
        <f t="shared" si="66"/>
        <v>1.1791656110125004E-3</v>
      </c>
    </row>
    <row r="4043" spans="2:4" x14ac:dyDescent="0.2">
      <c r="B4043" s="2">
        <v>41964</v>
      </c>
      <c r="C4043" s="61">
        <v>9732.5499999999993</v>
      </c>
      <c r="D4043" s="3">
        <f t="shared" si="66"/>
        <v>2.621054263140854E-2</v>
      </c>
    </row>
    <row r="4044" spans="2:4" x14ac:dyDescent="0.2">
      <c r="B4044" s="2">
        <v>41967</v>
      </c>
      <c r="C4044" s="61">
        <v>9785.5400000000009</v>
      </c>
      <c r="D4044" s="3">
        <f t="shared" si="66"/>
        <v>5.4446162619252725E-3</v>
      </c>
    </row>
    <row r="4045" spans="2:4" x14ac:dyDescent="0.2">
      <c r="B4045" s="2">
        <v>41968</v>
      </c>
      <c r="C4045" s="61">
        <v>9861.2099999999991</v>
      </c>
      <c r="D4045" s="3">
        <f t="shared" si="66"/>
        <v>7.7328384534729455E-3</v>
      </c>
    </row>
    <row r="4046" spans="2:4" x14ac:dyDescent="0.2">
      <c r="B4046" s="2">
        <v>41969</v>
      </c>
      <c r="C4046" s="61">
        <v>9915.56</v>
      </c>
      <c r="D4046" s="3">
        <f t="shared" si="66"/>
        <v>5.511494025581154E-3</v>
      </c>
    </row>
    <row r="4047" spans="2:4" x14ac:dyDescent="0.2">
      <c r="B4047" s="2">
        <v>41970</v>
      </c>
      <c r="C4047" s="61">
        <v>9974.8700000000008</v>
      </c>
      <c r="D4047" s="3">
        <f t="shared" si="66"/>
        <v>5.9815078523048903E-3</v>
      </c>
    </row>
    <row r="4048" spans="2:4" x14ac:dyDescent="0.2">
      <c r="B4048" s="2">
        <v>41971</v>
      </c>
      <c r="C4048" s="61">
        <v>9980.85</v>
      </c>
      <c r="D4048" s="3">
        <f t="shared" si="66"/>
        <v>5.9950655998530777E-4</v>
      </c>
    </row>
    <row r="4049" spans="2:4" x14ac:dyDescent="0.2">
      <c r="B4049" s="2">
        <v>41974</v>
      </c>
      <c r="C4049" s="61">
        <v>9963.51</v>
      </c>
      <c r="D4049" s="3">
        <f t="shared" si="66"/>
        <v>-1.7373269811689074E-3</v>
      </c>
    </row>
    <row r="4050" spans="2:4" x14ac:dyDescent="0.2">
      <c r="B4050" s="2">
        <v>41975</v>
      </c>
      <c r="C4050" s="61">
        <v>9934.08</v>
      </c>
      <c r="D4050" s="3">
        <f t="shared" si="66"/>
        <v>-2.9537783371522686E-3</v>
      </c>
    </row>
    <row r="4051" spans="2:4" x14ac:dyDescent="0.2">
      <c r="B4051" s="2">
        <v>41976</v>
      </c>
      <c r="C4051" s="61">
        <v>9971.7900000000009</v>
      </c>
      <c r="D4051" s="3">
        <f t="shared" si="66"/>
        <v>3.7960233861615844E-3</v>
      </c>
    </row>
    <row r="4052" spans="2:4" x14ac:dyDescent="0.2">
      <c r="B4052" s="2">
        <v>41977</v>
      </c>
      <c r="C4052" s="61">
        <v>9851.35</v>
      </c>
      <c r="D4052" s="3">
        <f t="shared" si="66"/>
        <v>-1.2078072241794136E-2</v>
      </c>
    </row>
    <row r="4053" spans="2:4" x14ac:dyDescent="0.2">
      <c r="B4053" s="2">
        <v>41978</v>
      </c>
      <c r="C4053" s="61">
        <v>10087.120000000001</v>
      </c>
      <c r="D4053" s="3">
        <f t="shared" si="66"/>
        <v>2.3932760484603577E-2</v>
      </c>
    </row>
    <row r="4054" spans="2:4" x14ac:dyDescent="0.2">
      <c r="B4054" s="2">
        <v>41981</v>
      </c>
      <c r="C4054" s="61">
        <v>10014.99</v>
      </c>
      <c r="D4054" s="3">
        <f t="shared" si="66"/>
        <v>-7.150703074812359E-3</v>
      </c>
    </row>
    <row r="4055" spans="2:4" x14ac:dyDescent="0.2">
      <c r="B4055" s="2">
        <v>41982</v>
      </c>
      <c r="C4055" s="61">
        <v>9793.7099999999991</v>
      </c>
      <c r="D4055" s="3">
        <f t="shared" si="66"/>
        <v>-2.2094879775217069E-2</v>
      </c>
    </row>
    <row r="4056" spans="2:4" x14ac:dyDescent="0.2">
      <c r="B4056" s="2">
        <v>41983</v>
      </c>
      <c r="C4056" s="61">
        <v>9799.73</v>
      </c>
      <c r="D4056" s="3">
        <f t="shared" si="66"/>
        <v>6.1468023864308385E-4</v>
      </c>
    </row>
    <row r="4057" spans="2:4" x14ac:dyDescent="0.2">
      <c r="B4057" s="2">
        <v>41984</v>
      </c>
      <c r="C4057" s="61">
        <v>9862.5300000000007</v>
      </c>
      <c r="D4057" s="3">
        <f t="shared" si="66"/>
        <v>6.4083398216074894E-3</v>
      </c>
    </row>
    <row r="4058" spans="2:4" x14ac:dyDescent="0.2">
      <c r="B4058" s="2">
        <v>41985</v>
      </c>
      <c r="C4058" s="61">
        <v>9594.73</v>
      </c>
      <c r="D4058" s="3">
        <f t="shared" si="66"/>
        <v>-2.7153276086359313E-2</v>
      </c>
    </row>
    <row r="4059" spans="2:4" x14ac:dyDescent="0.2">
      <c r="B4059" s="2">
        <v>41988</v>
      </c>
      <c r="C4059" s="61">
        <v>9334.01</v>
      </c>
      <c r="D4059" s="3">
        <f t="shared" si="66"/>
        <v>-2.7173250315537745E-2</v>
      </c>
    </row>
    <row r="4060" spans="2:4" x14ac:dyDescent="0.2">
      <c r="B4060" s="2">
        <v>41989</v>
      </c>
      <c r="C4060" s="61">
        <v>9563.89</v>
      </c>
      <c r="D4060" s="3">
        <f t="shared" si="66"/>
        <v>2.4628214454452069E-2</v>
      </c>
    </row>
    <row r="4061" spans="2:4" x14ac:dyDescent="0.2">
      <c r="B4061" s="2">
        <v>41990</v>
      </c>
      <c r="C4061" s="61">
        <v>9544.43</v>
      </c>
      <c r="D4061" s="3">
        <f t="shared" si="66"/>
        <v>-2.0347369114449565E-3</v>
      </c>
    </row>
    <row r="4062" spans="2:4" x14ac:dyDescent="0.2">
      <c r="B4062" s="2">
        <v>41991</v>
      </c>
      <c r="C4062" s="61">
        <v>9811.06</v>
      </c>
      <c r="D4062" s="3">
        <f t="shared" si="66"/>
        <v>2.7935665094720008E-2</v>
      </c>
    </row>
    <row r="4063" spans="2:4" x14ac:dyDescent="0.2">
      <c r="B4063" s="2">
        <v>41992</v>
      </c>
      <c r="C4063" s="61">
        <v>9786.9599999999991</v>
      </c>
      <c r="D4063" s="3">
        <f t="shared" si="66"/>
        <v>-2.4564114377040314E-3</v>
      </c>
    </row>
    <row r="4064" spans="2:4" x14ac:dyDescent="0.2">
      <c r="B4064" s="2">
        <v>41995</v>
      </c>
      <c r="C4064" s="61">
        <v>9865.76</v>
      </c>
      <c r="D4064" s="3">
        <f t="shared" si="66"/>
        <v>8.0515297906602612E-3</v>
      </c>
    </row>
    <row r="4065" spans="2:4" x14ac:dyDescent="0.2">
      <c r="B4065" s="2">
        <v>41996</v>
      </c>
      <c r="C4065" s="61">
        <v>9922.11</v>
      </c>
      <c r="D4065" s="3">
        <f t="shared" si="66"/>
        <v>5.7116735051330192E-3</v>
      </c>
    </row>
    <row r="4066" spans="2:4" x14ac:dyDescent="0.2">
      <c r="B4066" s="2">
        <v>42002</v>
      </c>
      <c r="C4066" s="61">
        <v>9927.1299999999992</v>
      </c>
      <c r="D4066" s="3">
        <f t="shared" si="66"/>
        <v>5.0594077267818172E-4</v>
      </c>
    </row>
    <row r="4067" spans="2:4" x14ac:dyDescent="0.2">
      <c r="B4067" s="2">
        <v>42003</v>
      </c>
      <c r="C4067" s="61">
        <v>9805.5499999999993</v>
      </c>
      <c r="D4067" s="3">
        <f t="shared" si="66"/>
        <v>-1.2247245679264829E-2</v>
      </c>
    </row>
    <row r="4068" spans="2:4" x14ac:dyDescent="0.2">
      <c r="B4068" s="2">
        <v>42006</v>
      </c>
      <c r="C4068" s="61">
        <v>9764.73</v>
      </c>
      <c r="D4068" s="3">
        <f t="shared" si="66"/>
        <v>-4.1629485342484784E-3</v>
      </c>
    </row>
    <row r="4069" spans="2:4" x14ac:dyDescent="0.2">
      <c r="B4069" s="2">
        <v>42009</v>
      </c>
      <c r="C4069" s="61">
        <v>9473.16</v>
      </c>
      <c r="D4069" s="3">
        <f t="shared" si="66"/>
        <v>-2.9859504563874206E-2</v>
      </c>
    </row>
    <row r="4070" spans="2:4" x14ac:dyDescent="0.2">
      <c r="B4070" s="2">
        <v>42010</v>
      </c>
      <c r="C4070" s="61">
        <v>9469.66</v>
      </c>
      <c r="D4070" s="3">
        <f t="shared" si="66"/>
        <v>-3.6946488816824719E-4</v>
      </c>
    </row>
    <row r="4071" spans="2:4" x14ac:dyDescent="0.2">
      <c r="B4071" s="2">
        <v>42011</v>
      </c>
      <c r="C4071" s="61">
        <v>9518.18</v>
      </c>
      <c r="D4071" s="3">
        <f t="shared" si="66"/>
        <v>5.1237320030497191E-3</v>
      </c>
    </row>
    <row r="4072" spans="2:4" x14ac:dyDescent="0.2">
      <c r="B4072" s="2">
        <v>42012</v>
      </c>
      <c r="C4072" s="61">
        <v>9837.61</v>
      </c>
      <c r="D4072" s="3">
        <f t="shared" si="66"/>
        <v>3.3559987308498185E-2</v>
      </c>
    </row>
    <row r="4073" spans="2:4" x14ac:dyDescent="0.2">
      <c r="B4073" s="2">
        <v>42013</v>
      </c>
      <c r="C4073" s="61">
        <v>9648.5</v>
      </c>
      <c r="D4073" s="3">
        <f t="shared" si="66"/>
        <v>-1.9223164976046037E-2</v>
      </c>
    </row>
    <row r="4074" spans="2:4" x14ac:dyDescent="0.2">
      <c r="B4074" s="2">
        <v>42016</v>
      </c>
      <c r="C4074" s="61">
        <v>9781.9</v>
      </c>
      <c r="D4074" s="3">
        <f t="shared" si="66"/>
        <v>1.3825983313468404E-2</v>
      </c>
    </row>
    <row r="4075" spans="2:4" x14ac:dyDescent="0.2">
      <c r="B4075" s="2">
        <v>42017</v>
      </c>
      <c r="C4075" s="61">
        <v>9941</v>
      </c>
      <c r="D4075" s="3">
        <f t="shared" si="66"/>
        <v>1.6264733845163137E-2</v>
      </c>
    </row>
    <row r="4076" spans="2:4" x14ac:dyDescent="0.2">
      <c r="B4076" s="2">
        <v>42018</v>
      </c>
      <c r="C4076" s="61">
        <v>9817.08</v>
      </c>
      <c r="D4076" s="3">
        <f t="shared" si="66"/>
        <v>-1.2465546725681564E-2</v>
      </c>
    </row>
    <row r="4077" spans="2:4" x14ac:dyDescent="0.2">
      <c r="B4077" s="2">
        <v>42019</v>
      </c>
      <c r="C4077" s="61">
        <v>10032.61</v>
      </c>
      <c r="D4077" s="3">
        <f t="shared" si="66"/>
        <v>2.1954593422891522E-2</v>
      </c>
    </row>
    <row r="4078" spans="2:4" x14ac:dyDescent="0.2">
      <c r="B4078" s="2">
        <v>42020</v>
      </c>
      <c r="C4078" s="61">
        <v>10167.77</v>
      </c>
      <c r="D4078" s="3">
        <f t="shared" si="66"/>
        <v>1.3472067587596781E-2</v>
      </c>
    </row>
    <row r="4079" spans="2:4" x14ac:dyDescent="0.2">
      <c r="B4079" s="2">
        <v>42023</v>
      </c>
      <c r="C4079" s="61">
        <v>10242.35</v>
      </c>
      <c r="D4079" s="3">
        <f t="shared" si="66"/>
        <v>7.3349416833778935E-3</v>
      </c>
    </row>
    <row r="4080" spans="2:4" x14ac:dyDescent="0.2">
      <c r="B4080" s="2">
        <v>42024</v>
      </c>
      <c r="C4080" s="61">
        <v>10257.129999999999</v>
      </c>
      <c r="D4080" s="3">
        <f t="shared" si="66"/>
        <v>1.4430282112991577E-3</v>
      </c>
    </row>
    <row r="4081" spans="2:4" x14ac:dyDescent="0.2">
      <c r="B4081" s="2">
        <v>42025</v>
      </c>
      <c r="C4081" s="61">
        <v>10299.23</v>
      </c>
      <c r="D4081" s="3">
        <f t="shared" si="66"/>
        <v>4.1044619693813011E-3</v>
      </c>
    </row>
    <row r="4082" spans="2:4" x14ac:dyDescent="0.2">
      <c r="B4082" s="2">
        <v>42026</v>
      </c>
      <c r="C4082" s="61">
        <v>10435.620000000001</v>
      </c>
      <c r="D4082" s="3">
        <f t="shared" si="66"/>
        <v>1.3242737563876172E-2</v>
      </c>
    </row>
    <row r="4083" spans="2:4" x14ac:dyDescent="0.2">
      <c r="B4083" s="2">
        <v>42027</v>
      </c>
      <c r="C4083" s="61">
        <v>10649.58</v>
      </c>
      <c r="D4083" s="3">
        <f t="shared" si="66"/>
        <v>2.0502854645914503E-2</v>
      </c>
    </row>
    <row r="4084" spans="2:4" x14ac:dyDescent="0.2">
      <c r="B4084" s="2">
        <v>42030</v>
      </c>
      <c r="C4084" s="61">
        <v>10798.33</v>
      </c>
      <c r="D4084" s="3">
        <f t="shared" si="66"/>
        <v>1.3967686988594963E-2</v>
      </c>
    </row>
    <row r="4085" spans="2:4" x14ac:dyDescent="0.2">
      <c r="B4085" s="2">
        <v>42031</v>
      </c>
      <c r="C4085" s="61">
        <v>10628.58</v>
      </c>
      <c r="D4085" s="3">
        <f t="shared" si="66"/>
        <v>-1.5720023373984704E-2</v>
      </c>
    </row>
    <row r="4086" spans="2:4" x14ac:dyDescent="0.2">
      <c r="B4086" s="2">
        <v>42032</v>
      </c>
      <c r="C4086" s="61">
        <v>10710.97</v>
      </c>
      <c r="D4086" s="3">
        <f t="shared" si="66"/>
        <v>7.7517410604237558E-3</v>
      </c>
    </row>
    <row r="4087" spans="2:4" x14ac:dyDescent="0.2">
      <c r="B4087" s="2">
        <v>42033</v>
      </c>
      <c r="C4087" s="61">
        <v>10737.87</v>
      </c>
      <c r="D4087" s="3">
        <f t="shared" si="66"/>
        <v>2.5114438748312651E-3</v>
      </c>
    </row>
    <row r="4088" spans="2:4" x14ac:dyDescent="0.2">
      <c r="B4088" s="2">
        <v>42034</v>
      </c>
      <c r="C4088" s="61">
        <v>10694.32</v>
      </c>
      <c r="D4088" s="3">
        <f t="shared" si="66"/>
        <v>-4.0557391735978054E-3</v>
      </c>
    </row>
    <row r="4089" spans="2:4" x14ac:dyDescent="0.2">
      <c r="B4089" s="2">
        <v>42037</v>
      </c>
      <c r="C4089" s="61">
        <v>10828.01</v>
      </c>
      <c r="D4089" s="3">
        <f t="shared" si="66"/>
        <v>1.2501028583397522E-2</v>
      </c>
    </row>
    <row r="4090" spans="2:4" x14ac:dyDescent="0.2">
      <c r="B4090" s="2">
        <v>42038</v>
      </c>
      <c r="C4090" s="61">
        <v>10890.95</v>
      </c>
      <c r="D4090" s="3">
        <f t="shared" si="66"/>
        <v>5.8127024263923133E-3</v>
      </c>
    </row>
    <row r="4091" spans="2:4" x14ac:dyDescent="0.2">
      <c r="B4091" s="2">
        <v>42039</v>
      </c>
      <c r="C4091" s="61">
        <v>10911.32</v>
      </c>
      <c r="D4091" s="3">
        <f t="shared" si="66"/>
        <v>1.8703602532377239E-3</v>
      </c>
    </row>
    <row r="4092" spans="2:4" x14ac:dyDescent="0.2">
      <c r="B4092" s="2">
        <v>42040</v>
      </c>
      <c r="C4092" s="61">
        <v>10905.41</v>
      </c>
      <c r="D4092" s="3">
        <f t="shared" si="66"/>
        <v>-5.4163932503126233E-4</v>
      </c>
    </row>
    <row r="4093" spans="2:4" x14ac:dyDescent="0.2">
      <c r="B4093" s="2">
        <v>42041</v>
      </c>
      <c r="C4093" s="61">
        <v>10846.39</v>
      </c>
      <c r="D4093" s="3">
        <f t="shared" si="66"/>
        <v>-5.4119927632249043E-3</v>
      </c>
    </row>
    <row r="4094" spans="2:4" x14ac:dyDescent="0.2">
      <c r="B4094" s="2">
        <v>42044</v>
      </c>
      <c r="C4094" s="61">
        <v>10663.51</v>
      </c>
      <c r="D4094" s="3">
        <f t="shared" si="66"/>
        <v>-1.6860909482325437E-2</v>
      </c>
    </row>
    <row r="4095" spans="2:4" x14ac:dyDescent="0.2">
      <c r="B4095" s="2">
        <v>42045</v>
      </c>
      <c r="C4095" s="61">
        <v>10753.83</v>
      </c>
      <c r="D4095" s="3">
        <f t="shared" si="66"/>
        <v>8.4700065925760182E-3</v>
      </c>
    </row>
    <row r="4096" spans="2:4" x14ac:dyDescent="0.2">
      <c r="B4096" s="2">
        <v>42046</v>
      </c>
      <c r="C4096" s="61">
        <v>10752.11</v>
      </c>
      <c r="D4096" s="3">
        <f t="shared" si="66"/>
        <v>-1.5994301565114277E-4</v>
      </c>
    </row>
    <row r="4097" spans="2:4" x14ac:dyDescent="0.2">
      <c r="B4097" s="2">
        <v>42047</v>
      </c>
      <c r="C4097" s="61">
        <v>10919.65</v>
      </c>
      <c r="D4097" s="3">
        <f t="shared" si="66"/>
        <v>1.5582057847250308E-2</v>
      </c>
    </row>
    <row r="4098" spans="2:4" x14ac:dyDescent="0.2">
      <c r="B4098" s="2">
        <v>42048</v>
      </c>
      <c r="C4098" s="61">
        <v>10963.4</v>
      </c>
      <c r="D4098" s="3">
        <f t="shared" si="66"/>
        <v>4.0065386711112261E-3</v>
      </c>
    </row>
    <row r="4099" spans="2:4" x14ac:dyDescent="0.2">
      <c r="B4099" s="2">
        <v>42051</v>
      </c>
      <c r="C4099" s="61">
        <v>10923.23</v>
      </c>
      <c r="D4099" s="3">
        <f t="shared" si="66"/>
        <v>-3.664009340168195E-3</v>
      </c>
    </row>
    <row r="4100" spans="2:4" x14ac:dyDescent="0.2">
      <c r="B4100" s="2">
        <v>42052</v>
      </c>
      <c r="C4100" s="61">
        <v>10895.62</v>
      </c>
      <c r="D4100" s="3">
        <f t="shared" si="66"/>
        <v>-2.5276406337684243E-3</v>
      </c>
    </row>
    <row r="4101" spans="2:4" x14ac:dyDescent="0.2">
      <c r="B4101" s="2">
        <v>42053</v>
      </c>
      <c r="C4101" s="61">
        <v>10961</v>
      </c>
      <c r="D4101" s="3">
        <f t="shared" ref="D4101:D4164" si="67">C4101/C4100-1</f>
        <v>6.0005763783979038E-3</v>
      </c>
    </row>
    <row r="4102" spans="2:4" x14ac:dyDescent="0.2">
      <c r="B4102" s="2">
        <v>42054</v>
      </c>
      <c r="C4102" s="61">
        <v>11001.94</v>
      </c>
      <c r="D4102" s="3">
        <f t="shared" si="67"/>
        <v>3.7350606696469058E-3</v>
      </c>
    </row>
    <row r="4103" spans="2:4" x14ac:dyDescent="0.2">
      <c r="B4103" s="2">
        <v>42055</v>
      </c>
      <c r="C4103" s="61">
        <v>11050.64</v>
      </c>
      <c r="D4103" s="3">
        <f t="shared" si="67"/>
        <v>4.4264920550374232E-3</v>
      </c>
    </row>
    <row r="4104" spans="2:4" x14ac:dyDescent="0.2">
      <c r="B4104" s="2">
        <v>42058</v>
      </c>
      <c r="C4104" s="61">
        <v>11130.92</v>
      </c>
      <c r="D4104" s="3">
        <f t="shared" si="67"/>
        <v>7.2647376079575388E-3</v>
      </c>
    </row>
    <row r="4105" spans="2:4" x14ac:dyDescent="0.2">
      <c r="B4105" s="2">
        <v>42059</v>
      </c>
      <c r="C4105" s="61">
        <v>11205.74</v>
      </c>
      <c r="D4105" s="3">
        <f t="shared" si="67"/>
        <v>6.7218163458186986E-3</v>
      </c>
    </row>
    <row r="4106" spans="2:4" x14ac:dyDescent="0.2">
      <c r="B4106" s="2">
        <v>42060</v>
      </c>
      <c r="C4106" s="61">
        <v>11210.27</v>
      </c>
      <c r="D4106" s="3">
        <f t="shared" si="67"/>
        <v>4.0425710394864645E-4</v>
      </c>
    </row>
    <row r="4107" spans="2:4" x14ac:dyDescent="0.2">
      <c r="B4107" s="2">
        <v>42061</v>
      </c>
      <c r="C4107" s="61">
        <v>11327.19</v>
      </c>
      <c r="D4107" s="3">
        <f t="shared" si="67"/>
        <v>1.0429722031672695E-2</v>
      </c>
    </row>
    <row r="4108" spans="2:4" x14ac:dyDescent="0.2">
      <c r="B4108" s="2">
        <v>42062</v>
      </c>
      <c r="C4108" s="61">
        <v>11401.66</v>
      </c>
      <c r="D4108" s="3">
        <f t="shared" si="67"/>
        <v>6.5744460894536783E-3</v>
      </c>
    </row>
    <row r="4109" spans="2:4" x14ac:dyDescent="0.2">
      <c r="B4109" s="2">
        <v>42065</v>
      </c>
      <c r="C4109" s="61">
        <v>11410.36</v>
      </c>
      <c r="D4109" s="3">
        <f t="shared" si="67"/>
        <v>7.6304678441574403E-4</v>
      </c>
    </row>
    <row r="4110" spans="2:4" x14ac:dyDescent="0.2">
      <c r="B4110" s="2">
        <v>42066</v>
      </c>
      <c r="C4110" s="61">
        <v>11280.36</v>
      </c>
      <c r="D4110" s="3">
        <f t="shared" si="67"/>
        <v>-1.1393154992480503E-2</v>
      </c>
    </row>
    <row r="4111" spans="2:4" x14ac:dyDescent="0.2">
      <c r="B4111" s="2">
        <v>42067</v>
      </c>
      <c r="C4111" s="61">
        <v>11390.38</v>
      </c>
      <c r="D4111" s="3">
        <f t="shared" si="67"/>
        <v>9.7532348258386747E-3</v>
      </c>
    </row>
    <row r="4112" spans="2:4" x14ac:dyDescent="0.2">
      <c r="B4112" s="2">
        <v>42068</v>
      </c>
      <c r="C4112" s="61">
        <v>11504.01</v>
      </c>
      <c r="D4112" s="3">
        <f t="shared" si="67"/>
        <v>9.9759621715869162E-3</v>
      </c>
    </row>
    <row r="4113" spans="2:4" x14ac:dyDescent="0.2">
      <c r="B4113" s="2">
        <v>42069</v>
      </c>
      <c r="C4113" s="61">
        <v>11550.97</v>
      </c>
      <c r="D4113" s="3">
        <f t="shared" si="67"/>
        <v>4.0820548660858158E-3</v>
      </c>
    </row>
    <row r="4114" spans="2:4" x14ac:dyDescent="0.2">
      <c r="B4114" s="2">
        <v>42072</v>
      </c>
      <c r="C4114" s="61">
        <v>11582.11</v>
      </c>
      <c r="D4114" s="3">
        <f t="shared" si="67"/>
        <v>2.6958774890768478E-3</v>
      </c>
    </row>
    <row r="4115" spans="2:4" x14ac:dyDescent="0.2">
      <c r="B4115" s="2">
        <v>42073</v>
      </c>
      <c r="C4115" s="61">
        <v>11500.38</v>
      </c>
      <c r="D4115" s="3">
        <f t="shared" si="67"/>
        <v>-7.0565725934221835E-3</v>
      </c>
    </row>
    <row r="4116" spans="2:4" x14ac:dyDescent="0.2">
      <c r="B4116" s="2">
        <v>42074</v>
      </c>
      <c r="C4116" s="61">
        <v>11805.99</v>
      </c>
      <c r="D4116" s="3">
        <f t="shared" si="67"/>
        <v>2.6573904514459512E-2</v>
      </c>
    </row>
    <row r="4117" spans="2:4" x14ac:dyDescent="0.2">
      <c r="B4117" s="2">
        <v>42075</v>
      </c>
      <c r="C4117" s="61">
        <v>11799.39</v>
      </c>
      <c r="D4117" s="3">
        <f t="shared" si="67"/>
        <v>-5.5903825092185055E-4</v>
      </c>
    </row>
    <row r="4118" spans="2:4" x14ac:dyDescent="0.2">
      <c r="B4118" s="2">
        <v>42076</v>
      </c>
      <c r="C4118" s="61">
        <v>11901.61</v>
      </c>
      <c r="D4118" s="3">
        <f t="shared" si="67"/>
        <v>8.66315970571363E-3</v>
      </c>
    </row>
    <row r="4119" spans="2:4" x14ac:dyDescent="0.2">
      <c r="B4119" s="2">
        <v>42079</v>
      </c>
      <c r="C4119" s="61">
        <v>12167.72</v>
      </c>
      <c r="D4119" s="3">
        <f t="shared" si="67"/>
        <v>2.2359159811151441E-2</v>
      </c>
    </row>
    <row r="4120" spans="2:4" x14ac:dyDescent="0.2">
      <c r="B4120" s="2">
        <v>42080</v>
      </c>
      <c r="C4120" s="61">
        <v>11980.85</v>
      </c>
      <c r="D4120" s="3">
        <f t="shared" si="67"/>
        <v>-1.5357848471200808E-2</v>
      </c>
    </row>
    <row r="4121" spans="2:4" x14ac:dyDescent="0.2">
      <c r="B4121" s="2">
        <v>42081</v>
      </c>
      <c r="C4121" s="61">
        <v>11922.77</v>
      </c>
      <c r="D4121" s="3">
        <f t="shared" si="67"/>
        <v>-4.8477361789855955E-3</v>
      </c>
    </row>
    <row r="4122" spans="2:4" x14ac:dyDescent="0.2">
      <c r="B4122" s="2">
        <v>42082</v>
      </c>
      <c r="C4122" s="61">
        <v>11899.4</v>
      </c>
      <c r="D4122" s="3">
        <f t="shared" si="67"/>
        <v>-1.9601149732823009E-3</v>
      </c>
    </row>
    <row r="4123" spans="2:4" x14ac:dyDescent="0.2">
      <c r="B4123" s="2">
        <v>42083</v>
      </c>
      <c r="C4123" s="61">
        <v>12039.37</v>
      </c>
      <c r="D4123" s="3">
        <f t="shared" si="67"/>
        <v>1.1762777955191206E-2</v>
      </c>
    </row>
    <row r="4124" spans="2:4" x14ac:dyDescent="0.2">
      <c r="B4124" s="2">
        <v>42086</v>
      </c>
      <c r="C4124" s="61">
        <v>11895.84</v>
      </c>
      <c r="D4124" s="3">
        <f t="shared" si="67"/>
        <v>-1.192172015645343E-2</v>
      </c>
    </row>
    <row r="4125" spans="2:4" x14ac:dyDescent="0.2">
      <c r="B4125" s="2">
        <v>42087</v>
      </c>
      <c r="C4125" s="61">
        <v>12005.69</v>
      </c>
      <c r="D4125" s="3">
        <f t="shared" si="67"/>
        <v>9.234320569207366E-3</v>
      </c>
    </row>
    <row r="4126" spans="2:4" x14ac:dyDescent="0.2">
      <c r="B4126" s="2">
        <v>42088</v>
      </c>
      <c r="C4126" s="61">
        <v>11865.32</v>
      </c>
      <c r="D4126" s="3">
        <f t="shared" si="67"/>
        <v>-1.1691956064166287E-2</v>
      </c>
    </row>
    <row r="4127" spans="2:4" x14ac:dyDescent="0.2">
      <c r="B4127" s="2">
        <v>42089</v>
      </c>
      <c r="C4127" s="61">
        <v>11843.68</v>
      </c>
      <c r="D4127" s="3">
        <f t="shared" si="67"/>
        <v>-1.8238024764607452E-3</v>
      </c>
    </row>
    <row r="4128" spans="2:4" x14ac:dyDescent="0.2">
      <c r="B4128" s="2">
        <v>42090</v>
      </c>
      <c r="C4128" s="61">
        <v>11868.33</v>
      </c>
      <c r="D4128" s="3">
        <f t="shared" si="67"/>
        <v>2.081278791726815E-3</v>
      </c>
    </row>
    <row r="4129" spans="2:4" x14ac:dyDescent="0.2">
      <c r="B4129" s="2">
        <v>42093</v>
      </c>
      <c r="C4129" s="61">
        <v>12086.01</v>
      </c>
      <c r="D4129" s="3">
        <f t="shared" si="67"/>
        <v>1.8341249358587053E-2</v>
      </c>
    </row>
    <row r="4130" spans="2:4" x14ac:dyDescent="0.2">
      <c r="B4130" s="2">
        <v>42094</v>
      </c>
      <c r="C4130" s="61">
        <v>11966.17</v>
      </c>
      <c r="D4130" s="3">
        <f t="shared" si="67"/>
        <v>-9.915596627836698E-3</v>
      </c>
    </row>
    <row r="4131" spans="2:4" x14ac:dyDescent="0.2">
      <c r="B4131" s="2">
        <v>42095</v>
      </c>
      <c r="C4131" s="61">
        <v>12001.38</v>
      </c>
      <c r="D4131" s="3">
        <f t="shared" si="67"/>
        <v>2.9424619573346078E-3</v>
      </c>
    </row>
    <row r="4132" spans="2:4" x14ac:dyDescent="0.2">
      <c r="B4132" s="2">
        <v>42096</v>
      </c>
      <c r="C4132" s="61">
        <v>11967.39</v>
      </c>
      <c r="D4132" s="3">
        <f t="shared" si="67"/>
        <v>-2.8321742999555255E-3</v>
      </c>
    </row>
    <row r="4133" spans="2:4" x14ac:dyDescent="0.2">
      <c r="B4133" s="2">
        <v>42101</v>
      </c>
      <c r="C4133" s="61">
        <v>12123.52</v>
      </c>
      <c r="D4133" s="3">
        <f t="shared" si="67"/>
        <v>1.304628661721563E-2</v>
      </c>
    </row>
    <row r="4134" spans="2:4" x14ac:dyDescent="0.2">
      <c r="B4134" s="2">
        <v>42102</v>
      </c>
      <c r="C4134" s="61">
        <v>12035.86</v>
      </c>
      <c r="D4134" s="3">
        <f t="shared" si="67"/>
        <v>-7.230573298843912E-3</v>
      </c>
    </row>
    <row r="4135" spans="2:4" x14ac:dyDescent="0.2">
      <c r="B4135" s="2">
        <v>42103</v>
      </c>
      <c r="C4135" s="61">
        <v>12166.44</v>
      </c>
      <c r="D4135" s="3">
        <f t="shared" si="67"/>
        <v>1.084924550468358E-2</v>
      </c>
    </row>
    <row r="4136" spans="2:4" x14ac:dyDescent="0.2">
      <c r="B4136" s="2">
        <v>42104</v>
      </c>
      <c r="C4136" s="61">
        <v>12374.73</v>
      </c>
      <c r="D4136" s="3">
        <f t="shared" si="67"/>
        <v>1.712004497618036E-2</v>
      </c>
    </row>
    <row r="4137" spans="2:4" x14ac:dyDescent="0.2">
      <c r="B4137" s="2">
        <v>42107</v>
      </c>
      <c r="C4137" s="61">
        <v>12338.73</v>
      </c>
      <c r="D4137" s="3">
        <f t="shared" si="67"/>
        <v>-2.9091543815501497E-3</v>
      </c>
    </row>
    <row r="4138" spans="2:4" x14ac:dyDescent="0.2">
      <c r="B4138" s="2">
        <v>42108</v>
      </c>
      <c r="C4138" s="61">
        <v>12227.6</v>
      </c>
      <c r="D4138" s="3">
        <f t="shared" si="67"/>
        <v>-9.006599544685634E-3</v>
      </c>
    </row>
    <row r="4139" spans="2:4" x14ac:dyDescent="0.2">
      <c r="B4139" s="2">
        <v>42109</v>
      </c>
      <c r="C4139" s="61">
        <v>12231.34</v>
      </c>
      <c r="D4139" s="3">
        <f t="shared" si="67"/>
        <v>3.0586541921562294E-4</v>
      </c>
    </row>
    <row r="4140" spans="2:4" x14ac:dyDescent="0.2">
      <c r="B4140" s="2">
        <v>42110</v>
      </c>
      <c r="C4140" s="61">
        <v>11998.86</v>
      </c>
      <c r="D4140" s="3">
        <f t="shared" si="67"/>
        <v>-1.9006911752923239E-2</v>
      </c>
    </row>
    <row r="4141" spans="2:4" x14ac:dyDescent="0.2">
      <c r="B4141" s="2">
        <v>42111</v>
      </c>
      <c r="C4141" s="61">
        <v>11688.7</v>
      </c>
      <c r="D4141" s="3">
        <f t="shared" si="67"/>
        <v>-2.5849122333288288E-2</v>
      </c>
    </row>
    <row r="4142" spans="2:4" x14ac:dyDescent="0.2">
      <c r="B4142" s="2">
        <v>42114</v>
      </c>
      <c r="C4142" s="61">
        <v>11891.91</v>
      </c>
      <c r="D4142" s="3">
        <f t="shared" si="67"/>
        <v>1.7385166870567126E-2</v>
      </c>
    </row>
    <row r="4143" spans="2:4" x14ac:dyDescent="0.2">
      <c r="B4143" s="2">
        <v>42115</v>
      </c>
      <c r="C4143" s="61">
        <v>11939.58</v>
      </c>
      <c r="D4143" s="3">
        <f t="shared" si="67"/>
        <v>4.0086075323475523E-3</v>
      </c>
    </row>
    <row r="4144" spans="2:4" x14ac:dyDescent="0.2">
      <c r="B4144" s="2">
        <v>42116</v>
      </c>
      <c r="C4144" s="61">
        <v>11867.37</v>
      </c>
      <c r="D4144" s="3">
        <f t="shared" si="67"/>
        <v>-6.0479514354775388E-3</v>
      </c>
    </row>
    <row r="4145" spans="2:4" x14ac:dyDescent="0.2">
      <c r="B4145" s="2">
        <v>42117</v>
      </c>
      <c r="C4145" s="61">
        <v>11723.58</v>
      </c>
      <c r="D4145" s="3">
        <f t="shared" si="67"/>
        <v>-1.2116416695527432E-2</v>
      </c>
    </row>
    <row r="4146" spans="2:4" x14ac:dyDescent="0.2">
      <c r="B4146" s="2">
        <v>42118</v>
      </c>
      <c r="C4146" s="61">
        <v>11810.85</v>
      </c>
      <c r="D4146" s="3">
        <f t="shared" si="67"/>
        <v>7.443971892544754E-3</v>
      </c>
    </row>
    <row r="4147" spans="2:4" x14ac:dyDescent="0.2">
      <c r="B4147" s="2">
        <v>42121</v>
      </c>
      <c r="C4147" s="61">
        <v>12039.16</v>
      </c>
      <c r="D4147" s="3">
        <f t="shared" si="67"/>
        <v>1.933053082546965E-2</v>
      </c>
    </row>
    <row r="4148" spans="2:4" x14ac:dyDescent="0.2">
      <c r="B4148" s="2">
        <v>42122</v>
      </c>
      <c r="C4148" s="61">
        <v>11811.66</v>
      </c>
      <c r="D4148" s="3">
        <f t="shared" si="67"/>
        <v>-1.8896667209340134E-2</v>
      </c>
    </row>
    <row r="4149" spans="2:4" x14ac:dyDescent="0.2">
      <c r="B4149" s="2">
        <v>42123</v>
      </c>
      <c r="C4149" s="61">
        <v>11432.72</v>
      </c>
      <c r="D4149" s="3">
        <f t="shared" si="67"/>
        <v>-3.2081858096152494E-2</v>
      </c>
    </row>
    <row r="4150" spans="2:4" x14ac:dyDescent="0.2">
      <c r="B4150" s="2">
        <v>42124</v>
      </c>
      <c r="C4150" s="61">
        <v>11454.38</v>
      </c>
      <c r="D4150" s="3">
        <f t="shared" si="67"/>
        <v>1.8945622738946177E-3</v>
      </c>
    </row>
    <row r="4151" spans="2:4" x14ac:dyDescent="0.2">
      <c r="B4151" s="2">
        <v>42128</v>
      </c>
      <c r="C4151" s="61">
        <v>11619.85</v>
      </c>
      <c r="D4151" s="3">
        <f t="shared" si="67"/>
        <v>1.4446002315271711E-2</v>
      </c>
    </row>
    <row r="4152" spans="2:4" x14ac:dyDescent="0.2">
      <c r="B4152" s="2">
        <v>42129</v>
      </c>
      <c r="C4152" s="61">
        <v>11327.68</v>
      </c>
      <c r="D4152" s="3">
        <f t="shared" si="67"/>
        <v>-2.5144042306914471E-2</v>
      </c>
    </row>
    <row r="4153" spans="2:4" x14ac:dyDescent="0.2">
      <c r="B4153" s="2">
        <v>42130</v>
      </c>
      <c r="C4153" s="61">
        <v>11350.15</v>
      </c>
      <c r="D4153" s="3">
        <f t="shared" si="67"/>
        <v>1.983636543405165E-3</v>
      </c>
    </row>
    <row r="4154" spans="2:4" x14ac:dyDescent="0.2">
      <c r="B4154" s="2">
        <v>42131</v>
      </c>
      <c r="C4154" s="61">
        <v>11407.97</v>
      </c>
      <c r="D4154" s="3">
        <f t="shared" si="67"/>
        <v>5.094205803447549E-3</v>
      </c>
    </row>
    <row r="4155" spans="2:4" x14ac:dyDescent="0.2">
      <c r="B4155" s="2">
        <v>42132</v>
      </c>
      <c r="C4155" s="61">
        <v>11709.73</v>
      </c>
      <c r="D4155" s="3">
        <f t="shared" si="67"/>
        <v>2.64516824641019E-2</v>
      </c>
    </row>
    <row r="4156" spans="2:4" x14ac:dyDescent="0.2">
      <c r="B4156" s="2">
        <v>42135</v>
      </c>
      <c r="C4156" s="61">
        <v>11673.35</v>
      </c>
      <c r="D4156" s="3">
        <f t="shared" si="67"/>
        <v>-3.1068180051972982E-3</v>
      </c>
    </row>
    <row r="4157" spans="2:4" x14ac:dyDescent="0.2">
      <c r="B4157" s="2">
        <v>42136</v>
      </c>
      <c r="C4157" s="61">
        <v>11472.41</v>
      </c>
      <c r="D4157" s="3">
        <f t="shared" si="67"/>
        <v>-1.7213567656242712E-2</v>
      </c>
    </row>
    <row r="4158" spans="2:4" x14ac:dyDescent="0.2">
      <c r="B4158" s="2">
        <v>42137</v>
      </c>
      <c r="C4158" s="61">
        <v>11351.46</v>
      </c>
      <c r="D4158" s="3">
        <f t="shared" si="67"/>
        <v>-1.0542684579787576E-2</v>
      </c>
    </row>
    <row r="4159" spans="2:4" x14ac:dyDescent="0.2">
      <c r="B4159" s="2">
        <v>42138</v>
      </c>
      <c r="C4159" s="61">
        <v>11559.82</v>
      </c>
      <c r="D4159" s="3">
        <f t="shared" si="67"/>
        <v>1.8355348122620407E-2</v>
      </c>
    </row>
    <row r="4160" spans="2:4" x14ac:dyDescent="0.2">
      <c r="B4160" s="2">
        <v>42139</v>
      </c>
      <c r="C4160" s="61">
        <v>11447.03</v>
      </c>
      <c r="D4160" s="3">
        <f t="shared" si="67"/>
        <v>-9.757072341956774E-3</v>
      </c>
    </row>
    <row r="4161" spans="2:4" x14ac:dyDescent="0.2">
      <c r="B4161" s="2">
        <v>42142</v>
      </c>
      <c r="C4161" s="61">
        <v>11594.28</v>
      </c>
      <c r="D4161" s="3">
        <f t="shared" si="67"/>
        <v>1.286359868018172E-2</v>
      </c>
    </row>
    <row r="4162" spans="2:4" x14ac:dyDescent="0.2">
      <c r="B4162" s="2">
        <v>42143</v>
      </c>
      <c r="C4162" s="61">
        <v>11853.33</v>
      </c>
      <c r="D4162" s="3">
        <f t="shared" si="67"/>
        <v>2.2342913919622287E-2</v>
      </c>
    </row>
    <row r="4163" spans="2:4" x14ac:dyDescent="0.2">
      <c r="B4163" s="2">
        <v>42144</v>
      </c>
      <c r="C4163" s="61">
        <v>11848.47</v>
      </c>
      <c r="D4163" s="3">
        <f t="shared" si="67"/>
        <v>-4.1001136389529069E-4</v>
      </c>
    </row>
    <row r="4164" spans="2:4" x14ac:dyDescent="0.2">
      <c r="B4164" s="2">
        <v>42145</v>
      </c>
      <c r="C4164" s="61">
        <v>11864.59</v>
      </c>
      <c r="D4164" s="3">
        <f t="shared" si="67"/>
        <v>1.3605132139424825E-3</v>
      </c>
    </row>
    <row r="4165" spans="2:4" x14ac:dyDescent="0.2">
      <c r="B4165" s="2">
        <v>42146</v>
      </c>
      <c r="C4165" s="61">
        <v>11815.01</v>
      </c>
      <c r="D4165" s="3">
        <f t="shared" ref="D4165:D4228" si="68">C4165/C4164-1</f>
        <v>-4.1788211813471587E-3</v>
      </c>
    </row>
    <row r="4166" spans="2:4" x14ac:dyDescent="0.2">
      <c r="B4166" s="2">
        <v>42149</v>
      </c>
      <c r="C4166" s="61">
        <v>11815.01</v>
      </c>
      <c r="D4166" s="3">
        <f t="shared" si="68"/>
        <v>0</v>
      </c>
    </row>
    <row r="4167" spans="2:4" x14ac:dyDescent="0.2">
      <c r="B4167" s="2">
        <v>42150</v>
      </c>
      <c r="C4167" s="61">
        <v>11625.13</v>
      </c>
      <c r="D4167" s="3">
        <f t="shared" si="68"/>
        <v>-1.6071082462054687E-2</v>
      </c>
    </row>
    <row r="4168" spans="2:4" x14ac:dyDescent="0.2">
      <c r="B4168" s="2">
        <v>42151</v>
      </c>
      <c r="C4168" s="61">
        <v>11771.13</v>
      </c>
      <c r="D4168" s="3">
        <f t="shared" si="68"/>
        <v>1.2558999340222421E-2</v>
      </c>
    </row>
    <row r="4169" spans="2:4" x14ac:dyDescent="0.2">
      <c r="B4169" s="2">
        <v>42152</v>
      </c>
      <c r="C4169" s="61">
        <v>11677.57</v>
      </c>
      <c r="D4169" s="3">
        <f t="shared" si="68"/>
        <v>-7.9482598527074177E-3</v>
      </c>
    </row>
    <row r="4170" spans="2:4" x14ac:dyDescent="0.2">
      <c r="B4170" s="2">
        <v>42153</v>
      </c>
      <c r="C4170" s="61">
        <v>11413.82</v>
      </c>
      <c r="D4170" s="3">
        <f t="shared" si="68"/>
        <v>-2.2586034594526128E-2</v>
      </c>
    </row>
    <row r="4171" spans="2:4" x14ac:dyDescent="0.2">
      <c r="B4171" s="2">
        <v>42156</v>
      </c>
      <c r="C4171" s="61">
        <v>11436.05</v>
      </c>
      <c r="D4171" s="3">
        <f t="shared" si="68"/>
        <v>1.9476389149293283E-3</v>
      </c>
    </row>
    <row r="4172" spans="2:4" x14ac:dyDescent="0.2">
      <c r="B4172" s="2">
        <v>42157</v>
      </c>
      <c r="C4172" s="61">
        <v>11328.8</v>
      </c>
      <c r="D4172" s="3">
        <f t="shared" si="68"/>
        <v>-9.3782381154332572E-3</v>
      </c>
    </row>
    <row r="4173" spans="2:4" x14ac:dyDescent="0.2">
      <c r="B4173" s="2">
        <v>42158</v>
      </c>
      <c r="C4173" s="61">
        <v>11419.62</v>
      </c>
      <c r="D4173" s="3">
        <f t="shared" si="68"/>
        <v>8.016736106207345E-3</v>
      </c>
    </row>
    <row r="4174" spans="2:4" x14ac:dyDescent="0.2">
      <c r="B4174" s="2">
        <v>42159</v>
      </c>
      <c r="C4174" s="61">
        <v>11340.6</v>
      </c>
      <c r="D4174" s="3">
        <f t="shared" si="68"/>
        <v>-6.9196698313954697E-3</v>
      </c>
    </row>
    <row r="4175" spans="2:4" x14ac:dyDescent="0.2">
      <c r="B4175" s="2">
        <v>42160</v>
      </c>
      <c r="C4175" s="61">
        <v>11197.15</v>
      </c>
      <c r="D4175" s="3">
        <f t="shared" si="68"/>
        <v>-1.2649242544486294E-2</v>
      </c>
    </row>
    <row r="4176" spans="2:4" x14ac:dyDescent="0.2">
      <c r="B4176" s="2">
        <v>42163</v>
      </c>
      <c r="C4176" s="61">
        <v>11064.92</v>
      </c>
      <c r="D4176" s="3">
        <f t="shared" si="68"/>
        <v>-1.1809255033646937E-2</v>
      </c>
    </row>
    <row r="4177" spans="2:4" x14ac:dyDescent="0.2">
      <c r="B4177" s="2">
        <v>42164</v>
      </c>
      <c r="C4177" s="61">
        <v>11001.29</v>
      </c>
      <c r="D4177" s="3">
        <f t="shared" si="68"/>
        <v>-5.7506064210133268E-3</v>
      </c>
    </row>
    <row r="4178" spans="2:4" x14ac:dyDescent="0.2">
      <c r="B4178" s="2">
        <v>42165</v>
      </c>
      <c r="C4178" s="61">
        <v>11265.39</v>
      </c>
      <c r="D4178" s="3">
        <f t="shared" si="68"/>
        <v>2.400627562767621E-2</v>
      </c>
    </row>
    <row r="4179" spans="2:4" x14ac:dyDescent="0.2">
      <c r="B4179" s="2">
        <v>42166</v>
      </c>
      <c r="C4179" s="61">
        <v>11332.78</v>
      </c>
      <c r="D4179" s="3">
        <f t="shared" si="68"/>
        <v>5.9820387931532881E-3</v>
      </c>
    </row>
    <row r="4180" spans="2:4" x14ac:dyDescent="0.2">
      <c r="B4180" s="2">
        <v>42167</v>
      </c>
      <c r="C4180" s="61">
        <v>11196.49</v>
      </c>
      <c r="D4180" s="3">
        <f t="shared" si="68"/>
        <v>-1.2026175395622341E-2</v>
      </c>
    </row>
    <row r="4181" spans="2:4" x14ac:dyDescent="0.2">
      <c r="B4181" s="2">
        <v>42170</v>
      </c>
      <c r="C4181" s="61">
        <v>10984.97</v>
      </c>
      <c r="D4181" s="3">
        <f t="shared" si="68"/>
        <v>-1.889163478911704E-2</v>
      </c>
    </row>
    <row r="4182" spans="2:4" x14ac:dyDescent="0.2">
      <c r="B4182" s="2">
        <v>42171</v>
      </c>
      <c r="C4182" s="61">
        <v>11044.01</v>
      </c>
      <c r="D4182" s="3">
        <f t="shared" si="68"/>
        <v>5.374616407691768E-3</v>
      </c>
    </row>
    <row r="4183" spans="2:4" x14ac:dyDescent="0.2">
      <c r="B4183" s="2">
        <v>42172</v>
      </c>
      <c r="C4183" s="61">
        <v>10978.01</v>
      </c>
      <c r="D4183" s="3">
        <f t="shared" si="68"/>
        <v>-5.9760902063652477E-3</v>
      </c>
    </row>
    <row r="4184" spans="2:4" x14ac:dyDescent="0.2">
      <c r="B4184" s="2">
        <v>42173</v>
      </c>
      <c r="C4184" s="61">
        <v>11100.3</v>
      </c>
      <c r="D4184" s="3">
        <f t="shared" si="68"/>
        <v>1.113954168378406E-2</v>
      </c>
    </row>
    <row r="4185" spans="2:4" x14ac:dyDescent="0.2">
      <c r="B4185" s="2">
        <v>42174</v>
      </c>
      <c r="C4185" s="61">
        <v>11040.1</v>
      </c>
      <c r="D4185" s="3">
        <f t="shared" si="68"/>
        <v>-5.423276848373404E-3</v>
      </c>
    </row>
    <row r="4186" spans="2:4" x14ac:dyDescent="0.2">
      <c r="B4186" s="2">
        <v>42177</v>
      </c>
      <c r="C4186" s="61">
        <v>11460.5</v>
      </c>
      <c r="D4186" s="3">
        <f t="shared" si="68"/>
        <v>3.8079365223141037E-2</v>
      </c>
    </row>
    <row r="4187" spans="2:4" x14ac:dyDescent="0.2">
      <c r="B4187" s="2">
        <v>42178</v>
      </c>
      <c r="C4187" s="61">
        <v>11542.54</v>
      </c>
      <c r="D4187" s="3">
        <f t="shared" si="68"/>
        <v>7.1585009380046305E-3</v>
      </c>
    </row>
    <row r="4188" spans="2:4" x14ac:dyDescent="0.2">
      <c r="B4188" s="2">
        <v>42179</v>
      </c>
      <c r="C4188" s="61">
        <v>11471.26</v>
      </c>
      <c r="D4188" s="3">
        <f t="shared" si="68"/>
        <v>-6.17541719586856E-3</v>
      </c>
    </row>
    <row r="4189" spans="2:4" x14ac:dyDescent="0.2">
      <c r="B4189" s="2">
        <v>42180</v>
      </c>
      <c r="C4189" s="61">
        <v>11473.13</v>
      </c>
      <c r="D4189" s="3">
        <f t="shared" si="68"/>
        <v>1.6301609413438278E-4</v>
      </c>
    </row>
    <row r="4190" spans="2:4" x14ac:dyDescent="0.2">
      <c r="B4190" s="2">
        <v>42181</v>
      </c>
      <c r="C4190" s="61">
        <v>11492.43</v>
      </c>
      <c r="D4190" s="3">
        <f t="shared" si="68"/>
        <v>1.6821913462150562E-3</v>
      </c>
    </row>
    <row r="4191" spans="2:4" x14ac:dyDescent="0.2">
      <c r="B4191" s="2">
        <v>42184</v>
      </c>
      <c r="C4191" s="61">
        <v>11083.2</v>
      </c>
      <c r="D4191" s="3">
        <f t="shared" si="68"/>
        <v>-3.5608657176941616E-2</v>
      </c>
    </row>
    <row r="4192" spans="2:4" x14ac:dyDescent="0.2">
      <c r="B4192" s="2">
        <v>42185</v>
      </c>
      <c r="C4192" s="61">
        <v>10944.97</v>
      </c>
      <c r="D4192" s="3">
        <f t="shared" si="68"/>
        <v>-1.247202973870376E-2</v>
      </c>
    </row>
    <row r="4193" spans="2:4" x14ac:dyDescent="0.2">
      <c r="B4193" s="2">
        <v>42186</v>
      </c>
      <c r="C4193" s="61">
        <v>11180.5</v>
      </c>
      <c r="D4193" s="3">
        <f t="shared" si="68"/>
        <v>2.1519474242505998E-2</v>
      </c>
    </row>
    <row r="4194" spans="2:4" x14ac:dyDescent="0.2">
      <c r="B4194" s="2">
        <v>42187</v>
      </c>
      <c r="C4194" s="61">
        <v>11099.35</v>
      </c>
      <c r="D4194" s="3">
        <f t="shared" si="68"/>
        <v>-7.2581727114171546E-3</v>
      </c>
    </row>
    <row r="4195" spans="2:4" x14ac:dyDescent="0.2">
      <c r="B4195" s="2">
        <v>42188</v>
      </c>
      <c r="C4195" s="61">
        <v>11058.39</v>
      </c>
      <c r="D4195" s="3">
        <f t="shared" si="68"/>
        <v>-3.6903061891012667E-3</v>
      </c>
    </row>
    <row r="4196" spans="2:4" x14ac:dyDescent="0.2">
      <c r="B4196" s="2">
        <v>42191</v>
      </c>
      <c r="C4196" s="61">
        <v>10890.63</v>
      </c>
      <c r="D4196" s="3">
        <f t="shared" si="68"/>
        <v>-1.5170381945292188E-2</v>
      </c>
    </row>
    <row r="4197" spans="2:4" x14ac:dyDescent="0.2">
      <c r="B4197" s="2">
        <v>42192</v>
      </c>
      <c r="C4197" s="61">
        <v>10676.78</v>
      </c>
      <c r="D4197" s="3">
        <f t="shared" si="68"/>
        <v>-1.9636145934624372E-2</v>
      </c>
    </row>
    <row r="4198" spans="2:4" x14ac:dyDescent="0.2">
      <c r="B4198" s="2">
        <v>42193</v>
      </c>
      <c r="C4198" s="61">
        <v>10747.3</v>
      </c>
      <c r="D4198" s="3">
        <f t="shared" si="68"/>
        <v>6.6049876460878565E-3</v>
      </c>
    </row>
    <row r="4199" spans="2:4" x14ac:dyDescent="0.2">
      <c r="B4199" s="2">
        <v>42194</v>
      </c>
      <c r="C4199" s="61">
        <v>10996.41</v>
      </c>
      <c r="D4199" s="3">
        <f t="shared" si="68"/>
        <v>2.3178844919188979E-2</v>
      </c>
    </row>
    <row r="4200" spans="2:4" x14ac:dyDescent="0.2">
      <c r="B4200" s="2">
        <v>42195</v>
      </c>
      <c r="C4200" s="61">
        <v>11315.63</v>
      </c>
      <c r="D4200" s="3">
        <f t="shared" si="68"/>
        <v>2.9029474164750102E-2</v>
      </c>
    </row>
    <row r="4201" spans="2:4" x14ac:dyDescent="0.2">
      <c r="B4201" s="2">
        <v>42198</v>
      </c>
      <c r="C4201" s="61">
        <v>11484.38</v>
      </c>
      <c r="D4201" s="3">
        <f t="shared" si="68"/>
        <v>1.4913000866942472E-2</v>
      </c>
    </row>
    <row r="4202" spans="2:4" x14ac:dyDescent="0.2">
      <c r="B4202" s="2">
        <v>42199</v>
      </c>
      <c r="C4202" s="61">
        <v>11516.9</v>
      </c>
      <c r="D4202" s="3">
        <f t="shared" si="68"/>
        <v>2.8316722365508973E-3</v>
      </c>
    </row>
    <row r="4203" spans="2:4" x14ac:dyDescent="0.2">
      <c r="B4203" s="2">
        <v>42200</v>
      </c>
      <c r="C4203" s="61">
        <v>11539.66</v>
      </c>
      <c r="D4203" s="3">
        <f t="shared" si="68"/>
        <v>1.9762262414364518E-3</v>
      </c>
    </row>
    <row r="4204" spans="2:4" x14ac:dyDescent="0.2">
      <c r="B4204" s="2">
        <v>42201</v>
      </c>
      <c r="C4204" s="61">
        <v>11716.76</v>
      </c>
      <c r="D4204" s="3">
        <f t="shared" si="68"/>
        <v>1.5347072617390767E-2</v>
      </c>
    </row>
    <row r="4205" spans="2:4" x14ac:dyDescent="0.2">
      <c r="B4205" s="2">
        <v>42202</v>
      </c>
      <c r="C4205" s="61">
        <v>11673.42</v>
      </c>
      <c r="D4205" s="3">
        <f t="shared" si="68"/>
        <v>-3.6989748019077284E-3</v>
      </c>
    </row>
    <row r="4206" spans="2:4" x14ac:dyDescent="0.2">
      <c r="B4206" s="2">
        <v>42205</v>
      </c>
      <c r="C4206" s="61">
        <v>11735.72</v>
      </c>
      <c r="D4206" s="3">
        <f t="shared" si="68"/>
        <v>5.3369106911256292E-3</v>
      </c>
    </row>
    <row r="4207" spans="2:4" x14ac:dyDescent="0.2">
      <c r="B4207" s="2">
        <v>42206</v>
      </c>
      <c r="C4207" s="61">
        <v>11604.8</v>
      </c>
      <c r="D4207" s="3">
        <f t="shared" si="68"/>
        <v>-1.1155685377633451E-2</v>
      </c>
    </row>
    <row r="4208" spans="2:4" x14ac:dyDescent="0.2">
      <c r="B4208" s="2">
        <v>42207</v>
      </c>
      <c r="C4208" s="61">
        <v>11520.67</v>
      </c>
      <c r="D4208" s="3">
        <f t="shared" si="68"/>
        <v>-7.2495863780503988E-3</v>
      </c>
    </row>
    <row r="4209" spans="2:4" x14ac:dyDescent="0.2">
      <c r="B4209" s="2">
        <v>42208</v>
      </c>
      <c r="C4209" s="61">
        <v>11512.11</v>
      </c>
      <c r="D4209" s="3">
        <f t="shared" si="68"/>
        <v>-7.4301234216411771E-4</v>
      </c>
    </row>
    <row r="4210" spans="2:4" x14ac:dyDescent="0.2">
      <c r="B4210" s="2">
        <v>42209</v>
      </c>
      <c r="C4210" s="61">
        <v>11347.45</v>
      </c>
      <c r="D4210" s="3">
        <f t="shared" si="68"/>
        <v>-1.430319897916188E-2</v>
      </c>
    </row>
    <row r="4211" spans="2:4" x14ac:dyDescent="0.2">
      <c r="B4211" s="2">
        <v>42212</v>
      </c>
      <c r="C4211" s="61">
        <v>11056.4</v>
      </c>
      <c r="D4211" s="3">
        <f t="shared" si="68"/>
        <v>-2.5648934342076934E-2</v>
      </c>
    </row>
    <row r="4212" spans="2:4" x14ac:dyDescent="0.2">
      <c r="B4212" s="2">
        <v>42213</v>
      </c>
      <c r="C4212" s="61">
        <v>11173.91</v>
      </c>
      <c r="D4212" s="3">
        <f t="shared" si="68"/>
        <v>1.0628233421366762E-2</v>
      </c>
    </row>
    <row r="4213" spans="2:4" x14ac:dyDescent="0.2">
      <c r="B4213" s="2">
        <v>42214</v>
      </c>
      <c r="C4213" s="61">
        <v>11211.85</v>
      </c>
      <c r="D4213" s="3">
        <f t="shared" si="68"/>
        <v>3.3954094851309513E-3</v>
      </c>
    </row>
    <row r="4214" spans="2:4" x14ac:dyDescent="0.2">
      <c r="B4214" s="2">
        <v>42215</v>
      </c>
      <c r="C4214" s="61">
        <v>11257.15</v>
      </c>
      <c r="D4214" s="3">
        <f t="shared" si="68"/>
        <v>4.0403680034961642E-3</v>
      </c>
    </row>
    <row r="4215" spans="2:4" x14ac:dyDescent="0.2">
      <c r="B4215" s="2">
        <v>42216</v>
      </c>
      <c r="C4215" s="61">
        <v>11308.99</v>
      </c>
      <c r="D4215" s="3">
        <f t="shared" si="68"/>
        <v>4.6050732201312616E-3</v>
      </c>
    </row>
    <row r="4216" spans="2:4" x14ac:dyDescent="0.2">
      <c r="B4216" s="2">
        <v>42219</v>
      </c>
      <c r="C4216" s="61">
        <v>11443.72</v>
      </c>
      <c r="D4216" s="3">
        <f t="shared" si="68"/>
        <v>1.1913530739703582E-2</v>
      </c>
    </row>
    <row r="4217" spans="2:4" x14ac:dyDescent="0.2">
      <c r="B4217" s="2">
        <v>42220</v>
      </c>
      <c r="C4217" s="61">
        <v>11456.07</v>
      </c>
      <c r="D4217" s="3">
        <f t="shared" si="68"/>
        <v>1.079194527653593E-3</v>
      </c>
    </row>
    <row r="4218" spans="2:4" x14ac:dyDescent="0.2">
      <c r="B4218" s="2">
        <v>42221</v>
      </c>
      <c r="C4218" s="61">
        <v>11636.3</v>
      </c>
      <c r="D4218" s="3">
        <f t="shared" si="68"/>
        <v>1.5732271188985347E-2</v>
      </c>
    </row>
    <row r="4219" spans="2:4" x14ac:dyDescent="0.2">
      <c r="B4219" s="2">
        <v>42222</v>
      </c>
      <c r="C4219" s="61">
        <v>11585.1</v>
      </c>
      <c r="D4219" s="3">
        <f t="shared" si="68"/>
        <v>-4.4000240626315135E-3</v>
      </c>
    </row>
    <row r="4220" spans="2:4" x14ac:dyDescent="0.2">
      <c r="B4220" s="2">
        <v>42223</v>
      </c>
      <c r="C4220" s="61">
        <v>11490.83</v>
      </c>
      <c r="D4220" s="3">
        <f t="shared" si="68"/>
        <v>-8.1371762004643911E-3</v>
      </c>
    </row>
    <row r="4221" spans="2:4" x14ac:dyDescent="0.2">
      <c r="B4221" s="2">
        <v>42226</v>
      </c>
      <c r="C4221" s="61">
        <v>11604.78</v>
      </c>
      <c r="D4221" s="3">
        <f t="shared" si="68"/>
        <v>9.9166030652269033E-3</v>
      </c>
    </row>
    <row r="4222" spans="2:4" x14ac:dyDescent="0.2">
      <c r="B4222" s="2">
        <v>42227</v>
      </c>
      <c r="C4222" s="61">
        <v>11293.65</v>
      </c>
      <c r="D4222" s="3">
        <f t="shared" si="68"/>
        <v>-2.6810503947511388E-2</v>
      </c>
    </row>
    <row r="4223" spans="2:4" x14ac:dyDescent="0.2">
      <c r="B4223" s="2">
        <v>42228</v>
      </c>
      <c r="C4223" s="61">
        <v>10924.61</v>
      </c>
      <c r="D4223" s="3">
        <f t="shared" si="68"/>
        <v>-3.2676769689161556E-2</v>
      </c>
    </row>
    <row r="4224" spans="2:4" x14ac:dyDescent="0.2">
      <c r="B4224" s="2">
        <v>42229</v>
      </c>
      <c r="C4224" s="61">
        <v>11014.63</v>
      </c>
      <c r="D4224" s="3">
        <f t="shared" si="68"/>
        <v>8.2401110886336504E-3</v>
      </c>
    </row>
    <row r="4225" spans="2:4" x14ac:dyDescent="0.2">
      <c r="B4225" s="2">
        <v>42230</v>
      </c>
      <c r="C4225" s="61">
        <v>10985.14</v>
      </c>
      <c r="D4225" s="3">
        <f t="shared" si="68"/>
        <v>-2.6773482177794294E-3</v>
      </c>
    </row>
    <row r="4226" spans="2:4" x14ac:dyDescent="0.2">
      <c r="B4226" s="2">
        <v>42233</v>
      </c>
      <c r="C4226" s="61">
        <v>10940.33</v>
      </c>
      <c r="D4226" s="3">
        <f t="shared" si="68"/>
        <v>-4.0791469202940966E-3</v>
      </c>
    </row>
    <row r="4227" spans="2:4" x14ac:dyDescent="0.2">
      <c r="B4227" s="2">
        <v>42234</v>
      </c>
      <c r="C4227" s="61">
        <v>10915.92</v>
      </c>
      <c r="D4227" s="3">
        <f t="shared" si="68"/>
        <v>-2.2311941230291898E-3</v>
      </c>
    </row>
    <row r="4228" spans="2:4" x14ac:dyDescent="0.2">
      <c r="B4228" s="2">
        <v>42235</v>
      </c>
      <c r="C4228" s="61">
        <v>10682.15</v>
      </c>
      <c r="D4228" s="3">
        <f t="shared" si="68"/>
        <v>-2.1415510557058037E-2</v>
      </c>
    </row>
    <row r="4229" spans="2:4" x14ac:dyDescent="0.2">
      <c r="B4229" s="2">
        <v>42236</v>
      </c>
      <c r="C4229" s="61">
        <v>10432.19</v>
      </c>
      <c r="D4229" s="3">
        <f t="shared" ref="D4229:D4292" si="69">C4229/C4228-1</f>
        <v>-2.3399783751398284E-2</v>
      </c>
    </row>
    <row r="4230" spans="2:4" x14ac:dyDescent="0.2">
      <c r="B4230" s="2">
        <v>42237</v>
      </c>
      <c r="C4230" s="61">
        <v>10124.52</v>
      </c>
      <c r="D4230" s="3">
        <f t="shared" si="69"/>
        <v>-2.949236929158694E-2</v>
      </c>
    </row>
    <row r="4231" spans="2:4" x14ac:dyDescent="0.2">
      <c r="B4231" s="2">
        <v>42240</v>
      </c>
      <c r="C4231" s="61">
        <v>9648.43</v>
      </c>
      <c r="D4231" s="3">
        <f t="shared" si="69"/>
        <v>-4.7023463828408718E-2</v>
      </c>
    </row>
    <row r="4232" spans="2:4" x14ac:dyDescent="0.2">
      <c r="B4232" s="2">
        <v>42241</v>
      </c>
      <c r="C4232" s="61">
        <v>10128.120000000001</v>
      </c>
      <c r="D4232" s="3">
        <f t="shared" si="69"/>
        <v>4.9716896945928069E-2</v>
      </c>
    </row>
    <row r="4233" spans="2:4" x14ac:dyDescent="0.2">
      <c r="B4233" s="2">
        <v>42242</v>
      </c>
      <c r="C4233" s="61">
        <v>9997.43</v>
      </c>
      <c r="D4233" s="3">
        <f t="shared" si="69"/>
        <v>-1.2903678076484182E-2</v>
      </c>
    </row>
    <row r="4234" spans="2:4" x14ac:dyDescent="0.2">
      <c r="B4234" s="2">
        <v>42243</v>
      </c>
      <c r="C4234" s="61">
        <v>10315.620000000001</v>
      </c>
      <c r="D4234" s="3">
        <f t="shared" si="69"/>
        <v>3.1827179585153464E-2</v>
      </c>
    </row>
    <row r="4235" spans="2:4" x14ac:dyDescent="0.2">
      <c r="B4235" s="2">
        <v>42244</v>
      </c>
      <c r="C4235" s="61">
        <v>10298.530000000001</v>
      </c>
      <c r="D4235" s="3">
        <f t="shared" si="69"/>
        <v>-1.6567108908626116E-3</v>
      </c>
    </row>
    <row r="4236" spans="2:4" x14ac:dyDescent="0.2">
      <c r="B4236" s="2">
        <v>42247</v>
      </c>
      <c r="C4236" s="61">
        <v>10259.459999999999</v>
      </c>
      <c r="D4236" s="3">
        <f t="shared" si="69"/>
        <v>-3.7937453209343497E-3</v>
      </c>
    </row>
    <row r="4237" spans="2:4" x14ac:dyDescent="0.2">
      <c r="B4237" s="2">
        <v>42248</v>
      </c>
      <c r="C4237" s="61">
        <v>10015.57</v>
      </c>
      <c r="D4237" s="3">
        <f t="shared" si="69"/>
        <v>-2.3772206334446433E-2</v>
      </c>
    </row>
    <row r="4238" spans="2:4" x14ac:dyDescent="0.2">
      <c r="B4238" s="2">
        <v>42249</v>
      </c>
      <c r="C4238" s="61">
        <v>10048.049999999999</v>
      </c>
      <c r="D4238" s="3">
        <f t="shared" si="69"/>
        <v>3.2429507257201173E-3</v>
      </c>
    </row>
    <row r="4239" spans="2:4" x14ac:dyDescent="0.2">
      <c r="B4239" s="2">
        <v>42250</v>
      </c>
      <c r="C4239" s="61">
        <v>10317.84</v>
      </c>
      <c r="D4239" s="3">
        <f t="shared" si="69"/>
        <v>2.6849985818143907E-2</v>
      </c>
    </row>
    <row r="4240" spans="2:4" x14ac:dyDescent="0.2">
      <c r="B4240" s="2">
        <v>42251</v>
      </c>
      <c r="C4240" s="61">
        <v>10038.040000000001</v>
      </c>
      <c r="D4240" s="3">
        <f t="shared" si="69"/>
        <v>-2.7118078977770521E-2</v>
      </c>
    </row>
    <row r="4241" spans="2:4" x14ac:dyDescent="0.2">
      <c r="B4241" s="2">
        <v>42254</v>
      </c>
      <c r="C4241" s="61">
        <v>10108.61</v>
      </c>
      <c r="D4241" s="3">
        <f t="shared" si="69"/>
        <v>7.0302569027418382E-3</v>
      </c>
    </row>
    <row r="4242" spans="2:4" x14ac:dyDescent="0.2">
      <c r="B4242" s="2">
        <v>42255</v>
      </c>
      <c r="C4242" s="61">
        <v>10271.36</v>
      </c>
      <c r="D4242" s="3">
        <f t="shared" si="69"/>
        <v>1.6100136418360167E-2</v>
      </c>
    </row>
    <row r="4243" spans="2:4" x14ac:dyDescent="0.2">
      <c r="B4243" s="2">
        <v>42256</v>
      </c>
      <c r="C4243" s="61">
        <v>10303.120000000001</v>
      </c>
      <c r="D4243" s="3">
        <f t="shared" si="69"/>
        <v>3.0920929652937801E-3</v>
      </c>
    </row>
    <row r="4244" spans="2:4" x14ac:dyDescent="0.2">
      <c r="B4244" s="2">
        <v>42257</v>
      </c>
      <c r="C4244" s="61">
        <v>10210.44</v>
      </c>
      <c r="D4244" s="3">
        <f t="shared" si="69"/>
        <v>-8.9953334523911188E-3</v>
      </c>
    </row>
    <row r="4245" spans="2:4" x14ac:dyDescent="0.2">
      <c r="B4245" s="2">
        <v>42258</v>
      </c>
      <c r="C4245" s="61">
        <v>10123.56</v>
      </c>
      <c r="D4245" s="3">
        <f t="shared" si="69"/>
        <v>-8.5089379106092489E-3</v>
      </c>
    </row>
    <row r="4246" spans="2:4" x14ac:dyDescent="0.2">
      <c r="B4246" s="2">
        <v>42261</v>
      </c>
      <c r="C4246" s="61">
        <v>10131.74</v>
      </c>
      <c r="D4246" s="3">
        <f t="shared" si="69"/>
        <v>8.0801615242065417E-4</v>
      </c>
    </row>
    <row r="4247" spans="2:4" x14ac:dyDescent="0.2">
      <c r="B4247" s="2">
        <v>42262</v>
      </c>
      <c r="C4247" s="61">
        <v>10188.129999999999</v>
      </c>
      <c r="D4247" s="3">
        <f t="shared" si="69"/>
        <v>5.5656777611743369E-3</v>
      </c>
    </row>
    <row r="4248" spans="2:4" x14ac:dyDescent="0.2">
      <c r="B4248" s="2">
        <v>42263</v>
      </c>
      <c r="C4248" s="61">
        <v>10227.209999999999</v>
      </c>
      <c r="D4248" s="3">
        <f t="shared" si="69"/>
        <v>3.8358364096258146E-3</v>
      </c>
    </row>
    <row r="4249" spans="2:4" x14ac:dyDescent="0.2">
      <c r="B4249" s="2">
        <v>42264</v>
      </c>
      <c r="C4249" s="61">
        <v>10229.58</v>
      </c>
      <c r="D4249" s="3">
        <f t="shared" si="69"/>
        <v>2.3173475463988957E-4</v>
      </c>
    </row>
    <row r="4250" spans="2:4" x14ac:dyDescent="0.2">
      <c r="B4250" s="2">
        <v>42265</v>
      </c>
      <c r="C4250" s="61">
        <v>9916.16</v>
      </c>
      <c r="D4250" s="3">
        <f t="shared" si="69"/>
        <v>-3.0638599043167014E-2</v>
      </c>
    </row>
    <row r="4251" spans="2:4" x14ac:dyDescent="0.2">
      <c r="B4251" s="2">
        <v>42268</v>
      </c>
      <c r="C4251" s="61">
        <v>9948.51</v>
      </c>
      <c r="D4251" s="3">
        <f t="shared" si="69"/>
        <v>3.2623515554408566E-3</v>
      </c>
    </row>
    <row r="4252" spans="2:4" x14ac:dyDescent="0.2">
      <c r="B4252" s="2">
        <v>42269</v>
      </c>
      <c r="C4252" s="61">
        <v>9570.66</v>
      </c>
      <c r="D4252" s="3">
        <f t="shared" si="69"/>
        <v>-3.7980561913291577E-2</v>
      </c>
    </row>
    <row r="4253" spans="2:4" x14ac:dyDescent="0.2">
      <c r="B4253" s="2">
        <v>42270</v>
      </c>
      <c r="C4253" s="61">
        <v>9612.6200000000008</v>
      </c>
      <c r="D4253" s="3">
        <f t="shared" si="69"/>
        <v>4.3842326443528368E-3</v>
      </c>
    </row>
    <row r="4254" spans="2:4" x14ac:dyDescent="0.2">
      <c r="B4254" s="2">
        <v>42271</v>
      </c>
      <c r="C4254" s="61">
        <v>9427.64</v>
      </c>
      <c r="D4254" s="3">
        <f t="shared" si="69"/>
        <v>-1.9243452877571454E-2</v>
      </c>
    </row>
    <row r="4255" spans="2:4" x14ac:dyDescent="0.2">
      <c r="B4255" s="2">
        <v>42272</v>
      </c>
      <c r="C4255" s="61">
        <v>9688.5300000000007</v>
      </c>
      <c r="D4255" s="3">
        <f t="shared" si="69"/>
        <v>2.7672885260786595E-2</v>
      </c>
    </row>
    <row r="4256" spans="2:4" x14ac:dyDescent="0.2">
      <c r="B4256" s="2">
        <v>42275</v>
      </c>
      <c r="C4256" s="61">
        <v>9483.5499999999993</v>
      </c>
      <c r="D4256" s="3">
        <f t="shared" si="69"/>
        <v>-2.1156976342128431E-2</v>
      </c>
    </row>
    <row r="4257" spans="2:4" x14ac:dyDescent="0.2">
      <c r="B4257" s="2">
        <v>42276</v>
      </c>
      <c r="C4257" s="61">
        <v>9450.4</v>
      </c>
      <c r="D4257" s="3">
        <f t="shared" si="69"/>
        <v>-3.4955264642458905E-3</v>
      </c>
    </row>
    <row r="4258" spans="2:4" x14ac:dyDescent="0.2">
      <c r="B4258" s="2">
        <v>42277</v>
      </c>
      <c r="C4258" s="61">
        <v>9660.44</v>
      </c>
      <c r="D4258" s="3">
        <f t="shared" si="69"/>
        <v>2.22255142639467E-2</v>
      </c>
    </row>
    <row r="4259" spans="2:4" x14ac:dyDescent="0.2">
      <c r="B4259" s="2">
        <v>42278</v>
      </c>
      <c r="C4259" s="61">
        <v>9509.25</v>
      </c>
      <c r="D4259" s="3">
        <f t="shared" si="69"/>
        <v>-1.5650425860519901E-2</v>
      </c>
    </row>
    <row r="4260" spans="2:4" x14ac:dyDescent="0.2">
      <c r="B4260" s="2">
        <v>42279</v>
      </c>
      <c r="C4260" s="61">
        <v>9553.07</v>
      </c>
      <c r="D4260" s="3">
        <f t="shared" si="69"/>
        <v>4.608144701211847E-3</v>
      </c>
    </row>
    <row r="4261" spans="2:4" x14ac:dyDescent="0.2">
      <c r="B4261" s="2">
        <v>42282</v>
      </c>
      <c r="C4261" s="61">
        <v>9814.7900000000009</v>
      </c>
      <c r="D4261" s="3">
        <f t="shared" si="69"/>
        <v>2.7396428582644239E-2</v>
      </c>
    </row>
    <row r="4262" spans="2:4" x14ac:dyDescent="0.2">
      <c r="B4262" s="2">
        <v>42283</v>
      </c>
      <c r="C4262" s="61">
        <v>9902.83</v>
      </c>
      <c r="D4262" s="3">
        <f t="shared" si="69"/>
        <v>8.9701358867586567E-3</v>
      </c>
    </row>
    <row r="4263" spans="2:4" x14ac:dyDescent="0.2">
      <c r="B4263" s="2">
        <v>42284</v>
      </c>
      <c r="C4263" s="61">
        <v>9970.4</v>
      </c>
      <c r="D4263" s="3">
        <f t="shared" si="69"/>
        <v>6.8233020257846277E-3</v>
      </c>
    </row>
    <row r="4264" spans="2:4" x14ac:dyDescent="0.2">
      <c r="B4264" s="2">
        <v>42285</v>
      </c>
      <c r="C4264" s="61">
        <v>9993.07</v>
      </c>
      <c r="D4264" s="3">
        <f t="shared" si="69"/>
        <v>2.273730241514782E-3</v>
      </c>
    </row>
    <row r="4265" spans="2:4" x14ac:dyDescent="0.2">
      <c r="B4265" s="2">
        <v>42286</v>
      </c>
      <c r="C4265" s="61">
        <v>10096.6</v>
      </c>
      <c r="D4265" s="3">
        <f t="shared" si="69"/>
        <v>1.0360179604465891E-2</v>
      </c>
    </row>
    <row r="4266" spans="2:4" x14ac:dyDescent="0.2">
      <c r="B4266" s="2">
        <v>42289</v>
      </c>
      <c r="C4266" s="61">
        <v>10119.83</v>
      </c>
      <c r="D4266" s="3">
        <f t="shared" si="69"/>
        <v>2.3007745181546913E-3</v>
      </c>
    </row>
    <row r="4267" spans="2:4" x14ac:dyDescent="0.2">
      <c r="B4267" s="2">
        <v>42290</v>
      </c>
      <c r="C4267" s="61">
        <v>10032.82</v>
      </c>
      <c r="D4267" s="3">
        <f t="shared" si="69"/>
        <v>-8.5979705192675837E-3</v>
      </c>
    </row>
    <row r="4268" spans="2:4" x14ac:dyDescent="0.2">
      <c r="B4268" s="2">
        <v>42291</v>
      </c>
      <c r="C4268" s="61">
        <v>9915.85</v>
      </c>
      <c r="D4268" s="3">
        <f t="shared" si="69"/>
        <v>-1.1658736028354877E-2</v>
      </c>
    </row>
    <row r="4269" spans="2:4" x14ac:dyDescent="0.2">
      <c r="B4269" s="2">
        <v>42292</v>
      </c>
      <c r="C4269" s="61">
        <v>10064.799999999999</v>
      </c>
      <c r="D4269" s="3">
        <f t="shared" si="69"/>
        <v>1.5021405124119314E-2</v>
      </c>
    </row>
    <row r="4270" spans="2:4" x14ac:dyDescent="0.2">
      <c r="B4270" s="2">
        <v>42293</v>
      </c>
      <c r="C4270" s="61">
        <v>10104.43</v>
      </c>
      <c r="D4270" s="3">
        <f t="shared" si="69"/>
        <v>3.9374850965743224E-3</v>
      </c>
    </row>
    <row r="4271" spans="2:4" x14ac:dyDescent="0.2">
      <c r="B4271" s="2">
        <v>42296</v>
      </c>
      <c r="C4271" s="61">
        <v>10164.31</v>
      </c>
      <c r="D4271" s="3">
        <f t="shared" si="69"/>
        <v>5.9261135957198174E-3</v>
      </c>
    </row>
    <row r="4272" spans="2:4" x14ac:dyDescent="0.2">
      <c r="B4272" s="2">
        <v>42297</v>
      </c>
      <c r="C4272" s="61">
        <v>10147.68</v>
      </c>
      <c r="D4272" s="3">
        <f t="shared" si="69"/>
        <v>-1.6361169621941229E-3</v>
      </c>
    </row>
    <row r="4273" spans="2:4" x14ac:dyDescent="0.2">
      <c r="B4273" s="2">
        <v>42298</v>
      </c>
      <c r="C4273" s="61">
        <v>10238.1</v>
      </c>
      <c r="D4273" s="3">
        <f t="shared" si="69"/>
        <v>8.9104110496192046E-3</v>
      </c>
    </row>
    <row r="4274" spans="2:4" x14ac:dyDescent="0.2">
      <c r="B4274" s="2">
        <v>42299</v>
      </c>
      <c r="C4274" s="61">
        <v>10491.97</v>
      </c>
      <c r="D4274" s="3">
        <f t="shared" si="69"/>
        <v>2.479659311786353E-2</v>
      </c>
    </row>
    <row r="4275" spans="2:4" x14ac:dyDescent="0.2">
      <c r="B4275" s="2">
        <v>42300</v>
      </c>
      <c r="C4275" s="61">
        <v>10794.54</v>
      </c>
      <c r="D4275" s="3">
        <f t="shared" si="69"/>
        <v>2.8838244867265272E-2</v>
      </c>
    </row>
    <row r="4276" spans="2:4" x14ac:dyDescent="0.2">
      <c r="B4276" s="2">
        <v>42303</v>
      </c>
      <c r="C4276" s="61">
        <v>10801.34</v>
      </c>
      <c r="D4276" s="3">
        <f t="shared" si="69"/>
        <v>6.2994810339289664E-4</v>
      </c>
    </row>
    <row r="4277" spans="2:4" x14ac:dyDescent="0.2">
      <c r="B4277" s="2">
        <v>42304</v>
      </c>
      <c r="C4277" s="61">
        <v>10692.19</v>
      </c>
      <c r="D4277" s="3">
        <f t="shared" si="69"/>
        <v>-1.0105227684713114E-2</v>
      </c>
    </row>
    <row r="4278" spans="2:4" x14ac:dyDescent="0.2">
      <c r="B4278" s="2">
        <v>42305</v>
      </c>
      <c r="C4278" s="61">
        <v>10831.96</v>
      </c>
      <c r="D4278" s="3">
        <f t="shared" si="69"/>
        <v>1.3072158276274504E-2</v>
      </c>
    </row>
    <row r="4279" spans="2:4" x14ac:dyDescent="0.2">
      <c r="B4279" s="2">
        <v>42306</v>
      </c>
      <c r="C4279" s="61">
        <v>10800.84</v>
      </c>
      <c r="D4279" s="3">
        <f t="shared" si="69"/>
        <v>-2.8729795900279687E-3</v>
      </c>
    </row>
    <row r="4280" spans="2:4" x14ac:dyDescent="0.2">
      <c r="B4280" s="2">
        <v>42307</v>
      </c>
      <c r="C4280" s="61">
        <v>10850.14</v>
      </c>
      <c r="D4280" s="3">
        <f t="shared" si="69"/>
        <v>4.5644598012746229E-3</v>
      </c>
    </row>
    <row r="4281" spans="2:4" x14ac:dyDescent="0.2">
      <c r="B4281" s="2">
        <v>42310</v>
      </c>
      <c r="C4281" s="61">
        <v>10950.67</v>
      </c>
      <c r="D4281" s="3">
        <f t="shared" si="69"/>
        <v>9.2653182355251218E-3</v>
      </c>
    </row>
    <row r="4282" spans="2:4" x14ac:dyDescent="0.2">
      <c r="B4282" s="2">
        <v>42311</v>
      </c>
      <c r="C4282" s="61">
        <v>10951.15</v>
      </c>
      <c r="D4282" s="3">
        <f t="shared" si="69"/>
        <v>4.3832934423226888E-5</v>
      </c>
    </row>
    <row r="4283" spans="2:4" x14ac:dyDescent="0.2">
      <c r="B4283" s="2">
        <v>42312</v>
      </c>
      <c r="C4283" s="61">
        <v>10845.24</v>
      </c>
      <c r="D4283" s="3">
        <f t="shared" si="69"/>
        <v>-9.671130429224295E-3</v>
      </c>
    </row>
    <row r="4284" spans="2:4" x14ac:dyDescent="0.2">
      <c r="B4284" s="2">
        <v>42313</v>
      </c>
      <c r="C4284" s="61">
        <v>10887.74</v>
      </c>
      <c r="D4284" s="3">
        <f t="shared" si="69"/>
        <v>3.9187698935201354E-3</v>
      </c>
    </row>
    <row r="4285" spans="2:4" x14ac:dyDescent="0.2">
      <c r="B4285" s="2">
        <v>42314</v>
      </c>
      <c r="C4285" s="61">
        <v>10988.03</v>
      </c>
      <c r="D4285" s="3">
        <f t="shared" si="69"/>
        <v>9.2112780062714172E-3</v>
      </c>
    </row>
    <row r="4286" spans="2:4" x14ac:dyDescent="0.2">
      <c r="B4286" s="2">
        <v>42317</v>
      </c>
      <c r="C4286" s="61">
        <v>10815.45</v>
      </c>
      <c r="D4286" s="3">
        <f t="shared" si="69"/>
        <v>-1.5706182090875265E-2</v>
      </c>
    </row>
    <row r="4287" spans="2:4" x14ac:dyDescent="0.2">
      <c r="B4287" s="2">
        <v>42318</v>
      </c>
      <c r="C4287" s="61">
        <v>10832.52</v>
      </c>
      <c r="D4287" s="3">
        <f t="shared" si="69"/>
        <v>1.5782977129938924E-3</v>
      </c>
    </row>
    <row r="4288" spans="2:4" x14ac:dyDescent="0.2">
      <c r="B4288" s="2">
        <v>42319</v>
      </c>
      <c r="C4288" s="61">
        <v>10907.87</v>
      </c>
      <c r="D4288" s="3">
        <f t="shared" si="69"/>
        <v>6.9559068434676963E-3</v>
      </c>
    </row>
    <row r="4289" spans="2:4" x14ac:dyDescent="0.2">
      <c r="B4289" s="2">
        <v>42320</v>
      </c>
      <c r="C4289" s="61">
        <v>10782.63</v>
      </c>
      <c r="D4289" s="3">
        <f t="shared" si="69"/>
        <v>-1.1481618317783493E-2</v>
      </c>
    </row>
    <row r="4290" spans="2:4" x14ac:dyDescent="0.2">
      <c r="B4290" s="2">
        <v>42321</v>
      </c>
      <c r="C4290" s="61">
        <v>10708.4</v>
      </c>
      <c r="D4290" s="3">
        <f t="shared" si="69"/>
        <v>-6.8842202690808652E-3</v>
      </c>
    </row>
    <row r="4291" spans="2:4" x14ac:dyDescent="0.2">
      <c r="B4291" s="2">
        <v>42324</v>
      </c>
      <c r="C4291" s="61">
        <v>10713.23</v>
      </c>
      <c r="D4291" s="3">
        <f t="shared" si="69"/>
        <v>4.5104777557813946E-4</v>
      </c>
    </row>
    <row r="4292" spans="2:4" x14ac:dyDescent="0.2">
      <c r="B4292" s="2">
        <v>42325</v>
      </c>
      <c r="C4292" s="61">
        <v>10971.04</v>
      </c>
      <c r="D4292" s="3">
        <f t="shared" si="69"/>
        <v>2.4064637835648162E-2</v>
      </c>
    </row>
    <row r="4293" spans="2:4" x14ac:dyDescent="0.2">
      <c r="B4293" s="2">
        <v>42326</v>
      </c>
      <c r="C4293" s="61">
        <v>10959.95</v>
      </c>
      <c r="D4293" s="3">
        <f t="shared" ref="D4293:D4356" si="70">C4293/C4292-1</f>
        <v>-1.0108430923595479E-3</v>
      </c>
    </row>
    <row r="4294" spans="2:4" x14ac:dyDescent="0.2">
      <c r="B4294" s="2">
        <v>42327</v>
      </c>
      <c r="C4294" s="61">
        <v>11085.44</v>
      </c>
      <c r="D4294" s="3">
        <f t="shared" si="70"/>
        <v>1.1449869753055397E-2</v>
      </c>
    </row>
    <row r="4295" spans="2:4" x14ac:dyDescent="0.2">
      <c r="B4295" s="2">
        <v>42328</v>
      </c>
      <c r="C4295" s="61">
        <v>11119.83</v>
      </c>
      <c r="D4295" s="3">
        <f t="shared" si="70"/>
        <v>3.1022674787828386E-3</v>
      </c>
    </row>
    <row r="4296" spans="2:4" x14ac:dyDescent="0.2">
      <c r="B4296" s="2">
        <v>42331</v>
      </c>
      <c r="C4296" s="61">
        <v>11092.31</v>
      </c>
      <c r="D4296" s="3">
        <f t="shared" si="70"/>
        <v>-2.4748579789439784E-3</v>
      </c>
    </row>
    <row r="4297" spans="2:4" x14ac:dyDescent="0.2">
      <c r="B4297" s="2">
        <v>42332</v>
      </c>
      <c r="C4297" s="61">
        <v>10933.99</v>
      </c>
      <c r="D4297" s="3">
        <f t="shared" si="70"/>
        <v>-1.4272951260828393E-2</v>
      </c>
    </row>
    <row r="4298" spans="2:4" x14ac:dyDescent="0.2">
      <c r="B4298" s="2">
        <v>42333</v>
      </c>
      <c r="C4298" s="61">
        <v>11169.54</v>
      </c>
      <c r="D4298" s="3">
        <f t="shared" si="70"/>
        <v>2.1542913428675314E-2</v>
      </c>
    </row>
    <row r="4299" spans="2:4" x14ac:dyDescent="0.2">
      <c r="B4299" s="2">
        <v>42334</v>
      </c>
      <c r="C4299" s="61">
        <v>11320.77</v>
      </c>
      <c r="D4299" s="3">
        <f t="shared" si="70"/>
        <v>1.3539501179099522E-2</v>
      </c>
    </row>
    <row r="4300" spans="2:4" x14ac:dyDescent="0.2">
      <c r="B4300" s="2">
        <v>42335</v>
      </c>
      <c r="C4300" s="61">
        <v>11293.76</v>
      </c>
      <c r="D4300" s="3">
        <f t="shared" si="70"/>
        <v>-2.3858801123951556E-3</v>
      </c>
    </row>
    <row r="4301" spans="2:4" x14ac:dyDescent="0.2">
      <c r="B4301" s="2">
        <v>42338</v>
      </c>
      <c r="C4301" s="61">
        <v>11382.23</v>
      </c>
      <c r="D4301" s="3">
        <f t="shared" si="70"/>
        <v>7.8335293117615112E-3</v>
      </c>
    </row>
    <row r="4302" spans="2:4" x14ac:dyDescent="0.2">
      <c r="B4302" s="2">
        <v>42339</v>
      </c>
      <c r="C4302" s="61">
        <v>11261.24</v>
      </c>
      <c r="D4302" s="3">
        <f t="shared" si="70"/>
        <v>-1.0629727215141438E-2</v>
      </c>
    </row>
    <row r="4303" spans="2:4" x14ac:dyDescent="0.2">
      <c r="B4303" s="2">
        <v>42340</v>
      </c>
      <c r="C4303" s="61">
        <v>11190.02</v>
      </c>
      <c r="D4303" s="3">
        <f t="shared" si="70"/>
        <v>-6.3243479403688463E-3</v>
      </c>
    </row>
    <row r="4304" spans="2:4" x14ac:dyDescent="0.2">
      <c r="B4304" s="2">
        <v>42341</v>
      </c>
      <c r="C4304" s="61">
        <v>10789.24</v>
      </c>
      <c r="D4304" s="3">
        <f t="shared" si="70"/>
        <v>-3.5815843045856943E-2</v>
      </c>
    </row>
    <row r="4305" spans="2:4" x14ac:dyDescent="0.2">
      <c r="B4305" s="2">
        <v>42342</v>
      </c>
      <c r="C4305" s="61">
        <v>10752.1</v>
      </c>
      <c r="D4305" s="3">
        <f t="shared" si="70"/>
        <v>-3.4423184580192334E-3</v>
      </c>
    </row>
    <row r="4306" spans="2:4" x14ac:dyDescent="0.2">
      <c r="B4306" s="2">
        <v>42345</v>
      </c>
      <c r="C4306" s="61">
        <v>10886.09</v>
      </c>
      <c r="D4306" s="3">
        <f t="shared" si="70"/>
        <v>1.2461751657815601E-2</v>
      </c>
    </row>
    <row r="4307" spans="2:4" x14ac:dyDescent="0.2">
      <c r="B4307" s="2">
        <v>42346</v>
      </c>
      <c r="C4307" s="61">
        <v>10673.6</v>
      </c>
      <c r="D4307" s="3">
        <f t="shared" si="70"/>
        <v>-1.9519405038907478E-2</v>
      </c>
    </row>
    <row r="4308" spans="2:4" x14ac:dyDescent="0.2">
      <c r="B4308" s="2">
        <v>42347</v>
      </c>
      <c r="C4308" s="61">
        <v>10592.49</v>
      </c>
      <c r="D4308" s="3">
        <f t="shared" si="70"/>
        <v>-7.5991230700045431E-3</v>
      </c>
    </row>
    <row r="4309" spans="2:4" x14ac:dyDescent="0.2">
      <c r="B4309" s="2">
        <v>42348</v>
      </c>
      <c r="C4309" s="61">
        <v>10598.93</v>
      </c>
      <c r="D4309" s="3">
        <f t="shared" si="70"/>
        <v>6.0797791642941412E-4</v>
      </c>
    </row>
    <row r="4310" spans="2:4" x14ac:dyDescent="0.2">
      <c r="B4310" s="2">
        <v>42349</v>
      </c>
      <c r="C4310" s="61">
        <v>10340.06</v>
      </c>
      <c r="D4310" s="3">
        <f t="shared" si="70"/>
        <v>-2.4424163571228452E-2</v>
      </c>
    </row>
    <row r="4311" spans="2:4" x14ac:dyDescent="0.2">
      <c r="B4311" s="2">
        <v>42352</v>
      </c>
      <c r="C4311" s="61">
        <v>10139.34</v>
      </c>
      <c r="D4311" s="3">
        <f t="shared" si="70"/>
        <v>-1.9411879621588191E-2</v>
      </c>
    </row>
    <row r="4312" spans="2:4" x14ac:dyDescent="0.2">
      <c r="B4312" s="2">
        <v>42353</v>
      </c>
      <c r="C4312" s="61">
        <v>10450.379999999999</v>
      </c>
      <c r="D4312" s="3">
        <f t="shared" si="70"/>
        <v>3.0676552911727883E-2</v>
      </c>
    </row>
    <row r="4313" spans="2:4" x14ac:dyDescent="0.2">
      <c r="B4313" s="2">
        <v>42354</v>
      </c>
      <c r="C4313" s="61">
        <v>10469.26</v>
      </c>
      <c r="D4313" s="3">
        <f t="shared" si="70"/>
        <v>1.8066328688526312E-3</v>
      </c>
    </row>
    <row r="4314" spans="2:4" x14ac:dyDescent="0.2">
      <c r="B4314" s="2">
        <v>42355</v>
      </c>
      <c r="C4314" s="61">
        <v>10738.12</v>
      </c>
      <c r="D4314" s="3">
        <f t="shared" si="70"/>
        <v>2.5680898172363742E-2</v>
      </c>
    </row>
    <row r="4315" spans="2:4" x14ac:dyDescent="0.2">
      <c r="B4315" s="2">
        <v>42356</v>
      </c>
      <c r="C4315" s="61">
        <v>10608.19</v>
      </c>
      <c r="D4315" s="3">
        <f t="shared" si="70"/>
        <v>-1.2099883406033851E-2</v>
      </c>
    </row>
    <row r="4316" spans="2:4" x14ac:dyDescent="0.2">
      <c r="B4316" s="2">
        <v>42359</v>
      </c>
      <c r="C4316" s="61">
        <v>10497.77</v>
      </c>
      <c r="D4316" s="3">
        <f t="shared" si="70"/>
        <v>-1.0408938753925012E-2</v>
      </c>
    </row>
    <row r="4317" spans="2:4" x14ac:dyDescent="0.2">
      <c r="B4317" s="2">
        <v>42360</v>
      </c>
      <c r="C4317" s="61">
        <v>10488.75</v>
      </c>
      <c r="D4317" s="3">
        <f t="shared" si="70"/>
        <v>-8.5923010315525072E-4</v>
      </c>
    </row>
    <row r="4318" spans="2:4" x14ac:dyDescent="0.2">
      <c r="B4318" s="2">
        <v>42361</v>
      </c>
      <c r="C4318" s="61">
        <v>10727.64</v>
      </c>
      <c r="D4318" s="3">
        <f t="shared" si="70"/>
        <v>2.2775831247765499E-2</v>
      </c>
    </row>
    <row r="4319" spans="2:4" x14ac:dyDescent="0.2">
      <c r="B4319" s="2">
        <v>42366</v>
      </c>
      <c r="C4319" s="61">
        <v>10653.91</v>
      </c>
      <c r="D4319" s="3">
        <f t="shared" si="70"/>
        <v>-6.8729002837529807E-3</v>
      </c>
    </row>
    <row r="4320" spans="2:4" x14ac:dyDescent="0.2">
      <c r="B4320" s="2">
        <v>42367</v>
      </c>
      <c r="C4320" s="61">
        <v>10860.14</v>
      </c>
      <c r="D4320" s="3">
        <f t="shared" si="70"/>
        <v>1.9357212516343703E-2</v>
      </c>
    </row>
    <row r="4321" spans="2:4" x14ac:dyDescent="0.2">
      <c r="B4321" s="2">
        <v>42368</v>
      </c>
      <c r="C4321" s="61">
        <v>10743.01</v>
      </c>
      <c r="D4321" s="3">
        <f t="shared" si="70"/>
        <v>-1.0785312159879989E-2</v>
      </c>
    </row>
    <row r="4322" spans="2:4" x14ac:dyDescent="0.2">
      <c r="B4322" s="2">
        <v>42373</v>
      </c>
      <c r="C4322" s="61">
        <v>10283.44</v>
      </c>
      <c r="D4322" s="3">
        <f t="shared" si="70"/>
        <v>-4.2778513656787087E-2</v>
      </c>
    </row>
    <row r="4323" spans="2:4" x14ac:dyDescent="0.2">
      <c r="B4323" s="2">
        <v>42374</v>
      </c>
      <c r="C4323" s="61">
        <v>10310.1</v>
      </c>
      <c r="D4323" s="3">
        <f t="shared" si="70"/>
        <v>2.592517678909001E-3</v>
      </c>
    </row>
    <row r="4324" spans="2:4" x14ac:dyDescent="0.2">
      <c r="B4324" s="2">
        <v>42375</v>
      </c>
      <c r="C4324" s="61">
        <v>10214.02</v>
      </c>
      <c r="D4324" s="3">
        <f t="shared" si="70"/>
        <v>-9.3190172743232713E-3</v>
      </c>
    </row>
    <row r="4325" spans="2:4" x14ac:dyDescent="0.2">
      <c r="B4325" s="2">
        <v>42376</v>
      </c>
      <c r="C4325" s="61">
        <v>9979.85</v>
      </c>
      <c r="D4325" s="3">
        <f t="shared" si="70"/>
        <v>-2.2926330670979711E-2</v>
      </c>
    </row>
    <row r="4326" spans="2:4" x14ac:dyDescent="0.2">
      <c r="B4326" s="2">
        <v>42377</v>
      </c>
      <c r="C4326" s="61">
        <v>9849.34</v>
      </c>
      <c r="D4326" s="3">
        <f t="shared" si="70"/>
        <v>-1.3077350861986914E-2</v>
      </c>
    </row>
    <row r="4327" spans="2:4" x14ac:dyDescent="0.2">
      <c r="B4327" s="2">
        <v>42380</v>
      </c>
      <c r="C4327" s="61">
        <v>9825.07</v>
      </c>
      <c r="D4327" s="3">
        <f t="shared" si="70"/>
        <v>-2.4641244997126721E-3</v>
      </c>
    </row>
    <row r="4328" spans="2:4" x14ac:dyDescent="0.2">
      <c r="B4328" s="2">
        <v>42381</v>
      </c>
      <c r="C4328" s="61">
        <v>9985.43</v>
      </c>
      <c r="D4328" s="3">
        <f t="shared" si="70"/>
        <v>1.6321512213144596E-2</v>
      </c>
    </row>
    <row r="4329" spans="2:4" x14ac:dyDescent="0.2">
      <c r="B4329" s="2">
        <v>42382</v>
      </c>
      <c r="C4329" s="61">
        <v>9960.9599999999991</v>
      </c>
      <c r="D4329" s="3">
        <f t="shared" si="70"/>
        <v>-2.4505704811912388E-3</v>
      </c>
    </row>
    <row r="4330" spans="2:4" x14ac:dyDescent="0.2">
      <c r="B4330" s="2">
        <v>42383</v>
      </c>
      <c r="C4330" s="61">
        <v>9794.2000000000007</v>
      </c>
      <c r="D4330" s="3">
        <f t="shared" si="70"/>
        <v>-1.6741358262657213E-2</v>
      </c>
    </row>
    <row r="4331" spans="2:4" x14ac:dyDescent="0.2">
      <c r="B4331" s="2">
        <v>42384</v>
      </c>
      <c r="C4331" s="61">
        <v>9545.27</v>
      </c>
      <c r="D4331" s="3">
        <f t="shared" si="70"/>
        <v>-2.5416062567642062E-2</v>
      </c>
    </row>
    <row r="4332" spans="2:4" x14ac:dyDescent="0.2">
      <c r="B4332" s="2">
        <v>42387</v>
      </c>
      <c r="C4332" s="61">
        <v>9521.85</v>
      </c>
      <c r="D4332" s="3">
        <f t="shared" si="70"/>
        <v>-2.4535712452345981E-3</v>
      </c>
    </row>
    <row r="4333" spans="2:4" x14ac:dyDescent="0.2">
      <c r="B4333" s="2">
        <v>42388</v>
      </c>
      <c r="C4333" s="61">
        <v>9664.2099999999991</v>
      </c>
      <c r="D4333" s="3">
        <f t="shared" si="70"/>
        <v>1.4950876142766134E-2</v>
      </c>
    </row>
    <row r="4334" spans="2:4" x14ac:dyDescent="0.2">
      <c r="B4334" s="2">
        <v>42389</v>
      </c>
      <c r="C4334" s="61">
        <v>9391.64</v>
      </c>
      <c r="D4334" s="3">
        <f t="shared" si="70"/>
        <v>-2.8204064274265583E-2</v>
      </c>
    </row>
    <row r="4335" spans="2:4" x14ac:dyDescent="0.2">
      <c r="B4335" s="2">
        <v>42390</v>
      </c>
      <c r="C4335" s="61">
        <v>9574.16</v>
      </c>
      <c r="D4335" s="3">
        <f t="shared" si="70"/>
        <v>1.9434305403529084E-2</v>
      </c>
    </row>
    <row r="4336" spans="2:4" x14ac:dyDescent="0.2">
      <c r="B4336" s="2">
        <v>42391</v>
      </c>
      <c r="C4336" s="61">
        <v>9764.8799999999992</v>
      </c>
      <c r="D4336" s="3">
        <f t="shared" si="70"/>
        <v>1.992028543496227E-2</v>
      </c>
    </row>
    <row r="4337" spans="2:4" x14ac:dyDescent="0.2">
      <c r="B4337" s="2">
        <v>42394</v>
      </c>
      <c r="C4337" s="61">
        <v>9736.15</v>
      </c>
      <c r="D4337" s="3">
        <f t="shared" si="70"/>
        <v>-2.9421764527571836E-3</v>
      </c>
    </row>
    <row r="4338" spans="2:4" x14ac:dyDescent="0.2">
      <c r="B4338" s="2">
        <v>42395</v>
      </c>
      <c r="C4338" s="61">
        <v>9822.75</v>
      </c>
      <c r="D4338" s="3">
        <f t="shared" si="70"/>
        <v>8.8946862979719654E-3</v>
      </c>
    </row>
    <row r="4339" spans="2:4" x14ac:dyDescent="0.2">
      <c r="B4339" s="2">
        <v>42396</v>
      </c>
      <c r="C4339" s="61">
        <v>9880.82</v>
      </c>
      <c r="D4339" s="3">
        <f t="shared" si="70"/>
        <v>5.9117864141915444E-3</v>
      </c>
    </row>
    <row r="4340" spans="2:4" x14ac:dyDescent="0.2">
      <c r="B4340" s="2">
        <v>42397</v>
      </c>
      <c r="C4340" s="61">
        <v>9639.59</v>
      </c>
      <c r="D4340" s="3">
        <f t="shared" si="70"/>
        <v>-2.4413965642527624E-2</v>
      </c>
    </row>
    <row r="4341" spans="2:4" x14ac:dyDescent="0.2">
      <c r="B4341" s="2">
        <v>42398</v>
      </c>
      <c r="C4341" s="61">
        <v>9798.11</v>
      </c>
      <c r="D4341" s="3">
        <f t="shared" si="70"/>
        <v>1.6444682813273159E-2</v>
      </c>
    </row>
    <row r="4342" spans="2:4" x14ac:dyDescent="0.2">
      <c r="B4342" s="2">
        <v>42401</v>
      </c>
      <c r="C4342" s="61">
        <v>9757.8799999999992</v>
      </c>
      <c r="D4342" s="3">
        <f t="shared" si="70"/>
        <v>-4.1058938917812871E-3</v>
      </c>
    </row>
    <row r="4343" spans="2:4" x14ac:dyDescent="0.2">
      <c r="B4343" s="2">
        <v>42402</v>
      </c>
      <c r="C4343" s="61">
        <v>9581.0400000000009</v>
      </c>
      <c r="D4343" s="3">
        <f t="shared" si="70"/>
        <v>-1.8122788966455694E-2</v>
      </c>
    </row>
    <row r="4344" spans="2:4" x14ac:dyDescent="0.2">
      <c r="B4344" s="2">
        <v>42403</v>
      </c>
      <c r="C4344" s="61">
        <v>9434.82</v>
      </c>
      <c r="D4344" s="3">
        <f t="shared" si="70"/>
        <v>-1.5261391247714307E-2</v>
      </c>
    </row>
    <row r="4345" spans="2:4" x14ac:dyDescent="0.2">
      <c r="B4345" s="2">
        <v>42404</v>
      </c>
      <c r="C4345" s="61">
        <v>9393.36</v>
      </c>
      <c r="D4345" s="3">
        <f t="shared" si="70"/>
        <v>-4.3943604647465051E-3</v>
      </c>
    </row>
    <row r="4346" spans="2:4" x14ac:dyDescent="0.2">
      <c r="B4346" s="2">
        <v>42405</v>
      </c>
      <c r="C4346" s="61">
        <v>9286.23</v>
      </c>
      <c r="D4346" s="3">
        <f t="shared" si="70"/>
        <v>-1.1404864712946328E-2</v>
      </c>
    </row>
    <row r="4347" spans="2:4" x14ac:dyDescent="0.2">
      <c r="B4347" s="2">
        <v>42408</v>
      </c>
      <c r="C4347" s="61">
        <v>8979.36</v>
      </c>
      <c r="D4347" s="3">
        <f t="shared" si="70"/>
        <v>-3.3045703154024775E-2</v>
      </c>
    </row>
    <row r="4348" spans="2:4" x14ac:dyDescent="0.2">
      <c r="B4348" s="2">
        <v>42409</v>
      </c>
      <c r="C4348" s="61">
        <v>8879.4</v>
      </c>
      <c r="D4348" s="3">
        <f t="shared" si="70"/>
        <v>-1.1132196503982561E-2</v>
      </c>
    </row>
    <row r="4349" spans="2:4" x14ac:dyDescent="0.2">
      <c r="B4349" s="2">
        <v>42410</v>
      </c>
      <c r="C4349" s="61">
        <v>9017.2900000000009</v>
      </c>
      <c r="D4349" s="3">
        <f t="shared" si="70"/>
        <v>1.5529202423587352E-2</v>
      </c>
    </row>
    <row r="4350" spans="2:4" x14ac:dyDescent="0.2">
      <c r="B4350" s="2">
        <v>42411</v>
      </c>
      <c r="C4350" s="61">
        <v>8752.8700000000008</v>
      </c>
      <c r="D4350" s="3">
        <f t="shared" si="70"/>
        <v>-2.9323665979468339E-2</v>
      </c>
    </row>
    <row r="4351" spans="2:4" x14ac:dyDescent="0.2">
      <c r="B4351" s="2">
        <v>42412</v>
      </c>
      <c r="C4351" s="61">
        <v>8967.51</v>
      </c>
      <c r="D4351" s="3">
        <f t="shared" si="70"/>
        <v>2.4522242418772322E-2</v>
      </c>
    </row>
    <row r="4352" spans="2:4" x14ac:dyDescent="0.2">
      <c r="B4352" s="2">
        <v>42415</v>
      </c>
      <c r="C4352" s="61">
        <v>9206.84</v>
      </c>
      <c r="D4352" s="3">
        <f t="shared" si="70"/>
        <v>2.6688567952530828E-2</v>
      </c>
    </row>
    <row r="4353" spans="2:4" x14ac:dyDescent="0.2">
      <c r="B4353" s="2">
        <v>42416</v>
      </c>
      <c r="C4353" s="61">
        <v>9135.11</v>
      </c>
      <c r="D4353" s="3">
        <f t="shared" si="70"/>
        <v>-7.7909467309087432E-3</v>
      </c>
    </row>
    <row r="4354" spans="2:4" x14ac:dyDescent="0.2">
      <c r="B4354" s="2">
        <v>42417</v>
      </c>
      <c r="C4354" s="61">
        <v>9377.2099999999991</v>
      </c>
      <c r="D4354" s="3">
        <f t="shared" si="70"/>
        <v>2.650214392601713E-2</v>
      </c>
    </row>
    <row r="4355" spans="2:4" x14ac:dyDescent="0.2">
      <c r="B4355" s="2">
        <v>42418</v>
      </c>
      <c r="C4355" s="61">
        <v>9463.64</v>
      </c>
      <c r="D4355" s="3">
        <f t="shared" si="70"/>
        <v>9.2170272394453967E-3</v>
      </c>
    </row>
    <row r="4356" spans="2:4" x14ac:dyDescent="0.2">
      <c r="B4356" s="2">
        <v>42419</v>
      </c>
      <c r="C4356" s="61">
        <v>9388.0499999999993</v>
      </c>
      <c r="D4356" s="3">
        <f t="shared" si="70"/>
        <v>-7.9874128770748287E-3</v>
      </c>
    </row>
    <row r="4357" spans="2:4" x14ac:dyDescent="0.2">
      <c r="B4357" s="2">
        <v>42422</v>
      </c>
      <c r="C4357" s="61">
        <v>9573.59</v>
      </c>
      <c r="D4357" s="3">
        <f t="shared" ref="D4357:D4420" si="71">C4357/C4356-1</f>
        <v>1.9763422649005991E-2</v>
      </c>
    </row>
    <row r="4358" spans="2:4" x14ac:dyDescent="0.2">
      <c r="B4358" s="2">
        <v>42423</v>
      </c>
      <c r="C4358" s="61">
        <v>9416.77</v>
      </c>
      <c r="D4358" s="3">
        <f t="shared" si="71"/>
        <v>-1.6380480049803636E-2</v>
      </c>
    </row>
    <row r="4359" spans="2:4" x14ac:dyDescent="0.2">
      <c r="B4359" s="2">
        <v>42424</v>
      </c>
      <c r="C4359" s="61">
        <v>9167.7999999999993</v>
      </c>
      <c r="D4359" s="3">
        <f t="shared" si="71"/>
        <v>-2.6439001908297732E-2</v>
      </c>
    </row>
    <row r="4360" spans="2:4" x14ac:dyDescent="0.2">
      <c r="B4360" s="2">
        <v>42425</v>
      </c>
      <c r="C4360" s="61">
        <v>9331.48</v>
      </c>
      <c r="D4360" s="3">
        <f t="shared" si="71"/>
        <v>1.785379262200304E-2</v>
      </c>
    </row>
    <row r="4361" spans="2:4" x14ac:dyDescent="0.2">
      <c r="B4361" s="2">
        <v>42426</v>
      </c>
      <c r="C4361" s="61">
        <v>9513.2999999999993</v>
      </c>
      <c r="D4361" s="3">
        <f t="shared" si="71"/>
        <v>1.9484583367268549E-2</v>
      </c>
    </row>
    <row r="4362" spans="2:4" x14ac:dyDescent="0.2">
      <c r="B4362" s="2">
        <v>42429</v>
      </c>
      <c r="C4362" s="61">
        <v>9495.4</v>
      </c>
      <c r="D4362" s="3">
        <f t="shared" si="71"/>
        <v>-1.8815763194685031E-3</v>
      </c>
    </row>
    <row r="4363" spans="2:4" x14ac:dyDescent="0.2">
      <c r="B4363" s="2">
        <v>42430</v>
      </c>
      <c r="C4363" s="61">
        <v>9717.16</v>
      </c>
      <c r="D4363" s="3">
        <f t="shared" si="71"/>
        <v>2.3354466373191274E-2</v>
      </c>
    </row>
    <row r="4364" spans="2:4" x14ac:dyDescent="0.2">
      <c r="B4364" s="2">
        <v>42431</v>
      </c>
      <c r="C4364" s="61">
        <v>9776.6200000000008</v>
      </c>
      <c r="D4364" s="3">
        <f t="shared" si="71"/>
        <v>6.1190718275712097E-3</v>
      </c>
    </row>
    <row r="4365" spans="2:4" x14ac:dyDescent="0.2">
      <c r="B4365" s="2">
        <v>42432</v>
      </c>
      <c r="C4365" s="61">
        <v>9751.92</v>
      </c>
      <c r="D4365" s="3">
        <f t="shared" si="71"/>
        <v>-2.5264355165691699E-3</v>
      </c>
    </row>
    <row r="4366" spans="2:4" x14ac:dyDescent="0.2">
      <c r="B4366" s="2">
        <v>42433</v>
      </c>
      <c r="C4366" s="61">
        <v>9824.17</v>
      </c>
      <c r="D4366" s="3">
        <f t="shared" si="71"/>
        <v>7.408797447066906E-3</v>
      </c>
    </row>
    <row r="4367" spans="2:4" x14ac:dyDescent="0.2">
      <c r="B4367" s="2">
        <v>42436</v>
      </c>
      <c r="C4367" s="61">
        <v>9778.93</v>
      </c>
      <c r="D4367" s="3">
        <f t="shared" si="71"/>
        <v>-4.6049691729682651E-3</v>
      </c>
    </row>
    <row r="4368" spans="2:4" x14ac:dyDescent="0.2">
      <c r="B4368" s="2">
        <v>42437</v>
      </c>
      <c r="C4368" s="61">
        <v>9692.82</v>
      </c>
      <c r="D4368" s="3">
        <f t="shared" si="71"/>
        <v>-8.8056668776645974E-3</v>
      </c>
    </row>
    <row r="4369" spans="2:4" x14ac:dyDescent="0.2">
      <c r="B4369" s="2">
        <v>42438</v>
      </c>
      <c r="C4369" s="61">
        <v>9723.09</v>
      </c>
      <c r="D4369" s="3">
        <f t="shared" si="71"/>
        <v>3.1229301689292832E-3</v>
      </c>
    </row>
    <row r="4370" spans="2:4" x14ac:dyDescent="0.2">
      <c r="B4370" s="2">
        <v>42439</v>
      </c>
      <c r="C4370" s="61">
        <v>9498.15</v>
      </c>
      <c r="D4370" s="3">
        <f t="shared" si="71"/>
        <v>-2.3134620784133531E-2</v>
      </c>
    </row>
    <row r="4371" spans="2:4" x14ac:dyDescent="0.2">
      <c r="B4371" s="2">
        <v>42440</v>
      </c>
      <c r="C4371" s="61">
        <v>9831.1299999999992</v>
      </c>
      <c r="D4371" s="3">
        <f t="shared" si="71"/>
        <v>3.5057353274058567E-2</v>
      </c>
    </row>
    <row r="4372" spans="2:4" x14ac:dyDescent="0.2">
      <c r="B4372" s="2">
        <v>42443</v>
      </c>
      <c r="C4372" s="61">
        <v>9990.26</v>
      </c>
      <c r="D4372" s="3">
        <f t="shared" si="71"/>
        <v>1.6186338701654979E-2</v>
      </c>
    </row>
    <row r="4373" spans="2:4" x14ac:dyDescent="0.2">
      <c r="B4373" s="2">
        <v>42444</v>
      </c>
      <c r="C4373" s="61">
        <v>9933.85</v>
      </c>
      <c r="D4373" s="3">
        <f t="shared" si="71"/>
        <v>-5.6464996906987475E-3</v>
      </c>
    </row>
    <row r="4374" spans="2:4" x14ac:dyDescent="0.2">
      <c r="B4374" s="2">
        <v>42445</v>
      </c>
      <c r="C4374" s="61">
        <v>9983.41</v>
      </c>
      <c r="D4374" s="3">
        <f t="shared" si="71"/>
        <v>4.9890022498828568E-3</v>
      </c>
    </row>
    <row r="4375" spans="2:4" x14ac:dyDescent="0.2">
      <c r="B4375" s="2">
        <v>42446</v>
      </c>
      <c r="C4375" s="61">
        <v>9892.2000000000007</v>
      </c>
      <c r="D4375" s="3">
        <f t="shared" si="71"/>
        <v>-9.1361568842709406E-3</v>
      </c>
    </row>
    <row r="4376" spans="2:4" x14ac:dyDescent="0.2">
      <c r="B4376" s="2">
        <v>42447</v>
      </c>
      <c r="C4376" s="61">
        <v>9950.7999999999993</v>
      </c>
      <c r="D4376" s="3">
        <f t="shared" si="71"/>
        <v>5.9238592021995107E-3</v>
      </c>
    </row>
    <row r="4377" spans="2:4" x14ac:dyDescent="0.2">
      <c r="B4377" s="2">
        <v>42450</v>
      </c>
      <c r="C4377" s="61">
        <v>9948.64</v>
      </c>
      <c r="D4377" s="3">
        <f t="shared" si="71"/>
        <v>-2.1706797443421522E-4</v>
      </c>
    </row>
    <row r="4378" spans="2:4" x14ac:dyDescent="0.2">
      <c r="B4378" s="2">
        <v>42451</v>
      </c>
      <c r="C4378" s="61">
        <v>9990</v>
      </c>
      <c r="D4378" s="3">
        <f t="shared" si="71"/>
        <v>4.1573521606974584E-3</v>
      </c>
    </row>
    <row r="4379" spans="2:4" x14ac:dyDescent="0.2">
      <c r="B4379" s="2">
        <v>42452</v>
      </c>
      <c r="C4379" s="61">
        <v>10022.93</v>
      </c>
      <c r="D4379" s="3">
        <f t="shared" si="71"/>
        <v>3.2962962962963527E-3</v>
      </c>
    </row>
    <row r="4380" spans="2:4" x14ac:dyDescent="0.2">
      <c r="B4380" s="2">
        <v>42453</v>
      </c>
      <c r="C4380" s="61">
        <v>9851.35</v>
      </c>
      <c r="D4380" s="3">
        <f t="shared" si="71"/>
        <v>-1.7118746713785327E-2</v>
      </c>
    </row>
    <row r="4381" spans="2:4" x14ac:dyDescent="0.2">
      <c r="B4381" s="2">
        <v>42458</v>
      </c>
      <c r="C4381" s="61">
        <v>9887.94</v>
      </c>
      <c r="D4381" s="3">
        <f t="shared" si="71"/>
        <v>3.7142117577793066E-3</v>
      </c>
    </row>
    <row r="4382" spans="2:4" x14ac:dyDescent="0.2">
      <c r="B4382" s="2">
        <v>42459</v>
      </c>
      <c r="C4382" s="61">
        <v>10046.61</v>
      </c>
      <c r="D4382" s="3">
        <f t="shared" si="71"/>
        <v>1.6046820672455553E-2</v>
      </c>
    </row>
    <row r="4383" spans="2:4" x14ac:dyDescent="0.2">
      <c r="B4383" s="2">
        <v>42460</v>
      </c>
      <c r="C4383" s="61">
        <v>9965.51</v>
      </c>
      <c r="D4383" s="3">
        <f t="shared" si="71"/>
        <v>-8.0723746617018532E-3</v>
      </c>
    </row>
    <row r="4384" spans="2:4" x14ac:dyDescent="0.2">
      <c r="B4384" s="2">
        <v>42461</v>
      </c>
      <c r="C4384" s="61">
        <v>9794.64</v>
      </c>
      <c r="D4384" s="3">
        <f t="shared" si="71"/>
        <v>-1.7146137026604835E-2</v>
      </c>
    </row>
    <row r="4385" spans="2:4" x14ac:dyDescent="0.2">
      <c r="B4385" s="2">
        <v>42464</v>
      </c>
      <c r="C4385" s="61">
        <v>9822.08</v>
      </c>
      <c r="D4385" s="3">
        <f t="shared" si="71"/>
        <v>2.8015322666274933E-3</v>
      </c>
    </row>
    <row r="4386" spans="2:4" x14ac:dyDescent="0.2">
      <c r="B4386" s="2">
        <v>42465</v>
      </c>
      <c r="C4386" s="61">
        <v>9563.36</v>
      </c>
      <c r="D4386" s="3">
        <f t="shared" si="71"/>
        <v>-2.6340652896331473E-2</v>
      </c>
    </row>
    <row r="4387" spans="2:4" x14ac:dyDescent="0.2">
      <c r="B4387" s="2">
        <v>42466</v>
      </c>
      <c r="C4387" s="61">
        <v>9624.51</v>
      </c>
      <c r="D4387" s="3">
        <f t="shared" si="71"/>
        <v>6.3941961820950244E-3</v>
      </c>
    </row>
    <row r="4388" spans="2:4" x14ac:dyDescent="0.2">
      <c r="B4388" s="2">
        <v>42467</v>
      </c>
      <c r="C4388" s="61">
        <v>9530.6200000000008</v>
      </c>
      <c r="D4388" s="3">
        <f t="shared" si="71"/>
        <v>-9.7553018283527138E-3</v>
      </c>
    </row>
    <row r="4389" spans="2:4" x14ac:dyDescent="0.2">
      <c r="B4389" s="2">
        <v>42468</v>
      </c>
      <c r="C4389" s="61">
        <v>9622.26</v>
      </c>
      <c r="D4389" s="3">
        <f t="shared" si="71"/>
        <v>9.6153240817491437E-3</v>
      </c>
    </row>
    <row r="4390" spans="2:4" x14ac:dyDescent="0.2">
      <c r="B4390" s="2">
        <v>42471</v>
      </c>
      <c r="C4390" s="61">
        <v>9682.99</v>
      </c>
      <c r="D4390" s="3">
        <f t="shared" si="71"/>
        <v>6.3114070914733755E-3</v>
      </c>
    </row>
    <row r="4391" spans="2:4" x14ac:dyDescent="0.2">
      <c r="B4391" s="2">
        <v>42472</v>
      </c>
      <c r="C4391" s="61">
        <v>9761.4699999999993</v>
      </c>
      <c r="D4391" s="3">
        <f t="shared" si="71"/>
        <v>8.1049345295203246E-3</v>
      </c>
    </row>
    <row r="4392" spans="2:4" x14ac:dyDescent="0.2">
      <c r="B4392" s="2">
        <v>42473</v>
      </c>
      <c r="C4392" s="61">
        <v>10026.1</v>
      </c>
      <c r="D4392" s="3">
        <f t="shared" si="71"/>
        <v>2.7109646395471199E-2</v>
      </c>
    </row>
    <row r="4393" spans="2:4" x14ac:dyDescent="0.2">
      <c r="B4393" s="2">
        <v>42474</v>
      </c>
      <c r="C4393" s="61">
        <v>10093.65</v>
      </c>
      <c r="D4393" s="3">
        <f t="shared" si="71"/>
        <v>6.7374153459469621E-3</v>
      </c>
    </row>
    <row r="4394" spans="2:4" x14ac:dyDescent="0.2">
      <c r="B4394" s="2">
        <v>42475</v>
      </c>
      <c r="C4394" s="61">
        <v>10051.57</v>
      </c>
      <c r="D4394" s="3">
        <f t="shared" si="71"/>
        <v>-4.168957711036092E-3</v>
      </c>
    </row>
    <row r="4395" spans="2:4" x14ac:dyDescent="0.2">
      <c r="B4395" s="2">
        <v>42478</v>
      </c>
      <c r="C4395" s="61">
        <v>10120.31</v>
      </c>
      <c r="D4395" s="3">
        <f t="shared" si="71"/>
        <v>6.8387326556944572E-3</v>
      </c>
    </row>
    <row r="4396" spans="2:4" x14ac:dyDescent="0.2">
      <c r="B4396" s="2">
        <v>42479</v>
      </c>
      <c r="C4396" s="61">
        <v>10349.59</v>
      </c>
      <c r="D4396" s="3">
        <f t="shared" si="71"/>
        <v>2.2655432491692551E-2</v>
      </c>
    </row>
    <row r="4397" spans="2:4" x14ac:dyDescent="0.2">
      <c r="B4397" s="2">
        <v>42480</v>
      </c>
      <c r="C4397" s="61">
        <v>10421.290000000001</v>
      </c>
      <c r="D4397" s="3">
        <f t="shared" si="71"/>
        <v>6.9278106668959616E-3</v>
      </c>
    </row>
    <row r="4398" spans="2:4" x14ac:dyDescent="0.2">
      <c r="B4398" s="2">
        <v>42481</v>
      </c>
      <c r="C4398" s="61">
        <v>10435.73</v>
      </c>
      <c r="D4398" s="3">
        <f t="shared" si="71"/>
        <v>1.3856250041979212E-3</v>
      </c>
    </row>
    <row r="4399" spans="2:4" x14ac:dyDescent="0.2">
      <c r="B4399" s="2">
        <v>42482</v>
      </c>
      <c r="C4399" s="61">
        <v>10373.49</v>
      </c>
      <c r="D4399" s="3">
        <f t="shared" si="71"/>
        <v>-5.9641251738019596E-3</v>
      </c>
    </row>
    <row r="4400" spans="2:4" x14ac:dyDescent="0.2">
      <c r="B4400" s="2">
        <v>42485</v>
      </c>
      <c r="C4400" s="61">
        <v>10294.35</v>
      </c>
      <c r="D4400" s="3">
        <f t="shared" si="71"/>
        <v>-7.6290621574801598E-3</v>
      </c>
    </row>
    <row r="4401" spans="2:4" x14ac:dyDescent="0.2">
      <c r="B4401" s="2">
        <v>42486</v>
      </c>
      <c r="C4401" s="61">
        <v>10259.59</v>
      </c>
      <c r="D4401" s="3">
        <f t="shared" si="71"/>
        <v>-3.3766094993855633E-3</v>
      </c>
    </row>
    <row r="4402" spans="2:4" x14ac:dyDescent="0.2">
      <c r="B4402" s="2">
        <v>42487</v>
      </c>
      <c r="C4402" s="61">
        <v>10299.83</v>
      </c>
      <c r="D4402" s="3">
        <f t="shared" si="71"/>
        <v>3.9221840248977458E-3</v>
      </c>
    </row>
    <row r="4403" spans="2:4" x14ac:dyDescent="0.2">
      <c r="B4403" s="2">
        <v>42488</v>
      </c>
      <c r="C4403" s="61">
        <v>10321.15</v>
      </c>
      <c r="D4403" s="3">
        <f t="shared" si="71"/>
        <v>2.0699370766312786E-3</v>
      </c>
    </row>
    <row r="4404" spans="2:4" x14ac:dyDescent="0.2">
      <c r="B4404" s="2">
        <v>42489</v>
      </c>
      <c r="C4404" s="61">
        <v>10038.969999999999</v>
      </c>
      <c r="D4404" s="3">
        <f t="shared" si="71"/>
        <v>-2.7339976649888853E-2</v>
      </c>
    </row>
    <row r="4405" spans="2:4" x14ac:dyDescent="0.2">
      <c r="B4405" s="2">
        <v>42492</v>
      </c>
      <c r="C4405" s="61">
        <v>10123.27</v>
      </c>
      <c r="D4405" s="3">
        <f t="shared" si="71"/>
        <v>8.3972758161445782E-3</v>
      </c>
    </row>
    <row r="4406" spans="2:4" x14ac:dyDescent="0.2">
      <c r="B4406" s="2">
        <v>42493</v>
      </c>
      <c r="C4406" s="61">
        <v>9926.77</v>
      </c>
      <c r="D4406" s="3">
        <f t="shared" si="71"/>
        <v>-1.9410724005188063E-2</v>
      </c>
    </row>
    <row r="4407" spans="2:4" x14ac:dyDescent="0.2">
      <c r="B4407" s="2">
        <v>42494</v>
      </c>
      <c r="C4407" s="61">
        <v>9828.25</v>
      </c>
      <c r="D4407" s="3">
        <f t="shared" si="71"/>
        <v>-9.9246784200701654E-3</v>
      </c>
    </row>
    <row r="4408" spans="2:4" x14ac:dyDescent="0.2">
      <c r="B4408" s="2">
        <v>42495</v>
      </c>
      <c r="C4408" s="61">
        <v>9851.86</v>
      </c>
      <c r="D4408" s="3">
        <f t="shared" si="71"/>
        <v>2.4022587948007157E-3</v>
      </c>
    </row>
    <row r="4409" spans="2:4" x14ac:dyDescent="0.2">
      <c r="B4409" s="2">
        <v>42496</v>
      </c>
      <c r="C4409" s="61">
        <v>9869.9500000000007</v>
      </c>
      <c r="D4409" s="3">
        <f t="shared" si="71"/>
        <v>1.836201488855993E-3</v>
      </c>
    </row>
    <row r="4410" spans="2:4" x14ac:dyDescent="0.2">
      <c r="B4410" s="2">
        <v>42499</v>
      </c>
      <c r="C4410" s="61">
        <v>9980.49</v>
      </c>
      <c r="D4410" s="3">
        <f t="shared" si="71"/>
        <v>1.1199651467332483E-2</v>
      </c>
    </row>
    <row r="4411" spans="2:4" x14ac:dyDescent="0.2">
      <c r="B4411" s="2">
        <v>42500</v>
      </c>
      <c r="C4411" s="61">
        <v>10045.44</v>
      </c>
      <c r="D4411" s="3">
        <f t="shared" si="71"/>
        <v>6.5076965159025502E-3</v>
      </c>
    </row>
    <row r="4412" spans="2:4" x14ac:dyDescent="0.2">
      <c r="B4412" s="2">
        <v>42501</v>
      </c>
      <c r="C4412" s="61">
        <v>9975.32</v>
      </c>
      <c r="D4412" s="3">
        <f t="shared" si="71"/>
        <v>-6.9802816004078672E-3</v>
      </c>
    </row>
    <row r="4413" spans="2:4" x14ac:dyDescent="0.2">
      <c r="B4413" s="2">
        <v>42502</v>
      </c>
      <c r="C4413" s="61">
        <v>9862.1200000000008</v>
      </c>
      <c r="D4413" s="3">
        <f t="shared" si="71"/>
        <v>-1.1348006880982142E-2</v>
      </c>
    </row>
    <row r="4414" spans="2:4" x14ac:dyDescent="0.2">
      <c r="B4414" s="2">
        <v>42503</v>
      </c>
      <c r="C4414" s="61">
        <v>9952.9</v>
      </c>
      <c r="D4414" s="3">
        <f t="shared" si="71"/>
        <v>9.2049174011266111E-3</v>
      </c>
    </row>
    <row r="4415" spans="2:4" x14ac:dyDescent="0.2">
      <c r="B4415" s="2">
        <v>42507</v>
      </c>
      <c r="C4415" s="61">
        <v>9890.19</v>
      </c>
      <c r="D4415" s="3">
        <f t="shared" si="71"/>
        <v>-6.3006761848304338E-3</v>
      </c>
    </row>
    <row r="4416" spans="2:4" x14ac:dyDescent="0.2">
      <c r="B4416" s="2">
        <v>42508</v>
      </c>
      <c r="C4416" s="61">
        <v>9943.23</v>
      </c>
      <c r="D4416" s="3">
        <f t="shared" si="71"/>
        <v>5.3628898939250824E-3</v>
      </c>
    </row>
    <row r="4417" spans="2:4" x14ac:dyDescent="0.2">
      <c r="B4417" s="2">
        <v>42509</v>
      </c>
      <c r="C4417" s="61">
        <v>9795.89</v>
      </c>
      <c r="D4417" s="3">
        <f t="shared" si="71"/>
        <v>-1.4818122481326523E-2</v>
      </c>
    </row>
    <row r="4418" spans="2:4" x14ac:dyDescent="0.2">
      <c r="B4418" s="2">
        <v>42510</v>
      </c>
      <c r="C4418" s="61">
        <v>9916.02</v>
      </c>
      <c r="D4418" s="3">
        <f t="shared" si="71"/>
        <v>1.2263306345824621E-2</v>
      </c>
    </row>
    <row r="4419" spans="2:4" x14ac:dyDescent="0.2">
      <c r="B4419" s="2">
        <v>42513</v>
      </c>
      <c r="C4419" s="61">
        <v>9842.2900000000009</v>
      </c>
      <c r="D4419" s="3">
        <f t="shared" si="71"/>
        <v>-7.435442849046292E-3</v>
      </c>
    </row>
    <row r="4420" spans="2:4" x14ac:dyDescent="0.2">
      <c r="B4420" s="2">
        <v>42514</v>
      </c>
      <c r="C4420" s="61">
        <v>10057.31</v>
      </c>
      <c r="D4420" s="3">
        <f t="shared" si="71"/>
        <v>2.1846541810899511E-2</v>
      </c>
    </row>
    <row r="4421" spans="2:4" x14ac:dyDescent="0.2">
      <c r="B4421" s="2">
        <v>42515</v>
      </c>
      <c r="C4421" s="61">
        <v>10205.209999999999</v>
      </c>
      <c r="D4421" s="3">
        <f t="shared" ref="D4421:D4484" si="72">C4421/C4420-1</f>
        <v>1.4705721510025915E-2</v>
      </c>
    </row>
    <row r="4422" spans="2:4" x14ac:dyDescent="0.2">
      <c r="B4422" s="2">
        <v>42516</v>
      </c>
      <c r="C4422" s="61">
        <v>10272.709999999999</v>
      </c>
      <c r="D4422" s="3">
        <f t="shared" si="72"/>
        <v>6.614268594178796E-3</v>
      </c>
    </row>
    <row r="4423" spans="2:4" x14ac:dyDescent="0.2">
      <c r="B4423" s="2">
        <v>42517</v>
      </c>
      <c r="C4423" s="61">
        <v>10286.31</v>
      </c>
      <c r="D4423" s="3">
        <f t="shared" si="72"/>
        <v>1.3238960313295411E-3</v>
      </c>
    </row>
    <row r="4424" spans="2:4" x14ac:dyDescent="0.2">
      <c r="B4424" s="2">
        <v>42520</v>
      </c>
      <c r="C4424" s="61">
        <v>10333.23</v>
      </c>
      <c r="D4424" s="3">
        <f t="shared" si="72"/>
        <v>4.5614024854394586E-3</v>
      </c>
    </row>
    <row r="4425" spans="2:4" x14ac:dyDescent="0.2">
      <c r="B4425" s="2">
        <v>42521</v>
      </c>
      <c r="C4425" s="61">
        <v>10262.74</v>
      </c>
      <c r="D4425" s="3">
        <f t="shared" si="72"/>
        <v>-6.8216811200370042E-3</v>
      </c>
    </row>
    <row r="4426" spans="2:4" x14ac:dyDescent="0.2">
      <c r="B4426" s="2">
        <v>42522</v>
      </c>
      <c r="C4426" s="61">
        <v>10204.44</v>
      </c>
      <c r="D4426" s="3">
        <f t="shared" si="72"/>
        <v>-5.6807441287608507E-3</v>
      </c>
    </row>
    <row r="4427" spans="2:4" x14ac:dyDescent="0.2">
      <c r="B4427" s="2">
        <v>42523</v>
      </c>
      <c r="C4427" s="61">
        <v>10208</v>
      </c>
      <c r="D4427" s="3">
        <f t="shared" si="72"/>
        <v>3.4886774776454743E-4</v>
      </c>
    </row>
    <row r="4428" spans="2:4" x14ac:dyDescent="0.2">
      <c r="B4428" s="2">
        <v>42524</v>
      </c>
      <c r="C4428" s="61">
        <v>10103.26</v>
      </c>
      <c r="D4428" s="3">
        <f t="shared" si="72"/>
        <v>-1.0260579937304004E-2</v>
      </c>
    </row>
    <row r="4429" spans="2:4" x14ac:dyDescent="0.2">
      <c r="B4429" s="2">
        <v>42527</v>
      </c>
      <c r="C4429" s="61">
        <v>10121.08</v>
      </c>
      <c r="D4429" s="3">
        <f t="shared" si="72"/>
        <v>1.7637871340536737E-3</v>
      </c>
    </row>
    <row r="4430" spans="2:4" x14ac:dyDescent="0.2">
      <c r="B4430" s="2">
        <v>42528</v>
      </c>
      <c r="C4430" s="61">
        <v>10287.68</v>
      </c>
      <c r="D4430" s="3">
        <f t="shared" si="72"/>
        <v>1.6460693918040503E-2</v>
      </c>
    </row>
    <row r="4431" spans="2:4" x14ac:dyDescent="0.2">
      <c r="B4431" s="2">
        <v>42529</v>
      </c>
      <c r="C4431" s="61">
        <v>10217.030000000001</v>
      </c>
      <c r="D4431" s="3">
        <f t="shared" si="72"/>
        <v>-6.8674375563780865E-3</v>
      </c>
    </row>
    <row r="4432" spans="2:4" x14ac:dyDescent="0.2">
      <c r="B4432" s="2">
        <v>42530</v>
      </c>
      <c r="C4432" s="61">
        <v>10088.870000000001</v>
      </c>
      <c r="D4432" s="3">
        <f t="shared" si="72"/>
        <v>-1.2543762717736939E-2</v>
      </c>
    </row>
    <row r="4433" spans="2:4" x14ac:dyDescent="0.2">
      <c r="B4433" s="2">
        <v>42531</v>
      </c>
      <c r="C4433" s="61">
        <v>9834.6200000000008</v>
      </c>
      <c r="D4433" s="3">
        <f t="shared" si="72"/>
        <v>-2.5201038371988171E-2</v>
      </c>
    </row>
    <row r="4434" spans="2:4" x14ac:dyDescent="0.2">
      <c r="B4434" s="2">
        <v>42534</v>
      </c>
      <c r="C4434" s="61">
        <v>9657.44</v>
      </c>
      <c r="D4434" s="3">
        <f t="shared" si="72"/>
        <v>-1.8015947743786787E-2</v>
      </c>
    </row>
    <row r="4435" spans="2:4" x14ac:dyDescent="0.2">
      <c r="B4435" s="2">
        <v>42535</v>
      </c>
      <c r="C4435" s="61">
        <v>9519.2000000000007</v>
      </c>
      <c r="D4435" s="3">
        <f t="shared" si="72"/>
        <v>-1.4314352457794222E-2</v>
      </c>
    </row>
    <row r="4436" spans="2:4" x14ac:dyDescent="0.2">
      <c r="B4436" s="2">
        <v>42536</v>
      </c>
      <c r="C4436" s="61">
        <v>9606.7099999999991</v>
      </c>
      <c r="D4436" s="3">
        <f t="shared" si="72"/>
        <v>9.1929994117150304E-3</v>
      </c>
    </row>
    <row r="4437" spans="2:4" x14ac:dyDescent="0.2">
      <c r="B4437" s="2">
        <v>42537</v>
      </c>
      <c r="C4437" s="61">
        <v>9550.4699999999993</v>
      </c>
      <c r="D4437" s="3">
        <f t="shared" si="72"/>
        <v>-5.8542414624778161E-3</v>
      </c>
    </row>
    <row r="4438" spans="2:4" x14ac:dyDescent="0.2">
      <c r="B4438" s="2">
        <v>42538</v>
      </c>
      <c r="C4438" s="61">
        <v>9631.36</v>
      </c>
      <c r="D4438" s="3">
        <f t="shared" si="72"/>
        <v>8.4697402326798787E-3</v>
      </c>
    </row>
    <row r="4439" spans="2:4" x14ac:dyDescent="0.2">
      <c r="B4439" s="2">
        <v>42541</v>
      </c>
      <c r="C4439" s="61">
        <v>9962.02</v>
      </c>
      <c r="D4439" s="3">
        <f t="shared" si="72"/>
        <v>3.4331600106319415E-2</v>
      </c>
    </row>
    <row r="4440" spans="2:4" x14ac:dyDescent="0.2">
      <c r="B4440" s="2">
        <v>42542</v>
      </c>
      <c r="C4440" s="61">
        <v>10015.540000000001</v>
      </c>
      <c r="D4440" s="3">
        <f t="shared" si="72"/>
        <v>5.3724043918803588E-3</v>
      </c>
    </row>
    <row r="4441" spans="2:4" x14ac:dyDescent="0.2">
      <c r="B4441" s="2">
        <v>42543</v>
      </c>
      <c r="C4441" s="61">
        <v>10071.06</v>
      </c>
      <c r="D4441" s="3">
        <f t="shared" si="72"/>
        <v>5.5433855788102893E-3</v>
      </c>
    </row>
    <row r="4442" spans="2:4" x14ac:dyDescent="0.2">
      <c r="B4442" s="2">
        <v>42544</v>
      </c>
      <c r="C4442" s="61">
        <v>10257.030000000001</v>
      </c>
      <c r="D4442" s="3">
        <f t="shared" si="72"/>
        <v>1.8465782152027765E-2</v>
      </c>
    </row>
    <row r="4443" spans="2:4" x14ac:dyDescent="0.2">
      <c r="B4443" s="2">
        <v>42545</v>
      </c>
      <c r="C4443" s="61">
        <v>9557.16</v>
      </c>
      <c r="D4443" s="3">
        <f t="shared" si="72"/>
        <v>-6.8233202008768701E-2</v>
      </c>
    </row>
    <row r="4444" spans="2:4" x14ac:dyDescent="0.2">
      <c r="B4444" s="2">
        <v>42548</v>
      </c>
      <c r="C4444" s="61">
        <v>9268.66</v>
      </c>
      <c r="D4444" s="3">
        <f t="shared" si="72"/>
        <v>-3.018679189215201E-2</v>
      </c>
    </row>
    <row r="4445" spans="2:4" x14ac:dyDescent="0.2">
      <c r="B4445" s="2">
        <v>42549</v>
      </c>
      <c r="C4445" s="61">
        <v>9447.2800000000007</v>
      </c>
      <c r="D4445" s="3">
        <f t="shared" si="72"/>
        <v>1.927139413895862E-2</v>
      </c>
    </row>
    <row r="4446" spans="2:4" x14ac:dyDescent="0.2">
      <c r="B4446" s="2">
        <v>42550</v>
      </c>
      <c r="C4446" s="61">
        <v>9612.27</v>
      </c>
      <c r="D4446" s="3">
        <f t="shared" si="72"/>
        <v>1.7464286016715791E-2</v>
      </c>
    </row>
    <row r="4447" spans="2:4" x14ac:dyDescent="0.2">
      <c r="B4447" s="2">
        <v>42551</v>
      </c>
      <c r="C4447" s="61">
        <v>9680.09</v>
      </c>
      <c r="D4447" s="3">
        <f t="shared" si="72"/>
        <v>7.0555654387569611E-3</v>
      </c>
    </row>
    <row r="4448" spans="2:4" x14ac:dyDescent="0.2">
      <c r="B4448" s="2">
        <v>42552</v>
      </c>
      <c r="C4448" s="61">
        <v>9776.1200000000008</v>
      </c>
      <c r="D4448" s="3">
        <f t="shared" si="72"/>
        <v>9.9203623106811634E-3</v>
      </c>
    </row>
    <row r="4449" spans="2:4" x14ac:dyDescent="0.2">
      <c r="B4449" s="2">
        <v>42555</v>
      </c>
      <c r="C4449" s="61">
        <v>9709.09</v>
      </c>
      <c r="D4449" s="3">
        <f t="shared" si="72"/>
        <v>-6.8565033980761969E-3</v>
      </c>
    </row>
    <row r="4450" spans="2:4" x14ac:dyDescent="0.2">
      <c r="B4450" s="2">
        <v>42556</v>
      </c>
      <c r="C4450" s="61">
        <v>9532.61</v>
      </c>
      <c r="D4450" s="3">
        <f t="shared" si="72"/>
        <v>-1.8176780728162978E-2</v>
      </c>
    </row>
    <row r="4451" spans="2:4" x14ac:dyDescent="0.2">
      <c r="B4451" s="2">
        <v>42557</v>
      </c>
      <c r="C4451" s="61">
        <v>9373.26</v>
      </c>
      <c r="D4451" s="3">
        <f t="shared" si="72"/>
        <v>-1.6716303299935786E-2</v>
      </c>
    </row>
    <row r="4452" spans="2:4" x14ac:dyDescent="0.2">
      <c r="B4452" s="2">
        <v>42558</v>
      </c>
      <c r="C4452" s="61">
        <v>9418.7800000000007</v>
      </c>
      <c r="D4452" s="3">
        <f t="shared" si="72"/>
        <v>4.8563680085691452E-3</v>
      </c>
    </row>
    <row r="4453" spans="2:4" x14ac:dyDescent="0.2">
      <c r="B4453" s="2">
        <v>42559</v>
      </c>
      <c r="C4453" s="61">
        <v>9629.66</v>
      </c>
      <c r="D4453" s="3">
        <f t="shared" si="72"/>
        <v>2.2389311566890724E-2</v>
      </c>
    </row>
    <row r="4454" spans="2:4" x14ac:dyDescent="0.2">
      <c r="B4454" s="2">
        <v>42562</v>
      </c>
      <c r="C4454" s="61">
        <v>9833.41</v>
      </c>
      <c r="D4454" s="3">
        <f t="shared" si="72"/>
        <v>2.1158587115225336E-2</v>
      </c>
    </row>
    <row r="4455" spans="2:4" x14ac:dyDescent="0.2">
      <c r="B4455" s="2">
        <v>42563</v>
      </c>
      <c r="C4455" s="61">
        <v>9964.07</v>
      </c>
      <c r="D4455" s="3">
        <f t="shared" si="72"/>
        <v>1.328735403079917E-2</v>
      </c>
    </row>
    <row r="4456" spans="2:4" x14ac:dyDescent="0.2">
      <c r="B4456" s="2">
        <v>42564</v>
      </c>
      <c r="C4456" s="61">
        <v>9930.7099999999991</v>
      </c>
      <c r="D4456" s="3">
        <f t="shared" si="72"/>
        <v>-3.3480294698853275E-3</v>
      </c>
    </row>
    <row r="4457" spans="2:4" x14ac:dyDescent="0.2">
      <c r="B4457" s="2">
        <v>42565</v>
      </c>
      <c r="C4457" s="61">
        <v>10068.299999999999</v>
      </c>
      <c r="D4457" s="3">
        <f t="shared" si="72"/>
        <v>1.3855001304035719E-2</v>
      </c>
    </row>
    <row r="4458" spans="2:4" x14ac:dyDescent="0.2">
      <c r="B4458" s="2">
        <v>42566</v>
      </c>
      <c r="C4458" s="61">
        <v>10066.9</v>
      </c>
      <c r="D4458" s="3">
        <f t="shared" si="72"/>
        <v>-1.3905028654292995E-4</v>
      </c>
    </row>
    <row r="4459" spans="2:4" x14ac:dyDescent="0.2">
      <c r="B4459" s="2">
        <v>42569</v>
      </c>
      <c r="C4459" s="61">
        <v>10063.129999999999</v>
      </c>
      <c r="D4459" s="3">
        <f t="shared" si="72"/>
        <v>-3.7449463091920876E-4</v>
      </c>
    </row>
    <row r="4460" spans="2:4" x14ac:dyDescent="0.2">
      <c r="B4460" s="2">
        <v>42570</v>
      </c>
      <c r="C4460" s="61">
        <v>9981.24</v>
      </c>
      <c r="D4460" s="3">
        <f t="shared" si="72"/>
        <v>-8.1376271597405347E-3</v>
      </c>
    </row>
    <row r="4461" spans="2:4" x14ac:dyDescent="0.2">
      <c r="B4461" s="2">
        <v>42571</v>
      </c>
      <c r="C4461" s="61">
        <v>10142.01</v>
      </c>
      <c r="D4461" s="3">
        <f t="shared" si="72"/>
        <v>1.610721713935348E-2</v>
      </c>
    </row>
    <row r="4462" spans="2:4" x14ac:dyDescent="0.2">
      <c r="B4462" s="2">
        <v>42572</v>
      </c>
      <c r="C4462" s="61">
        <v>10156.209999999999</v>
      </c>
      <c r="D4462" s="3">
        <f t="shared" si="72"/>
        <v>1.4001169393442758E-3</v>
      </c>
    </row>
    <row r="4463" spans="2:4" x14ac:dyDescent="0.2">
      <c r="B4463" s="2">
        <v>42573</v>
      </c>
      <c r="C4463" s="61">
        <v>10147.459999999999</v>
      </c>
      <c r="D4463" s="3">
        <f t="shared" si="72"/>
        <v>-8.6154185468789724E-4</v>
      </c>
    </row>
    <row r="4464" spans="2:4" x14ac:dyDescent="0.2">
      <c r="B4464" s="2">
        <v>42576</v>
      </c>
      <c r="C4464" s="61">
        <v>10198.24</v>
      </c>
      <c r="D4464" s="3">
        <f t="shared" si="72"/>
        <v>5.0042079495755676E-3</v>
      </c>
    </row>
    <row r="4465" spans="2:4" x14ac:dyDescent="0.2">
      <c r="B4465" s="2">
        <v>42577</v>
      </c>
      <c r="C4465" s="61">
        <v>10247.76</v>
      </c>
      <c r="D4465" s="3">
        <f t="shared" si="72"/>
        <v>4.8557398139286168E-3</v>
      </c>
    </row>
    <row r="4466" spans="2:4" x14ac:dyDescent="0.2">
      <c r="B4466" s="2">
        <v>42578</v>
      </c>
      <c r="C4466" s="61">
        <v>10319.549999999999</v>
      </c>
      <c r="D4466" s="3">
        <f t="shared" si="72"/>
        <v>7.0054333825146919E-3</v>
      </c>
    </row>
    <row r="4467" spans="2:4" x14ac:dyDescent="0.2">
      <c r="B4467" s="2">
        <v>42579</v>
      </c>
      <c r="C4467" s="61">
        <v>10274.93</v>
      </c>
      <c r="D4467" s="3">
        <f t="shared" si="72"/>
        <v>-4.3238319500364941E-3</v>
      </c>
    </row>
    <row r="4468" spans="2:4" x14ac:dyDescent="0.2">
      <c r="B4468" s="2">
        <v>42580</v>
      </c>
      <c r="C4468" s="61">
        <v>10337.5</v>
      </c>
      <c r="D4468" s="3">
        <f t="shared" si="72"/>
        <v>6.0895791990795978E-3</v>
      </c>
    </row>
    <row r="4469" spans="2:4" x14ac:dyDescent="0.2">
      <c r="B4469" s="2">
        <v>42583</v>
      </c>
      <c r="C4469" s="61">
        <v>10330.52</v>
      </c>
      <c r="D4469" s="3">
        <f t="shared" si="72"/>
        <v>-6.7521160822248127E-4</v>
      </c>
    </row>
    <row r="4470" spans="2:4" x14ac:dyDescent="0.2">
      <c r="B4470" s="2">
        <v>42584</v>
      </c>
      <c r="C4470" s="61">
        <v>10144.34</v>
      </c>
      <c r="D4470" s="3">
        <f t="shared" si="72"/>
        <v>-1.8022326078454887E-2</v>
      </c>
    </row>
    <row r="4471" spans="2:4" x14ac:dyDescent="0.2">
      <c r="B4471" s="2">
        <v>42585</v>
      </c>
      <c r="C4471" s="61">
        <v>10170.209999999999</v>
      </c>
      <c r="D4471" s="3">
        <f t="shared" si="72"/>
        <v>2.5501905496068122E-3</v>
      </c>
    </row>
    <row r="4472" spans="2:4" x14ac:dyDescent="0.2">
      <c r="B4472" s="2">
        <v>42586</v>
      </c>
      <c r="C4472" s="61">
        <v>10227.86</v>
      </c>
      <c r="D4472" s="3">
        <f t="shared" si="72"/>
        <v>5.6685161859981736E-3</v>
      </c>
    </row>
    <row r="4473" spans="2:4" x14ac:dyDescent="0.2">
      <c r="B4473" s="2">
        <v>42587</v>
      </c>
      <c r="C4473" s="61">
        <v>10367.209999999999</v>
      </c>
      <c r="D4473" s="3">
        <f t="shared" si="72"/>
        <v>1.3624550981339079E-2</v>
      </c>
    </row>
    <row r="4474" spans="2:4" x14ac:dyDescent="0.2">
      <c r="B4474" s="2">
        <v>42590</v>
      </c>
      <c r="C4474" s="61">
        <v>10432.36</v>
      </c>
      <c r="D4474" s="3">
        <f t="shared" si="72"/>
        <v>6.2842365496600383E-3</v>
      </c>
    </row>
    <row r="4475" spans="2:4" x14ac:dyDescent="0.2">
      <c r="B4475" s="2">
        <v>42591</v>
      </c>
      <c r="C4475" s="61">
        <v>10692.9</v>
      </c>
      <c r="D4475" s="3">
        <f t="shared" si="72"/>
        <v>2.4974214846880116E-2</v>
      </c>
    </row>
    <row r="4476" spans="2:4" x14ac:dyDescent="0.2">
      <c r="B4476" s="2">
        <v>42592</v>
      </c>
      <c r="C4476" s="61">
        <v>10650.89</v>
      </c>
      <c r="D4476" s="3">
        <f t="shared" si="72"/>
        <v>-3.9287751685698202E-3</v>
      </c>
    </row>
    <row r="4477" spans="2:4" x14ac:dyDescent="0.2">
      <c r="B4477" s="2">
        <v>42593</v>
      </c>
      <c r="C4477" s="61">
        <v>10742.84</v>
      </c>
      <c r="D4477" s="3">
        <f t="shared" si="72"/>
        <v>8.6330813669093232E-3</v>
      </c>
    </row>
    <row r="4478" spans="2:4" x14ac:dyDescent="0.2">
      <c r="B4478" s="2">
        <v>42594</v>
      </c>
      <c r="C4478" s="61">
        <v>10713.43</v>
      </c>
      <c r="D4478" s="3">
        <f t="shared" si="72"/>
        <v>-2.7376373472935978E-3</v>
      </c>
    </row>
    <row r="4479" spans="2:4" x14ac:dyDescent="0.2">
      <c r="B4479" s="2">
        <v>42597</v>
      </c>
      <c r="C4479" s="61">
        <v>10739.21</v>
      </c>
      <c r="D4479" s="3">
        <f t="shared" si="72"/>
        <v>2.4063255185313714E-3</v>
      </c>
    </row>
    <row r="4480" spans="2:4" x14ac:dyDescent="0.2">
      <c r="B4480" s="2">
        <v>42598</v>
      </c>
      <c r="C4480" s="61">
        <v>10676.65</v>
      </c>
      <c r="D4480" s="3">
        <f t="shared" si="72"/>
        <v>-5.8253819415021724E-3</v>
      </c>
    </row>
    <row r="4481" spans="2:4" x14ac:dyDescent="0.2">
      <c r="B4481" s="2">
        <v>42599</v>
      </c>
      <c r="C4481" s="61">
        <v>10537.67</v>
      </c>
      <c r="D4481" s="3">
        <f t="shared" si="72"/>
        <v>-1.3017191722122567E-2</v>
      </c>
    </row>
    <row r="4482" spans="2:4" x14ac:dyDescent="0.2">
      <c r="B4482" s="2">
        <v>42600</v>
      </c>
      <c r="C4482" s="61">
        <v>10603.03</v>
      </c>
      <c r="D4482" s="3">
        <f t="shared" si="72"/>
        <v>6.2025096629521048E-3</v>
      </c>
    </row>
    <row r="4483" spans="2:4" x14ac:dyDescent="0.2">
      <c r="B4483" s="2">
        <v>42601</v>
      </c>
      <c r="C4483" s="61">
        <v>10544.36</v>
      </c>
      <c r="D4483" s="3">
        <f t="shared" si="72"/>
        <v>-5.5333239649421051E-3</v>
      </c>
    </row>
    <row r="4484" spans="2:4" x14ac:dyDescent="0.2">
      <c r="B4484" s="2">
        <v>42604</v>
      </c>
      <c r="C4484" s="61">
        <v>10494.35</v>
      </c>
      <c r="D4484" s="3">
        <f t="shared" si="72"/>
        <v>-4.7428198581991321E-3</v>
      </c>
    </row>
    <row r="4485" spans="2:4" x14ac:dyDescent="0.2">
      <c r="B4485" s="2">
        <v>42605</v>
      </c>
      <c r="C4485" s="61">
        <v>10592.88</v>
      </c>
      <c r="D4485" s="3">
        <f t="shared" ref="D4485:D4548" si="73">C4485/C4484-1</f>
        <v>9.3888616255413115E-3</v>
      </c>
    </row>
    <row r="4486" spans="2:4" x14ac:dyDescent="0.2">
      <c r="B4486" s="2">
        <v>42606</v>
      </c>
      <c r="C4486" s="61">
        <v>10622.97</v>
      </c>
      <c r="D4486" s="3">
        <f t="shared" si="73"/>
        <v>2.8405872623875617E-3</v>
      </c>
    </row>
    <row r="4487" spans="2:4" x14ac:dyDescent="0.2">
      <c r="B4487" s="2">
        <v>42607</v>
      </c>
      <c r="C4487" s="61">
        <v>10529.59</v>
      </c>
      <c r="D4487" s="3">
        <f t="shared" si="73"/>
        <v>-8.7903853630386664E-3</v>
      </c>
    </row>
    <row r="4488" spans="2:4" x14ac:dyDescent="0.2">
      <c r="B4488" s="2">
        <v>42608</v>
      </c>
      <c r="C4488" s="61">
        <v>10587.77</v>
      </c>
      <c r="D4488" s="3">
        <f t="shared" si="73"/>
        <v>5.5253813301372467E-3</v>
      </c>
    </row>
    <row r="4489" spans="2:4" x14ac:dyDescent="0.2">
      <c r="B4489" s="2">
        <v>42611</v>
      </c>
      <c r="C4489" s="61">
        <v>10544.44</v>
      </c>
      <c r="D4489" s="3">
        <f t="shared" si="73"/>
        <v>-4.0924576185542572E-3</v>
      </c>
    </row>
    <row r="4490" spans="2:4" x14ac:dyDescent="0.2">
      <c r="B4490" s="2">
        <v>42612</v>
      </c>
      <c r="C4490" s="61">
        <v>10657.64</v>
      </c>
      <c r="D4490" s="3">
        <f t="shared" si="73"/>
        <v>1.0735515589258338E-2</v>
      </c>
    </row>
    <row r="4491" spans="2:4" x14ac:dyDescent="0.2">
      <c r="B4491" s="2">
        <v>42613</v>
      </c>
      <c r="C4491" s="61">
        <v>10592.69</v>
      </c>
      <c r="D4491" s="3">
        <f t="shared" si="73"/>
        <v>-6.0942197334493686E-3</v>
      </c>
    </row>
    <row r="4492" spans="2:4" x14ac:dyDescent="0.2">
      <c r="B4492" s="2">
        <v>42614</v>
      </c>
      <c r="C4492" s="61">
        <v>10534.31</v>
      </c>
      <c r="D4492" s="3">
        <f t="shared" si="73"/>
        <v>-5.5113479201224225E-3</v>
      </c>
    </row>
    <row r="4493" spans="2:4" x14ac:dyDescent="0.2">
      <c r="B4493" s="2">
        <v>42615</v>
      </c>
      <c r="C4493" s="61">
        <v>10683.82</v>
      </c>
      <c r="D4493" s="3">
        <f t="shared" si="73"/>
        <v>1.4192671375723664E-2</v>
      </c>
    </row>
    <row r="4494" spans="2:4" x14ac:dyDescent="0.2">
      <c r="B4494" s="2">
        <v>42618</v>
      </c>
      <c r="C4494" s="61">
        <v>10672.22</v>
      </c>
      <c r="D4494" s="3">
        <f t="shared" si="73"/>
        <v>-1.0857539718940323E-3</v>
      </c>
    </row>
    <row r="4495" spans="2:4" x14ac:dyDescent="0.2">
      <c r="B4495" s="2">
        <v>42619</v>
      </c>
      <c r="C4495" s="61">
        <v>10687.14</v>
      </c>
      <c r="D4495" s="3">
        <f t="shared" si="73"/>
        <v>1.398022154715628E-3</v>
      </c>
    </row>
    <row r="4496" spans="2:4" x14ac:dyDescent="0.2">
      <c r="B4496" s="2">
        <v>42620</v>
      </c>
      <c r="C4496" s="61">
        <v>10752.98</v>
      </c>
      <c r="D4496" s="3">
        <f t="shared" si="73"/>
        <v>6.1606753537428727E-3</v>
      </c>
    </row>
    <row r="4497" spans="2:4" x14ac:dyDescent="0.2">
      <c r="B4497" s="2">
        <v>42621</v>
      </c>
      <c r="C4497" s="61">
        <v>10675.29</v>
      </c>
      <c r="D4497" s="3">
        <f t="shared" si="73"/>
        <v>-7.224973914207844E-3</v>
      </c>
    </row>
    <row r="4498" spans="2:4" x14ac:dyDescent="0.2">
      <c r="B4498" s="2">
        <v>42622</v>
      </c>
      <c r="C4498" s="61">
        <v>10573.44</v>
      </c>
      <c r="D4498" s="3">
        <f t="shared" si="73"/>
        <v>-9.5407244206012765E-3</v>
      </c>
    </row>
    <row r="4499" spans="2:4" x14ac:dyDescent="0.2">
      <c r="B4499" s="2">
        <v>42625</v>
      </c>
      <c r="C4499" s="61">
        <v>10431.77</v>
      </c>
      <c r="D4499" s="3">
        <f t="shared" si="73"/>
        <v>-1.3398666848253749E-2</v>
      </c>
    </row>
    <row r="4500" spans="2:4" x14ac:dyDescent="0.2">
      <c r="B4500" s="2">
        <v>42626</v>
      </c>
      <c r="C4500" s="61">
        <v>10386.6</v>
      </c>
      <c r="D4500" s="3">
        <f t="shared" si="73"/>
        <v>-4.3300417858138651E-3</v>
      </c>
    </row>
    <row r="4501" spans="2:4" x14ac:dyDescent="0.2">
      <c r="B4501" s="2">
        <v>42627</v>
      </c>
      <c r="C4501" s="61">
        <v>10378.4</v>
      </c>
      <c r="D4501" s="3">
        <f t="shared" si="73"/>
        <v>-7.8947875146828661E-4</v>
      </c>
    </row>
    <row r="4502" spans="2:4" x14ac:dyDescent="0.2">
      <c r="B4502" s="2">
        <v>42628</v>
      </c>
      <c r="C4502" s="61">
        <v>10431.200000000001</v>
      </c>
      <c r="D4502" s="3">
        <f t="shared" si="73"/>
        <v>5.0874894010639604E-3</v>
      </c>
    </row>
    <row r="4503" spans="2:4" x14ac:dyDescent="0.2">
      <c r="B4503" s="2">
        <v>42629</v>
      </c>
      <c r="C4503" s="61">
        <v>10276.17</v>
      </c>
      <c r="D4503" s="3">
        <f t="shared" si="73"/>
        <v>-1.4862144336222127E-2</v>
      </c>
    </row>
    <row r="4504" spans="2:4" x14ac:dyDescent="0.2">
      <c r="B4504" s="2">
        <v>42632</v>
      </c>
      <c r="C4504" s="61">
        <v>10373.870000000001</v>
      </c>
      <c r="D4504" s="3">
        <f t="shared" si="73"/>
        <v>9.5074332168503251E-3</v>
      </c>
    </row>
    <row r="4505" spans="2:4" x14ac:dyDescent="0.2">
      <c r="B4505" s="2">
        <v>42633</v>
      </c>
      <c r="C4505" s="61">
        <v>10393.86</v>
      </c>
      <c r="D4505" s="3">
        <f t="shared" si="73"/>
        <v>1.9269568637354517E-3</v>
      </c>
    </row>
    <row r="4506" spans="2:4" x14ac:dyDescent="0.2">
      <c r="B4506" s="2">
        <v>42634</v>
      </c>
      <c r="C4506" s="61">
        <v>10436.49</v>
      </c>
      <c r="D4506" s="3">
        <f t="shared" si="73"/>
        <v>4.1014599003641461E-3</v>
      </c>
    </row>
    <row r="4507" spans="2:4" x14ac:dyDescent="0.2">
      <c r="B4507" s="2">
        <v>42635</v>
      </c>
      <c r="C4507" s="61">
        <v>10674.18</v>
      </c>
      <c r="D4507" s="3">
        <f t="shared" si="73"/>
        <v>2.2774898457240011E-2</v>
      </c>
    </row>
    <row r="4508" spans="2:4" x14ac:dyDescent="0.2">
      <c r="B4508" s="2">
        <v>42636</v>
      </c>
      <c r="C4508" s="61">
        <v>10626.97</v>
      </c>
      <c r="D4508" s="3">
        <f t="shared" si="73"/>
        <v>-4.4228221746308582E-3</v>
      </c>
    </row>
    <row r="4509" spans="2:4" x14ac:dyDescent="0.2">
      <c r="B4509" s="2">
        <v>42639</v>
      </c>
      <c r="C4509" s="61">
        <v>10393.709999999999</v>
      </c>
      <c r="D4509" s="3">
        <f t="shared" si="73"/>
        <v>-2.1949812599452168E-2</v>
      </c>
    </row>
    <row r="4510" spans="2:4" x14ac:dyDescent="0.2">
      <c r="B4510" s="2">
        <v>42640</v>
      </c>
      <c r="C4510" s="61">
        <v>10361.48</v>
      </c>
      <c r="D4510" s="3">
        <f t="shared" si="73"/>
        <v>-3.1009139181292777E-3</v>
      </c>
    </row>
    <row r="4511" spans="2:4" x14ac:dyDescent="0.2">
      <c r="B4511" s="2">
        <v>42641</v>
      </c>
      <c r="C4511" s="61">
        <v>10438.34</v>
      </c>
      <c r="D4511" s="3">
        <f t="shared" si="73"/>
        <v>7.4178592247440278E-3</v>
      </c>
    </row>
    <row r="4512" spans="2:4" x14ac:dyDescent="0.2">
      <c r="B4512" s="2">
        <v>42642</v>
      </c>
      <c r="C4512" s="61">
        <v>10405.540000000001</v>
      </c>
      <c r="D4512" s="3">
        <f t="shared" si="73"/>
        <v>-3.1422620838178483E-3</v>
      </c>
    </row>
    <row r="4513" spans="2:4" x14ac:dyDescent="0.2">
      <c r="B4513" s="2">
        <v>42643</v>
      </c>
      <c r="C4513" s="61">
        <v>10511.02</v>
      </c>
      <c r="D4513" s="3">
        <f t="shared" si="73"/>
        <v>1.0136907839477738E-2</v>
      </c>
    </row>
    <row r="4514" spans="2:4" x14ac:dyDescent="0.2">
      <c r="B4514" s="2">
        <v>42647</v>
      </c>
      <c r="C4514" s="61">
        <v>10619.61</v>
      </c>
      <c r="D4514" s="3">
        <f t="shared" si="73"/>
        <v>1.0331062066288643E-2</v>
      </c>
    </row>
    <row r="4515" spans="2:4" x14ac:dyDescent="0.2">
      <c r="B4515" s="2">
        <v>42648</v>
      </c>
      <c r="C4515" s="61">
        <v>10585.78</v>
      </c>
      <c r="D4515" s="3">
        <f t="shared" si="73"/>
        <v>-3.1856160442803594E-3</v>
      </c>
    </row>
    <row r="4516" spans="2:4" x14ac:dyDescent="0.2">
      <c r="B4516" s="2">
        <v>42649</v>
      </c>
      <c r="C4516" s="61">
        <v>10568.8</v>
      </c>
      <c r="D4516" s="3">
        <f t="shared" si="73"/>
        <v>-1.6040386254013717E-3</v>
      </c>
    </row>
    <row r="4517" spans="2:4" x14ac:dyDescent="0.2">
      <c r="B4517" s="2">
        <v>42650</v>
      </c>
      <c r="C4517" s="61">
        <v>10490.86</v>
      </c>
      <c r="D4517" s="3">
        <f t="shared" si="73"/>
        <v>-7.3745363712056644E-3</v>
      </c>
    </row>
    <row r="4518" spans="2:4" x14ac:dyDescent="0.2">
      <c r="B4518" s="2">
        <v>42653</v>
      </c>
      <c r="C4518" s="61">
        <v>10624.08</v>
      </c>
      <c r="D4518" s="3">
        <f t="shared" si="73"/>
        <v>1.2698672940063993E-2</v>
      </c>
    </row>
    <row r="4519" spans="2:4" x14ac:dyDescent="0.2">
      <c r="B4519" s="2">
        <v>42654</v>
      </c>
      <c r="C4519" s="61">
        <v>10577.16</v>
      </c>
      <c r="D4519" s="3">
        <f t="shared" si="73"/>
        <v>-4.4163824067590118E-3</v>
      </c>
    </row>
    <row r="4520" spans="2:4" x14ac:dyDescent="0.2">
      <c r="B4520" s="2">
        <v>42655</v>
      </c>
      <c r="C4520" s="61">
        <v>10523.07</v>
      </c>
      <c r="D4520" s="3">
        <f t="shared" si="73"/>
        <v>-5.1138490861440955E-3</v>
      </c>
    </row>
    <row r="4521" spans="2:4" x14ac:dyDescent="0.2">
      <c r="B4521" s="2">
        <v>42656</v>
      </c>
      <c r="C4521" s="61">
        <v>10414.07</v>
      </c>
      <c r="D4521" s="3">
        <f t="shared" si="73"/>
        <v>-1.03581939491042E-2</v>
      </c>
    </row>
    <row r="4522" spans="2:4" x14ac:dyDescent="0.2">
      <c r="B4522" s="2">
        <v>42657</v>
      </c>
      <c r="C4522" s="61">
        <v>10580.38</v>
      </c>
      <c r="D4522" s="3">
        <f t="shared" si="73"/>
        <v>1.5969740937020749E-2</v>
      </c>
    </row>
    <row r="4523" spans="2:4" x14ac:dyDescent="0.2">
      <c r="B4523" s="2">
        <v>42660</v>
      </c>
      <c r="C4523" s="61">
        <v>10503.57</v>
      </c>
      <c r="D4523" s="3">
        <f t="shared" si="73"/>
        <v>-7.2596636415704907E-3</v>
      </c>
    </row>
    <row r="4524" spans="2:4" x14ac:dyDescent="0.2">
      <c r="B4524" s="2">
        <v>42661</v>
      </c>
      <c r="C4524" s="61">
        <v>10631.55</v>
      </c>
      <c r="D4524" s="3">
        <f t="shared" si="73"/>
        <v>1.2184428722805674E-2</v>
      </c>
    </row>
    <row r="4525" spans="2:4" x14ac:dyDescent="0.2">
      <c r="B4525" s="2">
        <v>42662</v>
      </c>
      <c r="C4525" s="61">
        <v>10645.68</v>
      </c>
      <c r="D4525" s="3">
        <f t="shared" si="73"/>
        <v>1.3290630246767243E-3</v>
      </c>
    </row>
    <row r="4526" spans="2:4" x14ac:dyDescent="0.2">
      <c r="B4526" s="2">
        <v>42663</v>
      </c>
      <c r="C4526" s="61">
        <v>10701.39</v>
      </c>
      <c r="D4526" s="3">
        <f t="shared" si="73"/>
        <v>5.2331086412515937E-3</v>
      </c>
    </row>
    <row r="4527" spans="2:4" x14ac:dyDescent="0.2">
      <c r="B4527" s="2">
        <v>42664</v>
      </c>
      <c r="C4527" s="61">
        <v>10710.73</v>
      </c>
      <c r="D4527" s="3">
        <f t="shared" si="73"/>
        <v>8.7278381593414167E-4</v>
      </c>
    </row>
    <row r="4528" spans="2:4" x14ac:dyDescent="0.2">
      <c r="B4528" s="2">
        <v>42667</v>
      </c>
      <c r="C4528" s="61">
        <v>10761.17</v>
      </c>
      <c r="D4528" s="3">
        <f t="shared" si="73"/>
        <v>4.7092961917629683E-3</v>
      </c>
    </row>
    <row r="4529" spans="2:4" x14ac:dyDescent="0.2">
      <c r="B4529" s="2">
        <v>42668</v>
      </c>
      <c r="C4529" s="61">
        <v>10757.31</v>
      </c>
      <c r="D4529" s="3">
        <f t="shared" si="73"/>
        <v>-3.5869705617519454E-4</v>
      </c>
    </row>
    <row r="4530" spans="2:4" x14ac:dyDescent="0.2">
      <c r="B4530" s="2">
        <v>42669</v>
      </c>
      <c r="C4530" s="61">
        <v>10709.68</v>
      </c>
      <c r="D4530" s="3">
        <f t="shared" si="73"/>
        <v>-4.4276868473622777E-3</v>
      </c>
    </row>
    <row r="4531" spans="2:4" x14ac:dyDescent="0.2">
      <c r="B4531" s="2">
        <v>42670</v>
      </c>
      <c r="C4531" s="61">
        <v>10717.08</v>
      </c>
      <c r="D4531" s="3">
        <f t="shared" si="73"/>
        <v>6.9096368892429538E-4</v>
      </c>
    </row>
    <row r="4532" spans="2:4" x14ac:dyDescent="0.2">
      <c r="B4532" s="2">
        <v>42671</v>
      </c>
      <c r="C4532" s="61">
        <v>10696.19</v>
      </c>
      <c r="D4532" s="3">
        <f t="shared" si="73"/>
        <v>-1.9492249754596847E-3</v>
      </c>
    </row>
    <row r="4533" spans="2:4" x14ac:dyDescent="0.2">
      <c r="B4533" s="2">
        <v>42674</v>
      </c>
      <c r="C4533" s="61">
        <v>10665.01</v>
      </c>
      <c r="D4533" s="3">
        <f t="shared" si="73"/>
        <v>-2.9150566697113689E-3</v>
      </c>
    </row>
    <row r="4534" spans="2:4" x14ac:dyDescent="0.2">
      <c r="B4534" s="2">
        <v>42675</v>
      </c>
      <c r="C4534" s="61">
        <v>10526.16</v>
      </c>
      <c r="D4534" s="3">
        <f t="shared" si="73"/>
        <v>-1.301920954598268E-2</v>
      </c>
    </row>
    <row r="4535" spans="2:4" x14ac:dyDescent="0.2">
      <c r="B4535" s="2">
        <v>42676</v>
      </c>
      <c r="C4535" s="61">
        <v>10370.93</v>
      </c>
      <c r="D4535" s="3">
        <f t="shared" si="73"/>
        <v>-1.4747068256610207E-2</v>
      </c>
    </row>
    <row r="4536" spans="2:4" x14ac:dyDescent="0.2">
      <c r="B4536" s="2">
        <v>42677</v>
      </c>
      <c r="C4536" s="61">
        <v>10325.879999999999</v>
      </c>
      <c r="D4536" s="3">
        <f t="shared" si="73"/>
        <v>-4.3438727288681589E-3</v>
      </c>
    </row>
    <row r="4537" spans="2:4" x14ac:dyDescent="0.2">
      <c r="B4537" s="2">
        <v>42678</v>
      </c>
      <c r="C4537" s="61">
        <v>10259.129999999999</v>
      </c>
      <c r="D4537" s="3">
        <f t="shared" si="73"/>
        <v>-6.4643400853002797E-3</v>
      </c>
    </row>
    <row r="4538" spans="2:4" x14ac:dyDescent="0.2">
      <c r="B4538" s="2">
        <v>42681</v>
      </c>
      <c r="C4538" s="61">
        <v>10456.950000000001</v>
      </c>
      <c r="D4538" s="3">
        <f t="shared" si="73"/>
        <v>1.9282336806337508E-2</v>
      </c>
    </row>
    <row r="4539" spans="2:4" x14ac:dyDescent="0.2">
      <c r="B4539" s="2">
        <v>42682</v>
      </c>
      <c r="C4539" s="61">
        <v>10482.32</v>
      </c>
      <c r="D4539" s="3">
        <f t="shared" si="73"/>
        <v>2.4261376405165791E-3</v>
      </c>
    </row>
    <row r="4540" spans="2:4" x14ac:dyDescent="0.2">
      <c r="B4540" s="2">
        <v>42683</v>
      </c>
      <c r="C4540" s="61">
        <v>10646.01</v>
      </c>
      <c r="D4540" s="3">
        <f t="shared" si="73"/>
        <v>1.5615817872379534E-2</v>
      </c>
    </row>
    <row r="4541" spans="2:4" x14ac:dyDescent="0.2">
      <c r="B4541" s="2">
        <v>42684</v>
      </c>
      <c r="C4541" s="61">
        <v>10630.12</v>
      </c>
      <c r="D4541" s="3">
        <f t="shared" si="73"/>
        <v>-1.4925779705260434E-3</v>
      </c>
    </row>
    <row r="4542" spans="2:4" x14ac:dyDescent="0.2">
      <c r="B4542" s="2">
        <v>42685</v>
      </c>
      <c r="C4542" s="61">
        <v>10667.95</v>
      </c>
      <c r="D4542" s="3">
        <f t="shared" si="73"/>
        <v>3.558755686671411E-3</v>
      </c>
    </row>
    <row r="4543" spans="2:4" x14ac:dyDescent="0.2">
      <c r="B4543" s="2">
        <v>42688</v>
      </c>
      <c r="C4543" s="61">
        <v>10693.69</v>
      </c>
      <c r="D4543" s="3">
        <f t="shared" si="73"/>
        <v>2.4128347058245403E-3</v>
      </c>
    </row>
    <row r="4544" spans="2:4" x14ac:dyDescent="0.2">
      <c r="B4544" s="2">
        <v>42689</v>
      </c>
      <c r="C4544" s="61">
        <v>10735.14</v>
      </c>
      <c r="D4544" s="3">
        <f t="shared" si="73"/>
        <v>3.8761175983219598E-3</v>
      </c>
    </row>
    <row r="4545" spans="2:4" x14ac:dyDescent="0.2">
      <c r="B4545" s="2">
        <v>42690</v>
      </c>
      <c r="C4545" s="61">
        <v>10663.87</v>
      </c>
      <c r="D4545" s="3">
        <f t="shared" si="73"/>
        <v>-6.6389446248487083E-3</v>
      </c>
    </row>
    <row r="4546" spans="2:4" x14ac:dyDescent="0.2">
      <c r="B4546" s="2">
        <v>42691</v>
      </c>
      <c r="C4546" s="61">
        <v>10685.54</v>
      </c>
      <c r="D4546" s="3">
        <f t="shared" si="73"/>
        <v>2.0320952899839373E-3</v>
      </c>
    </row>
    <row r="4547" spans="2:4" x14ac:dyDescent="0.2">
      <c r="B4547" s="2">
        <v>42692</v>
      </c>
      <c r="C4547" s="61">
        <v>10664.56</v>
      </c>
      <c r="D4547" s="3">
        <f t="shared" si="73"/>
        <v>-1.9634010073427133E-3</v>
      </c>
    </row>
    <row r="4548" spans="2:4" x14ac:dyDescent="0.2">
      <c r="B4548" s="2">
        <v>42695</v>
      </c>
      <c r="C4548" s="61">
        <v>10685.13</v>
      </c>
      <c r="D4548" s="3">
        <f t="shared" si="73"/>
        <v>1.9288184416421661E-3</v>
      </c>
    </row>
    <row r="4549" spans="2:4" x14ac:dyDescent="0.2">
      <c r="B4549" s="2">
        <v>42696</v>
      </c>
      <c r="C4549" s="61">
        <v>10713.85</v>
      </c>
      <c r="D4549" s="3">
        <f t="shared" ref="D4549:D4612" si="74">C4549/C4548-1</f>
        <v>2.687847503961116E-3</v>
      </c>
    </row>
    <row r="4550" spans="2:4" x14ac:dyDescent="0.2">
      <c r="B4550" s="2">
        <v>42697</v>
      </c>
      <c r="C4550" s="61">
        <v>10662.44</v>
      </c>
      <c r="D4550" s="3">
        <f t="shared" si="74"/>
        <v>-4.7984618041133631E-3</v>
      </c>
    </row>
    <row r="4551" spans="2:4" x14ac:dyDescent="0.2">
      <c r="B4551" s="2">
        <v>42698</v>
      </c>
      <c r="C4551" s="61">
        <v>10689.26</v>
      </c>
      <c r="D4551" s="3">
        <f t="shared" si="74"/>
        <v>2.515371716042436E-3</v>
      </c>
    </row>
    <row r="4552" spans="2:4" x14ac:dyDescent="0.2">
      <c r="B4552" s="2">
        <v>42699</v>
      </c>
      <c r="C4552" s="61">
        <v>10699.27</v>
      </c>
      <c r="D4552" s="3">
        <f t="shared" si="74"/>
        <v>9.3645397342756453E-4</v>
      </c>
    </row>
    <row r="4553" spans="2:4" x14ac:dyDescent="0.2">
      <c r="B4553" s="2">
        <v>42702</v>
      </c>
      <c r="C4553" s="61">
        <v>10582.67</v>
      </c>
      <c r="D4553" s="3">
        <f t="shared" si="74"/>
        <v>-1.0897939765984077E-2</v>
      </c>
    </row>
    <row r="4554" spans="2:4" x14ac:dyDescent="0.2">
      <c r="B4554" s="2">
        <v>42703</v>
      </c>
      <c r="C4554" s="61">
        <v>10620.49</v>
      </c>
      <c r="D4554" s="3">
        <f t="shared" si="74"/>
        <v>3.573767300690589E-3</v>
      </c>
    </row>
    <row r="4555" spans="2:4" x14ac:dyDescent="0.2">
      <c r="B4555" s="2">
        <v>42704</v>
      </c>
      <c r="C4555" s="61">
        <v>10640.3</v>
      </c>
      <c r="D4555" s="3">
        <f t="shared" si="74"/>
        <v>1.8652623372368282E-3</v>
      </c>
    </row>
    <row r="4556" spans="2:4" x14ac:dyDescent="0.2">
      <c r="B4556" s="2">
        <v>42705</v>
      </c>
      <c r="C4556" s="61">
        <v>10534.05</v>
      </c>
      <c r="D4556" s="3">
        <f t="shared" si="74"/>
        <v>-9.9856207061831403E-3</v>
      </c>
    </row>
    <row r="4557" spans="2:4" x14ac:dyDescent="0.2">
      <c r="B4557" s="2">
        <v>42706</v>
      </c>
      <c r="C4557" s="61">
        <v>10513.35</v>
      </c>
      <c r="D4557" s="3">
        <f t="shared" si="74"/>
        <v>-1.9650561749753326E-3</v>
      </c>
    </row>
    <row r="4558" spans="2:4" x14ac:dyDescent="0.2">
      <c r="B4558" s="2">
        <v>42709</v>
      </c>
      <c r="C4558" s="61">
        <v>10684.83</v>
      </c>
      <c r="D4558" s="3">
        <f t="shared" si="74"/>
        <v>1.6310690693261298E-2</v>
      </c>
    </row>
    <row r="4559" spans="2:4" x14ac:dyDescent="0.2">
      <c r="B4559" s="2">
        <v>42710</v>
      </c>
      <c r="C4559" s="61">
        <v>10775.32</v>
      </c>
      <c r="D4559" s="3">
        <f t="shared" si="74"/>
        <v>8.4690163530911633E-3</v>
      </c>
    </row>
    <row r="4560" spans="2:4" x14ac:dyDescent="0.2">
      <c r="B4560" s="2">
        <v>42711</v>
      </c>
      <c r="C4560" s="61">
        <v>10986.69</v>
      </c>
      <c r="D4560" s="3">
        <f t="shared" si="74"/>
        <v>1.9616122769439803E-2</v>
      </c>
    </row>
    <row r="4561" spans="2:4" x14ac:dyDescent="0.2">
      <c r="B4561" s="2">
        <v>42712</v>
      </c>
      <c r="C4561" s="61">
        <v>11179.42</v>
      </c>
      <c r="D4561" s="3">
        <f t="shared" si="74"/>
        <v>1.7542135074348986E-2</v>
      </c>
    </row>
    <row r="4562" spans="2:4" x14ac:dyDescent="0.2">
      <c r="B4562" s="2">
        <v>42713</v>
      </c>
      <c r="C4562" s="61">
        <v>11203.63</v>
      </c>
      <c r="D4562" s="3">
        <f t="shared" si="74"/>
        <v>2.165586407881559E-3</v>
      </c>
    </row>
    <row r="4563" spans="2:4" x14ac:dyDescent="0.2">
      <c r="B4563" s="2">
        <v>42716</v>
      </c>
      <c r="C4563" s="61">
        <v>11190.21</v>
      </c>
      <c r="D4563" s="3">
        <f t="shared" si="74"/>
        <v>-1.1978260617317993E-3</v>
      </c>
    </row>
    <row r="4564" spans="2:4" x14ac:dyDescent="0.2">
      <c r="B4564" s="2">
        <v>42717</v>
      </c>
      <c r="C4564" s="61">
        <v>11284.65</v>
      </c>
      <c r="D4564" s="3">
        <f t="shared" si="74"/>
        <v>8.4395199017712752E-3</v>
      </c>
    </row>
    <row r="4565" spans="2:4" x14ac:dyDescent="0.2">
      <c r="B4565" s="2">
        <v>42718</v>
      </c>
      <c r="C4565" s="61">
        <v>11244.84</v>
      </c>
      <c r="D4565" s="3">
        <f t="shared" si="74"/>
        <v>-3.5278010394650394E-3</v>
      </c>
    </row>
    <row r="4566" spans="2:4" x14ac:dyDescent="0.2">
      <c r="B4566" s="2">
        <v>42719</v>
      </c>
      <c r="C4566" s="61">
        <v>11366.4</v>
      </c>
      <c r="D4566" s="3">
        <f t="shared" si="74"/>
        <v>1.0810291653771786E-2</v>
      </c>
    </row>
    <row r="4567" spans="2:4" x14ac:dyDescent="0.2">
      <c r="B4567" s="2">
        <v>42720</v>
      </c>
      <c r="C4567" s="61">
        <v>11404.01</v>
      </c>
      <c r="D4567" s="3">
        <f t="shared" si="74"/>
        <v>3.3088752815315647E-3</v>
      </c>
    </row>
    <row r="4568" spans="2:4" x14ac:dyDescent="0.2">
      <c r="B4568" s="2">
        <v>42723</v>
      </c>
      <c r="C4568" s="61">
        <v>11426.7</v>
      </c>
      <c r="D4568" s="3">
        <f t="shared" si="74"/>
        <v>1.9896510087240582E-3</v>
      </c>
    </row>
    <row r="4569" spans="2:4" x14ac:dyDescent="0.2">
      <c r="B4569" s="2">
        <v>42724</v>
      </c>
      <c r="C4569" s="61">
        <v>11464.74</v>
      </c>
      <c r="D4569" s="3">
        <f t="shared" si="74"/>
        <v>3.3290451311400737E-3</v>
      </c>
    </row>
    <row r="4570" spans="2:4" x14ac:dyDescent="0.2">
      <c r="B4570" s="2">
        <v>42725</v>
      </c>
      <c r="C4570" s="61">
        <v>11468.64</v>
      </c>
      <c r="D4570" s="3">
        <f t="shared" si="74"/>
        <v>3.4017343611791873E-4</v>
      </c>
    </row>
    <row r="4571" spans="2:4" x14ac:dyDescent="0.2">
      <c r="B4571" s="2">
        <v>42726</v>
      </c>
      <c r="C4571" s="61">
        <v>11456.1</v>
      </c>
      <c r="D4571" s="3">
        <f t="shared" si="74"/>
        <v>-1.093416481814713E-3</v>
      </c>
    </row>
    <row r="4572" spans="2:4" x14ac:dyDescent="0.2">
      <c r="B4572" s="2">
        <v>42727</v>
      </c>
      <c r="C4572" s="61">
        <v>11449.93</v>
      </c>
      <c r="D4572" s="3">
        <f t="shared" si="74"/>
        <v>-5.3857770096277235E-4</v>
      </c>
    </row>
    <row r="4573" spans="2:4" x14ac:dyDescent="0.2">
      <c r="B4573" s="2">
        <v>42731</v>
      </c>
      <c r="C4573" s="61">
        <v>11472.24</v>
      </c>
      <c r="D4573" s="3">
        <f t="shared" si="74"/>
        <v>1.9484835278469337E-3</v>
      </c>
    </row>
    <row r="4574" spans="2:4" x14ac:dyDescent="0.2">
      <c r="B4574" s="2">
        <v>42732</v>
      </c>
      <c r="C4574" s="61">
        <v>11474.99</v>
      </c>
      <c r="D4574" s="3">
        <f t="shared" si="74"/>
        <v>2.3970907163728405E-4</v>
      </c>
    </row>
    <row r="4575" spans="2:4" x14ac:dyDescent="0.2">
      <c r="B4575" s="2">
        <v>42733</v>
      </c>
      <c r="C4575" s="61">
        <v>11451.05</v>
      </c>
      <c r="D4575" s="3">
        <f t="shared" si="74"/>
        <v>-2.0862763279096974E-3</v>
      </c>
    </row>
    <row r="4576" spans="2:4" x14ac:dyDescent="0.2">
      <c r="B4576" s="2">
        <v>42734</v>
      </c>
      <c r="C4576" s="61">
        <v>11481.06</v>
      </c>
      <c r="D4576" s="3">
        <f t="shared" si="74"/>
        <v>2.6207203706209992E-3</v>
      </c>
    </row>
    <row r="4577" spans="2:4" x14ac:dyDescent="0.2">
      <c r="B4577" s="2">
        <v>42737</v>
      </c>
      <c r="C4577" s="61">
        <v>11598.33</v>
      </c>
      <c r="D4577" s="3">
        <f t="shared" si="74"/>
        <v>1.0214213670166394E-2</v>
      </c>
    </row>
    <row r="4578" spans="2:4" x14ac:dyDescent="0.2">
      <c r="B4578" s="2">
        <v>42738</v>
      </c>
      <c r="C4578" s="61">
        <v>11584.24</v>
      </c>
      <c r="D4578" s="3">
        <f t="shared" si="74"/>
        <v>-1.2148300660526079E-3</v>
      </c>
    </row>
    <row r="4579" spans="2:4" x14ac:dyDescent="0.2">
      <c r="B4579" s="2">
        <v>42739</v>
      </c>
      <c r="C4579" s="61">
        <v>11584.31</v>
      </c>
      <c r="D4579" s="3">
        <f t="shared" si="74"/>
        <v>6.0426924857193143E-6</v>
      </c>
    </row>
    <row r="4580" spans="2:4" x14ac:dyDescent="0.2">
      <c r="B4580" s="2">
        <v>42740</v>
      </c>
      <c r="C4580" s="61">
        <v>11584.94</v>
      </c>
      <c r="D4580" s="3">
        <f t="shared" si="74"/>
        <v>5.4383903745680584E-5</v>
      </c>
    </row>
    <row r="4581" spans="2:4" x14ac:dyDescent="0.2">
      <c r="B4581" s="2">
        <v>42741</v>
      </c>
      <c r="C4581" s="61">
        <v>11599.01</v>
      </c>
      <c r="D4581" s="3">
        <f t="shared" si="74"/>
        <v>1.214507800644693E-3</v>
      </c>
    </row>
    <row r="4582" spans="2:4" x14ac:dyDescent="0.2">
      <c r="B4582" s="2">
        <v>42744</v>
      </c>
      <c r="C4582" s="61">
        <v>11563.99</v>
      </c>
      <c r="D4582" s="3">
        <f t="shared" si="74"/>
        <v>-3.0192231923241719E-3</v>
      </c>
    </row>
    <row r="4583" spans="2:4" x14ac:dyDescent="0.2">
      <c r="B4583" s="2">
        <v>42745</v>
      </c>
      <c r="C4583" s="61">
        <v>11583.3</v>
      </c>
      <c r="D4583" s="3">
        <f t="shared" si="74"/>
        <v>1.6698388704936562E-3</v>
      </c>
    </row>
    <row r="4584" spans="2:4" x14ac:dyDescent="0.2">
      <c r="B4584" s="2">
        <v>42746</v>
      </c>
      <c r="C4584" s="61">
        <v>11646.17</v>
      </c>
      <c r="D4584" s="3">
        <f t="shared" si="74"/>
        <v>5.4276415183929227E-3</v>
      </c>
    </row>
    <row r="4585" spans="2:4" x14ac:dyDescent="0.2">
      <c r="B4585" s="2">
        <v>42747</v>
      </c>
      <c r="C4585" s="61">
        <v>11521.04</v>
      </c>
      <c r="D4585" s="3">
        <f t="shared" si="74"/>
        <v>-1.0744304780026304E-2</v>
      </c>
    </row>
    <row r="4586" spans="2:4" x14ac:dyDescent="0.2">
      <c r="B4586" s="2">
        <v>42748</v>
      </c>
      <c r="C4586" s="61">
        <v>11629.18</v>
      </c>
      <c r="D4586" s="3">
        <f t="shared" si="74"/>
        <v>9.3863054029843518E-3</v>
      </c>
    </row>
    <row r="4587" spans="2:4" x14ac:dyDescent="0.2">
      <c r="B4587" s="2">
        <v>42751</v>
      </c>
      <c r="C4587" s="61">
        <v>11554.71</v>
      </c>
      <c r="D4587" s="3">
        <f t="shared" si="74"/>
        <v>-6.4037189208526746E-3</v>
      </c>
    </row>
    <row r="4588" spans="2:4" x14ac:dyDescent="0.2">
      <c r="B4588" s="2">
        <v>42752</v>
      </c>
      <c r="C4588" s="61">
        <v>11540</v>
      </c>
      <c r="D4588" s="3">
        <f t="shared" si="74"/>
        <v>-1.2730739239669164E-3</v>
      </c>
    </row>
    <row r="4589" spans="2:4" x14ac:dyDescent="0.2">
      <c r="B4589" s="2">
        <v>42753</v>
      </c>
      <c r="C4589" s="61">
        <v>11599.39</v>
      </c>
      <c r="D4589" s="3">
        <f t="shared" si="74"/>
        <v>5.1464471403812606E-3</v>
      </c>
    </row>
    <row r="4590" spans="2:4" x14ac:dyDescent="0.2">
      <c r="B4590" s="2">
        <v>42754</v>
      </c>
      <c r="C4590" s="61">
        <v>11596.89</v>
      </c>
      <c r="D4590" s="3">
        <f t="shared" si="74"/>
        <v>-2.1552857520956703E-4</v>
      </c>
    </row>
    <row r="4591" spans="2:4" x14ac:dyDescent="0.2">
      <c r="B4591" s="2">
        <v>42755</v>
      </c>
      <c r="C4591" s="61">
        <v>11630.13</v>
      </c>
      <c r="D4591" s="3">
        <f t="shared" si="74"/>
        <v>2.8662857024599475E-3</v>
      </c>
    </row>
    <row r="4592" spans="2:4" x14ac:dyDescent="0.2">
      <c r="B4592" s="2">
        <v>42758</v>
      </c>
      <c r="C4592" s="61">
        <v>11545.75</v>
      </c>
      <c r="D4592" s="3">
        <f t="shared" si="74"/>
        <v>-7.2552929330970128E-3</v>
      </c>
    </row>
    <row r="4593" spans="2:4" x14ac:dyDescent="0.2">
      <c r="B4593" s="2">
        <v>42759</v>
      </c>
      <c r="C4593" s="61">
        <v>11594.94</v>
      </c>
      <c r="D4593" s="3">
        <f t="shared" si="74"/>
        <v>4.2604421540393123E-3</v>
      </c>
    </row>
    <row r="4594" spans="2:4" x14ac:dyDescent="0.2">
      <c r="B4594" s="2">
        <v>42760</v>
      </c>
      <c r="C4594" s="61">
        <v>11806.05</v>
      </c>
      <c r="D4594" s="3">
        <f t="shared" si="74"/>
        <v>1.8207079984889907E-2</v>
      </c>
    </row>
    <row r="4595" spans="2:4" x14ac:dyDescent="0.2">
      <c r="B4595" s="2">
        <v>42761</v>
      </c>
      <c r="C4595" s="61">
        <v>11848.63</v>
      </c>
      <c r="D4595" s="3">
        <f t="shared" si="74"/>
        <v>3.6066254166295941E-3</v>
      </c>
    </row>
    <row r="4596" spans="2:4" x14ac:dyDescent="0.2">
      <c r="B4596" s="2">
        <v>42762</v>
      </c>
      <c r="C4596" s="61">
        <v>11814.27</v>
      </c>
      <c r="D4596" s="3">
        <f t="shared" si="74"/>
        <v>-2.8999133233124086E-3</v>
      </c>
    </row>
    <row r="4597" spans="2:4" x14ac:dyDescent="0.2">
      <c r="B4597" s="2">
        <v>42765</v>
      </c>
      <c r="C4597" s="61">
        <v>11681.89</v>
      </c>
      <c r="D4597" s="3">
        <f t="shared" si="74"/>
        <v>-1.1205093501333696E-2</v>
      </c>
    </row>
    <row r="4598" spans="2:4" x14ac:dyDescent="0.2">
      <c r="B4598" s="2">
        <v>42766</v>
      </c>
      <c r="C4598" s="61">
        <v>11535.31</v>
      </c>
      <c r="D4598" s="3">
        <f t="shared" si="74"/>
        <v>-1.2547627139101625E-2</v>
      </c>
    </row>
    <row r="4599" spans="2:4" x14ac:dyDescent="0.2">
      <c r="B4599" s="2">
        <v>42767</v>
      </c>
      <c r="C4599" s="61">
        <v>11659.5</v>
      </c>
      <c r="D4599" s="3">
        <f t="shared" si="74"/>
        <v>1.0766073906986584E-2</v>
      </c>
    </row>
    <row r="4600" spans="2:4" x14ac:dyDescent="0.2">
      <c r="B4600" s="2">
        <v>42768</v>
      </c>
      <c r="C4600" s="61">
        <v>11627.95</v>
      </c>
      <c r="D4600" s="3">
        <f t="shared" si="74"/>
        <v>-2.7059479394484498E-3</v>
      </c>
    </row>
    <row r="4601" spans="2:4" x14ac:dyDescent="0.2">
      <c r="B4601" s="2">
        <v>42769</v>
      </c>
      <c r="C4601" s="61">
        <v>11651.49</v>
      </c>
      <c r="D4601" s="3">
        <f t="shared" si="74"/>
        <v>2.0244325095997162E-3</v>
      </c>
    </row>
    <row r="4602" spans="2:4" x14ac:dyDescent="0.2">
      <c r="B4602" s="2">
        <v>42772</v>
      </c>
      <c r="C4602" s="61">
        <v>11509.84</v>
      </c>
      <c r="D4602" s="3">
        <f t="shared" si="74"/>
        <v>-1.2157243408353779E-2</v>
      </c>
    </row>
    <row r="4603" spans="2:4" x14ac:dyDescent="0.2">
      <c r="B4603" s="2">
        <v>42773</v>
      </c>
      <c r="C4603" s="61">
        <v>11549.44</v>
      </c>
      <c r="D4603" s="3">
        <f t="shared" si="74"/>
        <v>3.440534360164893E-3</v>
      </c>
    </row>
    <row r="4604" spans="2:4" x14ac:dyDescent="0.2">
      <c r="B4604" s="2">
        <v>42774</v>
      </c>
      <c r="C4604" s="61">
        <v>11543.38</v>
      </c>
      <c r="D4604" s="3">
        <f t="shared" si="74"/>
        <v>-5.2470076471256011E-4</v>
      </c>
    </row>
    <row r="4605" spans="2:4" x14ac:dyDescent="0.2">
      <c r="B4605" s="2">
        <v>42775</v>
      </c>
      <c r="C4605" s="61">
        <v>11642.86</v>
      </c>
      <c r="D4605" s="3">
        <f t="shared" si="74"/>
        <v>8.6179264652122001E-3</v>
      </c>
    </row>
    <row r="4606" spans="2:4" x14ac:dyDescent="0.2">
      <c r="B4606" s="2">
        <v>42776</v>
      </c>
      <c r="C4606" s="61">
        <v>11666.97</v>
      </c>
      <c r="D4606" s="3">
        <f t="shared" si="74"/>
        <v>2.0707970378410767E-3</v>
      </c>
    </row>
    <row r="4607" spans="2:4" x14ac:dyDescent="0.2">
      <c r="B4607" s="2">
        <v>42779</v>
      </c>
      <c r="C4607" s="61">
        <v>11774.43</v>
      </c>
      <c r="D4607" s="3">
        <f t="shared" si="74"/>
        <v>9.2106176667978712E-3</v>
      </c>
    </row>
    <row r="4608" spans="2:4" x14ac:dyDescent="0.2">
      <c r="B4608" s="2">
        <v>42780</v>
      </c>
      <c r="C4608" s="61">
        <v>11771.81</v>
      </c>
      <c r="D4608" s="3">
        <f t="shared" si="74"/>
        <v>-2.2251607933465589E-4</v>
      </c>
    </row>
    <row r="4609" spans="2:4" x14ac:dyDescent="0.2">
      <c r="B4609" s="2">
        <v>42781</v>
      </c>
      <c r="C4609" s="61">
        <v>11793.93</v>
      </c>
      <c r="D4609" s="3">
        <f t="shared" si="74"/>
        <v>1.8790653264026957E-3</v>
      </c>
    </row>
    <row r="4610" spans="2:4" x14ac:dyDescent="0.2">
      <c r="B4610" s="2">
        <v>42782</v>
      </c>
      <c r="C4610" s="61">
        <v>11757.24</v>
      </c>
      <c r="D4610" s="3">
        <f t="shared" si="74"/>
        <v>-3.1109223134273556E-3</v>
      </c>
    </row>
    <row r="4611" spans="2:4" x14ac:dyDescent="0.2">
      <c r="B4611" s="2">
        <v>42783</v>
      </c>
      <c r="C4611" s="61">
        <v>11757.02</v>
      </c>
      <c r="D4611" s="3">
        <f t="shared" si="74"/>
        <v>-1.8711874555488173E-5</v>
      </c>
    </row>
    <row r="4612" spans="2:4" x14ac:dyDescent="0.2">
      <c r="B4612" s="2">
        <v>42786</v>
      </c>
      <c r="C4612" s="61">
        <v>11827.62</v>
      </c>
      <c r="D4612" s="3">
        <f t="shared" si="74"/>
        <v>6.0049230162064759E-3</v>
      </c>
    </row>
    <row r="4613" spans="2:4" x14ac:dyDescent="0.2">
      <c r="B4613" s="2">
        <v>42787</v>
      </c>
      <c r="C4613" s="61">
        <v>11967.49</v>
      </c>
      <c r="D4613" s="3">
        <f t="shared" ref="D4613:D4676" si="75">C4613/C4612-1</f>
        <v>1.182570965249119E-2</v>
      </c>
    </row>
    <row r="4614" spans="2:4" x14ac:dyDescent="0.2">
      <c r="B4614" s="2">
        <v>42788</v>
      </c>
      <c r="C4614" s="61">
        <v>11998.59</v>
      </c>
      <c r="D4614" s="3">
        <f t="shared" si="75"/>
        <v>2.5987069970394572E-3</v>
      </c>
    </row>
    <row r="4615" spans="2:4" x14ac:dyDescent="0.2">
      <c r="B4615" s="2">
        <v>42789</v>
      </c>
      <c r="C4615" s="61">
        <v>11947.83</v>
      </c>
      <c r="D4615" s="3">
        <f t="shared" si="75"/>
        <v>-4.2304970834072808E-3</v>
      </c>
    </row>
    <row r="4616" spans="2:4" x14ac:dyDescent="0.2">
      <c r="B4616" s="2">
        <v>42790</v>
      </c>
      <c r="C4616" s="61">
        <v>11804.03</v>
      </c>
      <c r="D4616" s="3">
        <f t="shared" si="75"/>
        <v>-1.2035658358044876E-2</v>
      </c>
    </row>
    <row r="4617" spans="2:4" x14ac:dyDescent="0.2">
      <c r="B4617" s="2">
        <v>42793</v>
      </c>
      <c r="C4617" s="61">
        <v>11822.67</v>
      </c>
      <c r="D4617" s="3">
        <f t="shared" si="75"/>
        <v>1.5791217067391283E-3</v>
      </c>
    </row>
    <row r="4618" spans="2:4" x14ac:dyDescent="0.2">
      <c r="B4618" s="2">
        <v>42794</v>
      </c>
      <c r="C4618" s="61">
        <v>11834.41</v>
      </c>
      <c r="D4618" s="3">
        <f t="shared" si="75"/>
        <v>9.9300750168951346E-4</v>
      </c>
    </row>
    <row r="4619" spans="2:4" x14ac:dyDescent="0.2">
      <c r="B4619" s="2">
        <v>42795</v>
      </c>
      <c r="C4619" s="61">
        <v>12067.19</v>
      </c>
      <c r="D4619" s="3">
        <f t="shared" si="75"/>
        <v>1.9669759624687755E-2</v>
      </c>
    </row>
    <row r="4620" spans="2:4" x14ac:dyDescent="0.2">
      <c r="B4620" s="2">
        <v>42796</v>
      </c>
      <c r="C4620" s="61">
        <v>12059.57</v>
      </c>
      <c r="D4620" s="3">
        <f t="shared" si="75"/>
        <v>-6.3146432599481273E-4</v>
      </c>
    </row>
    <row r="4621" spans="2:4" x14ac:dyDescent="0.2">
      <c r="B4621" s="2">
        <v>42797</v>
      </c>
      <c r="C4621" s="61">
        <v>12027.36</v>
      </c>
      <c r="D4621" s="3">
        <f t="shared" si="75"/>
        <v>-2.6709078350222182E-3</v>
      </c>
    </row>
    <row r="4622" spans="2:4" x14ac:dyDescent="0.2">
      <c r="B4622" s="2">
        <v>42800</v>
      </c>
      <c r="C4622" s="61">
        <v>11958.4</v>
      </c>
      <c r="D4622" s="3">
        <f t="shared" si="75"/>
        <v>-5.7335940721822132E-3</v>
      </c>
    </row>
    <row r="4623" spans="2:4" x14ac:dyDescent="0.2">
      <c r="B4623" s="2">
        <v>42801</v>
      </c>
      <c r="C4623" s="61">
        <v>11966.14</v>
      </c>
      <c r="D4623" s="3">
        <f t="shared" si="75"/>
        <v>6.4724377843194958E-4</v>
      </c>
    </row>
    <row r="4624" spans="2:4" x14ac:dyDescent="0.2">
      <c r="B4624" s="2">
        <v>42802</v>
      </c>
      <c r="C4624" s="61">
        <v>11967.31</v>
      </c>
      <c r="D4624" s="3">
        <f t="shared" si="75"/>
        <v>9.7775890972373602E-5</v>
      </c>
    </row>
    <row r="4625" spans="2:4" x14ac:dyDescent="0.2">
      <c r="B4625" s="2">
        <v>42803</v>
      </c>
      <c r="C4625" s="61">
        <v>11978.39</v>
      </c>
      <c r="D4625" s="3">
        <f t="shared" si="75"/>
        <v>9.2585551807378152E-4</v>
      </c>
    </row>
    <row r="4626" spans="2:4" x14ac:dyDescent="0.2">
      <c r="B4626" s="2">
        <v>42804</v>
      </c>
      <c r="C4626" s="61">
        <v>11963.18</v>
      </c>
      <c r="D4626" s="3">
        <f t="shared" si="75"/>
        <v>-1.2697866741689934E-3</v>
      </c>
    </row>
    <row r="4627" spans="2:4" x14ac:dyDescent="0.2">
      <c r="B4627" s="2">
        <v>42807</v>
      </c>
      <c r="C4627" s="61">
        <v>11990.03</v>
      </c>
      <c r="D4627" s="3">
        <f t="shared" si="75"/>
        <v>2.2443865259906826E-3</v>
      </c>
    </row>
    <row r="4628" spans="2:4" x14ac:dyDescent="0.2">
      <c r="B4628" s="2">
        <v>42808</v>
      </c>
      <c r="C4628" s="61">
        <v>11988.79</v>
      </c>
      <c r="D4628" s="3">
        <f t="shared" si="75"/>
        <v>-1.0341925749979275E-4</v>
      </c>
    </row>
    <row r="4629" spans="2:4" x14ac:dyDescent="0.2">
      <c r="B4629" s="2">
        <v>42809</v>
      </c>
      <c r="C4629" s="61">
        <v>12009.87</v>
      </c>
      <c r="D4629" s="3">
        <f t="shared" si="75"/>
        <v>1.7583092205302187E-3</v>
      </c>
    </row>
    <row r="4630" spans="2:4" x14ac:dyDescent="0.2">
      <c r="B4630" s="2">
        <v>42810</v>
      </c>
      <c r="C4630" s="61">
        <v>12083.18</v>
      </c>
      <c r="D4630" s="3">
        <f t="shared" si="75"/>
        <v>6.104146006576272E-3</v>
      </c>
    </row>
    <row r="4631" spans="2:4" x14ac:dyDescent="0.2">
      <c r="B4631" s="2">
        <v>42811</v>
      </c>
      <c r="C4631" s="61">
        <v>12095.24</v>
      </c>
      <c r="D4631" s="3">
        <f t="shared" si="75"/>
        <v>9.9808163082881762E-4</v>
      </c>
    </row>
    <row r="4632" spans="2:4" x14ac:dyDescent="0.2">
      <c r="B4632" s="2">
        <v>42814</v>
      </c>
      <c r="C4632" s="61">
        <v>12052.9</v>
      </c>
      <c r="D4632" s="3">
        <f t="shared" si="75"/>
        <v>-3.5005506298345646E-3</v>
      </c>
    </row>
    <row r="4633" spans="2:4" x14ac:dyDescent="0.2">
      <c r="B4633" s="2">
        <v>42815</v>
      </c>
      <c r="C4633" s="61">
        <v>11962.13</v>
      </c>
      <c r="D4633" s="3">
        <f t="shared" si="75"/>
        <v>-7.5309676509388579E-3</v>
      </c>
    </row>
    <row r="4634" spans="2:4" x14ac:dyDescent="0.2">
      <c r="B4634" s="2">
        <v>42816</v>
      </c>
      <c r="C4634" s="61">
        <v>11904.12</v>
      </c>
      <c r="D4634" s="3">
        <f t="shared" si="75"/>
        <v>-4.84947078822906E-3</v>
      </c>
    </row>
    <row r="4635" spans="2:4" x14ac:dyDescent="0.2">
      <c r="B4635" s="2">
        <v>42817</v>
      </c>
      <c r="C4635" s="61">
        <v>12039.68</v>
      </c>
      <c r="D4635" s="3">
        <f t="shared" si="75"/>
        <v>1.1387654022304794E-2</v>
      </c>
    </row>
    <row r="4636" spans="2:4" x14ac:dyDescent="0.2">
      <c r="B4636" s="2">
        <v>42818</v>
      </c>
      <c r="C4636" s="61">
        <v>12064.27</v>
      </c>
      <c r="D4636" s="3">
        <f t="shared" si="75"/>
        <v>2.0424130873910595E-3</v>
      </c>
    </row>
    <row r="4637" spans="2:4" x14ac:dyDescent="0.2">
      <c r="B4637" s="2">
        <v>42821</v>
      </c>
      <c r="C4637" s="61">
        <v>11996.07</v>
      </c>
      <c r="D4637" s="3">
        <f t="shared" si="75"/>
        <v>-5.6530565048693582E-3</v>
      </c>
    </row>
    <row r="4638" spans="2:4" x14ac:dyDescent="0.2">
      <c r="B4638" s="2">
        <v>42822</v>
      </c>
      <c r="C4638" s="61">
        <v>12149.42</v>
      </c>
      <c r="D4638" s="3">
        <f t="shared" si="75"/>
        <v>1.2783353214844473E-2</v>
      </c>
    </row>
    <row r="4639" spans="2:4" x14ac:dyDescent="0.2">
      <c r="B4639" s="2">
        <v>42823</v>
      </c>
      <c r="C4639" s="61">
        <v>12203</v>
      </c>
      <c r="D4639" s="3">
        <f t="shared" si="75"/>
        <v>4.410087065884527E-3</v>
      </c>
    </row>
    <row r="4640" spans="2:4" x14ac:dyDescent="0.2">
      <c r="B4640" s="2">
        <v>42824</v>
      </c>
      <c r="C4640" s="61">
        <v>12256.43</v>
      </c>
      <c r="D4640" s="3">
        <f t="shared" si="75"/>
        <v>4.3784315332295876E-3</v>
      </c>
    </row>
    <row r="4641" spans="2:4" x14ac:dyDescent="0.2">
      <c r="B4641" s="2">
        <v>42825</v>
      </c>
      <c r="C4641" s="61">
        <v>12312.87</v>
      </c>
      <c r="D4641" s="3">
        <f t="shared" si="75"/>
        <v>4.6049298205106393E-3</v>
      </c>
    </row>
    <row r="4642" spans="2:4" x14ac:dyDescent="0.2">
      <c r="B4642" s="2">
        <v>42828</v>
      </c>
      <c r="C4642" s="61">
        <v>12257.2</v>
      </c>
      <c r="D4642" s="3">
        <f t="shared" si="75"/>
        <v>-4.5212854517265866E-3</v>
      </c>
    </row>
    <row r="4643" spans="2:4" x14ac:dyDescent="0.2">
      <c r="B4643" s="2">
        <v>42829</v>
      </c>
      <c r="C4643" s="61">
        <v>12282.34</v>
      </c>
      <c r="D4643" s="3">
        <f t="shared" si="75"/>
        <v>2.0510393890937895E-3</v>
      </c>
    </row>
    <row r="4644" spans="2:4" x14ac:dyDescent="0.2">
      <c r="B4644" s="2">
        <v>42830</v>
      </c>
      <c r="C4644" s="61">
        <v>12217.54</v>
      </c>
      <c r="D4644" s="3">
        <f t="shared" si="75"/>
        <v>-5.2758676278298333E-3</v>
      </c>
    </row>
    <row r="4645" spans="2:4" x14ac:dyDescent="0.2">
      <c r="B4645" s="2">
        <v>42831</v>
      </c>
      <c r="C4645" s="61">
        <v>12230.89</v>
      </c>
      <c r="D4645" s="3">
        <f t="shared" si="75"/>
        <v>1.0926913273865413E-3</v>
      </c>
    </row>
    <row r="4646" spans="2:4" x14ac:dyDescent="0.2">
      <c r="B4646" s="2">
        <v>42832</v>
      </c>
      <c r="C4646" s="61">
        <v>12225.06</v>
      </c>
      <c r="D4646" s="3">
        <f t="shared" si="75"/>
        <v>-4.7666196000450967E-4</v>
      </c>
    </row>
    <row r="4647" spans="2:4" x14ac:dyDescent="0.2">
      <c r="B4647" s="2">
        <v>42835</v>
      </c>
      <c r="C4647" s="61">
        <v>12200.52</v>
      </c>
      <c r="D4647" s="3">
        <f t="shared" si="75"/>
        <v>-2.0073521111552139E-3</v>
      </c>
    </row>
    <row r="4648" spans="2:4" x14ac:dyDescent="0.2">
      <c r="B4648" s="2">
        <v>42836</v>
      </c>
      <c r="C4648" s="61">
        <v>12139.35</v>
      </c>
      <c r="D4648" s="3">
        <f t="shared" si="75"/>
        <v>-5.0137207266575112E-3</v>
      </c>
    </row>
    <row r="4649" spans="2:4" x14ac:dyDescent="0.2">
      <c r="B4649" s="2">
        <v>42837</v>
      </c>
      <c r="C4649" s="61">
        <v>12154.7</v>
      </c>
      <c r="D4649" s="3">
        <f t="shared" si="75"/>
        <v>1.2644828594612356E-3</v>
      </c>
    </row>
    <row r="4650" spans="2:4" x14ac:dyDescent="0.2">
      <c r="B4650" s="2">
        <v>42838</v>
      </c>
      <c r="C4650" s="61">
        <v>12109</v>
      </c>
      <c r="D4650" s="3">
        <f t="shared" si="75"/>
        <v>-3.7598624400437819E-3</v>
      </c>
    </row>
    <row r="4651" spans="2:4" x14ac:dyDescent="0.2">
      <c r="B4651" s="2">
        <v>42843</v>
      </c>
      <c r="C4651" s="61">
        <v>12000.44</v>
      </c>
      <c r="D4651" s="3">
        <f t="shared" si="75"/>
        <v>-8.9652324717152121E-3</v>
      </c>
    </row>
    <row r="4652" spans="2:4" x14ac:dyDescent="0.2">
      <c r="B4652" s="2">
        <v>42844</v>
      </c>
      <c r="C4652" s="61">
        <v>12016.45</v>
      </c>
      <c r="D4652" s="3">
        <f t="shared" si="75"/>
        <v>1.3341177490158174E-3</v>
      </c>
    </row>
    <row r="4653" spans="2:4" x14ac:dyDescent="0.2">
      <c r="B4653" s="2">
        <v>42845</v>
      </c>
      <c r="C4653" s="61">
        <v>12027.32</v>
      </c>
      <c r="D4653" s="3">
        <f t="shared" si="75"/>
        <v>9.045932867026707E-4</v>
      </c>
    </row>
    <row r="4654" spans="2:4" x14ac:dyDescent="0.2">
      <c r="B4654" s="2">
        <v>42846</v>
      </c>
      <c r="C4654" s="61">
        <v>12048.57</v>
      </c>
      <c r="D4654" s="3">
        <f t="shared" si="75"/>
        <v>1.7668108938648786E-3</v>
      </c>
    </row>
    <row r="4655" spans="2:4" x14ac:dyDescent="0.2">
      <c r="B4655" s="2">
        <v>42849</v>
      </c>
      <c r="C4655" s="61">
        <v>12454.98</v>
      </c>
      <c r="D4655" s="3">
        <f t="shared" si="75"/>
        <v>3.3730973883207671E-2</v>
      </c>
    </row>
    <row r="4656" spans="2:4" x14ac:dyDescent="0.2">
      <c r="B4656" s="2">
        <v>42850</v>
      </c>
      <c r="C4656" s="61">
        <v>12467.04</v>
      </c>
      <c r="D4656" s="3">
        <f t="shared" si="75"/>
        <v>9.6828738384169277E-4</v>
      </c>
    </row>
    <row r="4657" spans="2:4" x14ac:dyDescent="0.2">
      <c r="B4657" s="2">
        <v>42851</v>
      </c>
      <c r="C4657" s="61">
        <v>12472.8</v>
      </c>
      <c r="D4657" s="3">
        <f t="shared" si="75"/>
        <v>4.6201824972080807E-4</v>
      </c>
    </row>
    <row r="4658" spans="2:4" x14ac:dyDescent="0.2">
      <c r="B4658" s="2">
        <v>42852</v>
      </c>
      <c r="C4658" s="61">
        <v>12443.79</v>
      </c>
      <c r="D4658" s="3">
        <f t="shared" si="75"/>
        <v>-2.3258610736962559E-3</v>
      </c>
    </row>
    <row r="4659" spans="2:4" x14ac:dyDescent="0.2">
      <c r="B4659" s="2">
        <v>42853</v>
      </c>
      <c r="C4659" s="61">
        <v>12438.01</v>
      </c>
      <c r="D4659" s="3">
        <f t="shared" si="75"/>
        <v>-4.6448871284399118E-4</v>
      </c>
    </row>
    <row r="4660" spans="2:4" x14ac:dyDescent="0.2">
      <c r="B4660" s="2">
        <v>42857</v>
      </c>
      <c r="C4660" s="61">
        <v>12507.9</v>
      </c>
      <c r="D4660" s="3">
        <f t="shared" si="75"/>
        <v>5.6190660724664276E-3</v>
      </c>
    </row>
    <row r="4661" spans="2:4" x14ac:dyDescent="0.2">
      <c r="B4661" s="2">
        <v>42858</v>
      </c>
      <c r="C4661" s="61">
        <v>12527.84</v>
      </c>
      <c r="D4661" s="3">
        <f t="shared" si="75"/>
        <v>1.5941924703588572E-3</v>
      </c>
    </row>
    <row r="4662" spans="2:4" x14ac:dyDescent="0.2">
      <c r="B4662" s="2">
        <v>42859</v>
      </c>
      <c r="C4662" s="61">
        <v>12647.78</v>
      </c>
      <c r="D4662" s="3">
        <f t="shared" si="75"/>
        <v>9.5738770610096502E-3</v>
      </c>
    </row>
    <row r="4663" spans="2:4" x14ac:dyDescent="0.2">
      <c r="B4663" s="2">
        <v>42860</v>
      </c>
      <c r="C4663" s="61">
        <v>12716.89</v>
      </c>
      <c r="D4663" s="3">
        <f t="shared" si="75"/>
        <v>5.4642000414300007E-3</v>
      </c>
    </row>
    <row r="4664" spans="2:4" x14ac:dyDescent="0.2">
      <c r="B4664" s="2">
        <v>42863</v>
      </c>
      <c r="C4664" s="61">
        <v>12694.55</v>
      </c>
      <c r="D4664" s="3">
        <f t="shared" si="75"/>
        <v>-1.7567188204034023E-3</v>
      </c>
    </row>
    <row r="4665" spans="2:4" x14ac:dyDescent="0.2">
      <c r="B4665" s="2">
        <v>42864</v>
      </c>
      <c r="C4665" s="61">
        <v>12749.12</v>
      </c>
      <c r="D4665" s="3">
        <f t="shared" si="75"/>
        <v>4.2986951093186843E-3</v>
      </c>
    </row>
    <row r="4666" spans="2:4" x14ac:dyDescent="0.2">
      <c r="B4666" s="2">
        <v>42865</v>
      </c>
      <c r="C4666" s="61">
        <v>12757.46</v>
      </c>
      <c r="D4666" s="3">
        <f t="shared" si="75"/>
        <v>6.5416279711838499E-4</v>
      </c>
    </row>
    <row r="4667" spans="2:4" x14ac:dyDescent="0.2">
      <c r="B4667" s="2">
        <v>42866</v>
      </c>
      <c r="C4667" s="61">
        <v>12711.06</v>
      </c>
      <c r="D4667" s="3">
        <f t="shared" si="75"/>
        <v>-3.6370876334317348E-3</v>
      </c>
    </row>
    <row r="4668" spans="2:4" x14ac:dyDescent="0.2">
      <c r="B4668" s="2">
        <v>42867</v>
      </c>
      <c r="C4668" s="61">
        <v>12770.41</v>
      </c>
      <c r="D4668" s="3">
        <f t="shared" si="75"/>
        <v>4.6691621312464626E-3</v>
      </c>
    </row>
    <row r="4669" spans="2:4" x14ac:dyDescent="0.2">
      <c r="B4669" s="2">
        <v>42870</v>
      </c>
      <c r="C4669" s="61">
        <v>12807.04</v>
      </c>
      <c r="D4669" s="3">
        <f t="shared" si="75"/>
        <v>2.8683495674768356E-3</v>
      </c>
    </row>
    <row r="4670" spans="2:4" x14ac:dyDescent="0.2">
      <c r="B4670" s="2">
        <v>42871</v>
      </c>
      <c r="C4670" s="61">
        <v>12804.53</v>
      </c>
      <c r="D4670" s="3">
        <f t="shared" si="75"/>
        <v>-1.9598595772329919E-4</v>
      </c>
    </row>
    <row r="4671" spans="2:4" x14ac:dyDescent="0.2">
      <c r="B4671" s="2">
        <v>42872</v>
      </c>
      <c r="C4671" s="61">
        <v>12631.61</v>
      </c>
      <c r="D4671" s="3">
        <f t="shared" si="75"/>
        <v>-1.350459563919959E-2</v>
      </c>
    </row>
    <row r="4672" spans="2:4" x14ac:dyDescent="0.2">
      <c r="B4672" s="2">
        <v>42873</v>
      </c>
      <c r="C4672" s="61">
        <v>12590.06</v>
      </c>
      <c r="D4672" s="3">
        <f t="shared" si="75"/>
        <v>-3.2893669136397907E-3</v>
      </c>
    </row>
    <row r="4673" spans="2:4" x14ac:dyDescent="0.2">
      <c r="B4673" s="2">
        <v>42874</v>
      </c>
      <c r="C4673" s="61">
        <v>12638.69</v>
      </c>
      <c r="D4673" s="3">
        <f t="shared" si="75"/>
        <v>3.8625709488280258E-3</v>
      </c>
    </row>
    <row r="4674" spans="2:4" x14ac:dyDescent="0.2">
      <c r="B4674" s="2">
        <v>42877</v>
      </c>
      <c r="C4674" s="61">
        <v>12619.46</v>
      </c>
      <c r="D4674" s="3">
        <f t="shared" si="75"/>
        <v>-1.5215184485102284E-3</v>
      </c>
    </row>
    <row r="4675" spans="2:4" x14ac:dyDescent="0.2">
      <c r="B4675" s="2">
        <v>42878</v>
      </c>
      <c r="C4675" s="61">
        <v>12659.15</v>
      </c>
      <c r="D4675" s="3">
        <f t="shared" si="75"/>
        <v>3.1451425021356005E-3</v>
      </c>
    </row>
    <row r="4676" spans="2:4" x14ac:dyDescent="0.2">
      <c r="B4676" s="2">
        <v>42879</v>
      </c>
      <c r="C4676" s="61">
        <v>12642.87</v>
      </c>
      <c r="D4676" s="3">
        <f t="shared" si="75"/>
        <v>-1.2860263129830241E-3</v>
      </c>
    </row>
    <row r="4677" spans="2:4" x14ac:dyDescent="0.2">
      <c r="B4677" s="2">
        <v>42880</v>
      </c>
      <c r="C4677" s="61">
        <v>12621.72</v>
      </c>
      <c r="D4677" s="3">
        <f t="shared" ref="D4677:D4740" si="76">C4677/C4676-1</f>
        <v>-1.6728796546987557E-3</v>
      </c>
    </row>
    <row r="4678" spans="2:4" x14ac:dyDescent="0.2">
      <c r="B4678" s="2">
        <v>42881</v>
      </c>
      <c r="C4678" s="61">
        <v>12602.18</v>
      </c>
      <c r="D4678" s="3">
        <f t="shared" si="76"/>
        <v>-1.5481249782121065E-3</v>
      </c>
    </row>
    <row r="4679" spans="2:4" x14ac:dyDescent="0.2">
      <c r="B4679" s="2">
        <v>42884</v>
      </c>
      <c r="C4679" s="61">
        <v>12628.95</v>
      </c>
      <c r="D4679" s="3">
        <f t="shared" si="76"/>
        <v>2.1242356481181446E-3</v>
      </c>
    </row>
    <row r="4680" spans="2:4" x14ac:dyDescent="0.2">
      <c r="B4680" s="2">
        <v>42885</v>
      </c>
      <c r="C4680" s="61">
        <v>12598.68</v>
      </c>
      <c r="D4680" s="3">
        <f t="shared" si="76"/>
        <v>-2.3968738493699293E-3</v>
      </c>
    </row>
    <row r="4681" spans="2:4" x14ac:dyDescent="0.2">
      <c r="B4681" s="2">
        <v>42886</v>
      </c>
      <c r="C4681" s="61">
        <v>12615.06</v>
      </c>
      <c r="D4681" s="3">
        <f t="shared" si="76"/>
        <v>1.300136204745117E-3</v>
      </c>
    </row>
    <row r="4682" spans="2:4" x14ac:dyDescent="0.2">
      <c r="B4682" s="2">
        <v>42887</v>
      </c>
      <c r="C4682" s="61">
        <v>12664.92</v>
      </c>
      <c r="D4682" s="3">
        <f t="shared" si="76"/>
        <v>3.9524187756538876E-3</v>
      </c>
    </row>
    <row r="4683" spans="2:4" x14ac:dyDescent="0.2">
      <c r="B4683" s="2">
        <v>42888</v>
      </c>
      <c r="C4683" s="61">
        <v>12822.94</v>
      </c>
      <c r="D4683" s="3">
        <f t="shared" si="76"/>
        <v>1.2476983668274322E-2</v>
      </c>
    </row>
    <row r="4684" spans="2:4" x14ac:dyDescent="0.2">
      <c r="B4684" s="2">
        <v>42892</v>
      </c>
      <c r="C4684" s="61">
        <v>12690.12</v>
      </c>
      <c r="D4684" s="3">
        <f t="shared" si="76"/>
        <v>-1.0357999023624775E-2</v>
      </c>
    </row>
    <row r="4685" spans="2:4" x14ac:dyDescent="0.2">
      <c r="B4685" s="2">
        <v>42893</v>
      </c>
      <c r="C4685" s="61">
        <v>12672.49</v>
      </c>
      <c r="D4685" s="3">
        <f t="shared" si="76"/>
        <v>-1.3892697626185502E-3</v>
      </c>
    </row>
    <row r="4686" spans="2:4" x14ac:dyDescent="0.2">
      <c r="B4686" s="2">
        <v>42894</v>
      </c>
      <c r="C4686" s="61">
        <v>12713.58</v>
      </c>
      <c r="D4686" s="3">
        <f t="shared" si="76"/>
        <v>3.2424566916209319E-3</v>
      </c>
    </row>
    <row r="4687" spans="2:4" x14ac:dyDescent="0.2">
      <c r="B4687" s="2">
        <v>42895</v>
      </c>
      <c r="C4687" s="61">
        <v>12815.72</v>
      </c>
      <c r="D4687" s="3">
        <f t="shared" si="76"/>
        <v>8.0339290742654779E-3</v>
      </c>
    </row>
    <row r="4688" spans="2:4" x14ac:dyDescent="0.2">
      <c r="B4688" s="2">
        <v>42898</v>
      </c>
      <c r="C4688" s="61">
        <v>12690.44</v>
      </c>
      <c r="D4688" s="3">
        <f t="shared" si="76"/>
        <v>-9.7754944708529079E-3</v>
      </c>
    </row>
    <row r="4689" spans="2:4" x14ac:dyDescent="0.2">
      <c r="B4689" s="2">
        <v>42899</v>
      </c>
      <c r="C4689" s="61">
        <v>12764.98</v>
      </c>
      <c r="D4689" s="3">
        <f t="shared" si="76"/>
        <v>5.8737128105881276E-3</v>
      </c>
    </row>
    <row r="4690" spans="2:4" x14ac:dyDescent="0.2">
      <c r="B4690" s="2">
        <v>42900</v>
      </c>
      <c r="C4690" s="61">
        <v>12805.95</v>
      </c>
      <c r="D4690" s="3">
        <f t="shared" si="76"/>
        <v>3.2095624121621924E-3</v>
      </c>
    </row>
    <row r="4691" spans="2:4" x14ac:dyDescent="0.2">
      <c r="B4691" s="2">
        <v>42901</v>
      </c>
      <c r="C4691" s="61">
        <v>12691.81</v>
      </c>
      <c r="D4691" s="3">
        <f t="shared" si="76"/>
        <v>-8.9130443270512005E-3</v>
      </c>
    </row>
    <row r="4692" spans="2:4" x14ac:dyDescent="0.2">
      <c r="B4692" s="2">
        <v>42902</v>
      </c>
      <c r="C4692" s="61">
        <v>12752.73</v>
      </c>
      <c r="D4692" s="3">
        <f t="shared" si="76"/>
        <v>4.7999457918137534E-3</v>
      </c>
    </row>
    <row r="4693" spans="2:4" x14ac:dyDescent="0.2">
      <c r="B4693" s="2">
        <v>42905</v>
      </c>
      <c r="C4693" s="61">
        <v>12888.95</v>
      </c>
      <c r="D4693" s="3">
        <f t="shared" si="76"/>
        <v>1.0681634442194055E-2</v>
      </c>
    </row>
    <row r="4694" spans="2:4" x14ac:dyDescent="0.2">
      <c r="B4694" s="2">
        <v>42906</v>
      </c>
      <c r="C4694" s="61">
        <v>12814.79</v>
      </c>
      <c r="D4694" s="3">
        <f t="shared" si="76"/>
        <v>-5.7537658226620714E-3</v>
      </c>
    </row>
    <row r="4695" spans="2:4" x14ac:dyDescent="0.2">
      <c r="B4695" s="2">
        <v>42907</v>
      </c>
      <c r="C4695" s="61">
        <v>12774.26</v>
      </c>
      <c r="D4695" s="3">
        <f t="shared" si="76"/>
        <v>-3.162751789143714E-3</v>
      </c>
    </row>
    <row r="4696" spans="2:4" x14ac:dyDescent="0.2">
      <c r="B4696" s="2">
        <v>42908</v>
      </c>
      <c r="C4696" s="61">
        <v>12794</v>
      </c>
      <c r="D4696" s="3">
        <f t="shared" si="76"/>
        <v>1.5452949916472392E-3</v>
      </c>
    </row>
    <row r="4697" spans="2:4" x14ac:dyDescent="0.2">
      <c r="B4697" s="2">
        <v>42909</v>
      </c>
      <c r="C4697" s="61">
        <v>12733.41</v>
      </c>
      <c r="D4697" s="3">
        <f t="shared" si="76"/>
        <v>-4.735813662654409E-3</v>
      </c>
    </row>
    <row r="4698" spans="2:4" x14ac:dyDescent="0.2">
      <c r="B4698" s="2">
        <v>42912</v>
      </c>
      <c r="C4698" s="61">
        <v>12770.83</v>
      </c>
      <c r="D4698" s="3">
        <f t="shared" si="76"/>
        <v>2.938725761598926E-3</v>
      </c>
    </row>
    <row r="4699" spans="2:4" x14ac:dyDescent="0.2">
      <c r="B4699" s="2">
        <v>42913</v>
      </c>
      <c r="C4699" s="61">
        <v>12671.02</v>
      </c>
      <c r="D4699" s="3">
        <f t="shared" si="76"/>
        <v>-7.8154669665165821E-3</v>
      </c>
    </row>
    <row r="4700" spans="2:4" x14ac:dyDescent="0.2">
      <c r="B4700" s="2">
        <v>42914</v>
      </c>
      <c r="C4700" s="61">
        <v>12647.27</v>
      </c>
      <c r="D4700" s="3">
        <f t="shared" si="76"/>
        <v>-1.8743558135020377E-3</v>
      </c>
    </row>
    <row r="4701" spans="2:4" x14ac:dyDescent="0.2">
      <c r="B4701" s="2">
        <v>42915</v>
      </c>
      <c r="C4701" s="61">
        <v>12416.19</v>
      </c>
      <c r="D4701" s="3">
        <f t="shared" si="76"/>
        <v>-1.8271136774971941E-2</v>
      </c>
    </row>
    <row r="4702" spans="2:4" x14ac:dyDescent="0.2">
      <c r="B4702" s="2">
        <v>42916</v>
      </c>
      <c r="C4702" s="61">
        <v>12325.12</v>
      </c>
      <c r="D4702" s="3">
        <f t="shared" si="76"/>
        <v>-7.3347782210162471E-3</v>
      </c>
    </row>
    <row r="4703" spans="2:4" x14ac:dyDescent="0.2">
      <c r="B4703" s="2">
        <v>42919</v>
      </c>
      <c r="C4703" s="61">
        <v>12475.31</v>
      </c>
      <c r="D4703" s="3">
        <f t="shared" si="76"/>
        <v>1.2185682573475853E-2</v>
      </c>
    </row>
    <row r="4704" spans="2:4" x14ac:dyDescent="0.2">
      <c r="B4704" s="2">
        <v>42920</v>
      </c>
      <c r="C4704" s="61">
        <v>12437.13</v>
      </c>
      <c r="D4704" s="3">
        <f t="shared" si="76"/>
        <v>-3.060444990946154E-3</v>
      </c>
    </row>
    <row r="4705" spans="2:4" x14ac:dyDescent="0.2">
      <c r="B4705" s="2">
        <v>42921</v>
      </c>
      <c r="C4705" s="61">
        <v>12453.68</v>
      </c>
      <c r="D4705" s="3">
        <f t="shared" si="76"/>
        <v>1.3306928527723194E-3</v>
      </c>
    </row>
    <row r="4706" spans="2:4" x14ac:dyDescent="0.2">
      <c r="B4706" s="2">
        <v>42922</v>
      </c>
      <c r="C4706" s="61">
        <v>12381.25</v>
      </c>
      <c r="D4706" s="3">
        <f t="shared" si="76"/>
        <v>-5.8159515902127534E-3</v>
      </c>
    </row>
    <row r="4707" spans="2:4" x14ac:dyDescent="0.2">
      <c r="B4707" s="2">
        <v>42923</v>
      </c>
      <c r="C4707" s="61">
        <v>12388.68</v>
      </c>
      <c r="D4707" s="3">
        <f t="shared" si="76"/>
        <v>6.0010095911167127E-4</v>
      </c>
    </row>
    <row r="4708" spans="2:4" x14ac:dyDescent="0.2">
      <c r="B4708" s="2">
        <v>42926</v>
      </c>
      <c r="C4708" s="61">
        <v>12445.92</v>
      </c>
      <c r="D4708" s="3">
        <f t="shared" si="76"/>
        <v>4.6203469619039428E-3</v>
      </c>
    </row>
    <row r="4709" spans="2:4" x14ac:dyDescent="0.2">
      <c r="B4709" s="2">
        <v>42927</v>
      </c>
      <c r="C4709" s="61">
        <v>12437.02</v>
      </c>
      <c r="D4709" s="3">
        <f t="shared" si="76"/>
        <v>-7.1509378173728599E-4</v>
      </c>
    </row>
    <row r="4710" spans="2:4" x14ac:dyDescent="0.2">
      <c r="B4710" s="2">
        <v>42928</v>
      </c>
      <c r="C4710" s="61">
        <v>12626.58</v>
      </c>
      <c r="D4710" s="3">
        <f t="shared" si="76"/>
        <v>1.5241593243397578E-2</v>
      </c>
    </row>
    <row r="4711" spans="2:4" x14ac:dyDescent="0.2">
      <c r="B4711" s="2">
        <v>42929</v>
      </c>
      <c r="C4711" s="61">
        <v>12641.33</v>
      </c>
      <c r="D4711" s="3">
        <f t="shared" si="76"/>
        <v>1.1681706368629197E-3</v>
      </c>
    </row>
    <row r="4712" spans="2:4" x14ac:dyDescent="0.2">
      <c r="B4712" s="2">
        <v>42930</v>
      </c>
      <c r="C4712" s="61">
        <v>12631.72</v>
      </c>
      <c r="D4712" s="3">
        <f t="shared" si="76"/>
        <v>-7.6020482022065572E-4</v>
      </c>
    </row>
    <row r="4713" spans="2:4" x14ac:dyDescent="0.2">
      <c r="B4713" s="2">
        <v>42933</v>
      </c>
      <c r="C4713" s="61">
        <v>12587.16</v>
      </c>
      <c r="D4713" s="3">
        <f t="shared" si="76"/>
        <v>-3.527627274828693E-3</v>
      </c>
    </row>
    <row r="4714" spans="2:4" x14ac:dyDescent="0.2">
      <c r="B4714" s="2">
        <v>42934</v>
      </c>
      <c r="C4714" s="61">
        <v>12430.39</v>
      </c>
      <c r="D4714" s="3">
        <f t="shared" si="76"/>
        <v>-1.2454755480982294E-2</v>
      </c>
    </row>
    <row r="4715" spans="2:4" x14ac:dyDescent="0.2">
      <c r="B4715" s="2">
        <v>42935</v>
      </c>
      <c r="C4715" s="61">
        <v>12452.05</v>
      </c>
      <c r="D4715" s="3">
        <f t="shared" si="76"/>
        <v>1.742503654350358E-3</v>
      </c>
    </row>
    <row r="4716" spans="2:4" x14ac:dyDescent="0.2">
      <c r="B4716" s="2">
        <v>42936</v>
      </c>
      <c r="C4716" s="61">
        <v>12447.25</v>
      </c>
      <c r="D4716" s="3">
        <f t="shared" si="76"/>
        <v>-3.8547869627891806E-4</v>
      </c>
    </row>
    <row r="4717" spans="2:4" x14ac:dyDescent="0.2">
      <c r="B4717" s="2">
        <v>42937</v>
      </c>
      <c r="C4717" s="61">
        <v>12240.06</v>
      </c>
      <c r="D4717" s="3">
        <f t="shared" si="76"/>
        <v>-1.6645443772720925E-2</v>
      </c>
    </row>
    <row r="4718" spans="2:4" x14ac:dyDescent="0.2">
      <c r="B4718" s="2">
        <v>42940</v>
      </c>
      <c r="C4718" s="61">
        <v>12208.95</v>
      </c>
      <c r="D4718" s="3">
        <f t="shared" si="76"/>
        <v>-2.5416542075773485E-3</v>
      </c>
    </row>
    <row r="4719" spans="2:4" x14ac:dyDescent="0.2">
      <c r="B4719" s="2">
        <v>42941</v>
      </c>
      <c r="C4719" s="61">
        <v>12264.31</v>
      </c>
      <c r="D4719" s="3">
        <f t="shared" si="76"/>
        <v>4.5343784682547739E-3</v>
      </c>
    </row>
    <row r="4720" spans="2:4" x14ac:dyDescent="0.2">
      <c r="B4720" s="2">
        <v>42942</v>
      </c>
      <c r="C4720" s="61">
        <v>12305.11</v>
      </c>
      <c r="D4720" s="3">
        <f t="shared" si="76"/>
        <v>3.3267260856910674E-3</v>
      </c>
    </row>
    <row r="4721" spans="2:4" x14ac:dyDescent="0.2">
      <c r="B4721" s="2">
        <v>42943</v>
      </c>
      <c r="C4721" s="61">
        <v>12212.04</v>
      </c>
      <c r="D4721" s="3">
        <f t="shared" si="76"/>
        <v>-7.5635244219677267E-3</v>
      </c>
    </row>
    <row r="4722" spans="2:4" x14ac:dyDescent="0.2">
      <c r="B4722" s="2">
        <v>42944</v>
      </c>
      <c r="C4722" s="61">
        <v>12162.7</v>
      </c>
      <c r="D4722" s="3">
        <f t="shared" si="76"/>
        <v>-4.0402750072878746E-3</v>
      </c>
    </row>
    <row r="4723" spans="2:4" x14ac:dyDescent="0.2">
      <c r="B4723" s="2">
        <v>42947</v>
      </c>
      <c r="C4723" s="61">
        <v>12118.25</v>
      </c>
      <c r="D4723" s="3">
        <f t="shared" si="76"/>
        <v>-3.6546161625297113E-3</v>
      </c>
    </row>
    <row r="4724" spans="2:4" x14ac:dyDescent="0.2">
      <c r="B4724" s="2">
        <v>42948</v>
      </c>
      <c r="C4724" s="61">
        <v>12251.29</v>
      </c>
      <c r="D4724" s="3">
        <f t="shared" si="76"/>
        <v>1.0978482866750738E-2</v>
      </c>
    </row>
    <row r="4725" spans="2:4" x14ac:dyDescent="0.2">
      <c r="B4725" s="2">
        <v>42949</v>
      </c>
      <c r="C4725" s="61">
        <v>12181.48</v>
      </c>
      <c r="D4725" s="3">
        <f t="shared" si="76"/>
        <v>-5.6981754574417787E-3</v>
      </c>
    </row>
    <row r="4726" spans="2:4" x14ac:dyDescent="0.2">
      <c r="B4726" s="2">
        <v>42950</v>
      </c>
      <c r="C4726" s="61">
        <v>12154.72</v>
      </c>
      <c r="D4726" s="3">
        <f t="shared" si="76"/>
        <v>-2.1967774030742238E-3</v>
      </c>
    </row>
    <row r="4727" spans="2:4" x14ac:dyDescent="0.2">
      <c r="B4727" s="2">
        <v>42951</v>
      </c>
      <c r="C4727" s="61">
        <v>12297.72</v>
      </c>
      <c r="D4727" s="3">
        <f t="shared" si="76"/>
        <v>1.1764976897863599E-2</v>
      </c>
    </row>
    <row r="4728" spans="2:4" x14ac:dyDescent="0.2">
      <c r="B4728" s="2">
        <v>42954</v>
      </c>
      <c r="C4728" s="61">
        <v>12257.17</v>
      </c>
      <c r="D4728" s="3">
        <f t="shared" si="76"/>
        <v>-3.2973591852798467E-3</v>
      </c>
    </row>
    <row r="4729" spans="2:4" x14ac:dyDescent="0.2">
      <c r="B4729" s="2">
        <v>42955</v>
      </c>
      <c r="C4729" s="61">
        <v>12292.05</v>
      </c>
      <c r="D4729" s="3">
        <f t="shared" si="76"/>
        <v>2.8456813440622675E-3</v>
      </c>
    </row>
    <row r="4730" spans="2:4" x14ac:dyDescent="0.2">
      <c r="B4730" s="2">
        <v>42956</v>
      </c>
      <c r="C4730" s="61">
        <v>12154</v>
      </c>
      <c r="D4730" s="3">
        <f t="shared" si="76"/>
        <v>-1.1230836190871285E-2</v>
      </c>
    </row>
    <row r="4731" spans="2:4" x14ac:dyDescent="0.2">
      <c r="B4731" s="2">
        <v>42957</v>
      </c>
      <c r="C4731" s="61">
        <v>12014.3</v>
      </c>
      <c r="D4731" s="3">
        <f t="shared" si="76"/>
        <v>-1.1494158301793678E-2</v>
      </c>
    </row>
    <row r="4732" spans="2:4" x14ac:dyDescent="0.2">
      <c r="B4732" s="2">
        <v>42958</v>
      </c>
      <c r="C4732" s="61">
        <v>12014.06</v>
      </c>
      <c r="D4732" s="3">
        <f t="shared" si="76"/>
        <v>-1.9976195034243638E-5</v>
      </c>
    </row>
    <row r="4733" spans="2:4" x14ac:dyDescent="0.2">
      <c r="B4733" s="2">
        <v>42961</v>
      </c>
      <c r="C4733" s="61">
        <v>12165.12</v>
      </c>
      <c r="D4733" s="3">
        <f t="shared" si="76"/>
        <v>1.2573601263852652E-2</v>
      </c>
    </row>
    <row r="4734" spans="2:4" x14ac:dyDescent="0.2">
      <c r="B4734" s="2">
        <v>42962</v>
      </c>
      <c r="C4734" s="61">
        <v>12177.04</v>
      </c>
      <c r="D4734" s="3">
        <f t="shared" si="76"/>
        <v>9.7985058922556156E-4</v>
      </c>
    </row>
    <row r="4735" spans="2:4" x14ac:dyDescent="0.2">
      <c r="B4735" s="2">
        <v>42963</v>
      </c>
      <c r="C4735" s="61">
        <v>12263.86</v>
      </c>
      <c r="D4735" s="3">
        <f t="shared" si="76"/>
        <v>7.1298115141282814E-3</v>
      </c>
    </row>
    <row r="4736" spans="2:4" x14ac:dyDescent="0.2">
      <c r="B4736" s="2">
        <v>42964</v>
      </c>
      <c r="C4736" s="61">
        <v>12203.46</v>
      </c>
      <c r="D4736" s="3">
        <f t="shared" si="76"/>
        <v>-4.925039914023932E-3</v>
      </c>
    </row>
    <row r="4737" spans="2:4" x14ac:dyDescent="0.2">
      <c r="B4737" s="2">
        <v>42965</v>
      </c>
      <c r="C4737" s="61">
        <v>12165.19</v>
      </c>
      <c r="D4737" s="3">
        <f t="shared" si="76"/>
        <v>-3.135995856912599E-3</v>
      </c>
    </row>
    <row r="4738" spans="2:4" x14ac:dyDescent="0.2">
      <c r="B4738" s="2">
        <v>42968</v>
      </c>
      <c r="C4738" s="61">
        <v>12065.99</v>
      </c>
      <c r="D4738" s="3">
        <f t="shared" si="76"/>
        <v>-8.1544143576878225E-3</v>
      </c>
    </row>
    <row r="4739" spans="2:4" x14ac:dyDescent="0.2">
      <c r="B4739" s="2">
        <v>42969</v>
      </c>
      <c r="C4739" s="61">
        <v>12229.34</v>
      </c>
      <c r="D4739" s="3">
        <f t="shared" si="76"/>
        <v>1.3538051995733547E-2</v>
      </c>
    </row>
    <row r="4740" spans="2:4" x14ac:dyDescent="0.2">
      <c r="B4740" s="2">
        <v>42970</v>
      </c>
      <c r="C4740" s="61">
        <v>12174.3</v>
      </c>
      <c r="D4740" s="3">
        <f t="shared" si="76"/>
        <v>-4.5006517113761468E-3</v>
      </c>
    </row>
    <row r="4741" spans="2:4" x14ac:dyDescent="0.2">
      <c r="B4741" s="2">
        <v>42971</v>
      </c>
      <c r="C4741" s="61">
        <v>12180.83</v>
      </c>
      <c r="D4741" s="3">
        <f t="shared" ref="D4741:D4804" si="77">C4741/C4740-1</f>
        <v>5.3637580805476759E-4</v>
      </c>
    </row>
    <row r="4742" spans="2:4" x14ac:dyDescent="0.2">
      <c r="B4742" s="2">
        <v>42972</v>
      </c>
      <c r="C4742" s="61">
        <v>12167.94</v>
      </c>
      <c r="D4742" s="3">
        <f t="shared" si="77"/>
        <v>-1.0582201705465755E-3</v>
      </c>
    </row>
    <row r="4743" spans="2:4" x14ac:dyDescent="0.2">
      <c r="B4743" s="2">
        <v>42975</v>
      </c>
      <c r="C4743" s="61">
        <v>12123.47</v>
      </c>
      <c r="D4743" s="3">
        <f t="shared" si="77"/>
        <v>-3.6546860027253381E-3</v>
      </c>
    </row>
    <row r="4744" spans="2:4" x14ac:dyDescent="0.2">
      <c r="B4744" s="2">
        <v>42976</v>
      </c>
      <c r="C4744" s="61">
        <v>11945.88</v>
      </c>
      <c r="D4744" s="3">
        <f t="shared" si="77"/>
        <v>-1.464844636065421E-2</v>
      </c>
    </row>
    <row r="4745" spans="2:4" x14ac:dyDescent="0.2">
      <c r="B4745" s="2">
        <v>42977</v>
      </c>
      <c r="C4745" s="61">
        <v>12002.47</v>
      </c>
      <c r="D4745" s="3">
        <f t="shared" si="77"/>
        <v>4.7371980967496619E-3</v>
      </c>
    </row>
    <row r="4746" spans="2:4" x14ac:dyDescent="0.2">
      <c r="B4746" s="2">
        <v>42978</v>
      </c>
      <c r="C4746" s="61">
        <v>12055.84</v>
      </c>
      <c r="D4746" s="3">
        <f t="shared" si="77"/>
        <v>4.446584744640214E-3</v>
      </c>
    </row>
    <row r="4747" spans="2:4" x14ac:dyDescent="0.2">
      <c r="B4747" s="2">
        <v>42979</v>
      </c>
      <c r="C4747" s="61">
        <v>12142.64</v>
      </c>
      <c r="D4747" s="3">
        <f t="shared" si="77"/>
        <v>7.1998301238236362E-3</v>
      </c>
    </row>
    <row r="4748" spans="2:4" x14ac:dyDescent="0.2">
      <c r="B4748" s="2">
        <v>42982</v>
      </c>
      <c r="C4748" s="61">
        <v>12102.21</v>
      </c>
      <c r="D4748" s="3">
        <f t="shared" si="77"/>
        <v>-3.3295889526495648E-3</v>
      </c>
    </row>
    <row r="4749" spans="2:4" x14ac:dyDescent="0.2">
      <c r="B4749" s="2">
        <v>42983</v>
      </c>
      <c r="C4749" s="61">
        <v>12123.71</v>
      </c>
      <c r="D4749" s="3">
        <f t="shared" si="77"/>
        <v>1.7765350295524396E-3</v>
      </c>
    </row>
    <row r="4750" spans="2:4" x14ac:dyDescent="0.2">
      <c r="B4750" s="2">
        <v>42984</v>
      </c>
      <c r="C4750" s="61">
        <v>12214.54</v>
      </c>
      <c r="D4750" s="3">
        <f t="shared" si="77"/>
        <v>7.4919311002985545E-3</v>
      </c>
    </row>
    <row r="4751" spans="2:4" x14ac:dyDescent="0.2">
      <c r="B4751" s="2">
        <v>42985</v>
      </c>
      <c r="C4751" s="61">
        <v>12296.63</v>
      </c>
      <c r="D4751" s="3">
        <f t="shared" si="77"/>
        <v>6.7206787975639948E-3</v>
      </c>
    </row>
    <row r="4752" spans="2:4" x14ac:dyDescent="0.2">
      <c r="B4752" s="2">
        <v>42986</v>
      </c>
      <c r="C4752" s="61">
        <v>12303.98</v>
      </c>
      <c r="D4752" s="3">
        <f t="shared" si="77"/>
        <v>5.9772474247021812E-4</v>
      </c>
    </row>
    <row r="4753" spans="2:4" x14ac:dyDescent="0.2">
      <c r="B4753" s="2">
        <v>42989</v>
      </c>
      <c r="C4753" s="61">
        <v>12475.24</v>
      </c>
      <c r="D4753" s="3">
        <f t="shared" si="77"/>
        <v>1.3919073340496357E-2</v>
      </c>
    </row>
    <row r="4754" spans="2:4" x14ac:dyDescent="0.2">
      <c r="B4754" s="2">
        <v>42990</v>
      </c>
      <c r="C4754" s="61">
        <v>12524.77</v>
      </c>
      <c r="D4754" s="3">
        <f t="shared" si="77"/>
        <v>3.9702642995245174E-3</v>
      </c>
    </row>
    <row r="4755" spans="2:4" x14ac:dyDescent="0.2">
      <c r="B4755" s="2">
        <v>42991</v>
      </c>
      <c r="C4755" s="61">
        <v>12553.57</v>
      </c>
      <c r="D4755" s="3">
        <f t="shared" si="77"/>
        <v>2.2994434229131056E-3</v>
      </c>
    </row>
    <row r="4756" spans="2:4" x14ac:dyDescent="0.2">
      <c r="B4756" s="2">
        <v>42992</v>
      </c>
      <c r="C4756" s="61">
        <v>12540.45</v>
      </c>
      <c r="D4756" s="3">
        <f t="shared" si="77"/>
        <v>-1.0451210293166424E-3</v>
      </c>
    </row>
    <row r="4757" spans="2:4" x14ac:dyDescent="0.2">
      <c r="B4757" s="2">
        <v>42993</v>
      </c>
      <c r="C4757" s="61">
        <v>12518.81</v>
      </c>
      <c r="D4757" s="3">
        <f t="shared" si="77"/>
        <v>-1.7256159069253263E-3</v>
      </c>
    </row>
    <row r="4758" spans="2:4" x14ac:dyDescent="0.2">
      <c r="B4758" s="2">
        <v>42996</v>
      </c>
      <c r="C4758" s="61">
        <v>12559.39</v>
      </c>
      <c r="D4758" s="3">
        <f t="shared" si="77"/>
        <v>3.2415221574575437E-3</v>
      </c>
    </row>
    <row r="4759" spans="2:4" x14ac:dyDescent="0.2">
      <c r="B4759" s="2">
        <v>42997</v>
      </c>
      <c r="C4759" s="61">
        <v>12561.79</v>
      </c>
      <c r="D4759" s="3">
        <f t="shared" si="77"/>
        <v>1.9109208329393113E-4</v>
      </c>
    </row>
    <row r="4760" spans="2:4" x14ac:dyDescent="0.2">
      <c r="B4760" s="2">
        <v>42998</v>
      </c>
      <c r="C4760" s="61">
        <v>12569.17</v>
      </c>
      <c r="D4760" s="3">
        <f t="shared" si="77"/>
        <v>5.8749589031492633E-4</v>
      </c>
    </row>
    <row r="4761" spans="2:4" x14ac:dyDescent="0.2">
      <c r="B4761" s="2">
        <v>42999</v>
      </c>
      <c r="C4761" s="61">
        <v>12600.03</v>
      </c>
      <c r="D4761" s="3">
        <f t="shared" si="77"/>
        <v>2.4552138287572411E-3</v>
      </c>
    </row>
    <row r="4762" spans="2:4" x14ac:dyDescent="0.2">
      <c r="B4762" s="2">
        <v>43000</v>
      </c>
      <c r="C4762" s="61">
        <v>12592.35</v>
      </c>
      <c r="D4762" s="3">
        <f t="shared" si="77"/>
        <v>-6.0952235828015677E-4</v>
      </c>
    </row>
    <row r="4763" spans="2:4" x14ac:dyDescent="0.2">
      <c r="B4763" s="2">
        <v>43003</v>
      </c>
      <c r="C4763" s="61">
        <v>12594.81</v>
      </c>
      <c r="D4763" s="3">
        <f t="shared" si="77"/>
        <v>1.9535670466575006E-4</v>
      </c>
    </row>
    <row r="4764" spans="2:4" x14ac:dyDescent="0.2">
      <c r="B4764" s="2">
        <v>43004</v>
      </c>
      <c r="C4764" s="61">
        <v>12605.2</v>
      </c>
      <c r="D4764" s="3">
        <f t="shared" si="77"/>
        <v>8.2494297254198656E-4</v>
      </c>
    </row>
    <row r="4765" spans="2:4" x14ac:dyDescent="0.2">
      <c r="B4765" s="2">
        <v>43005</v>
      </c>
      <c r="C4765" s="61">
        <v>12657.41</v>
      </c>
      <c r="D4765" s="3">
        <f t="shared" si="77"/>
        <v>4.1419414210008831E-3</v>
      </c>
    </row>
    <row r="4766" spans="2:4" x14ac:dyDescent="0.2">
      <c r="B4766" s="2">
        <v>43006</v>
      </c>
      <c r="C4766" s="61">
        <v>12704.65</v>
      </c>
      <c r="D4766" s="3">
        <f t="shared" si="77"/>
        <v>3.7322011375153785E-3</v>
      </c>
    </row>
    <row r="4767" spans="2:4" x14ac:dyDescent="0.2">
      <c r="B4767" s="2">
        <v>43007</v>
      </c>
      <c r="C4767" s="61">
        <v>12828.86</v>
      </c>
      <c r="D4767" s="3">
        <f t="shared" si="77"/>
        <v>9.7767352898348037E-3</v>
      </c>
    </row>
    <row r="4768" spans="2:4" x14ac:dyDescent="0.2">
      <c r="B4768" s="2">
        <v>43010</v>
      </c>
      <c r="C4768" s="61">
        <v>12902.65</v>
      </c>
      <c r="D4768" s="3">
        <f t="shared" si="77"/>
        <v>5.7518750691798459E-3</v>
      </c>
    </row>
    <row r="4769" spans="2:4" x14ac:dyDescent="0.2">
      <c r="B4769" s="2">
        <v>43012</v>
      </c>
      <c r="C4769" s="61">
        <v>12970.52</v>
      </c>
      <c r="D4769" s="3">
        <f t="shared" si="77"/>
        <v>5.2601597346282336E-3</v>
      </c>
    </row>
    <row r="4770" spans="2:4" x14ac:dyDescent="0.2">
      <c r="B4770" s="2">
        <v>43013</v>
      </c>
      <c r="C4770" s="61">
        <v>12968.05</v>
      </c>
      <c r="D4770" s="3">
        <f t="shared" si="77"/>
        <v>-1.9043184082068176E-4</v>
      </c>
    </row>
    <row r="4771" spans="2:4" x14ac:dyDescent="0.2">
      <c r="B4771" s="2">
        <v>43014</v>
      </c>
      <c r="C4771" s="61">
        <v>12955.94</v>
      </c>
      <c r="D4771" s="3">
        <f t="shared" si="77"/>
        <v>-9.3383353703901939E-4</v>
      </c>
    </row>
    <row r="4772" spans="2:4" x14ac:dyDescent="0.2">
      <c r="B4772" s="2">
        <v>43017</v>
      </c>
      <c r="C4772" s="61">
        <v>12976.4</v>
      </c>
      <c r="D4772" s="3">
        <f t="shared" si="77"/>
        <v>1.5791984217277122E-3</v>
      </c>
    </row>
    <row r="4773" spans="2:4" x14ac:dyDescent="0.2">
      <c r="B4773" s="2">
        <v>43018</v>
      </c>
      <c r="C4773" s="61">
        <v>12949.25</v>
      </c>
      <c r="D4773" s="3">
        <f t="shared" si="77"/>
        <v>-2.0922597947041766E-3</v>
      </c>
    </row>
    <row r="4774" spans="2:4" x14ac:dyDescent="0.2">
      <c r="B4774" s="2">
        <v>43019</v>
      </c>
      <c r="C4774" s="61">
        <v>12970.68</v>
      </c>
      <c r="D4774" s="3">
        <f t="shared" si="77"/>
        <v>1.6549220997355008E-3</v>
      </c>
    </row>
    <row r="4775" spans="2:4" x14ac:dyDescent="0.2">
      <c r="B4775" s="2">
        <v>43020</v>
      </c>
      <c r="C4775" s="61">
        <v>12982.89</v>
      </c>
      <c r="D4775" s="3">
        <f t="shared" si="77"/>
        <v>9.4135388429905653E-4</v>
      </c>
    </row>
    <row r="4776" spans="2:4" x14ac:dyDescent="0.2">
      <c r="B4776" s="2">
        <v>43021</v>
      </c>
      <c r="C4776" s="61">
        <v>12991.87</v>
      </c>
      <c r="D4776" s="3">
        <f t="shared" si="77"/>
        <v>6.9167958751870096E-4</v>
      </c>
    </row>
    <row r="4777" spans="2:4" x14ac:dyDescent="0.2">
      <c r="B4777" s="2">
        <v>43024</v>
      </c>
      <c r="C4777" s="61">
        <v>13003.7</v>
      </c>
      <c r="D4777" s="3">
        <f t="shared" si="77"/>
        <v>9.1056945612910667E-4</v>
      </c>
    </row>
    <row r="4778" spans="2:4" x14ac:dyDescent="0.2">
      <c r="B4778" s="2">
        <v>43025</v>
      </c>
      <c r="C4778" s="61">
        <v>12995.06</v>
      </c>
      <c r="D4778" s="3">
        <f t="shared" si="77"/>
        <v>-6.6442627867457915E-4</v>
      </c>
    </row>
    <row r="4779" spans="2:4" x14ac:dyDescent="0.2">
      <c r="B4779" s="2">
        <v>43026</v>
      </c>
      <c r="C4779" s="61">
        <v>13043.03</v>
      </c>
      <c r="D4779" s="3">
        <f t="shared" si="77"/>
        <v>3.6914027330385846E-3</v>
      </c>
    </row>
    <row r="4780" spans="2:4" x14ac:dyDescent="0.2">
      <c r="B4780" s="2">
        <v>43027</v>
      </c>
      <c r="C4780" s="61">
        <v>12990.1</v>
      </c>
      <c r="D4780" s="3">
        <f t="shared" si="77"/>
        <v>-4.0581061302473742E-3</v>
      </c>
    </row>
    <row r="4781" spans="2:4" x14ac:dyDescent="0.2">
      <c r="B4781" s="2">
        <v>43028</v>
      </c>
      <c r="C4781" s="61">
        <v>12991.28</v>
      </c>
      <c r="D4781" s="3">
        <f t="shared" si="77"/>
        <v>9.0838407710513991E-5</v>
      </c>
    </row>
    <row r="4782" spans="2:4" x14ac:dyDescent="0.2">
      <c r="B4782" s="2">
        <v>43031</v>
      </c>
      <c r="C4782" s="61">
        <v>13003.14</v>
      </c>
      <c r="D4782" s="3">
        <f t="shared" si="77"/>
        <v>9.1292005098786433E-4</v>
      </c>
    </row>
    <row r="4783" spans="2:4" x14ac:dyDescent="0.2">
      <c r="B4783" s="2">
        <v>43032</v>
      </c>
      <c r="C4783" s="61">
        <v>13013.19</v>
      </c>
      <c r="D4783" s="3">
        <f t="shared" si="77"/>
        <v>7.7289024035742671E-4</v>
      </c>
    </row>
    <row r="4784" spans="2:4" x14ac:dyDescent="0.2">
      <c r="B4784" s="2">
        <v>43033</v>
      </c>
      <c r="C4784" s="61">
        <v>12953.41</v>
      </c>
      <c r="D4784" s="3">
        <f t="shared" si="77"/>
        <v>-4.5938005977013141E-3</v>
      </c>
    </row>
    <row r="4785" spans="2:4" x14ac:dyDescent="0.2">
      <c r="B4785" s="2">
        <v>43034</v>
      </c>
      <c r="C4785" s="61">
        <v>13133.28</v>
      </c>
      <c r="D4785" s="3">
        <f t="shared" si="77"/>
        <v>1.3885918842992062E-2</v>
      </c>
    </row>
    <row r="4786" spans="2:4" x14ac:dyDescent="0.2">
      <c r="B4786" s="2">
        <v>43035</v>
      </c>
      <c r="C4786" s="61">
        <v>13217.54</v>
      </c>
      <c r="D4786" s="3">
        <f t="shared" si="77"/>
        <v>6.4157620944653715E-3</v>
      </c>
    </row>
    <row r="4787" spans="2:4" x14ac:dyDescent="0.2">
      <c r="B4787" s="2">
        <v>43038</v>
      </c>
      <c r="C4787" s="61">
        <v>13229.57</v>
      </c>
      <c r="D4787" s="3">
        <f t="shared" si="77"/>
        <v>9.101542344489566E-4</v>
      </c>
    </row>
    <row r="4788" spans="2:4" x14ac:dyDescent="0.2">
      <c r="B4788" s="2">
        <v>43040</v>
      </c>
      <c r="C4788" s="61">
        <v>13465.51</v>
      </c>
      <c r="D4788" s="3">
        <f t="shared" si="77"/>
        <v>1.7834290910437867E-2</v>
      </c>
    </row>
    <row r="4789" spans="2:4" x14ac:dyDescent="0.2">
      <c r="B4789" s="2">
        <v>43041</v>
      </c>
      <c r="C4789" s="61">
        <v>13440.93</v>
      </c>
      <c r="D4789" s="3">
        <f t="shared" si="77"/>
        <v>-1.8254043107167606E-3</v>
      </c>
    </row>
    <row r="4790" spans="2:4" x14ac:dyDescent="0.2">
      <c r="B4790" s="2">
        <v>43042</v>
      </c>
      <c r="C4790" s="61">
        <v>13478.86</v>
      </c>
      <c r="D4790" s="3">
        <f t="shared" si="77"/>
        <v>2.8219773482935917E-3</v>
      </c>
    </row>
    <row r="4791" spans="2:4" x14ac:dyDescent="0.2">
      <c r="B4791" s="2">
        <v>43045</v>
      </c>
      <c r="C4791" s="61">
        <v>13468.79</v>
      </c>
      <c r="D4791" s="3">
        <f t="shared" si="77"/>
        <v>-7.4709582264376184E-4</v>
      </c>
    </row>
    <row r="4792" spans="2:4" x14ac:dyDescent="0.2">
      <c r="B4792" s="2">
        <v>43046</v>
      </c>
      <c r="C4792" s="61">
        <v>13379.27</v>
      </c>
      <c r="D4792" s="3">
        <f t="shared" si="77"/>
        <v>-6.6464767807650205E-3</v>
      </c>
    </row>
    <row r="4793" spans="2:4" x14ac:dyDescent="0.2">
      <c r="B4793" s="2">
        <v>43047</v>
      </c>
      <c r="C4793" s="61">
        <v>13382.42</v>
      </c>
      <c r="D4793" s="3">
        <f t="shared" si="77"/>
        <v>2.3543885428733979E-4</v>
      </c>
    </row>
    <row r="4794" spans="2:4" x14ac:dyDescent="0.2">
      <c r="B4794" s="2">
        <v>43048</v>
      </c>
      <c r="C4794" s="61">
        <v>13182.56</v>
      </c>
      <c r="D4794" s="3">
        <f t="shared" si="77"/>
        <v>-1.4934518569885036E-2</v>
      </c>
    </row>
    <row r="4795" spans="2:4" x14ac:dyDescent="0.2">
      <c r="B4795" s="2">
        <v>43049</v>
      </c>
      <c r="C4795" s="61">
        <v>13127.47</v>
      </c>
      <c r="D4795" s="3">
        <f t="shared" si="77"/>
        <v>-4.1790062021337393E-3</v>
      </c>
    </row>
    <row r="4796" spans="2:4" x14ac:dyDescent="0.2">
      <c r="B4796" s="2">
        <v>43052</v>
      </c>
      <c r="C4796" s="61">
        <v>13074.42</v>
      </c>
      <c r="D4796" s="3">
        <f t="shared" si="77"/>
        <v>-4.0411442570426059E-3</v>
      </c>
    </row>
    <row r="4797" spans="2:4" x14ac:dyDescent="0.2">
      <c r="B4797" s="2">
        <v>43053</v>
      </c>
      <c r="C4797" s="61">
        <v>13033.48</v>
      </c>
      <c r="D4797" s="3">
        <f t="shared" si="77"/>
        <v>-3.1313052510169026E-3</v>
      </c>
    </row>
    <row r="4798" spans="2:4" x14ac:dyDescent="0.2">
      <c r="B4798" s="2">
        <v>43054</v>
      </c>
      <c r="C4798" s="61">
        <v>12976.37</v>
      </c>
      <c r="D4798" s="3">
        <f t="shared" si="77"/>
        <v>-4.3817921230553392E-3</v>
      </c>
    </row>
    <row r="4799" spans="2:4" x14ac:dyDescent="0.2">
      <c r="B4799" s="2">
        <v>43055</v>
      </c>
      <c r="C4799" s="61">
        <v>13047.22</v>
      </c>
      <c r="D4799" s="3">
        <f t="shared" si="77"/>
        <v>5.4599244626962751E-3</v>
      </c>
    </row>
    <row r="4800" spans="2:4" x14ac:dyDescent="0.2">
      <c r="B4800" s="2">
        <v>43056</v>
      </c>
      <c r="C4800" s="61">
        <v>12993.73</v>
      </c>
      <c r="D4800" s="3">
        <f t="shared" si="77"/>
        <v>-4.099723925863108E-3</v>
      </c>
    </row>
    <row r="4801" spans="2:4" x14ac:dyDescent="0.2">
      <c r="B4801" s="2">
        <v>43059</v>
      </c>
      <c r="C4801" s="61">
        <v>13058.66</v>
      </c>
      <c r="D4801" s="3">
        <f t="shared" si="77"/>
        <v>4.9970254884470489E-3</v>
      </c>
    </row>
    <row r="4802" spans="2:4" x14ac:dyDescent="0.2">
      <c r="B4802" s="2">
        <v>43060</v>
      </c>
      <c r="C4802" s="61">
        <v>13167.54</v>
      </c>
      <c r="D4802" s="3">
        <f t="shared" si="77"/>
        <v>8.3377620674709441E-3</v>
      </c>
    </row>
    <row r="4803" spans="2:4" x14ac:dyDescent="0.2">
      <c r="B4803" s="2">
        <v>43061</v>
      </c>
      <c r="C4803" s="61">
        <v>13015.04</v>
      </c>
      <c r="D4803" s="3">
        <f t="shared" si="77"/>
        <v>-1.1581510289697228E-2</v>
      </c>
    </row>
    <row r="4804" spans="2:4" x14ac:dyDescent="0.2">
      <c r="B4804" s="2">
        <v>43062</v>
      </c>
      <c r="C4804" s="61">
        <v>13008.55</v>
      </c>
      <c r="D4804" s="3">
        <f t="shared" si="77"/>
        <v>-4.9865386506697806E-4</v>
      </c>
    </row>
    <row r="4805" spans="2:4" x14ac:dyDescent="0.2">
      <c r="B4805" s="2">
        <v>43063</v>
      </c>
      <c r="C4805" s="61">
        <v>13059.84</v>
      </c>
      <c r="D4805" s="3">
        <f t="shared" ref="D4805:D4868" si="78">C4805/C4804-1</f>
        <v>3.9427914717629076E-3</v>
      </c>
    </row>
    <row r="4806" spans="2:4" x14ac:dyDescent="0.2">
      <c r="B4806" s="2">
        <v>43066</v>
      </c>
      <c r="C4806" s="61">
        <v>13000.2</v>
      </c>
      <c r="D4806" s="3">
        <f t="shared" si="78"/>
        <v>-4.5666715671860425E-3</v>
      </c>
    </row>
    <row r="4807" spans="2:4" x14ac:dyDescent="0.2">
      <c r="B4807" s="2">
        <v>43067</v>
      </c>
      <c r="C4807" s="61">
        <v>13059.53</v>
      </c>
      <c r="D4807" s="3">
        <f t="shared" si="78"/>
        <v>4.5637759419085988E-3</v>
      </c>
    </row>
    <row r="4808" spans="2:4" x14ac:dyDescent="0.2">
      <c r="B4808" s="2">
        <v>43068</v>
      </c>
      <c r="C4808" s="61">
        <v>13061.87</v>
      </c>
      <c r="D4808" s="3">
        <f t="shared" si="78"/>
        <v>1.7917949573997838E-4</v>
      </c>
    </row>
    <row r="4809" spans="2:4" x14ac:dyDescent="0.2">
      <c r="B4809" s="2">
        <v>43069</v>
      </c>
      <c r="C4809" s="61">
        <v>13023.98</v>
      </c>
      <c r="D4809" s="3">
        <f t="shared" si="78"/>
        <v>-2.9008097615426109E-3</v>
      </c>
    </row>
    <row r="4810" spans="2:4" x14ac:dyDescent="0.2">
      <c r="B4810" s="2">
        <v>43070</v>
      </c>
      <c r="C4810" s="61">
        <v>12861.49</v>
      </c>
      <c r="D4810" s="3">
        <f t="shared" si="78"/>
        <v>-1.2476216947507557E-2</v>
      </c>
    </row>
    <row r="4811" spans="2:4" x14ac:dyDescent="0.2">
      <c r="B4811" s="2">
        <v>43073</v>
      </c>
      <c r="C4811" s="61">
        <v>13058.55</v>
      </c>
      <c r="D4811" s="3">
        <f t="shared" si="78"/>
        <v>1.5321708449020921E-2</v>
      </c>
    </row>
    <row r="4812" spans="2:4" x14ac:dyDescent="0.2">
      <c r="B4812" s="2">
        <v>43074</v>
      </c>
      <c r="C4812" s="61">
        <v>13048.54</v>
      </c>
      <c r="D4812" s="3">
        <f t="shared" si="78"/>
        <v>-7.6654758759575614E-4</v>
      </c>
    </row>
    <row r="4813" spans="2:4" x14ac:dyDescent="0.2">
      <c r="B4813" s="2">
        <v>43075</v>
      </c>
      <c r="C4813" s="61">
        <v>12998.85</v>
      </c>
      <c r="D4813" s="3">
        <f t="shared" si="78"/>
        <v>-3.8080888743108332E-3</v>
      </c>
    </row>
    <row r="4814" spans="2:4" x14ac:dyDescent="0.2">
      <c r="B4814" s="2">
        <v>43076</v>
      </c>
      <c r="C4814" s="61">
        <v>13045.15</v>
      </c>
      <c r="D4814" s="3">
        <f t="shared" si="78"/>
        <v>3.5618535485830716E-3</v>
      </c>
    </row>
    <row r="4815" spans="2:4" x14ac:dyDescent="0.2">
      <c r="B4815" s="2">
        <v>43077</v>
      </c>
      <c r="C4815" s="61">
        <v>13153.7</v>
      </c>
      <c r="D4815" s="3">
        <f t="shared" si="78"/>
        <v>8.32110017899379E-3</v>
      </c>
    </row>
    <row r="4816" spans="2:4" x14ac:dyDescent="0.2">
      <c r="B4816" s="2">
        <v>43080</v>
      </c>
      <c r="C4816" s="61">
        <v>13123.65</v>
      </c>
      <c r="D4816" s="3">
        <f t="shared" si="78"/>
        <v>-2.2845283076246004E-3</v>
      </c>
    </row>
    <row r="4817" spans="2:4" x14ac:dyDescent="0.2">
      <c r="B4817" s="2">
        <v>43081</v>
      </c>
      <c r="C4817" s="61">
        <v>13183.53</v>
      </c>
      <c r="D4817" s="3">
        <f t="shared" si="78"/>
        <v>4.5627550262312688E-3</v>
      </c>
    </row>
    <row r="4818" spans="2:4" x14ac:dyDescent="0.2">
      <c r="B4818" s="2">
        <v>43082</v>
      </c>
      <c r="C4818" s="61">
        <v>13125.64</v>
      </c>
      <c r="D4818" s="3">
        <f t="shared" si="78"/>
        <v>-4.3910849370389915E-3</v>
      </c>
    </row>
    <row r="4819" spans="2:4" x14ac:dyDescent="0.2">
      <c r="B4819" s="2">
        <v>43083</v>
      </c>
      <c r="C4819" s="61">
        <v>13068.08</v>
      </c>
      <c r="D4819" s="3">
        <f t="shared" si="78"/>
        <v>-4.3853099734565415E-3</v>
      </c>
    </row>
    <row r="4820" spans="2:4" x14ac:dyDescent="0.2">
      <c r="B4820" s="2">
        <v>43084</v>
      </c>
      <c r="C4820" s="61">
        <v>13103.56</v>
      </c>
      <c r="D4820" s="3">
        <f t="shared" si="78"/>
        <v>2.715012457836119E-3</v>
      </c>
    </row>
    <row r="4821" spans="2:4" x14ac:dyDescent="0.2">
      <c r="B4821" s="2">
        <v>43087</v>
      </c>
      <c r="C4821" s="61">
        <v>13312.3</v>
      </c>
      <c r="D4821" s="3">
        <f t="shared" si="78"/>
        <v>1.5930022070338223E-2</v>
      </c>
    </row>
    <row r="4822" spans="2:4" x14ac:dyDescent="0.2">
      <c r="B4822" s="2">
        <v>43088</v>
      </c>
      <c r="C4822" s="61">
        <v>13215.79</v>
      </c>
      <c r="D4822" s="3">
        <f t="shared" si="78"/>
        <v>-7.2496863802647971E-3</v>
      </c>
    </row>
    <row r="4823" spans="2:4" x14ac:dyDescent="0.2">
      <c r="B4823" s="2">
        <v>43089</v>
      </c>
      <c r="C4823" s="61">
        <v>13069.17</v>
      </c>
      <c r="D4823" s="3">
        <f t="shared" si="78"/>
        <v>-1.1094304615917872E-2</v>
      </c>
    </row>
    <row r="4824" spans="2:4" x14ac:dyDescent="0.2">
      <c r="B4824" s="2">
        <v>43090</v>
      </c>
      <c r="C4824" s="61">
        <v>13109.74</v>
      </c>
      <c r="D4824" s="3">
        <f t="shared" si="78"/>
        <v>3.1042522210669166E-3</v>
      </c>
    </row>
    <row r="4825" spans="2:4" x14ac:dyDescent="0.2">
      <c r="B4825" s="2">
        <v>43091</v>
      </c>
      <c r="C4825" s="61">
        <v>13072.79</v>
      </c>
      <c r="D4825" s="3">
        <f t="shared" si="78"/>
        <v>-2.8185150887812815E-3</v>
      </c>
    </row>
    <row r="4826" spans="2:4" x14ac:dyDescent="0.2">
      <c r="B4826" s="2">
        <v>43096</v>
      </c>
      <c r="C4826" s="61">
        <v>13070.02</v>
      </c>
      <c r="D4826" s="3">
        <f t="shared" si="78"/>
        <v>-2.1189049927372583E-4</v>
      </c>
    </row>
    <row r="4827" spans="2:4" x14ac:dyDescent="0.2">
      <c r="B4827" s="2">
        <v>43097</v>
      </c>
      <c r="C4827" s="61">
        <v>12979.94</v>
      </c>
      <c r="D4827" s="3">
        <f t="shared" si="78"/>
        <v>-6.8921088108511164E-3</v>
      </c>
    </row>
    <row r="4828" spans="2:4" x14ac:dyDescent="0.2">
      <c r="B4828" s="2">
        <v>43098</v>
      </c>
      <c r="C4828" s="61">
        <v>12917.64</v>
      </c>
      <c r="D4828" s="3">
        <f t="shared" si="78"/>
        <v>-4.7997140202498123E-3</v>
      </c>
    </row>
    <row r="4829" spans="2:4" x14ac:dyDescent="0.2">
      <c r="B4829" s="2">
        <v>43102</v>
      </c>
      <c r="C4829" s="61">
        <v>12871.39</v>
      </c>
      <c r="D4829" s="3">
        <f t="shared" si="78"/>
        <v>-3.5803753626822976E-3</v>
      </c>
    </row>
    <row r="4830" spans="2:4" x14ac:dyDescent="0.2">
      <c r="B4830" s="2">
        <v>43103</v>
      </c>
      <c r="C4830" s="61">
        <v>12978.21</v>
      </c>
      <c r="D4830" s="3">
        <f t="shared" si="78"/>
        <v>8.2990259793231935E-3</v>
      </c>
    </row>
    <row r="4831" spans="2:4" x14ac:dyDescent="0.2">
      <c r="B4831" s="2">
        <v>43104</v>
      </c>
      <c r="C4831" s="61">
        <v>13167.89</v>
      </c>
      <c r="D4831" s="3">
        <f t="shared" si="78"/>
        <v>1.4615266666204274E-2</v>
      </c>
    </row>
    <row r="4832" spans="2:4" x14ac:dyDescent="0.2">
      <c r="B4832" s="2">
        <v>43105</v>
      </c>
      <c r="C4832" s="61">
        <v>13319.64</v>
      </c>
      <c r="D4832" s="3">
        <f t="shared" si="78"/>
        <v>1.1524245721979742E-2</v>
      </c>
    </row>
    <row r="4833" spans="2:4" x14ac:dyDescent="0.2">
      <c r="B4833" s="2">
        <v>43108</v>
      </c>
      <c r="C4833" s="61">
        <v>13367.78</v>
      </c>
      <c r="D4833" s="3">
        <f t="shared" si="78"/>
        <v>3.6142117955140218E-3</v>
      </c>
    </row>
    <row r="4834" spans="2:4" x14ac:dyDescent="0.2">
      <c r="B4834" s="2">
        <v>43109</v>
      </c>
      <c r="C4834" s="61">
        <v>13385.59</v>
      </c>
      <c r="D4834" s="3">
        <f t="shared" si="78"/>
        <v>1.3323079823275297E-3</v>
      </c>
    </row>
    <row r="4835" spans="2:4" x14ac:dyDescent="0.2">
      <c r="B4835" s="2">
        <v>43110</v>
      </c>
      <c r="C4835" s="61">
        <v>13281.34</v>
      </c>
      <c r="D4835" s="3">
        <f t="shared" si="78"/>
        <v>-7.7882259952680721E-3</v>
      </c>
    </row>
    <row r="4836" spans="2:4" x14ac:dyDescent="0.2">
      <c r="B4836" s="2">
        <v>43111</v>
      </c>
      <c r="C4836" s="61">
        <v>13202.9</v>
      </c>
      <c r="D4836" s="3">
        <f t="shared" si="78"/>
        <v>-5.9060305661928769E-3</v>
      </c>
    </row>
    <row r="4837" spans="2:4" x14ac:dyDescent="0.2">
      <c r="B4837" s="2">
        <v>43112</v>
      </c>
      <c r="C4837" s="61">
        <v>13245.03</v>
      </c>
      <c r="D4837" s="3">
        <f t="shared" si="78"/>
        <v>3.1909656211892568E-3</v>
      </c>
    </row>
    <row r="4838" spans="2:4" x14ac:dyDescent="0.2">
      <c r="B4838" s="2">
        <v>43115</v>
      </c>
      <c r="C4838" s="61">
        <v>13200.51</v>
      </c>
      <c r="D4838" s="3">
        <f t="shared" si="78"/>
        <v>-3.3612607898962921E-3</v>
      </c>
    </row>
    <row r="4839" spans="2:4" x14ac:dyDescent="0.2">
      <c r="B4839" s="2">
        <v>43116</v>
      </c>
      <c r="C4839" s="61">
        <v>13246.33</v>
      </c>
      <c r="D4839" s="3">
        <f t="shared" si="78"/>
        <v>3.4710780113798023E-3</v>
      </c>
    </row>
    <row r="4840" spans="2:4" x14ac:dyDescent="0.2">
      <c r="B4840" s="2">
        <v>43117</v>
      </c>
      <c r="C4840" s="61">
        <v>13183.96</v>
      </c>
      <c r="D4840" s="3">
        <f t="shared" si="78"/>
        <v>-4.7084739697713651E-3</v>
      </c>
    </row>
    <row r="4841" spans="2:4" x14ac:dyDescent="0.2">
      <c r="B4841" s="2">
        <v>43118</v>
      </c>
      <c r="C4841" s="61">
        <v>13281.43</v>
      </c>
      <c r="D4841" s="3">
        <f t="shared" si="78"/>
        <v>7.3930746149108995E-3</v>
      </c>
    </row>
    <row r="4842" spans="2:4" x14ac:dyDescent="0.2">
      <c r="B4842" s="2">
        <v>43119</v>
      </c>
      <c r="C4842" s="61">
        <v>13434.45</v>
      </c>
      <c r="D4842" s="3">
        <f t="shared" si="78"/>
        <v>1.1521349734177733E-2</v>
      </c>
    </row>
    <row r="4843" spans="2:4" x14ac:dyDescent="0.2">
      <c r="B4843" s="2">
        <v>43122</v>
      </c>
      <c r="C4843" s="61">
        <v>13463.69</v>
      </c>
      <c r="D4843" s="3">
        <f t="shared" si="78"/>
        <v>2.1764940135249322E-3</v>
      </c>
    </row>
    <row r="4844" spans="2:4" x14ac:dyDescent="0.2">
      <c r="B4844" s="2">
        <v>43123</v>
      </c>
      <c r="C4844" s="61">
        <v>13559.6</v>
      </c>
      <c r="D4844" s="3">
        <f t="shared" si="78"/>
        <v>7.1236043016438266E-3</v>
      </c>
    </row>
    <row r="4845" spans="2:4" x14ac:dyDescent="0.2">
      <c r="B4845" s="2">
        <v>43124</v>
      </c>
      <c r="C4845" s="61">
        <v>13414.74</v>
      </c>
      <c r="D4845" s="3">
        <f t="shared" si="78"/>
        <v>-1.068320599427719E-2</v>
      </c>
    </row>
    <row r="4846" spans="2:4" x14ac:dyDescent="0.2">
      <c r="B4846" s="2">
        <v>43125</v>
      </c>
      <c r="C4846" s="61">
        <v>13298.36</v>
      </c>
      <c r="D4846" s="3">
        <f t="shared" si="78"/>
        <v>-8.675531542169268E-3</v>
      </c>
    </row>
    <row r="4847" spans="2:4" x14ac:dyDescent="0.2">
      <c r="B4847" s="2">
        <v>43126</v>
      </c>
      <c r="C4847" s="61">
        <v>13340.17</v>
      </c>
      <c r="D4847" s="3">
        <f t="shared" si="78"/>
        <v>3.1439967033528582E-3</v>
      </c>
    </row>
    <row r="4848" spans="2:4" x14ac:dyDescent="0.2">
      <c r="B4848" s="2">
        <v>43129</v>
      </c>
      <c r="C4848" s="61">
        <v>13324.48</v>
      </c>
      <c r="D4848" s="3">
        <f t="shared" si="78"/>
        <v>-1.1761469306613703E-3</v>
      </c>
    </row>
    <row r="4849" spans="2:4" x14ac:dyDescent="0.2">
      <c r="B4849" s="2">
        <v>43130</v>
      </c>
      <c r="C4849" s="61">
        <v>13197.71</v>
      </c>
      <c r="D4849" s="3">
        <f t="shared" si="78"/>
        <v>-9.5140673407142495E-3</v>
      </c>
    </row>
    <row r="4850" spans="2:4" x14ac:dyDescent="0.2">
      <c r="B4850" s="2">
        <v>43131</v>
      </c>
      <c r="C4850" s="61">
        <v>13189.48</v>
      </c>
      <c r="D4850" s="3">
        <f t="shared" si="78"/>
        <v>-6.235930324275385E-4</v>
      </c>
    </row>
    <row r="4851" spans="2:4" x14ac:dyDescent="0.2">
      <c r="B4851" s="2">
        <v>43132</v>
      </c>
      <c r="C4851" s="61">
        <v>13003.9</v>
      </c>
      <c r="D4851" s="3">
        <f t="shared" si="78"/>
        <v>-1.4070304515416798E-2</v>
      </c>
    </row>
    <row r="4852" spans="2:4" x14ac:dyDescent="0.2">
      <c r="B4852" s="2">
        <v>43133</v>
      </c>
      <c r="C4852" s="61">
        <v>12785.16</v>
      </c>
      <c r="D4852" s="3">
        <f t="shared" si="78"/>
        <v>-1.6821107513899647E-2</v>
      </c>
    </row>
    <row r="4853" spans="2:4" x14ac:dyDescent="0.2">
      <c r="B4853" s="2">
        <v>43136</v>
      </c>
      <c r="C4853" s="61">
        <v>12687.49</v>
      </c>
      <c r="D4853" s="3">
        <f t="shared" si="78"/>
        <v>-7.6393255931095361E-3</v>
      </c>
    </row>
    <row r="4854" spans="2:4" x14ac:dyDescent="0.2">
      <c r="B4854" s="2">
        <v>43137</v>
      </c>
      <c r="C4854" s="61">
        <v>12392.66</v>
      </c>
      <c r="D4854" s="3">
        <f t="shared" si="78"/>
        <v>-2.3237850827862672E-2</v>
      </c>
    </row>
    <row r="4855" spans="2:4" x14ac:dyDescent="0.2">
      <c r="B4855" s="2">
        <v>43138</v>
      </c>
      <c r="C4855" s="61">
        <v>12590.43</v>
      </c>
      <c r="D4855" s="3">
        <f t="shared" si="78"/>
        <v>1.5958640033697291E-2</v>
      </c>
    </row>
    <row r="4856" spans="2:4" x14ac:dyDescent="0.2">
      <c r="B4856" s="2">
        <v>43139</v>
      </c>
      <c r="C4856" s="61">
        <v>12260.29</v>
      </c>
      <c r="D4856" s="3">
        <f t="shared" si="78"/>
        <v>-2.6221503157556891E-2</v>
      </c>
    </row>
    <row r="4857" spans="2:4" x14ac:dyDescent="0.2">
      <c r="B4857" s="2">
        <v>43140</v>
      </c>
      <c r="C4857" s="61">
        <v>12107.48</v>
      </c>
      <c r="D4857" s="3">
        <f t="shared" si="78"/>
        <v>-1.2463816108754466E-2</v>
      </c>
    </row>
    <row r="4858" spans="2:4" x14ac:dyDescent="0.2">
      <c r="B4858" s="2">
        <v>43143</v>
      </c>
      <c r="C4858" s="61">
        <v>12282.77</v>
      </c>
      <c r="D4858" s="3">
        <f t="shared" si="78"/>
        <v>1.4477826930129112E-2</v>
      </c>
    </row>
    <row r="4859" spans="2:4" x14ac:dyDescent="0.2">
      <c r="B4859" s="2">
        <v>43144</v>
      </c>
      <c r="C4859" s="61">
        <v>12196.5</v>
      </c>
      <c r="D4859" s="3">
        <f t="shared" si="78"/>
        <v>-7.0236599724655679E-3</v>
      </c>
    </row>
    <row r="4860" spans="2:4" x14ac:dyDescent="0.2">
      <c r="B4860" s="2">
        <v>43145</v>
      </c>
      <c r="C4860" s="61">
        <v>12339.16</v>
      </c>
      <c r="D4860" s="3">
        <f t="shared" si="78"/>
        <v>1.1696798261796371E-2</v>
      </c>
    </row>
    <row r="4861" spans="2:4" x14ac:dyDescent="0.2">
      <c r="B4861" s="2">
        <v>43146</v>
      </c>
      <c r="C4861" s="61">
        <v>12346.17</v>
      </c>
      <c r="D4861" s="3">
        <f t="shared" si="78"/>
        <v>5.6810998479628338E-4</v>
      </c>
    </row>
    <row r="4862" spans="2:4" x14ac:dyDescent="0.2">
      <c r="B4862" s="2">
        <v>43147</v>
      </c>
      <c r="C4862" s="61">
        <v>12451.96</v>
      </c>
      <c r="D4862" s="3">
        <f t="shared" si="78"/>
        <v>8.5686492248202573E-3</v>
      </c>
    </row>
    <row r="4863" spans="2:4" x14ac:dyDescent="0.2">
      <c r="B4863" s="2">
        <v>43150</v>
      </c>
      <c r="C4863" s="61">
        <v>12385.6</v>
      </c>
      <c r="D4863" s="3">
        <f t="shared" si="78"/>
        <v>-5.3292814946400702E-3</v>
      </c>
    </row>
    <row r="4864" spans="2:4" x14ac:dyDescent="0.2">
      <c r="B4864" s="2">
        <v>43151</v>
      </c>
      <c r="C4864" s="61">
        <v>12487.9</v>
      </c>
      <c r="D4864" s="3">
        <f t="shared" si="78"/>
        <v>8.2595917840071476E-3</v>
      </c>
    </row>
    <row r="4865" spans="2:4" x14ac:dyDescent="0.2">
      <c r="B4865" s="2">
        <v>43152</v>
      </c>
      <c r="C4865" s="61">
        <v>12470.49</v>
      </c>
      <c r="D4865" s="3">
        <f t="shared" si="78"/>
        <v>-1.3941495367515433E-3</v>
      </c>
    </row>
    <row r="4866" spans="2:4" x14ac:dyDescent="0.2">
      <c r="B4866" s="2">
        <v>43153</v>
      </c>
      <c r="C4866" s="61">
        <v>12461.91</v>
      </c>
      <c r="D4866" s="3">
        <f t="shared" si="78"/>
        <v>-6.8802428773850899E-4</v>
      </c>
    </row>
    <row r="4867" spans="2:4" x14ac:dyDescent="0.2">
      <c r="B4867" s="2">
        <v>43154</v>
      </c>
      <c r="C4867" s="61">
        <v>12483.79</v>
      </c>
      <c r="D4867" s="3">
        <f t="shared" si="78"/>
        <v>1.7557501217710936E-3</v>
      </c>
    </row>
    <row r="4868" spans="2:4" x14ac:dyDescent="0.2">
      <c r="B4868" s="2">
        <v>43157</v>
      </c>
      <c r="C4868" s="61">
        <v>12527.04</v>
      </c>
      <c r="D4868" s="3">
        <f t="shared" si="78"/>
        <v>3.4644927542035742E-3</v>
      </c>
    </row>
    <row r="4869" spans="2:4" x14ac:dyDescent="0.2">
      <c r="B4869" s="2">
        <v>43158</v>
      </c>
      <c r="C4869" s="61">
        <v>12490.73</v>
      </c>
      <c r="D4869" s="3">
        <f t="shared" ref="D4869:D4932" si="79">C4869/C4868-1</f>
        <v>-2.8985299001201836E-3</v>
      </c>
    </row>
    <row r="4870" spans="2:4" x14ac:dyDescent="0.2">
      <c r="B4870" s="2">
        <v>43159</v>
      </c>
      <c r="C4870" s="61">
        <v>12435.85</v>
      </c>
      <c r="D4870" s="3">
        <f t="shared" si="79"/>
        <v>-4.3936583370226545E-3</v>
      </c>
    </row>
    <row r="4871" spans="2:4" x14ac:dyDescent="0.2">
      <c r="B4871" s="2">
        <v>43160</v>
      </c>
      <c r="C4871" s="61">
        <v>12190.94</v>
      </c>
      <c r="D4871" s="3">
        <f t="shared" si="79"/>
        <v>-1.9693868935376391E-2</v>
      </c>
    </row>
    <row r="4872" spans="2:4" x14ac:dyDescent="0.2">
      <c r="B4872" s="2">
        <v>43161</v>
      </c>
      <c r="C4872" s="61">
        <v>11913.71</v>
      </c>
      <c r="D4872" s="3">
        <f t="shared" si="79"/>
        <v>-2.2740658226519161E-2</v>
      </c>
    </row>
    <row r="4873" spans="2:4" x14ac:dyDescent="0.2">
      <c r="B4873" s="2">
        <v>43164</v>
      </c>
      <c r="C4873" s="61">
        <v>12090.87</v>
      </c>
      <c r="D4873" s="3">
        <f t="shared" si="79"/>
        <v>1.4870262915582355E-2</v>
      </c>
    </row>
    <row r="4874" spans="2:4" x14ac:dyDescent="0.2">
      <c r="B4874" s="2">
        <v>43165</v>
      </c>
      <c r="C4874" s="61">
        <v>12113.87</v>
      </c>
      <c r="D4874" s="3">
        <f t="shared" si="79"/>
        <v>1.9022617892674454E-3</v>
      </c>
    </row>
    <row r="4875" spans="2:4" x14ac:dyDescent="0.2">
      <c r="B4875" s="2">
        <v>43166</v>
      </c>
      <c r="C4875" s="61">
        <v>12245.36</v>
      </c>
      <c r="D4875" s="3">
        <f t="shared" si="79"/>
        <v>1.0854499841916665E-2</v>
      </c>
    </row>
    <row r="4876" spans="2:4" x14ac:dyDescent="0.2">
      <c r="B4876" s="2">
        <v>43167</v>
      </c>
      <c r="C4876" s="61">
        <v>12355.57</v>
      </c>
      <c r="D4876" s="3">
        <f t="shared" si="79"/>
        <v>9.000143727909915E-3</v>
      </c>
    </row>
    <row r="4877" spans="2:4" x14ac:dyDescent="0.2">
      <c r="B4877" s="2">
        <v>43168</v>
      </c>
      <c r="C4877" s="61">
        <v>12346.68</v>
      </c>
      <c r="D4877" s="3">
        <f t="shared" si="79"/>
        <v>-7.1951354733124084E-4</v>
      </c>
    </row>
    <row r="4878" spans="2:4" x14ac:dyDescent="0.2">
      <c r="B4878" s="2">
        <v>43171</v>
      </c>
      <c r="C4878" s="61">
        <v>12418.39</v>
      </c>
      <c r="D4878" s="3">
        <f t="shared" si="79"/>
        <v>5.8080390841910301E-3</v>
      </c>
    </row>
    <row r="4879" spans="2:4" x14ac:dyDescent="0.2">
      <c r="B4879" s="2">
        <v>43172</v>
      </c>
      <c r="C4879" s="61">
        <v>12221.03</v>
      </c>
      <c r="D4879" s="3">
        <f t="shared" si="79"/>
        <v>-1.5892559341428192E-2</v>
      </c>
    </row>
    <row r="4880" spans="2:4" x14ac:dyDescent="0.2">
      <c r="B4880" s="2">
        <v>43173</v>
      </c>
      <c r="C4880" s="61">
        <v>12237.74</v>
      </c>
      <c r="D4880" s="3">
        <f t="shared" si="79"/>
        <v>1.3673151935638117E-3</v>
      </c>
    </row>
    <row r="4881" spans="2:4" x14ac:dyDescent="0.2">
      <c r="B4881" s="2">
        <v>43174</v>
      </c>
      <c r="C4881" s="61">
        <v>12345.56</v>
      </c>
      <c r="D4881" s="3">
        <f t="shared" si="79"/>
        <v>8.8104502955610453E-3</v>
      </c>
    </row>
    <row r="4882" spans="2:4" x14ac:dyDescent="0.2">
      <c r="B4882" s="2">
        <v>43175</v>
      </c>
      <c r="C4882" s="61">
        <v>12389.58</v>
      </c>
      <c r="D4882" s="3">
        <f t="shared" si="79"/>
        <v>3.5656543729081225E-3</v>
      </c>
    </row>
    <row r="4883" spans="2:4" x14ac:dyDescent="0.2">
      <c r="B4883" s="2">
        <v>43178</v>
      </c>
      <c r="C4883" s="61">
        <v>12217.02</v>
      </c>
      <c r="D4883" s="3">
        <f t="shared" si="79"/>
        <v>-1.3927832904747306E-2</v>
      </c>
    </row>
    <row r="4884" spans="2:4" x14ac:dyDescent="0.2">
      <c r="B4884" s="2">
        <v>43179</v>
      </c>
      <c r="C4884" s="61">
        <v>12307.33</v>
      </c>
      <c r="D4884" s="3">
        <f t="shared" si="79"/>
        <v>7.3921463662987019E-3</v>
      </c>
    </row>
    <row r="4885" spans="2:4" x14ac:dyDescent="0.2">
      <c r="B4885" s="2">
        <v>43180</v>
      </c>
      <c r="C4885" s="61">
        <v>12309.15</v>
      </c>
      <c r="D4885" s="3">
        <f t="shared" si="79"/>
        <v>1.4787935319837686E-4</v>
      </c>
    </row>
    <row r="4886" spans="2:4" x14ac:dyDescent="0.2">
      <c r="B4886" s="2">
        <v>43181</v>
      </c>
      <c r="C4886" s="61">
        <v>12100.08</v>
      </c>
      <c r="D4886" s="3">
        <f t="shared" si="79"/>
        <v>-1.6984925847844834E-2</v>
      </c>
    </row>
    <row r="4887" spans="2:4" x14ac:dyDescent="0.2">
      <c r="B4887" s="2">
        <v>43182</v>
      </c>
      <c r="C4887" s="61">
        <v>11886.31</v>
      </c>
      <c r="D4887" s="3">
        <f t="shared" si="79"/>
        <v>-1.7666825343303549E-2</v>
      </c>
    </row>
    <row r="4888" spans="2:4" x14ac:dyDescent="0.2">
      <c r="B4888" s="2">
        <v>43185</v>
      </c>
      <c r="C4888" s="61">
        <v>11787.26</v>
      </c>
      <c r="D4888" s="3">
        <f t="shared" si="79"/>
        <v>-8.3331159964697976E-3</v>
      </c>
    </row>
    <row r="4889" spans="2:4" x14ac:dyDescent="0.2">
      <c r="B4889" s="2">
        <v>43186</v>
      </c>
      <c r="C4889" s="61">
        <v>11970.83</v>
      </c>
      <c r="D4889" s="3">
        <f t="shared" si="79"/>
        <v>1.5573593863204893E-2</v>
      </c>
    </row>
    <row r="4890" spans="2:4" x14ac:dyDescent="0.2">
      <c r="B4890" s="2">
        <v>43187</v>
      </c>
      <c r="C4890" s="61">
        <v>11940.71</v>
      </c>
      <c r="D4890" s="3">
        <f t="shared" si="79"/>
        <v>-2.5161162592736153E-3</v>
      </c>
    </row>
    <row r="4891" spans="2:4" x14ac:dyDescent="0.2">
      <c r="B4891" s="2">
        <v>43188</v>
      </c>
      <c r="C4891" s="61">
        <v>12096.73</v>
      </c>
      <c r="D4891" s="3">
        <f t="shared" si="79"/>
        <v>1.3066224705231111E-2</v>
      </c>
    </row>
    <row r="4892" spans="2:4" x14ac:dyDescent="0.2">
      <c r="B4892" s="2">
        <v>43193</v>
      </c>
      <c r="C4892" s="61">
        <v>12002.45</v>
      </c>
      <c r="D4892" s="3">
        <f t="shared" si="79"/>
        <v>-7.7938418068352888E-3</v>
      </c>
    </row>
    <row r="4893" spans="2:4" x14ac:dyDescent="0.2">
      <c r="B4893" s="2">
        <v>43194</v>
      </c>
      <c r="C4893" s="61">
        <v>11957.9</v>
      </c>
      <c r="D4893" s="3">
        <f t="shared" si="79"/>
        <v>-3.7117421859704791E-3</v>
      </c>
    </row>
    <row r="4894" spans="2:4" x14ac:dyDescent="0.2">
      <c r="B4894" s="2">
        <v>43195</v>
      </c>
      <c r="C4894" s="61">
        <v>12305.19</v>
      </c>
      <c r="D4894" s="3">
        <f t="shared" si="79"/>
        <v>2.9042724893166838E-2</v>
      </c>
    </row>
    <row r="4895" spans="2:4" x14ac:dyDescent="0.2">
      <c r="B4895" s="2">
        <v>43196</v>
      </c>
      <c r="C4895" s="61">
        <v>12241.27</v>
      </c>
      <c r="D4895" s="3">
        <f t="shared" si="79"/>
        <v>-5.1945561181907518E-3</v>
      </c>
    </row>
    <row r="4896" spans="2:4" x14ac:dyDescent="0.2">
      <c r="B4896" s="2">
        <v>43199</v>
      </c>
      <c r="C4896" s="61">
        <v>12261.75</v>
      </c>
      <c r="D4896" s="3">
        <f t="shared" si="79"/>
        <v>1.6730290239492795E-3</v>
      </c>
    </row>
    <row r="4897" spans="2:4" x14ac:dyDescent="0.2">
      <c r="B4897" s="2">
        <v>43200</v>
      </c>
      <c r="C4897" s="61">
        <v>12397.32</v>
      </c>
      <c r="D4897" s="3">
        <f t="shared" si="79"/>
        <v>1.1056333720716793E-2</v>
      </c>
    </row>
    <row r="4898" spans="2:4" x14ac:dyDescent="0.2">
      <c r="B4898" s="2">
        <v>43201</v>
      </c>
      <c r="C4898" s="61">
        <v>12293.97</v>
      </c>
      <c r="D4898" s="3">
        <f t="shared" si="79"/>
        <v>-8.3364791745312861E-3</v>
      </c>
    </row>
    <row r="4899" spans="2:4" x14ac:dyDescent="0.2">
      <c r="B4899" s="2">
        <v>43202</v>
      </c>
      <c r="C4899" s="61">
        <v>12415.01</v>
      </c>
      <c r="D4899" s="3">
        <f t="shared" si="79"/>
        <v>9.8454770916149847E-3</v>
      </c>
    </row>
    <row r="4900" spans="2:4" x14ac:dyDescent="0.2">
      <c r="B4900" s="2">
        <v>43203</v>
      </c>
      <c r="C4900" s="61">
        <v>12442.4</v>
      </c>
      <c r="D4900" s="3">
        <f t="shared" si="79"/>
        <v>2.206200397744329E-3</v>
      </c>
    </row>
    <row r="4901" spans="2:4" x14ac:dyDescent="0.2">
      <c r="B4901" s="2">
        <v>43206</v>
      </c>
      <c r="C4901" s="61">
        <v>12391.41</v>
      </c>
      <c r="D4901" s="3">
        <f t="shared" si="79"/>
        <v>-4.0980839709380268E-3</v>
      </c>
    </row>
    <row r="4902" spans="2:4" x14ac:dyDescent="0.2">
      <c r="B4902" s="2">
        <v>43207</v>
      </c>
      <c r="C4902" s="61">
        <v>12585.57</v>
      </c>
      <c r="D4902" s="3">
        <f t="shared" si="79"/>
        <v>1.5668919033427153E-2</v>
      </c>
    </row>
    <row r="4903" spans="2:4" x14ac:dyDescent="0.2">
      <c r="B4903" s="2">
        <v>43208</v>
      </c>
      <c r="C4903" s="61">
        <v>12590.83</v>
      </c>
      <c r="D4903" s="3">
        <f t="shared" si="79"/>
        <v>4.1793895707553652E-4</v>
      </c>
    </row>
    <row r="4904" spans="2:4" x14ac:dyDescent="0.2">
      <c r="B4904" s="2">
        <v>43209</v>
      </c>
      <c r="C4904" s="61">
        <v>12567.42</v>
      </c>
      <c r="D4904" s="3">
        <f t="shared" si="79"/>
        <v>-1.8592896576318241E-3</v>
      </c>
    </row>
    <row r="4905" spans="2:4" x14ac:dyDescent="0.2">
      <c r="B4905" s="2">
        <v>43210</v>
      </c>
      <c r="C4905" s="61">
        <v>12540.5</v>
      </c>
      <c r="D4905" s="3">
        <f t="shared" si="79"/>
        <v>-2.1420466571500096E-3</v>
      </c>
    </row>
    <row r="4906" spans="2:4" x14ac:dyDescent="0.2">
      <c r="B4906" s="2">
        <v>43213</v>
      </c>
      <c r="C4906" s="61">
        <v>12572.39</v>
      </c>
      <c r="D4906" s="3">
        <f t="shared" si="79"/>
        <v>2.5429608069853504E-3</v>
      </c>
    </row>
    <row r="4907" spans="2:4" x14ac:dyDescent="0.2">
      <c r="B4907" s="2">
        <v>43214</v>
      </c>
      <c r="C4907" s="61">
        <v>12550.82</v>
      </c>
      <c r="D4907" s="3">
        <f t="shared" si="79"/>
        <v>-1.7156642452230697E-3</v>
      </c>
    </row>
    <row r="4908" spans="2:4" x14ac:dyDescent="0.2">
      <c r="B4908" s="2">
        <v>43215</v>
      </c>
      <c r="C4908" s="61">
        <v>12422.3</v>
      </c>
      <c r="D4908" s="3">
        <f t="shared" si="79"/>
        <v>-1.0239968384535891E-2</v>
      </c>
    </row>
    <row r="4909" spans="2:4" x14ac:dyDescent="0.2">
      <c r="B4909" s="2">
        <v>43216</v>
      </c>
      <c r="C4909" s="61">
        <v>12500.47</v>
      </c>
      <c r="D4909" s="3">
        <f t="shared" si="79"/>
        <v>6.2927155196703666E-3</v>
      </c>
    </row>
    <row r="4910" spans="2:4" x14ac:dyDescent="0.2">
      <c r="B4910" s="2">
        <v>43217</v>
      </c>
      <c r="C4910" s="61">
        <v>12580.87</v>
      </c>
      <c r="D4910" s="3">
        <f t="shared" si="79"/>
        <v>6.4317581658930312E-3</v>
      </c>
    </row>
    <row r="4911" spans="2:4" x14ac:dyDescent="0.2">
      <c r="B4911" s="2">
        <v>43220</v>
      </c>
      <c r="C4911" s="61">
        <v>12612.11</v>
      </c>
      <c r="D4911" s="3">
        <f t="shared" si="79"/>
        <v>2.4831351090981446E-3</v>
      </c>
    </row>
    <row r="4912" spans="2:4" x14ac:dyDescent="0.2">
      <c r="B4912" s="2">
        <v>43222</v>
      </c>
      <c r="C4912" s="61">
        <v>12802.25</v>
      </c>
      <c r="D4912" s="3">
        <f t="shared" si="79"/>
        <v>1.5075986492347315E-2</v>
      </c>
    </row>
    <row r="4913" spans="2:4" x14ac:dyDescent="0.2">
      <c r="B4913" s="2">
        <v>43223</v>
      </c>
      <c r="C4913" s="61">
        <v>12690.15</v>
      </c>
      <c r="D4913" s="3">
        <f t="shared" si="79"/>
        <v>-8.7562733113319968E-3</v>
      </c>
    </row>
    <row r="4914" spans="2:4" x14ac:dyDescent="0.2">
      <c r="B4914" s="2">
        <v>43224</v>
      </c>
      <c r="C4914" s="61">
        <v>12819.6</v>
      </c>
      <c r="D4914" s="3">
        <f t="shared" si="79"/>
        <v>1.0200825049349271E-2</v>
      </c>
    </row>
    <row r="4915" spans="2:4" x14ac:dyDescent="0.2">
      <c r="B4915" s="2">
        <v>43227</v>
      </c>
      <c r="C4915" s="61">
        <v>12948.14</v>
      </c>
      <c r="D4915" s="3">
        <f t="shared" si="79"/>
        <v>1.0026833910574462E-2</v>
      </c>
    </row>
    <row r="4916" spans="2:4" x14ac:dyDescent="0.2">
      <c r="B4916" s="2">
        <v>43228</v>
      </c>
      <c r="C4916" s="61">
        <v>12912.21</v>
      </c>
      <c r="D4916" s="3">
        <f t="shared" si="79"/>
        <v>-2.7749159338715801E-3</v>
      </c>
    </row>
    <row r="4917" spans="2:4" x14ac:dyDescent="0.2">
      <c r="B4917" s="2">
        <v>43229</v>
      </c>
      <c r="C4917" s="61">
        <v>12943.06</v>
      </c>
      <c r="D4917" s="3">
        <f t="shared" si="79"/>
        <v>2.3892114517964913E-3</v>
      </c>
    </row>
    <row r="4918" spans="2:4" x14ac:dyDescent="0.2">
      <c r="B4918" s="2">
        <v>43230</v>
      </c>
      <c r="C4918" s="61">
        <v>13022.87</v>
      </c>
      <c r="D4918" s="3">
        <f t="shared" si="79"/>
        <v>6.1662388955936454E-3</v>
      </c>
    </row>
    <row r="4919" spans="2:4" x14ac:dyDescent="0.2">
      <c r="B4919" s="2">
        <v>43231</v>
      </c>
      <c r="C4919" s="61">
        <v>13001.24</v>
      </c>
      <c r="D4919" s="3">
        <f t="shared" si="79"/>
        <v>-1.6609242048796213E-3</v>
      </c>
    </row>
    <row r="4920" spans="2:4" x14ac:dyDescent="0.2">
      <c r="B4920" s="2">
        <v>43234</v>
      </c>
      <c r="C4920" s="61">
        <v>12977.71</v>
      </c>
      <c r="D4920" s="3">
        <f t="shared" si="79"/>
        <v>-1.8098273703124335E-3</v>
      </c>
    </row>
    <row r="4921" spans="2:4" x14ac:dyDescent="0.2">
      <c r="B4921" s="2">
        <v>43235</v>
      </c>
      <c r="C4921" s="61">
        <v>12970.04</v>
      </c>
      <c r="D4921" s="3">
        <f t="shared" si="79"/>
        <v>-5.9101336060041199E-4</v>
      </c>
    </row>
    <row r="4922" spans="2:4" x14ac:dyDescent="0.2">
      <c r="B4922" s="2">
        <v>43236</v>
      </c>
      <c r="C4922" s="61">
        <v>12996.33</v>
      </c>
      <c r="D4922" s="3">
        <f t="shared" si="79"/>
        <v>2.0269790995246506E-3</v>
      </c>
    </row>
    <row r="4923" spans="2:4" x14ac:dyDescent="0.2">
      <c r="B4923" s="2">
        <v>43237</v>
      </c>
      <c r="C4923" s="61">
        <v>13114.61</v>
      </c>
      <c r="D4923" s="3">
        <f t="shared" si="79"/>
        <v>9.1010308294727782E-3</v>
      </c>
    </row>
    <row r="4924" spans="2:4" x14ac:dyDescent="0.2">
      <c r="B4924" s="2">
        <v>43238</v>
      </c>
      <c r="C4924" s="61">
        <v>13077.72</v>
      </c>
      <c r="D4924" s="3">
        <f t="shared" si="79"/>
        <v>-2.8128934066663502E-3</v>
      </c>
    </row>
    <row r="4925" spans="2:4" x14ac:dyDescent="0.2">
      <c r="B4925" s="2">
        <v>43242</v>
      </c>
      <c r="C4925" s="61">
        <v>13169.92</v>
      </c>
      <c r="D4925" s="3">
        <f t="shared" si="79"/>
        <v>7.0501585903353092E-3</v>
      </c>
    </row>
    <row r="4926" spans="2:4" x14ac:dyDescent="0.2">
      <c r="B4926" s="2">
        <v>43243</v>
      </c>
      <c r="C4926" s="61">
        <v>12976.84</v>
      </c>
      <c r="D4926" s="3">
        <f t="shared" si="79"/>
        <v>-1.466068131013698E-2</v>
      </c>
    </row>
    <row r="4927" spans="2:4" x14ac:dyDescent="0.2">
      <c r="B4927" s="2">
        <v>43244</v>
      </c>
      <c r="C4927" s="61">
        <v>12855.09</v>
      </c>
      <c r="D4927" s="3">
        <f t="shared" si="79"/>
        <v>-9.3820991859343561E-3</v>
      </c>
    </row>
    <row r="4928" spans="2:4" x14ac:dyDescent="0.2">
      <c r="B4928" s="2">
        <v>43245</v>
      </c>
      <c r="C4928" s="61">
        <v>12938.01</v>
      </c>
      <c r="D4928" s="3">
        <f t="shared" si="79"/>
        <v>6.4503632413308587E-3</v>
      </c>
    </row>
    <row r="4929" spans="2:4" x14ac:dyDescent="0.2">
      <c r="B4929" s="2">
        <v>43248</v>
      </c>
      <c r="C4929" s="61">
        <v>12863.46</v>
      </c>
      <c r="D4929" s="3">
        <f t="shared" si="79"/>
        <v>-5.7620916972549452E-3</v>
      </c>
    </row>
    <row r="4930" spans="2:4" x14ac:dyDescent="0.2">
      <c r="B4930" s="2">
        <v>43249</v>
      </c>
      <c r="C4930" s="61">
        <v>12666.51</v>
      </c>
      <c r="D4930" s="3">
        <f t="shared" si="79"/>
        <v>-1.5310810621714466E-2</v>
      </c>
    </row>
    <row r="4931" spans="2:4" x14ac:dyDescent="0.2">
      <c r="B4931" s="2">
        <v>43250</v>
      </c>
      <c r="C4931" s="61">
        <v>12783.76</v>
      </c>
      <c r="D4931" s="3">
        <f t="shared" si="79"/>
        <v>9.2566934380504673E-3</v>
      </c>
    </row>
    <row r="4932" spans="2:4" x14ac:dyDescent="0.2">
      <c r="B4932" s="2">
        <v>43251</v>
      </c>
      <c r="C4932" s="61">
        <v>12604.89</v>
      </c>
      <c r="D4932" s="3">
        <f t="shared" si="79"/>
        <v>-1.3991971063286646E-2</v>
      </c>
    </row>
    <row r="4933" spans="2:4" x14ac:dyDescent="0.2">
      <c r="B4933" s="2">
        <v>43252</v>
      </c>
      <c r="C4933" s="61">
        <v>12724.27</v>
      </c>
      <c r="D4933" s="3">
        <f t="shared" ref="D4933:D4996" si="80">C4933/C4932-1</f>
        <v>9.4709275527196102E-3</v>
      </c>
    </row>
    <row r="4934" spans="2:4" x14ac:dyDescent="0.2">
      <c r="B4934" s="2">
        <v>43255</v>
      </c>
      <c r="C4934" s="61">
        <v>12770.75</v>
      </c>
      <c r="D4934" s="3">
        <f t="shared" si="80"/>
        <v>3.6528618144695546E-3</v>
      </c>
    </row>
    <row r="4935" spans="2:4" x14ac:dyDescent="0.2">
      <c r="B4935" s="2">
        <v>43256</v>
      </c>
      <c r="C4935" s="61">
        <v>12787.13</v>
      </c>
      <c r="D4935" s="3">
        <f t="shared" si="80"/>
        <v>1.2826184836443044E-3</v>
      </c>
    </row>
    <row r="4936" spans="2:4" x14ac:dyDescent="0.2">
      <c r="B4936" s="2">
        <v>43257</v>
      </c>
      <c r="C4936" s="61">
        <v>12830.07</v>
      </c>
      <c r="D4936" s="3">
        <f t="shared" si="80"/>
        <v>3.3580639283405933E-3</v>
      </c>
    </row>
    <row r="4937" spans="2:4" x14ac:dyDescent="0.2">
      <c r="B4937" s="2">
        <v>43258</v>
      </c>
      <c r="C4937" s="61">
        <v>12811.05</v>
      </c>
      <c r="D4937" s="3">
        <f t="shared" si="80"/>
        <v>-1.4824548891783085E-3</v>
      </c>
    </row>
    <row r="4938" spans="2:4" x14ac:dyDescent="0.2">
      <c r="B4938" s="2">
        <v>43259</v>
      </c>
      <c r="C4938" s="61">
        <v>12766.55</v>
      </c>
      <c r="D4938" s="3">
        <f t="shared" si="80"/>
        <v>-3.4735638374684408E-3</v>
      </c>
    </row>
    <row r="4939" spans="2:4" x14ac:dyDescent="0.2">
      <c r="B4939" s="2">
        <v>43262</v>
      </c>
      <c r="C4939" s="61">
        <v>12842.91</v>
      </c>
      <c r="D4939" s="3">
        <f t="shared" si="80"/>
        <v>5.9812557033811498E-3</v>
      </c>
    </row>
    <row r="4940" spans="2:4" x14ac:dyDescent="0.2">
      <c r="B4940" s="2">
        <v>43263</v>
      </c>
      <c r="C4940" s="61">
        <v>12842.3</v>
      </c>
      <c r="D4940" s="3">
        <f t="shared" si="80"/>
        <v>-4.7497023649700765E-5</v>
      </c>
    </row>
    <row r="4941" spans="2:4" x14ac:dyDescent="0.2">
      <c r="B4941" s="2">
        <v>43264</v>
      </c>
      <c r="C4941" s="61">
        <v>12890.58</v>
      </c>
      <c r="D4941" s="3">
        <f t="shared" si="80"/>
        <v>3.7594511886500648E-3</v>
      </c>
    </row>
    <row r="4942" spans="2:4" x14ac:dyDescent="0.2">
      <c r="B4942" s="2">
        <v>43265</v>
      </c>
      <c r="C4942" s="61">
        <v>13107.1</v>
      </c>
      <c r="D4942" s="3">
        <f t="shared" si="80"/>
        <v>1.6796761666270976E-2</v>
      </c>
    </row>
    <row r="4943" spans="2:4" x14ac:dyDescent="0.2">
      <c r="B4943" s="2">
        <v>43266</v>
      </c>
      <c r="C4943" s="61">
        <v>13010.55</v>
      </c>
      <c r="D4943" s="3">
        <f t="shared" si="80"/>
        <v>-7.3662366198473661E-3</v>
      </c>
    </row>
    <row r="4944" spans="2:4" x14ac:dyDescent="0.2">
      <c r="B4944" s="2">
        <v>43269</v>
      </c>
      <c r="C4944" s="61">
        <v>12834.11</v>
      </c>
      <c r="D4944" s="3">
        <f t="shared" si="80"/>
        <v>-1.3561302174004863E-2</v>
      </c>
    </row>
    <row r="4945" spans="2:4" x14ac:dyDescent="0.2">
      <c r="B4945" s="2">
        <v>43270</v>
      </c>
      <c r="C4945" s="61">
        <v>12677.97</v>
      </c>
      <c r="D4945" s="3">
        <f t="shared" si="80"/>
        <v>-1.2166016965726612E-2</v>
      </c>
    </row>
    <row r="4946" spans="2:4" x14ac:dyDescent="0.2">
      <c r="B4946" s="2">
        <v>43271</v>
      </c>
      <c r="C4946" s="61">
        <v>12695.16</v>
      </c>
      <c r="D4946" s="3">
        <f t="shared" si="80"/>
        <v>1.3558953050054612E-3</v>
      </c>
    </row>
    <row r="4947" spans="2:4" x14ac:dyDescent="0.2">
      <c r="B4947" s="2">
        <v>43272</v>
      </c>
      <c r="C4947" s="61">
        <v>12511.91</v>
      </c>
      <c r="D4947" s="3">
        <f t="shared" si="80"/>
        <v>-1.44346349317378E-2</v>
      </c>
    </row>
    <row r="4948" spans="2:4" x14ac:dyDescent="0.2">
      <c r="B4948" s="2">
        <v>43273</v>
      </c>
      <c r="C4948" s="61">
        <v>12579.72</v>
      </c>
      <c r="D4948" s="3">
        <f t="shared" si="80"/>
        <v>5.4196361706566609E-3</v>
      </c>
    </row>
    <row r="4949" spans="2:4" x14ac:dyDescent="0.2">
      <c r="B4949" s="2">
        <v>43276</v>
      </c>
      <c r="C4949" s="61">
        <v>12270.33</v>
      </c>
      <c r="D4949" s="3">
        <f t="shared" si="80"/>
        <v>-2.4594347091986157E-2</v>
      </c>
    </row>
    <row r="4950" spans="2:4" x14ac:dyDescent="0.2">
      <c r="B4950" s="2">
        <v>43277</v>
      </c>
      <c r="C4950" s="61">
        <v>12234.34</v>
      </c>
      <c r="D4950" s="3">
        <f t="shared" si="80"/>
        <v>-2.9330914490481863E-3</v>
      </c>
    </row>
    <row r="4951" spans="2:4" x14ac:dyDescent="0.2">
      <c r="B4951" s="2">
        <v>43278</v>
      </c>
      <c r="C4951" s="61">
        <v>12348.61</v>
      </c>
      <c r="D4951" s="3">
        <f t="shared" si="80"/>
        <v>9.3401033484439289E-3</v>
      </c>
    </row>
    <row r="4952" spans="2:4" x14ac:dyDescent="0.2">
      <c r="B4952" s="2">
        <v>43279</v>
      </c>
      <c r="C4952" s="61">
        <v>12177.23</v>
      </c>
      <c r="D4952" s="3">
        <f t="shared" si="80"/>
        <v>-1.3878485108850369E-2</v>
      </c>
    </row>
    <row r="4953" spans="2:4" x14ac:dyDescent="0.2">
      <c r="B4953" s="2">
        <v>43280</v>
      </c>
      <c r="C4953" s="61">
        <v>12306</v>
      </c>
      <c r="D4953" s="3">
        <f t="shared" si="80"/>
        <v>1.0574654498601177E-2</v>
      </c>
    </row>
    <row r="4954" spans="2:4" x14ac:dyDescent="0.2">
      <c r="B4954" s="2">
        <v>43283</v>
      </c>
      <c r="C4954" s="61">
        <v>12238.17</v>
      </c>
      <c r="D4954" s="3">
        <f t="shared" si="80"/>
        <v>-5.5119453924914463E-3</v>
      </c>
    </row>
    <row r="4955" spans="2:4" x14ac:dyDescent="0.2">
      <c r="B4955" s="2">
        <v>43284</v>
      </c>
      <c r="C4955" s="61">
        <v>12349.14</v>
      </c>
      <c r="D4955" s="3">
        <f t="shared" si="80"/>
        <v>9.0675321555429012E-3</v>
      </c>
    </row>
    <row r="4956" spans="2:4" x14ac:dyDescent="0.2">
      <c r="B4956" s="2">
        <v>43285</v>
      </c>
      <c r="C4956" s="61">
        <v>12317.61</v>
      </c>
      <c r="D4956" s="3">
        <f t="shared" si="80"/>
        <v>-2.5532142319221185E-3</v>
      </c>
    </row>
    <row r="4957" spans="2:4" x14ac:dyDescent="0.2">
      <c r="B4957" s="2">
        <v>43286</v>
      </c>
      <c r="C4957" s="61">
        <v>12464.29</v>
      </c>
      <c r="D4957" s="3">
        <f t="shared" si="80"/>
        <v>1.1908154260445114E-2</v>
      </c>
    </row>
    <row r="4958" spans="2:4" x14ac:dyDescent="0.2">
      <c r="B4958" s="2">
        <v>43287</v>
      </c>
      <c r="C4958" s="61">
        <v>12496.17</v>
      </c>
      <c r="D4958" s="3">
        <f t="shared" si="80"/>
        <v>2.5577068569488937E-3</v>
      </c>
    </row>
    <row r="4959" spans="2:4" x14ac:dyDescent="0.2">
      <c r="B4959" s="2">
        <v>43290</v>
      </c>
      <c r="C4959" s="61">
        <v>12543.89</v>
      </c>
      <c r="D4959" s="3">
        <f t="shared" si="80"/>
        <v>3.8187700711498351E-3</v>
      </c>
    </row>
    <row r="4960" spans="2:4" x14ac:dyDescent="0.2">
      <c r="B4960" s="2">
        <v>43291</v>
      </c>
      <c r="C4960" s="61">
        <v>12609.85</v>
      </c>
      <c r="D4960" s="3">
        <f t="shared" si="80"/>
        <v>5.2583369273806468E-3</v>
      </c>
    </row>
    <row r="4961" spans="2:4" x14ac:dyDescent="0.2">
      <c r="B4961" s="2">
        <v>43292</v>
      </c>
      <c r="C4961" s="61">
        <v>12417.13</v>
      </c>
      <c r="D4961" s="3">
        <f t="shared" si="80"/>
        <v>-1.5283290443581898E-2</v>
      </c>
    </row>
    <row r="4962" spans="2:4" x14ac:dyDescent="0.2">
      <c r="B4962" s="2">
        <v>43293</v>
      </c>
      <c r="C4962" s="61">
        <v>12492.97</v>
      </c>
      <c r="D4962" s="3">
        <f t="shared" si="80"/>
        <v>6.1076915519124864E-3</v>
      </c>
    </row>
    <row r="4963" spans="2:4" x14ac:dyDescent="0.2">
      <c r="B4963" s="2">
        <v>43294</v>
      </c>
      <c r="C4963" s="61">
        <v>12540.73</v>
      </c>
      <c r="D4963" s="3">
        <f t="shared" si="80"/>
        <v>3.8229500270952066E-3</v>
      </c>
    </row>
    <row r="4964" spans="2:4" x14ac:dyDescent="0.2">
      <c r="B4964" s="2">
        <v>43297</v>
      </c>
      <c r="C4964" s="61">
        <v>12561.02</v>
      </c>
      <c r="D4964" s="3">
        <f t="shared" si="80"/>
        <v>1.6179281429391512E-3</v>
      </c>
    </row>
    <row r="4965" spans="2:4" x14ac:dyDescent="0.2">
      <c r="B4965" s="2">
        <v>43298</v>
      </c>
      <c r="C4965" s="61">
        <v>12661.54</v>
      </c>
      <c r="D4965" s="3">
        <f t="shared" si="80"/>
        <v>8.0025348259935569E-3</v>
      </c>
    </row>
    <row r="4966" spans="2:4" x14ac:dyDescent="0.2">
      <c r="B4966" s="2">
        <v>43299</v>
      </c>
      <c r="C4966" s="61">
        <v>12765.94</v>
      </c>
      <c r="D4966" s="3">
        <f t="shared" si="80"/>
        <v>8.2454424975160201E-3</v>
      </c>
    </row>
    <row r="4967" spans="2:4" x14ac:dyDescent="0.2">
      <c r="B4967" s="2">
        <v>43300</v>
      </c>
      <c r="C4967" s="61">
        <v>12686.29</v>
      </c>
      <c r="D4967" s="3">
        <f t="shared" si="80"/>
        <v>-6.2392585269865908E-3</v>
      </c>
    </row>
    <row r="4968" spans="2:4" x14ac:dyDescent="0.2">
      <c r="B4968" s="2">
        <v>43301</v>
      </c>
      <c r="C4968" s="61">
        <v>12561.42</v>
      </c>
      <c r="D4968" s="3">
        <f t="shared" si="80"/>
        <v>-9.8429091562624027E-3</v>
      </c>
    </row>
    <row r="4969" spans="2:4" x14ac:dyDescent="0.2">
      <c r="B4969" s="2">
        <v>43304</v>
      </c>
      <c r="C4969" s="61">
        <v>12548.57</v>
      </c>
      <c r="D4969" s="3">
        <f t="shared" si="80"/>
        <v>-1.0229735173252763E-3</v>
      </c>
    </row>
    <row r="4970" spans="2:4" x14ac:dyDescent="0.2">
      <c r="B4970" s="2">
        <v>43305</v>
      </c>
      <c r="C4970" s="61">
        <v>12689.39</v>
      </c>
      <c r="D4970" s="3">
        <f t="shared" si="80"/>
        <v>1.1221995813068819E-2</v>
      </c>
    </row>
    <row r="4971" spans="2:4" x14ac:dyDescent="0.2">
      <c r="B4971" s="2">
        <v>43306</v>
      </c>
      <c r="C4971" s="61">
        <v>12579.33</v>
      </c>
      <c r="D4971" s="3">
        <f t="shared" si="80"/>
        <v>-8.6733877672606763E-3</v>
      </c>
    </row>
    <row r="4972" spans="2:4" x14ac:dyDescent="0.2">
      <c r="B4972" s="2">
        <v>43307</v>
      </c>
      <c r="C4972" s="61">
        <v>12809.23</v>
      </c>
      <c r="D4972" s="3">
        <f t="shared" si="80"/>
        <v>1.8276013110396061E-2</v>
      </c>
    </row>
    <row r="4973" spans="2:4" x14ac:dyDescent="0.2">
      <c r="B4973" s="2">
        <v>43308</v>
      </c>
      <c r="C4973" s="61">
        <v>12860.4</v>
      </c>
      <c r="D4973" s="3">
        <f t="shared" si="80"/>
        <v>3.9947756422518133E-3</v>
      </c>
    </row>
    <row r="4974" spans="2:4" x14ac:dyDescent="0.2">
      <c r="B4974" s="2">
        <v>43311</v>
      </c>
      <c r="C4974" s="61">
        <v>12798.2</v>
      </c>
      <c r="D4974" s="3">
        <f t="shared" si="80"/>
        <v>-4.8365525178065694E-3</v>
      </c>
    </row>
    <row r="4975" spans="2:4" x14ac:dyDescent="0.2">
      <c r="B4975" s="2">
        <v>43312</v>
      </c>
      <c r="C4975" s="61">
        <v>12805.5</v>
      </c>
      <c r="D4975" s="3">
        <f t="shared" si="80"/>
        <v>5.703927114750762E-4</v>
      </c>
    </row>
    <row r="4976" spans="2:4" x14ac:dyDescent="0.2">
      <c r="B4976" s="2">
        <v>43313</v>
      </c>
      <c r="C4976" s="61">
        <v>12737.05</v>
      </c>
      <c r="D4976" s="3">
        <f t="shared" si="80"/>
        <v>-5.3453594158759943E-3</v>
      </c>
    </row>
    <row r="4977" spans="2:4" x14ac:dyDescent="0.2">
      <c r="B4977" s="2">
        <v>43314</v>
      </c>
      <c r="C4977" s="61">
        <v>12546.33</v>
      </c>
      <c r="D4977" s="3">
        <f t="shared" si="80"/>
        <v>-1.4973639893067769E-2</v>
      </c>
    </row>
    <row r="4978" spans="2:4" x14ac:dyDescent="0.2">
      <c r="B4978" s="2">
        <v>43315</v>
      </c>
      <c r="C4978" s="61">
        <v>12615.76</v>
      </c>
      <c r="D4978" s="3">
        <f t="shared" si="80"/>
        <v>5.5338891930947209E-3</v>
      </c>
    </row>
    <row r="4979" spans="2:4" x14ac:dyDescent="0.2">
      <c r="B4979" s="2">
        <v>43318</v>
      </c>
      <c r="C4979" s="61">
        <v>12598.21</v>
      </c>
      <c r="D4979" s="3">
        <f t="shared" si="80"/>
        <v>-1.3911171423680591E-3</v>
      </c>
    </row>
    <row r="4980" spans="2:4" x14ac:dyDescent="0.2">
      <c r="B4980" s="2">
        <v>43319</v>
      </c>
      <c r="C4980" s="61">
        <v>12648.19</v>
      </c>
      <c r="D4980" s="3">
        <f t="shared" si="80"/>
        <v>3.9672302652520308E-3</v>
      </c>
    </row>
    <row r="4981" spans="2:4" x14ac:dyDescent="0.2">
      <c r="B4981" s="2">
        <v>43320</v>
      </c>
      <c r="C4981" s="61">
        <v>12633.54</v>
      </c>
      <c r="D4981" s="3">
        <f t="shared" si="80"/>
        <v>-1.1582684953340694E-3</v>
      </c>
    </row>
    <row r="4982" spans="2:4" x14ac:dyDescent="0.2">
      <c r="B4982" s="2">
        <v>43321</v>
      </c>
      <c r="C4982" s="61">
        <v>12676.11</v>
      </c>
      <c r="D4982" s="3">
        <f t="shared" si="80"/>
        <v>3.3696018693096796E-3</v>
      </c>
    </row>
    <row r="4983" spans="2:4" x14ac:dyDescent="0.2">
      <c r="B4983" s="2">
        <v>43322</v>
      </c>
      <c r="C4983" s="61">
        <v>12424.35</v>
      </c>
      <c r="D4983" s="3">
        <f t="shared" si="80"/>
        <v>-1.9860982588507103E-2</v>
      </c>
    </row>
    <row r="4984" spans="2:4" x14ac:dyDescent="0.2">
      <c r="B4984" s="2">
        <v>43325</v>
      </c>
      <c r="C4984" s="61">
        <v>12358.74</v>
      </c>
      <c r="D4984" s="3">
        <f t="shared" si="80"/>
        <v>-5.2807591544025145E-3</v>
      </c>
    </row>
    <row r="4985" spans="2:4" x14ac:dyDescent="0.2">
      <c r="B4985" s="2">
        <v>43326</v>
      </c>
      <c r="C4985" s="61">
        <v>12358.87</v>
      </c>
      <c r="D4985" s="3">
        <f t="shared" si="80"/>
        <v>1.0518871665032847E-5</v>
      </c>
    </row>
    <row r="4986" spans="2:4" x14ac:dyDescent="0.2">
      <c r="B4986" s="2">
        <v>43327</v>
      </c>
      <c r="C4986" s="61">
        <v>12163.01</v>
      </c>
      <c r="D4986" s="3">
        <f t="shared" si="80"/>
        <v>-1.5847727178941118E-2</v>
      </c>
    </row>
    <row r="4987" spans="2:4" x14ac:dyDescent="0.2">
      <c r="B4987" s="2">
        <v>43328</v>
      </c>
      <c r="C4987" s="61">
        <v>12237.17</v>
      </c>
      <c r="D4987" s="3">
        <f t="shared" si="80"/>
        <v>6.0971749591589575E-3</v>
      </c>
    </row>
    <row r="4988" spans="2:4" x14ac:dyDescent="0.2">
      <c r="B4988" s="2">
        <v>43329</v>
      </c>
      <c r="C4988" s="61">
        <v>12210.55</v>
      </c>
      <c r="D4988" s="3">
        <f t="shared" si="80"/>
        <v>-2.1753395597184921E-3</v>
      </c>
    </row>
    <row r="4989" spans="2:4" x14ac:dyDescent="0.2">
      <c r="B4989" s="2">
        <v>43332</v>
      </c>
      <c r="C4989" s="61">
        <v>12331.3</v>
      </c>
      <c r="D4989" s="3">
        <f t="shared" si="80"/>
        <v>9.8889894394600386E-3</v>
      </c>
    </row>
    <row r="4990" spans="2:4" x14ac:dyDescent="0.2">
      <c r="B4990" s="2">
        <v>43333</v>
      </c>
      <c r="C4990" s="61">
        <v>12384.49</v>
      </c>
      <c r="D4990" s="3">
        <f t="shared" si="80"/>
        <v>4.3134138330913618E-3</v>
      </c>
    </row>
    <row r="4991" spans="2:4" x14ac:dyDescent="0.2">
      <c r="B4991" s="2">
        <v>43334</v>
      </c>
      <c r="C4991" s="61">
        <v>12385.7</v>
      </c>
      <c r="D4991" s="3">
        <f t="shared" si="80"/>
        <v>9.7702852519532257E-5</v>
      </c>
    </row>
    <row r="4992" spans="2:4" x14ac:dyDescent="0.2">
      <c r="B4992" s="2">
        <v>43335</v>
      </c>
      <c r="C4992" s="61">
        <v>12365.58</v>
      </c>
      <c r="D4992" s="3">
        <f t="shared" si="80"/>
        <v>-1.6244540074441538E-3</v>
      </c>
    </row>
    <row r="4993" spans="2:4" x14ac:dyDescent="0.2">
      <c r="B4993" s="2">
        <v>43336</v>
      </c>
      <c r="C4993" s="61">
        <v>12394.52</v>
      </c>
      <c r="D4993" s="3">
        <f t="shared" si="80"/>
        <v>2.3403673745996389E-3</v>
      </c>
    </row>
    <row r="4994" spans="2:4" x14ac:dyDescent="0.2">
      <c r="B4994" s="2">
        <v>43339</v>
      </c>
      <c r="C4994" s="61">
        <v>12538.31</v>
      </c>
      <c r="D4994" s="3">
        <f t="shared" si="80"/>
        <v>1.1601094677325063E-2</v>
      </c>
    </row>
    <row r="4995" spans="2:4" x14ac:dyDescent="0.2">
      <c r="B4995" s="2">
        <v>43340</v>
      </c>
      <c r="C4995" s="61">
        <v>12527.42</v>
      </c>
      <c r="D4995" s="3">
        <f t="shared" si="80"/>
        <v>-8.6853810441755996E-4</v>
      </c>
    </row>
    <row r="4996" spans="2:4" x14ac:dyDescent="0.2">
      <c r="B4996" s="2">
        <v>43341</v>
      </c>
      <c r="C4996" s="61">
        <v>12561.68</v>
      </c>
      <c r="D4996" s="3">
        <f t="shared" si="80"/>
        <v>2.7348009406567009E-3</v>
      </c>
    </row>
    <row r="4997" spans="2:4" x14ac:dyDescent="0.2">
      <c r="B4997" s="2">
        <v>43342</v>
      </c>
      <c r="C4997" s="61">
        <v>12494.24</v>
      </c>
      <c r="D4997" s="3">
        <f t="shared" ref="D4997:D5060" si="81">C4997/C4996-1</f>
        <v>-5.3687086440667997E-3</v>
      </c>
    </row>
    <row r="4998" spans="2:4" x14ac:dyDescent="0.2">
      <c r="B4998" s="2">
        <v>43343</v>
      </c>
      <c r="C4998" s="61">
        <v>12364.06</v>
      </c>
      <c r="D4998" s="3">
        <f t="shared" si="81"/>
        <v>-1.0419201167898184E-2</v>
      </c>
    </row>
    <row r="4999" spans="2:4" x14ac:dyDescent="0.2">
      <c r="B4999" s="2">
        <v>43346</v>
      </c>
      <c r="C4999" s="61">
        <v>12346.41</v>
      </c>
      <c r="D4999" s="3">
        <f t="shared" si="81"/>
        <v>-1.427524615700615E-3</v>
      </c>
    </row>
    <row r="5000" spans="2:4" x14ac:dyDescent="0.2">
      <c r="B5000" s="2">
        <v>43347</v>
      </c>
      <c r="C5000" s="61">
        <v>12210.21</v>
      </c>
      <c r="D5000" s="3">
        <f t="shared" si="81"/>
        <v>-1.1031546822112714E-2</v>
      </c>
    </row>
    <row r="5001" spans="2:4" x14ac:dyDescent="0.2">
      <c r="B5001" s="2">
        <v>43348</v>
      </c>
      <c r="C5001" s="61">
        <v>12040.46</v>
      </c>
      <c r="D5001" s="3">
        <f t="shared" si="81"/>
        <v>-1.390229979664559E-2</v>
      </c>
    </row>
    <row r="5002" spans="2:4" x14ac:dyDescent="0.2">
      <c r="B5002" s="2">
        <v>43349</v>
      </c>
      <c r="C5002" s="61">
        <v>11955.25</v>
      </c>
      <c r="D5002" s="3">
        <f t="shared" si="81"/>
        <v>-7.0769721422602183E-3</v>
      </c>
    </row>
    <row r="5003" spans="2:4" x14ac:dyDescent="0.2">
      <c r="B5003" s="20">
        <v>43350</v>
      </c>
      <c r="C5003" s="58">
        <v>11959.63</v>
      </c>
      <c r="D5003" s="3">
        <f t="shared" si="81"/>
        <v>3.6636624077290847E-4</v>
      </c>
    </row>
    <row r="5004" spans="2:4" x14ac:dyDescent="0.2">
      <c r="B5004" s="20">
        <v>43353</v>
      </c>
      <c r="C5004" s="58">
        <v>11986.34</v>
      </c>
      <c r="D5004" s="3">
        <f t="shared" si="81"/>
        <v>2.233346683802262E-3</v>
      </c>
    </row>
    <row r="5005" spans="2:4" x14ac:dyDescent="0.2">
      <c r="B5005" s="20">
        <v>43354</v>
      </c>
      <c r="C5005" s="58">
        <v>11970.27</v>
      </c>
      <c r="D5005" s="3">
        <f t="shared" si="81"/>
        <v>-1.3406928219956704E-3</v>
      </c>
    </row>
    <row r="5006" spans="2:4" x14ac:dyDescent="0.2">
      <c r="B5006" s="20">
        <v>43355</v>
      </c>
      <c r="C5006" s="58">
        <v>12032.3</v>
      </c>
      <c r="D5006" s="3">
        <f t="shared" si="81"/>
        <v>5.1820050842628085E-3</v>
      </c>
    </row>
    <row r="5007" spans="2:4" x14ac:dyDescent="0.2">
      <c r="B5007" s="20">
        <v>43356</v>
      </c>
      <c r="C5007" s="58">
        <v>12055.55</v>
      </c>
      <c r="D5007" s="3">
        <f t="shared" si="81"/>
        <v>1.9322988954730835E-3</v>
      </c>
    </row>
    <row r="5008" spans="2:4" x14ac:dyDescent="0.2">
      <c r="B5008" s="20">
        <v>43357</v>
      </c>
      <c r="C5008" s="58">
        <v>12124.33</v>
      </c>
      <c r="D5008" s="3">
        <f t="shared" si="81"/>
        <v>5.705256085371424E-3</v>
      </c>
    </row>
    <row r="5009" spans="2:4" x14ac:dyDescent="0.2">
      <c r="B5009" s="20">
        <v>43360</v>
      </c>
      <c r="C5009" s="58">
        <v>12096.41</v>
      </c>
      <c r="D5009" s="3">
        <f t="shared" si="81"/>
        <v>-2.3028076602995551E-3</v>
      </c>
    </row>
    <row r="5010" spans="2:4" x14ac:dyDescent="0.2">
      <c r="B5010" s="20">
        <v>43361</v>
      </c>
      <c r="C5010" s="58">
        <v>12157.67</v>
      </c>
      <c r="D5010" s="3">
        <f t="shared" si="81"/>
        <v>5.0643124695675112E-3</v>
      </c>
    </row>
    <row r="5011" spans="2:4" x14ac:dyDescent="0.2">
      <c r="B5011" s="20">
        <v>43362</v>
      </c>
      <c r="C5011" s="58">
        <v>12219.02</v>
      </c>
      <c r="D5011" s="3">
        <f t="shared" si="81"/>
        <v>5.0461971742941092E-3</v>
      </c>
    </row>
    <row r="5012" spans="2:4" x14ac:dyDescent="0.2">
      <c r="B5012" s="20">
        <v>43363</v>
      </c>
      <c r="C5012" s="58">
        <v>12326.48</v>
      </c>
      <c r="D5012" s="3">
        <f t="shared" si="81"/>
        <v>8.7944859735067382E-3</v>
      </c>
    </row>
    <row r="5013" spans="2:4" x14ac:dyDescent="0.2">
      <c r="B5013" s="20">
        <v>43364</v>
      </c>
      <c r="C5013" s="58">
        <v>12430.88</v>
      </c>
      <c r="D5013" s="3">
        <f t="shared" si="81"/>
        <v>8.46957119956393E-3</v>
      </c>
    </row>
    <row r="5014" spans="2:4" x14ac:dyDescent="0.2">
      <c r="B5014" s="20">
        <v>43367</v>
      </c>
      <c r="C5014" s="58">
        <v>12350.82</v>
      </c>
      <c r="D5014" s="3">
        <f t="shared" si="81"/>
        <v>-6.4404129072116456E-3</v>
      </c>
    </row>
    <row r="5015" spans="2:4" x14ac:dyDescent="0.2">
      <c r="B5015" s="20">
        <v>43368</v>
      </c>
      <c r="C5015" s="58">
        <v>12374.66</v>
      </c>
      <c r="D5015" s="3">
        <f t="shared" si="81"/>
        <v>1.9302362110369398E-3</v>
      </c>
    </row>
    <row r="5016" spans="2:4" x14ac:dyDescent="0.2">
      <c r="B5016" s="20">
        <v>43369</v>
      </c>
      <c r="C5016" s="58">
        <v>12385.89</v>
      </c>
      <c r="D5016" s="3">
        <f t="shared" si="81"/>
        <v>9.0749968079917309E-4</v>
      </c>
    </row>
    <row r="5017" spans="2:4" x14ac:dyDescent="0.2">
      <c r="B5017" s="20">
        <v>43370</v>
      </c>
      <c r="C5017" s="58">
        <v>12435.59</v>
      </c>
      <c r="D5017" s="3">
        <f t="shared" si="81"/>
        <v>4.0126305013206132E-3</v>
      </c>
    </row>
    <row r="5018" spans="2:4" x14ac:dyDescent="0.2">
      <c r="B5018" s="20">
        <v>43371</v>
      </c>
      <c r="C5018" s="58">
        <v>12246.73</v>
      </c>
      <c r="D5018" s="3">
        <f t="shared" si="81"/>
        <v>-1.5187055861442866E-2</v>
      </c>
    </row>
    <row r="5019" spans="2:4" x14ac:dyDescent="0.2">
      <c r="B5019" s="20">
        <v>43374</v>
      </c>
      <c r="C5019" s="58">
        <v>12339.03</v>
      </c>
      <c r="D5019" s="3">
        <f t="shared" si="81"/>
        <v>7.5367057165465212E-3</v>
      </c>
    </row>
    <row r="5020" spans="2:4" x14ac:dyDescent="0.2">
      <c r="B5020" s="20">
        <v>43375</v>
      </c>
      <c r="C5020" s="58">
        <v>12287.58</v>
      </c>
      <c r="D5020" s="3">
        <f t="shared" si="81"/>
        <v>-4.1696956729986301E-3</v>
      </c>
    </row>
    <row r="5021" spans="2:4" x14ac:dyDescent="0.2">
      <c r="B5021" s="20">
        <v>43377</v>
      </c>
      <c r="C5021" s="58">
        <v>12244.14</v>
      </c>
      <c r="D5021" s="3">
        <f t="shared" si="81"/>
        <v>-3.5352770846660553E-3</v>
      </c>
    </row>
    <row r="5022" spans="2:4" x14ac:dyDescent="0.2">
      <c r="B5022" s="20">
        <v>43378</v>
      </c>
      <c r="C5022" s="58">
        <v>12111.9</v>
      </c>
      <c r="D5022" s="3">
        <f t="shared" si="81"/>
        <v>-1.0800268536622415E-2</v>
      </c>
    </row>
    <row r="5023" spans="2:4" x14ac:dyDescent="0.2">
      <c r="B5023" s="20">
        <v>43381</v>
      </c>
      <c r="C5023" s="58">
        <v>11947.16</v>
      </c>
      <c r="D5023" s="3">
        <f t="shared" si="81"/>
        <v>-1.3601499351877044E-2</v>
      </c>
    </row>
    <row r="5024" spans="2:4" x14ac:dyDescent="0.2">
      <c r="B5024" s="20">
        <v>43382</v>
      </c>
      <c r="C5024" s="58">
        <v>11977.22</v>
      </c>
      <c r="D5024" s="3">
        <f t="shared" si="81"/>
        <v>2.5160791351248601E-3</v>
      </c>
    </row>
    <row r="5025" spans="2:4" x14ac:dyDescent="0.2">
      <c r="B5025" s="20">
        <v>43383</v>
      </c>
      <c r="C5025" s="58">
        <v>11712.5</v>
      </c>
      <c r="D5025" s="3">
        <f t="shared" si="81"/>
        <v>-2.2101956881479978E-2</v>
      </c>
    </row>
    <row r="5026" spans="2:4" x14ac:dyDescent="0.2">
      <c r="B5026" s="20">
        <v>43384</v>
      </c>
      <c r="C5026" s="58">
        <v>11539.35</v>
      </c>
      <c r="D5026" s="3">
        <f t="shared" si="81"/>
        <v>-1.4783351120597588E-2</v>
      </c>
    </row>
    <row r="5027" spans="2:4" x14ac:dyDescent="0.2">
      <c r="B5027" s="20">
        <v>43385</v>
      </c>
      <c r="C5027" s="58">
        <v>11523.81</v>
      </c>
      <c r="D5027" s="3">
        <f t="shared" si="81"/>
        <v>-1.3466963043846647E-3</v>
      </c>
    </row>
    <row r="5028" spans="2:4" x14ac:dyDescent="0.2">
      <c r="B5028" s="20">
        <v>43388</v>
      </c>
      <c r="C5028" s="58">
        <v>11614.16</v>
      </c>
      <c r="D5028" s="3">
        <f t="shared" si="81"/>
        <v>7.8402889322195524E-3</v>
      </c>
    </row>
    <row r="5029" spans="2:4" x14ac:dyDescent="0.2">
      <c r="B5029" s="20">
        <v>43389</v>
      </c>
      <c r="C5029" s="58">
        <v>11776.55</v>
      </c>
      <c r="D5029" s="3">
        <f t="shared" si="81"/>
        <v>1.3982070162628979E-2</v>
      </c>
    </row>
    <row r="5030" spans="2:4" x14ac:dyDescent="0.2">
      <c r="B5030" s="20">
        <v>43390</v>
      </c>
      <c r="C5030" s="58">
        <v>11715.03</v>
      </c>
      <c r="D5030" s="3">
        <f t="shared" si="81"/>
        <v>-5.2239407976019114E-3</v>
      </c>
    </row>
    <row r="5031" spans="2:4" x14ac:dyDescent="0.2">
      <c r="B5031" s="20">
        <v>43391</v>
      </c>
      <c r="C5031" s="58">
        <v>11589.21</v>
      </c>
      <c r="D5031" s="3">
        <f t="shared" si="81"/>
        <v>-1.0740049321256717E-2</v>
      </c>
    </row>
    <row r="5032" spans="2:4" x14ac:dyDescent="0.2">
      <c r="B5032" s="20">
        <v>43392</v>
      </c>
      <c r="C5032" s="58">
        <v>11553.83</v>
      </c>
      <c r="D5032" s="3">
        <f t="shared" si="81"/>
        <v>-3.0528396672421243E-3</v>
      </c>
    </row>
    <row r="5033" spans="2:4" x14ac:dyDescent="0.2">
      <c r="B5033" s="20">
        <v>43395</v>
      </c>
      <c r="C5033" s="58">
        <v>11524.34</v>
      </c>
      <c r="D5033" s="3">
        <f t="shared" si="81"/>
        <v>-2.552400372863306E-3</v>
      </c>
    </row>
    <row r="5034" spans="2:4" x14ac:dyDescent="0.2">
      <c r="B5034" s="20">
        <v>43396</v>
      </c>
      <c r="C5034" s="58">
        <v>11274.28</v>
      </c>
      <c r="D5034" s="3">
        <f t="shared" si="81"/>
        <v>-2.1698422642858484E-2</v>
      </c>
    </row>
    <row r="5035" spans="2:4" x14ac:dyDescent="0.2">
      <c r="B5035" s="20">
        <v>43397</v>
      </c>
      <c r="C5035" s="58">
        <v>11191.63</v>
      </c>
      <c r="D5035" s="3">
        <f t="shared" si="81"/>
        <v>-7.3308450739205666E-3</v>
      </c>
    </row>
    <row r="5036" spans="2:4" x14ac:dyDescent="0.2">
      <c r="B5036" s="20">
        <v>43398</v>
      </c>
      <c r="C5036" s="58">
        <v>11307.12</v>
      </c>
      <c r="D5036" s="3">
        <f t="shared" si="81"/>
        <v>1.0319318991067528E-2</v>
      </c>
    </row>
    <row r="5037" spans="2:4" x14ac:dyDescent="0.2">
      <c r="B5037" s="20">
        <v>43399</v>
      </c>
      <c r="C5037" s="58">
        <v>11200.62</v>
      </c>
      <c r="D5037" s="3">
        <f t="shared" si="81"/>
        <v>-9.4188440557807507E-3</v>
      </c>
    </row>
    <row r="5038" spans="2:4" x14ac:dyDescent="0.2">
      <c r="B5038" s="20">
        <v>43402</v>
      </c>
      <c r="C5038" s="58">
        <v>11335.48</v>
      </c>
      <c r="D5038" s="3">
        <f t="shared" si="81"/>
        <v>1.2040404906156876E-2</v>
      </c>
    </row>
    <row r="5039" spans="2:4" x14ac:dyDescent="0.2">
      <c r="B5039" s="20">
        <v>43403</v>
      </c>
      <c r="C5039" s="58">
        <v>11287.39</v>
      </c>
      <c r="D5039" s="3">
        <f t="shared" si="81"/>
        <v>-4.2424317276374968E-3</v>
      </c>
    </row>
    <row r="5040" spans="2:4" x14ac:dyDescent="0.2">
      <c r="B5040" s="20">
        <v>43404</v>
      </c>
      <c r="C5040" s="58">
        <v>11447.51</v>
      </c>
      <c r="D5040" s="3">
        <f t="shared" si="81"/>
        <v>1.4185741787959838E-2</v>
      </c>
    </row>
    <row r="5041" spans="2:4" x14ac:dyDescent="0.2">
      <c r="B5041" s="20">
        <v>43405</v>
      </c>
      <c r="C5041" s="58">
        <v>11468.54</v>
      </c>
      <c r="D5041" s="3">
        <f t="shared" si="81"/>
        <v>1.8370807275993606E-3</v>
      </c>
    </row>
    <row r="5042" spans="2:4" x14ac:dyDescent="0.2">
      <c r="B5042" s="20">
        <v>43406</v>
      </c>
      <c r="C5042" s="58">
        <v>11518.99</v>
      </c>
      <c r="D5042" s="3">
        <f t="shared" si="81"/>
        <v>4.3989906300190285E-3</v>
      </c>
    </row>
    <row r="5043" spans="2:4" x14ac:dyDescent="0.2">
      <c r="B5043" s="20">
        <v>43409</v>
      </c>
      <c r="C5043" s="58">
        <v>11494.96</v>
      </c>
      <c r="D5043" s="3">
        <f t="shared" si="81"/>
        <v>-2.0861203977085019E-3</v>
      </c>
    </row>
    <row r="5044" spans="2:4" x14ac:dyDescent="0.2">
      <c r="B5044" s="20">
        <v>43410</v>
      </c>
      <c r="C5044" s="58">
        <v>11484.34</v>
      </c>
      <c r="D5044" s="3">
        <f t="shared" si="81"/>
        <v>-9.2388316270775039E-4</v>
      </c>
    </row>
    <row r="5045" spans="2:4" x14ac:dyDescent="0.2">
      <c r="B5045" s="20">
        <v>43411</v>
      </c>
      <c r="C5045" s="58">
        <v>11579.1</v>
      </c>
      <c r="D5045" s="3">
        <f t="shared" si="81"/>
        <v>8.2512360309778821E-3</v>
      </c>
    </row>
    <row r="5046" spans="2:4" x14ac:dyDescent="0.2">
      <c r="B5046" s="20">
        <v>43412</v>
      </c>
      <c r="C5046" s="58">
        <v>11527.32</v>
      </c>
      <c r="D5046" s="3">
        <f t="shared" si="81"/>
        <v>-4.4718501437935876E-3</v>
      </c>
    </row>
    <row r="5047" spans="2:4" x14ac:dyDescent="0.2">
      <c r="B5047" s="20">
        <v>43413</v>
      </c>
      <c r="C5047" s="58">
        <v>11529.16</v>
      </c>
      <c r="D5047" s="3">
        <f t="shared" si="81"/>
        <v>1.5962079650777561E-4</v>
      </c>
    </row>
    <row r="5048" spans="2:4" x14ac:dyDescent="0.2">
      <c r="B5048" s="20">
        <v>43416</v>
      </c>
      <c r="C5048" s="58">
        <v>11325.44</v>
      </c>
      <c r="D5048" s="3">
        <f t="shared" si="81"/>
        <v>-1.7669977691349481E-2</v>
      </c>
    </row>
    <row r="5049" spans="2:4" x14ac:dyDescent="0.2">
      <c r="B5049" s="20">
        <v>43417</v>
      </c>
      <c r="C5049" s="58">
        <v>11472.22</v>
      </c>
      <c r="D5049" s="3">
        <f t="shared" si="81"/>
        <v>1.2960202870705206E-2</v>
      </c>
    </row>
    <row r="5050" spans="2:4" x14ac:dyDescent="0.2">
      <c r="B5050" s="20">
        <v>43418</v>
      </c>
      <c r="C5050" s="58">
        <v>11412.53</v>
      </c>
      <c r="D5050" s="3">
        <f t="shared" si="81"/>
        <v>-5.2030034291531413E-3</v>
      </c>
    </row>
    <row r="5051" spans="2:4" x14ac:dyDescent="0.2">
      <c r="B5051" s="20">
        <v>43419</v>
      </c>
      <c r="C5051" s="58">
        <v>11353.67</v>
      </c>
      <c r="D5051" s="3">
        <f t="shared" si="81"/>
        <v>-5.1574891807514289E-3</v>
      </c>
    </row>
    <row r="5052" spans="2:4" x14ac:dyDescent="0.2">
      <c r="B5052" s="20">
        <v>43420</v>
      </c>
      <c r="C5052" s="58">
        <v>11341</v>
      </c>
      <c r="D5052" s="3">
        <f t="shared" si="81"/>
        <v>-1.1159387228975026E-3</v>
      </c>
    </row>
    <row r="5053" spans="2:4" x14ac:dyDescent="0.2">
      <c r="B5053" s="20">
        <v>43423</v>
      </c>
      <c r="C5053" s="58">
        <v>11244.54</v>
      </c>
      <c r="D5053" s="3">
        <f t="shared" si="81"/>
        <v>-8.5054228022219958E-3</v>
      </c>
    </row>
    <row r="5054" spans="2:4" x14ac:dyDescent="0.2">
      <c r="B5054" s="20">
        <v>43424</v>
      </c>
      <c r="C5054" s="58">
        <v>11066.41</v>
      </c>
      <c r="D5054" s="3">
        <f t="shared" si="81"/>
        <v>-1.5841466169358775E-2</v>
      </c>
    </row>
    <row r="5055" spans="2:4" x14ac:dyDescent="0.2">
      <c r="B5055" s="20">
        <v>43425</v>
      </c>
      <c r="C5055" s="58">
        <v>11244.17</v>
      </c>
      <c r="D5055" s="3">
        <f t="shared" si="81"/>
        <v>1.6063023148428446E-2</v>
      </c>
    </row>
    <row r="5056" spans="2:4" x14ac:dyDescent="0.2">
      <c r="B5056" s="20">
        <v>43426</v>
      </c>
      <c r="C5056" s="58">
        <v>11138.49</v>
      </c>
      <c r="D5056" s="3">
        <f t="shared" si="81"/>
        <v>-9.3986483662200637E-3</v>
      </c>
    </row>
    <row r="5057" spans="2:4" x14ac:dyDescent="0.2">
      <c r="B5057" s="20">
        <v>43427</v>
      </c>
      <c r="C5057" s="58">
        <v>11192.69</v>
      </c>
      <c r="D5057" s="3">
        <f t="shared" si="81"/>
        <v>4.8660096655830376E-3</v>
      </c>
    </row>
    <row r="5058" spans="2:4" x14ac:dyDescent="0.2">
      <c r="B5058" s="20">
        <v>43430</v>
      </c>
      <c r="C5058" s="58">
        <v>11354.72</v>
      </c>
      <c r="D5058" s="3">
        <f t="shared" si="81"/>
        <v>1.4476412730094257E-2</v>
      </c>
    </row>
    <row r="5059" spans="2:4" x14ac:dyDescent="0.2">
      <c r="B5059" s="20">
        <v>43431</v>
      </c>
      <c r="C5059" s="58">
        <v>11309.11</v>
      </c>
      <c r="D5059" s="3">
        <f t="shared" si="81"/>
        <v>-4.0168317668775044E-3</v>
      </c>
    </row>
    <row r="5060" spans="2:4" x14ac:dyDescent="0.2">
      <c r="B5060" s="20">
        <v>43432</v>
      </c>
      <c r="C5060" s="58">
        <v>11298.88</v>
      </c>
      <c r="D5060" s="3">
        <f t="shared" si="81"/>
        <v>-9.0458046654440238E-4</v>
      </c>
    </row>
    <row r="5061" spans="2:4" x14ac:dyDescent="0.2">
      <c r="B5061" s="20">
        <v>43433</v>
      </c>
      <c r="C5061" s="58">
        <v>11298.23</v>
      </c>
      <c r="D5061" s="3">
        <f t="shared" ref="D5061:D5124" si="82">C5061/C5060-1</f>
        <v>-5.7527825766734431E-5</v>
      </c>
    </row>
    <row r="5062" spans="2:4" x14ac:dyDescent="0.2">
      <c r="B5062" s="20">
        <v>43434</v>
      </c>
      <c r="C5062" s="58">
        <v>11257.24</v>
      </c>
      <c r="D5062" s="3">
        <f t="shared" si="82"/>
        <v>-3.6280019082635118E-3</v>
      </c>
    </row>
    <row r="5063" spans="2:4" x14ac:dyDescent="0.2">
      <c r="B5063" s="20">
        <v>43437</v>
      </c>
      <c r="C5063" s="58">
        <v>11465.46</v>
      </c>
      <c r="D5063" s="3">
        <f t="shared" si="82"/>
        <v>1.8496540892794178E-2</v>
      </c>
    </row>
    <row r="5064" spans="2:4" x14ac:dyDescent="0.2">
      <c r="B5064" s="20">
        <v>43438</v>
      </c>
      <c r="C5064" s="58">
        <v>11335.32</v>
      </c>
      <c r="D5064" s="3">
        <f t="shared" si="82"/>
        <v>-1.1350613058699777E-2</v>
      </c>
    </row>
    <row r="5065" spans="2:4" x14ac:dyDescent="0.2">
      <c r="B5065" s="20">
        <v>43439</v>
      </c>
      <c r="C5065" s="58">
        <v>11200.24</v>
      </c>
      <c r="D5065" s="3">
        <f t="shared" si="82"/>
        <v>-1.1916734595935563E-2</v>
      </c>
    </row>
    <row r="5066" spans="2:4" x14ac:dyDescent="0.2">
      <c r="B5066" s="20">
        <v>43440</v>
      </c>
      <c r="C5066" s="58">
        <v>10810.98</v>
      </c>
      <c r="D5066" s="3">
        <f t="shared" si="82"/>
        <v>-3.4754612401162843E-2</v>
      </c>
    </row>
    <row r="5067" spans="2:4" x14ac:dyDescent="0.2">
      <c r="B5067" s="20">
        <v>43441</v>
      </c>
      <c r="C5067" s="58">
        <v>10788.09</v>
      </c>
      <c r="D5067" s="3">
        <f t="shared" si="82"/>
        <v>-2.1172918643822536E-3</v>
      </c>
    </row>
    <row r="5068" spans="2:4" x14ac:dyDescent="0.2">
      <c r="B5068" s="20">
        <v>43444</v>
      </c>
      <c r="C5068" s="58">
        <v>10622.07</v>
      </c>
      <c r="D5068" s="3">
        <f t="shared" si="82"/>
        <v>-1.5389193082371411E-2</v>
      </c>
    </row>
    <row r="5069" spans="2:4" x14ac:dyDescent="0.2">
      <c r="B5069" s="20">
        <v>43445</v>
      </c>
      <c r="C5069" s="58">
        <v>10780.51</v>
      </c>
      <c r="D5069" s="3">
        <f t="shared" si="82"/>
        <v>1.4916113337607451E-2</v>
      </c>
    </row>
    <row r="5070" spans="2:4" x14ac:dyDescent="0.2">
      <c r="B5070" s="20">
        <v>43446</v>
      </c>
      <c r="C5070" s="58">
        <v>10929.43</v>
      </c>
      <c r="D5070" s="3">
        <f t="shared" si="82"/>
        <v>1.3813817713633325E-2</v>
      </c>
    </row>
    <row r="5071" spans="2:4" x14ac:dyDescent="0.2">
      <c r="B5071" s="20">
        <v>43447</v>
      </c>
      <c r="C5071" s="58">
        <v>10924.7</v>
      </c>
      <c r="D5071" s="3">
        <f t="shared" si="82"/>
        <v>-4.3277645769268513E-4</v>
      </c>
    </row>
    <row r="5072" spans="2:4" x14ac:dyDescent="0.2">
      <c r="B5072" s="20">
        <v>43448</v>
      </c>
      <c r="C5072" s="58">
        <v>10865.77</v>
      </c>
      <c r="D5072" s="3">
        <f t="shared" si="82"/>
        <v>-5.3941984676925125E-3</v>
      </c>
    </row>
    <row r="5073" spans="2:4" x14ac:dyDescent="0.2">
      <c r="B5073" s="20">
        <v>43451</v>
      </c>
      <c r="C5073" s="58">
        <v>10772.2</v>
      </c>
      <c r="D5073" s="3">
        <f t="shared" si="82"/>
        <v>-8.6114467727551602E-3</v>
      </c>
    </row>
    <row r="5074" spans="2:4" x14ac:dyDescent="0.2">
      <c r="B5074" s="20">
        <v>43452</v>
      </c>
      <c r="C5074" s="58">
        <v>10740.89</v>
      </c>
      <c r="D5074" s="3">
        <f t="shared" si="82"/>
        <v>-2.9065557639109674E-3</v>
      </c>
    </row>
    <row r="5075" spans="2:4" x14ac:dyDescent="0.2">
      <c r="B5075" s="20">
        <v>43453</v>
      </c>
      <c r="C5075" s="58">
        <v>10766.21</v>
      </c>
      <c r="D5075" s="3">
        <f t="shared" si="82"/>
        <v>2.3573465513564429E-3</v>
      </c>
    </row>
    <row r="5076" spans="2:4" x14ac:dyDescent="0.2">
      <c r="B5076" s="20">
        <v>43454</v>
      </c>
      <c r="C5076" s="58">
        <v>10611.1</v>
      </c>
      <c r="D5076" s="3">
        <f t="shared" si="82"/>
        <v>-1.4407112623662233E-2</v>
      </c>
    </row>
    <row r="5077" spans="2:4" x14ac:dyDescent="0.2">
      <c r="B5077" s="20">
        <v>43455</v>
      </c>
      <c r="C5077" s="58">
        <v>10633.82</v>
      </c>
      <c r="D5077" s="3">
        <f t="shared" si="82"/>
        <v>2.1411540745068791E-3</v>
      </c>
    </row>
    <row r="5078" spans="2:4" x14ac:dyDescent="0.2">
      <c r="B5078" s="20">
        <v>43461</v>
      </c>
      <c r="C5078" s="58">
        <v>10381.51</v>
      </c>
      <c r="D5078" s="3">
        <f t="shared" si="82"/>
        <v>-2.3727127222390454E-2</v>
      </c>
    </row>
    <row r="5079" spans="2:4" x14ac:dyDescent="0.2">
      <c r="B5079" s="20">
        <v>43462</v>
      </c>
      <c r="C5079" s="58">
        <v>10558.96</v>
      </c>
      <c r="D5079" s="3">
        <f t="shared" si="82"/>
        <v>1.7092889184713966E-2</v>
      </c>
    </row>
    <row r="5080" spans="2:4" x14ac:dyDescent="0.2">
      <c r="B5080" s="20">
        <v>43467</v>
      </c>
      <c r="C5080" s="58">
        <v>10580.19</v>
      </c>
      <c r="D5080" s="3">
        <f t="shared" si="82"/>
        <v>2.0106146817491233E-3</v>
      </c>
    </row>
    <row r="5081" spans="2:4" x14ac:dyDescent="0.2">
      <c r="B5081" s="20">
        <v>43468</v>
      </c>
      <c r="C5081" s="58">
        <v>10416.66</v>
      </c>
      <c r="D5081" s="3">
        <f t="shared" si="82"/>
        <v>-1.5456244169528177E-2</v>
      </c>
    </row>
    <row r="5082" spans="2:4" x14ac:dyDescent="0.2">
      <c r="B5082" s="20">
        <v>43469</v>
      </c>
      <c r="C5082" s="58">
        <v>10767.69</v>
      </c>
      <c r="D5082" s="3">
        <f t="shared" si="82"/>
        <v>3.3698901567297046E-2</v>
      </c>
    </row>
    <row r="5083" spans="2:4" x14ac:dyDescent="0.2">
      <c r="B5083" s="20">
        <v>43472</v>
      </c>
      <c r="C5083" s="58">
        <v>10747.81</v>
      </c>
      <c r="D5083" s="3">
        <f t="shared" si="82"/>
        <v>-1.8462641476492125E-3</v>
      </c>
    </row>
    <row r="5084" spans="2:4" x14ac:dyDescent="0.2">
      <c r="B5084" s="20">
        <v>43473</v>
      </c>
      <c r="C5084" s="58">
        <v>10803.98</v>
      </c>
      <c r="D5084" s="3">
        <f t="shared" si="82"/>
        <v>5.2261809615168353E-3</v>
      </c>
    </row>
    <row r="5085" spans="2:4" x14ac:dyDescent="0.2">
      <c r="B5085" s="20">
        <v>43474</v>
      </c>
      <c r="C5085" s="58">
        <v>10893.32</v>
      </c>
      <c r="D5085" s="3">
        <f t="shared" si="82"/>
        <v>8.2691748781467123E-3</v>
      </c>
    </row>
    <row r="5086" spans="2:4" x14ac:dyDescent="0.2">
      <c r="B5086" s="20">
        <v>43475</v>
      </c>
      <c r="C5086" s="58">
        <v>10921.59</v>
      </c>
      <c r="D5086" s="3">
        <f t="shared" si="82"/>
        <v>2.5951684151388488E-3</v>
      </c>
    </row>
    <row r="5087" spans="2:4" x14ac:dyDescent="0.2">
      <c r="B5087" s="20">
        <v>43476</v>
      </c>
      <c r="C5087" s="58">
        <v>10887.46</v>
      </c>
      <c r="D5087" s="3">
        <f t="shared" si="82"/>
        <v>-3.1250028613051262E-3</v>
      </c>
    </row>
    <row r="5088" spans="2:4" x14ac:dyDescent="0.2">
      <c r="B5088" s="20">
        <v>43479</v>
      </c>
      <c r="C5088" s="58">
        <v>10855.91</v>
      </c>
      <c r="D5088" s="3">
        <f t="shared" si="82"/>
        <v>-2.8978292457561006E-3</v>
      </c>
    </row>
    <row r="5089" spans="2:4" x14ac:dyDescent="0.2">
      <c r="B5089" s="20">
        <v>43480</v>
      </c>
      <c r="C5089" s="58">
        <v>10891.79</v>
      </c>
      <c r="D5089" s="3">
        <f t="shared" si="82"/>
        <v>3.305112146287259E-3</v>
      </c>
    </row>
    <row r="5090" spans="2:4" x14ac:dyDescent="0.2">
      <c r="B5090" s="20">
        <v>43481</v>
      </c>
      <c r="C5090" s="58">
        <v>10931.24</v>
      </c>
      <c r="D5090" s="3">
        <f t="shared" si="82"/>
        <v>3.6219941809381151E-3</v>
      </c>
    </row>
    <row r="5091" spans="2:4" x14ac:dyDescent="0.2">
      <c r="B5091" s="20">
        <v>43482</v>
      </c>
      <c r="C5091" s="58">
        <v>10918.62</v>
      </c>
      <c r="D5091" s="3">
        <f t="shared" si="82"/>
        <v>-1.1544893351530527E-3</v>
      </c>
    </row>
    <row r="5092" spans="2:4" x14ac:dyDescent="0.2">
      <c r="B5092" s="20">
        <v>43483</v>
      </c>
      <c r="C5092" s="58">
        <v>11205.54</v>
      </c>
      <c r="D5092" s="3">
        <f t="shared" si="82"/>
        <v>2.6278046126708254E-2</v>
      </c>
    </row>
    <row r="5093" spans="2:4" x14ac:dyDescent="0.2">
      <c r="B5093" s="20">
        <v>43486</v>
      </c>
      <c r="C5093" s="58">
        <v>11136.2</v>
      </c>
      <c r="D5093" s="3">
        <f t="shared" si="82"/>
        <v>-6.1880105733413959E-3</v>
      </c>
    </row>
    <row r="5094" spans="2:4" x14ac:dyDescent="0.2">
      <c r="B5094" s="20">
        <v>43487</v>
      </c>
      <c r="C5094" s="58">
        <v>11090.11</v>
      </c>
      <c r="D5094" s="3">
        <f t="shared" si="82"/>
        <v>-4.1387546919057216E-3</v>
      </c>
    </row>
    <row r="5095" spans="2:4" x14ac:dyDescent="0.2">
      <c r="B5095" s="20">
        <v>43488</v>
      </c>
      <c r="C5095" s="58">
        <v>11071.54</v>
      </c>
      <c r="D5095" s="3">
        <f t="shared" si="82"/>
        <v>-1.6744649061189998E-3</v>
      </c>
    </row>
    <row r="5096" spans="2:4" x14ac:dyDescent="0.2">
      <c r="B5096" s="20">
        <v>43489</v>
      </c>
      <c r="C5096" s="58">
        <v>11130.18</v>
      </c>
      <c r="D5096" s="3">
        <f t="shared" si="82"/>
        <v>5.2964628226968014E-3</v>
      </c>
    </row>
    <row r="5097" spans="2:4" x14ac:dyDescent="0.2">
      <c r="B5097" s="20">
        <v>43490</v>
      </c>
      <c r="C5097" s="58">
        <v>11281.79</v>
      </c>
      <c r="D5097" s="3">
        <f t="shared" si="82"/>
        <v>1.3621522742669034E-2</v>
      </c>
    </row>
    <row r="5098" spans="2:4" x14ac:dyDescent="0.2">
      <c r="B5098" s="20">
        <v>43493</v>
      </c>
      <c r="C5098" s="58">
        <v>11210.31</v>
      </c>
      <c r="D5098" s="3">
        <f t="shared" si="82"/>
        <v>-6.3358740058094831E-3</v>
      </c>
    </row>
    <row r="5099" spans="2:4" x14ac:dyDescent="0.2">
      <c r="B5099" s="20">
        <v>43494</v>
      </c>
      <c r="C5099" s="58">
        <v>11218.83</v>
      </c>
      <c r="D5099" s="3">
        <f t="shared" si="82"/>
        <v>7.6001466507169546E-4</v>
      </c>
    </row>
    <row r="5100" spans="2:4" x14ac:dyDescent="0.2">
      <c r="B5100" s="20">
        <v>43495</v>
      </c>
      <c r="C5100" s="58">
        <v>11181.66</v>
      </c>
      <c r="D5100" s="3">
        <f t="shared" si="82"/>
        <v>-3.3131797166014998E-3</v>
      </c>
    </row>
    <row r="5101" spans="2:4" x14ac:dyDescent="0.2">
      <c r="B5101" s="20">
        <v>43496</v>
      </c>
      <c r="C5101" s="58">
        <v>11173.1</v>
      </c>
      <c r="D5101" s="3">
        <f t="shared" si="82"/>
        <v>-7.6553928486466916E-4</v>
      </c>
    </row>
    <row r="5102" spans="2:4" x14ac:dyDescent="0.2">
      <c r="B5102" s="20">
        <v>43497</v>
      </c>
      <c r="C5102" s="58">
        <v>11180.66</v>
      </c>
      <c r="D5102" s="3">
        <f t="shared" si="82"/>
        <v>6.7662510851951296E-4</v>
      </c>
    </row>
    <row r="5103" spans="2:4" x14ac:dyDescent="0.2">
      <c r="B5103" s="20">
        <v>43500</v>
      </c>
      <c r="C5103" s="58">
        <v>11176.58</v>
      </c>
      <c r="D5103" s="3">
        <f t="shared" si="82"/>
        <v>-3.6491584575504277E-4</v>
      </c>
    </row>
    <row r="5104" spans="2:4" x14ac:dyDescent="0.2">
      <c r="B5104" s="20">
        <v>43501</v>
      </c>
      <c r="C5104" s="58">
        <v>11367.98</v>
      </c>
      <c r="D5104" s="3">
        <f t="shared" si="82"/>
        <v>1.7125095512222854E-2</v>
      </c>
    </row>
    <row r="5105" spans="2:4" x14ac:dyDescent="0.2">
      <c r="B5105" s="20">
        <v>43502</v>
      </c>
      <c r="C5105" s="58">
        <v>11324.72</v>
      </c>
      <c r="D5105" s="3">
        <f t="shared" si="82"/>
        <v>-3.8054254141897115E-3</v>
      </c>
    </row>
    <row r="5106" spans="2:4" x14ac:dyDescent="0.2">
      <c r="B5106" s="20">
        <v>43503</v>
      </c>
      <c r="C5106" s="58">
        <v>11022.02</v>
      </c>
      <c r="D5106" s="3">
        <f t="shared" si="82"/>
        <v>-2.6729137674043946E-2</v>
      </c>
    </row>
    <row r="5107" spans="2:4" x14ac:dyDescent="0.2">
      <c r="B5107" s="20">
        <v>43504</v>
      </c>
      <c r="C5107" s="58">
        <v>10906.78</v>
      </c>
      <c r="D5107" s="3">
        <f t="shared" si="82"/>
        <v>-1.0455433758966071E-2</v>
      </c>
    </row>
    <row r="5108" spans="2:4" x14ac:dyDescent="0.2">
      <c r="B5108" s="20">
        <v>43507</v>
      </c>
      <c r="C5108" s="58">
        <v>11014.59</v>
      </c>
      <c r="D5108" s="3">
        <f t="shared" si="82"/>
        <v>9.8846772374614478E-3</v>
      </c>
    </row>
    <row r="5109" spans="2:4" x14ac:dyDescent="0.2">
      <c r="B5109" s="20">
        <v>43508</v>
      </c>
      <c r="C5109" s="58">
        <v>11126.08</v>
      </c>
      <c r="D5109" s="3">
        <f t="shared" si="82"/>
        <v>1.0122029054190795E-2</v>
      </c>
    </row>
    <row r="5110" spans="2:4" x14ac:dyDescent="0.2">
      <c r="B5110" s="20">
        <v>43509</v>
      </c>
      <c r="C5110" s="58">
        <v>11167.22</v>
      </c>
      <c r="D5110" s="3">
        <f t="shared" si="82"/>
        <v>3.6976185682646712E-3</v>
      </c>
    </row>
    <row r="5111" spans="2:4" x14ac:dyDescent="0.2">
      <c r="B5111" s="20">
        <v>43510</v>
      </c>
      <c r="C5111" s="58">
        <v>11089.79</v>
      </c>
      <c r="D5111" s="3">
        <f t="shared" si="82"/>
        <v>-6.9336862710682734E-3</v>
      </c>
    </row>
    <row r="5112" spans="2:4" x14ac:dyDescent="0.2">
      <c r="B5112" s="20">
        <v>43511</v>
      </c>
      <c r="C5112" s="58">
        <v>11299.8</v>
      </c>
      <c r="D5112" s="3">
        <f t="shared" si="82"/>
        <v>1.8937238667278589E-2</v>
      </c>
    </row>
    <row r="5113" spans="2:4" x14ac:dyDescent="0.2">
      <c r="B5113" s="20">
        <v>43514</v>
      </c>
      <c r="C5113" s="58">
        <v>11299.2</v>
      </c>
      <c r="D5113" s="3">
        <f t="shared" si="82"/>
        <v>-5.3098284925279238E-5</v>
      </c>
    </row>
    <row r="5114" spans="2:4" x14ac:dyDescent="0.2">
      <c r="B5114" s="20">
        <v>43515</v>
      </c>
      <c r="C5114" s="58">
        <v>11309.21</v>
      </c>
      <c r="D5114" s="3">
        <f t="shared" si="82"/>
        <v>8.8590342679117917E-4</v>
      </c>
    </row>
    <row r="5115" spans="2:4" x14ac:dyDescent="0.2">
      <c r="B5115" s="20">
        <v>43516</v>
      </c>
      <c r="C5115" s="58">
        <v>11401.97</v>
      </c>
      <c r="D5115" s="3">
        <f t="shared" si="82"/>
        <v>8.2021644305836361E-3</v>
      </c>
    </row>
    <row r="5116" spans="2:4" x14ac:dyDescent="0.2">
      <c r="B5116" s="20">
        <v>43517</v>
      </c>
      <c r="C5116" s="58">
        <v>11423.28</v>
      </c>
      <c r="D5116" s="3">
        <f t="shared" si="82"/>
        <v>1.8689752735712162E-3</v>
      </c>
    </row>
    <row r="5117" spans="2:4" x14ac:dyDescent="0.2">
      <c r="B5117" s="20">
        <v>43518</v>
      </c>
      <c r="C5117" s="58">
        <v>11457.7</v>
      </c>
      <c r="D5117" s="3">
        <f t="shared" si="82"/>
        <v>3.0131450861750064E-3</v>
      </c>
    </row>
    <row r="5118" spans="2:4" x14ac:dyDescent="0.2">
      <c r="B5118" s="20">
        <v>43521</v>
      </c>
      <c r="C5118" s="58">
        <v>11505.39</v>
      </c>
      <c r="D5118" s="3">
        <f t="shared" si="82"/>
        <v>4.162266423453076E-3</v>
      </c>
    </row>
    <row r="5119" spans="2:4" x14ac:dyDescent="0.2">
      <c r="B5119" s="20">
        <v>43522</v>
      </c>
      <c r="C5119" s="58">
        <v>11540.79</v>
      </c>
      <c r="D5119" s="3">
        <f t="shared" si="82"/>
        <v>3.0768187779814937E-3</v>
      </c>
    </row>
    <row r="5120" spans="2:4" x14ac:dyDescent="0.2">
      <c r="B5120" s="20">
        <v>43523</v>
      </c>
      <c r="C5120" s="58">
        <v>11487.33</v>
      </c>
      <c r="D5120" s="3">
        <f t="shared" si="82"/>
        <v>-4.6322652088809368E-3</v>
      </c>
    </row>
    <row r="5121" spans="2:4" x14ac:dyDescent="0.2">
      <c r="B5121" s="20">
        <v>43524</v>
      </c>
      <c r="C5121" s="58">
        <v>11515.64</v>
      </c>
      <c r="D5121" s="3">
        <f t="shared" si="82"/>
        <v>2.4644543161900234E-3</v>
      </c>
    </row>
    <row r="5122" spans="2:4" x14ac:dyDescent="0.2">
      <c r="B5122" s="20">
        <v>43525</v>
      </c>
      <c r="C5122" s="58">
        <v>11601.68</v>
      </c>
      <c r="D5122" s="3">
        <f t="shared" si="82"/>
        <v>7.4715777846476872E-3</v>
      </c>
    </row>
    <row r="5123" spans="2:4" x14ac:dyDescent="0.2">
      <c r="B5123" s="20">
        <v>43528</v>
      </c>
      <c r="C5123" s="58">
        <v>11592.66</v>
      </c>
      <c r="D5123" s="3">
        <f t="shared" si="82"/>
        <v>-7.774736072707622E-4</v>
      </c>
    </row>
    <row r="5124" spans="2:4" x14ac:dyDescent="0.2">
      <c r="B5124" s="20">
        <v>43529</v>
      </c>
      <c r="C5124" s="58">
        <v>11620.74</v>
      </c>
      <c r="D5124" s="3">
        <f t="shared" si="82"/>
        <v>2.4222223372374341E-3</v>
      </c>
    </row>
    <row r="5125" spans="2:4" x14ac:dyDescent="0.2">
      <c r="B5125" s="20">
        <v>43530</v>
      </c>
      <c r="C5125" s="58">
        <v>11587.63</v>
      </c>
      <c r="D5125" s="3">
        <f t="shared" ref="D5125:D5188" si="83">C5125/C5124-1</f>
        <v>-2.8492161428618212E-3</v>
      </c>
    </row>
    <row r="5126" spans="2:4" x14ac:dyDescent="0.2">
      <c r="B5126" s="20">
        <v>43531</v>
      </c>
      <c r="C5126" s="58">
        <v>11517.8</v>
      </c>
      <c r="D5126" s="3">
        <f t="shared" si="83"/>
        <v>-6.02625385864064E-3</v>
      </c>
    </row>
    <row r="5127" spans="2:4" x14ac:dyDescent="0.2">
      <c r="B5127" s="20">
        <v>43532</v>
      </c>
      <c r="C5127" s="58">
        <v>11457.84</v>
      </c>
      <c r="D5127" s="3">
        <f t="shared" si="83"/>
        <v>-5.2058552848633921E-3</v>
      </c>
    </row>
    <row r="5128" spans="2:4" x14ac:dyDescent="0.2">
      <c r="B5128" s="20">
        <v>43535</v>
      </c>
      <c r="C5128" s="58">
        <v>11543.48</v>
      </c>
      <c r="D5128" s="3">
        <f t="shared" si="83"/>
        <v>7.4743581687297667E-3</v>
      </c>
    </row>
    <row r="5129" spans="2:4" x14ac:dyDescent="0.2">
      <c r="B5129" s="20">
        <v>43536</v>
      </c>
      <c r="C5129" s="58">
        <v>11524.17</v>
      </c>
      <c r="D5129" s="3">
        <f t="shared" si="83"/>
        <v>-1.6728057743418123E-3</v>
      </c>
    </row>
    <row r="5130" spans="2:4" x14ac:dyDescent="0.2">
      <c r="B5130" s="20">
        <v>43537</v>
      </c>
      <c r="C5130" s="58">
        <v>11572.41</v>
      </c>
      <c r="D5130" s="3">
        <f t="shared" si="83"/>
        <v>4.1859847607246259E-3</v>
      </c>
    </row>
    <row r="5131" spans="2:4" x14ac:dyDescent="0.2">
      <c r="B5131" s="20">
        <v>43538</v>
      </c>
      <c r="C5131" s="58">
        <v>11587.47</v>
      </c>
      <c r="D5131" s="3">
        <f t="shared" si="83"/>
        <v>1.301371105931981E-3</v>
      </c>
    </row>
    <row r="5132" spans="2:4" x14ac:dyDescent="0.2">
      <c r="B5132" s="20">
        <v>43539</v>
      </c>
      <c r="C5132" s="58">
        <v>11685.69</v>
      </c>
      <c r="D5132" s="3">
        <f t="shared" si="83"/>
        <v>8.4763973498962475E-3</v>
      </c>
    </row>
    <row r="5133" spans="2:4" x14ac:dyDescent="0.2">
      <c r="B5133" s="20">
        <v>43542</v>
      </c>
      <c r="C5133" s="58">
        <v>11657.06</v>
      </c>
      <c r="D5133" s="3">
        <f t="shared" si="83"/>
        <v>-2.4500050916976823E-3</v>
      </c>
    </row>
    <row r="5134" spans="2:4" x14ac:dyDescent="0.2">
      <c r="B5134" s="20">
        <v>43543</v>
      </c>
      <c r="C5134" s="58">
        <v>11788.41</v>
      </c>
      <c r="D5134" s="3">
        <f t="shared" si="83"/>
        <v>1.1267849697951249E-2</v>
      </c>
    </row>
    <row r="5135" spans="2:4" x14ac:dyDescent="0.2">
      <c r="B5135" s="20">
        <v>43544</v>
      </c>
      <c r="C5135" s="58">
        <v>11603.89</v>
      </c>
      <c r="D5135" s="3">
        <f t="shared" si="83"/>
        <v>-1.5652662233498926E-2</v>
      </c>
    </row>
    <row r="5136" spans="2:4" x14ac:dyDescent="0.2">
      <c r="B5136" s="20">
        <v>43545</v>
      </c>
      <c r="C5136" s="58">
        <v>11549.96</v>
      </c>
      <c r="D5136" s="3">
        <f t="shared" si="83"/>
        <v>-4.6475793893254735E-3</v>
      </c>
    </row>
    <row r="5137" spans="2:4" x14ac:dyDescent="0.2">
      <c r="B5137" s="20">
        <v>43546</v>
      </c>
      <c r="C5137" s="58">
        <v>11364.17</v>
      </c>
      <c r="D5137" s="3">
        <f t="shared" si="83"/>
        <v>-1.608576999400857E-2</v>
      </c>
    </row>
    <row r="5138" spans="2:4" x14ac:dyDescent="0.2">
      <c r="B5138" s="20">
        <v>43549</v>
      </c>
      <c r="C5138" s="58">
        <v>11346.65</v>
      </c>
      <c r="D5138" s="3">
        <f t="shared" si="83"/>
        <v>-1.5416876023501835E-3</v>
      </c>
    </row>
    <row r="5139" spans="2:4" x14ac:dyDescent="0.2">
      <c r="B5139" s="20">
        <v>43550</v>
      </c>
      <c r="C5139" s="58">
        <v>11419.48</v>
      </c>
      <c r="D5139" s="3">
        <f t="shared" si="83"/>
        <v>6.4186345749626117E-3</v>
      </c>
    </row>
    <row r="5140" spans="2:4" x14ac:dyDescent="0.2">
      <c r="B5140" s="20">
        <v>43551</v>
      </c>
      <c r="C5140" s="58">
        <v>11419.04</v>
      </c>
      <c r="D5140" s="3">
        <f t="shared" si="83"/>
        <v>-3.8530651132906435E-5</v>
      </c>
    </row>
    <row r="5141" spans="2:4" x14ac:dyDescent="0.2">
      <c r="B5141" s="20">
        <v>43552</v>
      </c>
      <c r="C5141" s="58">
        <v>11428.16</v>
      </c>
      <c r="D5141" s="3">
        <f t="shared" si="83"/>
        <v>7.9866608751699708E-4</v>
      </c>
    </row>
    <row r="5142" spans="2:4" x14ac:dyDescent="0.2">
      <c r="B5142" s="20">
        <v>43553</v>
      </c>
      <c r="C5142" s="58">
        <v>11526.04</v>
      </c>
      <c r="D5142" s="3">
        <f t="shared" si="83"/>
        <v>8.5648083331000269E-3</v>
      </c>
    </row>
    <row r="5143" spans="2:4" x14ac:dyDescent="0.2">
      <c r="B5143" s="20">
        <v>43556</v>
      </c>
      <c r="C5143" s="58">
        <v>11681.99</v>
      </c>
      <c r="D5143" s="3">
        <f t="shared" si="83"/>
        <v>1.3530232412866772E-2</v>
      </c>
    </row>
    <row r="5144" spans="2:4" x14ac:dyDescent="0.2">
      <c r="B5144" s="20">
        <v>43557</v>
      </c>
      <c r="C5144" s="58">
        <v>11754.79</v>
      </c>
      <c r="D5144" s="3">
        <f t="shared" si="83"/>
        <v>6.2318149561848557E-3</v>
      </c>
    </row>
    <row r="5145" spans="2:4" x14ac:dyDescent="0.2">
      <c r="B5145" s="20">
        <v>43558</v>
      </c>
      <c r="C5145" s="58">
        <v>11954.4</v>
      </c>
      <c r="D5145" s="3">
        <f t="shared" si="83"/>
        <v>1.6981162572874409E-2</v>
      </c>
    </row>
    <row r="5146" spans="2:4" x14ac:dyDescent="0.2">
      <c r="B5146" s="20">
        <v>43559</v>
      </c>
      <c r="C5146" s="58">
        <v>11988.01</v>
      </c>
      <c r="D5146" s="3">
        <f t="shared" si="83"/>
        <v>2.8115170983069593E-3</v>
      </c>
    </row>
    <row r="5147" spans="2:4" x14ac:dyDescent="0.2">
      <c r="B5147" s="20">
        <v>43560</v>
      </c>
      <c r="C5147" s="58">
        <v>12009.75</v>
      </c>
      <c r="D5147" s="3">
        <f t="shared" si="83"/>
        <v>1.8134786340684439E-3</v>
      </c>
    </row>
    <row r="5148" spans="2:4" x14ac:dyDescent="0.2">
      <c r="B5148" s="20">
        <v>43563</v>
      </c>
      <c r="C5148" s="58">
        <v>11963.4</v>
      </c>
      <c r="D5148" s="3">
        <f t="shared" si="83"/>
        <v>-3.8593642665334382E-3</v>
      </c>
    </row>
    <row r="5149" spans="2:4" x14ac:dyDescent="0.2">
      <c r="B5149" s="20">
        <v>43564</v>
      </c>
      <c r="C5149" s="58">
        <v>11850.57</v>
      </c>
      <c r="D5149" s="3">
        <f t="shared" si="83"/>
        <v>-9.4312653593460194E-3</v>
      </c>
    </row>
    <row r="5150" spans="2:4" x14ac:dyDescent="0.2">
      <c r="B5150" s="20">
        <v>43565</v>
      </c>
      <c r="C5150" s="58">
        <v>11905.91</v>
      </c>
      <c r="D5150" s="3">
        <f t="shared" si="83"/>
        <v>4.669817569956658E-3</v>
      </c>
    </row>
    <row r="5151" spans="2:4" x14ac:dyDescent="0.2">
      <c r="B5151" s="20">
        <v>43566</v>
      </c>
      <c r="C5151" s="58">
        <v>11935.2</v>
      </c>
      <c r="D5151" s="3">
        <f t="shared" si="83"/>
        <v>2.4601227457625718E-3</v>
      </c>
    </row>
    <row r="5152" spans="2:4" x14ac:dyDescent="0.2">
      <c r="B5152" s="20">
        <v>43567</v>
      </c>
      <c r="C5152" s="58">
        <v>11999.93</v>
      </c>
      <c r="D5152" s="3">
        <f t="shared" si="83"/>
        <v>5.4234533145651742E-3</v>
      </c>
    </row>
    <row r="5153" spans="2:4" x14ac:dyDescent="0.2">
      <c r="B5153" s="20">
        <v>43570</v>
      </c>
      <c r="C5153" s="58">
        <v>12020.28</v>
      </c>
      <c r="D5153" s="3">
        <f t="shared" si="83"/>
        <v>1.6958432257521139E-3</v>
      </c>
    </row>
    <row r="5154" spans="2:4" x14ac:dyDescent="0.2">
      <c r="B5154" s="20">
        <v>43571</v>
      </c>
      <c r="C5154" s="58">
        <v>12101.32</v>
      </c>
      <c r="D5154" s="3">
        <f t="shared" si="83"/>
        <v>6.7419394556531564E-3</v>
      </c>
    </row>
    <row r="5155" spans="2:4" x14ac:dyDescent="0.2">
      <c r="B5155" s="20">
        <v>43572</v>
      </c>
      <c r="C5155" s="58">
        <v>12153.07</v>
      </c>
      <c r="D5155" s="3">
        <f t="shared" si="83"/>
        <v>4.2763929885334395E-3</v>
      </c>
    </row>
    <row r="5156" spans="2:4" x14ac:dyDescent="0.2">
      <c r="B5156" s="20">
        <v>43573</v>
      </c>
      <c r="C5156" s="58">
        <v>12222.39</v>
      </c>
      <c r="D5156" s="3">
        <f t="shared" si="83"/>
        <v>5.7039085597301309E-3</v>
      </c>
    </row>
    <row r="5157" spans="2:4" x14ac:dyDescent="0.2">
      <c r="B5157" s="20">
        <v>43578</v>
      </c>
      <c r="C5157" s="58">
        <v>12235.51</v>
      </c>
      <c r="D5157" s="3">
        <f t="shared" si="83"/>
        <v>1.0734398100535891E-3</v>
      </c>
    </row>
    <row r="5158" spans="2:4" x14ac:dyDescent="0.2">
      <c r="B5158" s="20">
        <v>43579</v>
      </c>
      <c r="C5158" s="58">
        <v>12313.16</v>
      </c>
      <c r="D5158" s="3">
        <f t="shared" si="83"/>
        <v>6.3462822555004905E-3</v>
      </c>
    </row>
    <row r="5159" spans="2:4" x14ac:dyDescent="0.2">
      <c r="B5159" s="20">
        <v>43580</v>
      </c>
      <c r="C5159" s="58">
        <v>12282.6</v>
      </c>
      <c r="D5159" s="3">
        <f t="shared" si="83"/>
        <v>-2.4818974170723873E-3</v>
      </c>
    </row>
    <row r="5160" spans="2:4" x14ac:dyDescent="0.2">
      <c r="B5160" s="20">
        <v>43581</v>
      </c>
      <c r="C5160" s="58">
        <v>12315.18</v>
      </c>
      <c r="D5160" s="3">
        <f t="shared" si="83"/>
        <v>2.6525328513506974E-3</v>
      </c>
    </row>
    <row r="5161" spans="2:4" x14ac:dyDescent="0.2">
      <c r="B5161" s="20">
        <v>43584</v>
      </c>
      <c r="C5161" s="58">
        <v>12328.02</v>
      </c>
      <c r="D5161" s="3">
        <f t="shared" si="83"/>
        <v>1.0426156986742541E-3</v>
      </c>
    </row>
    <row r="5162" spans="2:4" x14ac:dyDescent="0.2">
      <c r="B5162" s="20">
        <v>43585</v>
      </c>
      <c r="C5162" s="58">
        <v>12344.08</v>
      </c>
      <c r="D5162" s="3">
        <f t="shared" si="83"/>
        <v>1.3027233894817858E-3</v>
      </c>
    </row>
    <row r="5163" spans="2:4" x14ac:dyDescent="0.2">
      <c r="B5163" s="20">
        <v>43587</v>
      </c>
      <c r="C5163" s="58">
        <v>12345.42</v>
      </c>
      <c r="D5163" s="3">
        <f t="shared" si="83"/>
        <v>1.0855405992193923E-4</v>
      </c>
    </row>
    <row r="5164" spans="2:4" x14ac:dyDescent="0.2">
      <c r="B5164" s="20">
        <v>43588</v>
      </c>
      <c r="C5164" s="58">
        <v>12412.75</v>
      </c>
      <c r="D5164" s="3">
        <f t="shared" si="83"/>
        <v>5.4538444216558624E-3</v>
      </c>
    </row>
    <row r="5165" spans="2:4" x14ac:dyDescent="0.2">
      <c r="B5165" s="20">
        <v>43591</v>
      </c>
      <c r="C5165" s="58">
        <v>12286.88</v>
      </c>
      <c r="D5165" s="3">
        <f t="shared" si="83"/>
        <v>-1.0140379851362624E-2</v>
      </c>
    </row>
    <row r="5166" spans="2:4" x14ac:dyDescent="0.2">
      <c r="B5166" s="20">
        <v>43592</v>
      </c>
      <c r="C5166" s="58">
        <v>12092.74</v>
      </c>
      <c r="D5166" s="3">
        <f t="shared" si="83"/>
        <v>-1.5800593804122687E-2</v>
      </c>
    </row>
    <row r="5167" spans="2:4" x14ac:dyDescent="0.2">
      <c r="B5167" s="20">
        <v>43593</v>
      </c>
      <c r="C5167" s="58">
        <v>12179.93</v>
      </c>
      <c r="D5167" s="3">
        <f t="shared" si="83"/>
        <v>7.2101111906814896E-3</v>
      </c>
    </row>
    <row r="5168" spans="2:4" x14ac:dyDescent="0.2">
      <c r="B5168" s="20">
        <v>43594</v>
      </c>
      <c r="C5168" s="58">
        <v>11973.92</v>
      </c>
      <c r="D5168" s="3">
        <f t="shared" si="83"/>
        <v>-1.6913890309714463E-2</v>
      </c>
    </row>
    <row r="5169" spans="2:4" x14ac:dyDescent="0.2">
      <c r="B5169" s="20">
        <v>43595</v>
      </c>
      <c r="C5169" s="58">
        <v>12059.83</v>
      </c>
      <c r="D5169" s="3">
        <f t="shared" si="83"/>
        <v>7.1747598113232058E-3</v>
      </c>
    </row>
    <row r="5170" spans="2:4" x14ac:dyDescent="0.2">
      <c r="B5170" s="20">
        <v>43598</v>
      </c>
      <c r="C5170" s="58">
        <v>11876.65</v>
      </c>
      <c r="D5170" s="3">
        <f t="shared" si="83"/>
        <v>-1.5189268837122905E-2</v>
      </c>
    </row>
    <row r="5171" spans="2:4" x14ac:dyDescent="0.2">
      <c r="B5171" s="20">
        <v>43599</v>
      </c>
      <c r="C5171" s="58">
        <v>11991.62</v>
      </c>
      <c r="D5171" s="3">
        <f t="shared" si="83"/>
        <v>9.6803391528756944E-3</v>
      </c>
    </row>
    <row r="5172" spans="2:4" x14ac:dyDescent="0.2">
      <c r="B5172" s="20">
        <v>43600</v>
      </c>
      <c r="C5172" s="58">
        <v>12099.57</v>
      </c>
      <c r="D5172" s="3">
        <f t="shared" si="83"/>
        <v>9.0021198136698288E-3</v>
      </c>
    </row>
    <row r="5173" spans="2:4" x14ac:dyDescent="0.2">
      <c r="B5173" s="20">
        <v>43601</v>
      </c>
      <c r="C5173" s="58">
        <v>12310.37</v>
      </c>
      <c r="D5173" s="3">
        <f t="shared" si="83"/>
        <v>1.7422106736024512E-2</v>
      </c>
    </row>
    <row r="5174" spans="2:4" x14ac:dyDescent="0.2">
      <c r="B5174" s="20">
        <v>43602</v>
      </c>
      <c r="C5174" s="58">
        <v>12238.94</v>
      </c>
      <c r="D5174" s="3">
        <f t="shared" si="83"/>
        <v>-5.8024251098870439E-3</v>
      </c>
    </row>
    <row r="5175" spans="2:4" x14ac:dyDescent="0.2">
      <c r="B5175" s="20">
        <v>43605</v>
      </c>
      <c r="C5175" s="58">
        <v>12041.29</v>
      </c>
      <c r="D5175" s="3">
        <f t="shared" si="83"/>
        <v>-1.6149274365263588E-2</v>
      </c>
    </row>
    <row r="5176" spans="2:4" x14ac:dyDescent="0.2">
      <c r="B5176" s="20">
        <v>43606</v>
      </c>
      <c r="C5176" s="58">
        <v>12143.47</v>
      </c>
      <c r="D5176" s="3">
        <f t="shared" si="83"/>
        <v>8.4858017704081412E-3</v>
      </c>
    </row>
    <row r="5177" spans="2:4" x14ac:dyDescent="0.2">
      <c r="B5177" s="20">
        <v>43607</v>
      </c>
      <c r="C5177" s="58">
        <v>12168.74</v>
      </c>
      <c r="D5177" s="3">
        <f t="shared" si="83"/>
        <v>2.0809537965671421E-3</v>
      </c>
    </row>
    <row r="5178" spans="2:4" x14ac:dyDescent="0.2">
      <c r="B5178" s="20">
        <v>43608</v>
      </c>
      <c r="C5178" s="58">
        <v>11952.41</v>
      </c>
      <c r="D5178" s="3">
        <f t="shared" si="83"/>
        <v>-1.777751846123754E-2</v>
      </c>
    </row>
    <row r="5179" spans="2:4" x14ac:dyDescent="0.2">
      <c r="B5179" s="20">
        <v>43609</v>
      </c>
      <c r="C5179" s="58">
        <v>12011.04</v>
      </c>
      <c r="D5179" s="3">
        <f t="shared" si="83"/>
        <v>4.9052868835657293E-3</v>
      </c>
    </row>
    <row r="5180" spans="2:4" x14ac:dyDescent="0.2">
      <c r="B5180" s="20">
        <v>43612</v>
      </c>
      <c r="C5180" s="58">
        <v>12071.18</v>
      </c>
      <c r="D5180" s="3">
        <f t="shared" si="83"/>
        <v>5.0070601713090301E-3</v>
      </c>
    </row>
    <row r="5181" spans="2:4" x14ac:dyDescent="0.2">
      <c r="B5181" s="20">
        <v>43613</v>
      </c>
      <c r="C5181" s="58">
        <v>12027.05</v>
      </c>
      <c r="D5181" s="3">
        <f t="shared" si="83"/>
        <v>-3.6558149244730886E-3</v>
      </c>
    </row>
    <row r="5182" spans="2:4" x14ac:dyDescent="0.2">
      <c r="B5182" s="20">
        <v>43614</v>
      </c>
      <c r="C5182" s="58">
        <v>11837.81</v>
      </c>
      <c r="D5182" s="3">
        <f t="shared" si="83"/>
        <v>-1.573453174302919E-2</v>
      </c>
    </row>
    <row r="5183" spans="2:4" x14ac:dyDescent="0.2">
      <c r="B5183" s="20">
        <v>43615</v>
      </c>
      <c r="C5183" s="58">
        <v>11902.08</v>
      </c>
      <c r="D5183" s="3">
        <f t="shared" si="83"/>
        <v>5.4292136805709212E-3</v>
      </c>
    </row>
    <row r="5184" spans="2:4" x14ac:dyDescent="0.2">
      <c r="B5184" s="20">
        <v>43616</v>
      </c>
      <c r="C5184" s="58">
        <v>11726.84</v>
      </c>
      <c r="D5184" s="3">
        <f t="shared" si="83"/>
        <v>-1.4723476904877075E-2</v>
      </c>
    </row>
    <row r="5185" spans="2:4" x14ac:dyDescent="0.2">
      <c r="B5185" s="20">
        <v>43619</v>
      </c>
      <c r="C5185" s="58">
        <v>11792.81</v>
      </c>
      <c r="D5185" s="3">
        <f t="shared" si="83"/>
        <v>5.6255564158800286E-3</v>
      </c>
    </row>
    <row r="5186" spans="2:4" x14ac:dyDescent="0.2">
      <c r="B5186" s="20">
        <v>43620</v>
      </c>
      <c r="C5186" s="58">
        <v>11971.17</v>
      </c>
      <c r="D5186" s="3">
        <f t="shared" si="83"/>
        <v>1.5124469910055449E-2</v>
      </c>
    </row>
    <row r="5187" spans="2:4" x14ac:dyDescent="0.2">
      <c r="B5187" s="20">
        <v>43621</v>
      </c>
      <c r="C5187" s="58">
        <v>11980.81</v>
      </c>
      <c r="D5187" s="3">
        <f t="shared" si="83"/>
        <v>8.0526798967839319E-4</v>
      </c>
    </row>
    <row r="5188" spans="2:4" x14ac:dyDescent="0.2">
      <c r="B5188" s="20">
        <v>43622</v>
      </c>
      <c r="C5188" s="58">
        <v>11953.14</v>
      </c>
      <c r="D5188" s="3">
        <f t="shared" si="83"/>
        <v>-2.3095266513699642E-3</v>
      </c>
    </row>
    <row r="5189" spans="2:4" x14ac:dyDescent="0.2">
      <c r="B5189" s="20">
        <v>43623</v>
      </c>
      <c r="C5189" s="58">
        <v>12045.38</v>
      </c>
      <c r="D5189" s="3">
        <f t="shared" ref="D5189:D5252" si="84">C5189/C5188-1</f>
        <v>7.7168007736878597E-3</v>
      </c>
    </row>
    <row r="5190" spans="2:4" x14ac:dyDescent="0.2">
      <c r="B5190" s="20">
        <v>43627</v>
      </c>
      <c r="C5190" s="58">
        <v>12155.81</v>
      </c>
      <c r="D5190" s="3">
        <f t="shared" si="84"/>
        <v>9.1678303216669033E-3</v>
      </c>
    </row>
    <row r="5191" spans="2:4" x14ac:dyDescent="0.2">
      <c r="B5191" s="20">
        <v>43628</v>
      </c>
      <c r="C5191" s="58">
        <v>12115.68</v>
      </c>
      <c r="D5191" s="3">
        <f t="shared" si="84"/>
        <v>-3.3013020111369862E-3</v>
      </c>
    </row>
    <row r="5192" spans="2:4" x14ac:dyDescent="0.2">
      <c r="B5192" s="20">
        <v>43629</v>
      </c>
      <c r="C5192" s="58">
        <v>12169.05</v>
      </c>
      <c r="D5192" s="3">
        <f t="shared" si="84"/>
        <v>4.4050354581830486E-3</v>
      </c>
    </row>
    <row r="5193" spans="2:4" x14ac:dyDescent="0.2">
      <c r="B5193" s="20">
        <v>43630</v>
      </c>
      <c r="C5193" s="58">
        <v>12096.4</v>
      </c>
      <c r="D5193" s="3">
        <f t="shared" si="84"/>
        <v>-5.9700633985396712E-3</v>
      </c>
    </row>
    <row r="5194" spans="2:4" x14ac:dyDescent="0.2">
      <c r="B5194" s="20">
        <v>43633</v>
      </c>
      <c r="C5194" s="58">
        <v>12085.82</v>
      </c>
      <c r="D5194" s="3">
        <f t="shared" si="84"/>
        <v>-8.7464038887596907E-4</v>
      </c>
    </row>
    <row r="5195" spans="2:4" x14ac:dyDescent="0.2">
      <c r="B5195" s="20">
        <v>43634</v>
      </c>
      <c r="C5195" s="58">
        <v>12331.75</v>
      </c>
      <c r="D5195" s="3">
        <f t="shared" si="84"/>
        <v>2.0348639976435212E-2</v>
      </c>
    </row>
    <row r="5196" spans="2:4" x14ac:dyDescent="0.2">
      <c r="B5196" s="20">
        <v>43635</v>
      </c>
      <c r="C5196" s="58">
        <v>12308.53</v>
      </c>
      <c r="D5196" s="3">
        <f t="shared" si="84"/>
        <v>-1.882944432055389E-3</v>
      </c>
    </row>
    <row r="5197" spans="2:4" x14ac:dyDescent="0.2">
      <c r="B5197" s="20">
        <v>43636</v>
      </c>
      <c r="C5197" s="58">
        <v>12355.39</v>
      </c>
      <c r="D5197" s="3">
        <f t="shared" si="84"/>
        <v>3.8071158781753933E-3</v>
      </c>
    </row>
    <row r="5198" spans="2:4" x14ac:dyDescent="0.2">
      <c r="B5198" s="20">
        <v>43637</v>
      </c>
      <c r="C5198" s="58">
        <v>12339.92</v>
      </c>
      <c r="D5198" s="3">
        <f t="shared" si="84"/>
        <v>-1.2520851223635221E-3</v>
      </c>
    </row>
    <row r="5199" spans="2:4" x14ac:dyDescent="0.2">
      <c r="B5199" s="20">
        <v>43640</v>
      </c>
      <c r="C5199" s="58">
        <v>12274.57</v>
      </c>
      <c r="D5199" s="3">
        <f t="shared" si="84"/>
        <v>-5.2958203942975457E-3</v>
      </c>
    </row>
    <row r="5200" spans="2:4" x14ac:dyDescent="0.2">
      <c r="B5200" s="20">
        <v>43641</v>
      </c>
      <c r="C5200" s="58">
        <v>12228.44</v>
      </c>
      <c r="D5200" s="3">
        <f t="shared" si="84"/>
        <v>-3.7581764575052024E-3</v>
      </c>
    </row>
    <row r="5201" spans="2:4" x14ac:dyDescent="0.2">
      <c r="B5201" s="20">
        <v>43642</v>
      </c>
      <c r="C5201" s="58">
        <v>12245.32</v>
      </c>
      <c r="D5201" s="3">
        <f t="shared" si="84"/>
        <v>1.3803886677286048E-3</v>
      </c>
    </row>
    <row r="5202" spans="2:4" x14ac:dyDescent="0.2">
      <c r="B5202" s="20">
        <v>43643</v>
      </c>
      <c r="C5202" s="58">
        <v>12271.03</v>
      </c>
      <c r="D5202" s="3">
        <f t="shared" si="84"/>
        <v>2.0995776345575923E-3</v>
      </c>
    </row>
    <row r="5203" spans="2:4" x14ac:dyDescent="0.2">
      <c r="B5203" s="20">
        <v>43644</v>
      </c>
      <c r="C5203" s="58">
        <v>12398.8</v>
      </c>
      <c r="D5203" s="3">
        <f t="shared" si="84"/>
        <v>1.0412328875408106E-2</v>
      </c>
    </row>
    <row r="5204" spans="2:4" x14ac:dyDescent="0.2">
      <c r="B5204" s="20">
        <v>43647</v>
      </c>
      <c r="C5204" s="58">
        <v>12521.38</v>
      </c>
      <c r="D5204" s="3">
        <f t="shared" si="84"/>
        <v>9.8864406232861413E-3</v>
      </c>
    </row>
    <row r="5205" spans="2:4" x14ac:dyDescent="0.2">
      <c r="B5205" s="20">
        <v>43648</v>
      </c>
      <c r="C5205" s="58">
        <v>12526.72</v>
      </c>
      <c r="D5205" s="3">
        <f t="shared" si="84"/>
        <v>4.2647056474609535E-4</v>
      </c>
    </row>
    <row r="5206" spans="2:4" x14ac:dyDescent="0.2">
      <c r="B5206" s="20">
        <v>43649</v>
      </c>
      <c r="C5206" s="58">
        <v>12616.24</v>
      </c>
      <c r="D5206" s="3">
        <f t="shared" si="84"/>
        <v>7.1463240177795928E-3</v>
      </c>
    </row>
    <row r="5207" spans="2:4" x14ac:dyDescent="0.2">
      <c r="B5207" s="20">
        <v>43650</v>
      </c>
      <c r="C5207" s="58">
        <v>12629.9</v>
      </c>
      <c r="D5207" s="3">
        <f t="shared" si="84"/>
        <v>1.0827314635739604E-3</v>
      </c>
    </row>
    <row r="5208" spans="2:4" x14ac:dyDescent="0.2">
      <c r="B5208" s="20">
        <v>43651</v>
      </c>
      <c r="C5208" s="58">
        <v>12568.53</v>
      </c>
      <c r="D5208" s="3">
        <f t="shared" si="84"/>
        <v>-4.8591041892650511E-3</v>
      </c>
    </row>
    <row r="5209" spans="2:4" x14ac:dyDescent="0.2">
      <c r="B5209" s="20">
        <v>43654</v>
      </c>
      <c r="C5209" s="58">
        <v>12543.51</v>
      </c>
      <c r="D5209" s="3">
        <f t="shared" si="84"/>
        <v>-1.9906862616392296E-3</v>
      </c>
    </row>
    <row r="5210" spans="2:4" x14ac:dyDescent="0.2">
      <c r="B5210" s="20">
        <v>43655</v>
      </c>
      <c r="C5210" s="58">
        <v>12436.55</v>
      </c>
      <c r="D5210" s="3">
        <f t="shared" si="84"/>
        <v>-8.52711880486412E-3</v>
      </c>
    </row>
    <row r="5211" spans="2:4" x14ac:dyDescent="0.2">
      <c r="B5211" s="20">
        <v>43656</v>
      </c>
      <c r="C5211" s="58">
        <v>12373.41</v>
      </c>
      <c r="D5211" s="3">
        <f t="shared" si="84"/>
        <v>-5.0769707032898292E-3</v>
      </c>
    </row>
    <row r="5212" spans="2:4" x14ac:dyDescent="0.2">
      <c r="B5212" s="20">
        <v>43657</v>
      </c>
      <c r="C5212" s="58">
        <v>12332.12</v>
      </c>
      <c r="D5212" s="3">
        <f t="shared" si="84"/>
        <v>-3.3369944097867421E-3</v>
      </c>
    </row>
    <row r="5213" spans="2:4" x14ac:dyDescent="0.2">
      <c r="B5213" s="20">
        <v>43658</v>
      </c>
      <c r="C5213" s="58">
        <v>12323.32</v>
      </c>
      <c r="D5213" s="3">
        <f t="shared" si="84"/>
        <v>-7.1358371472229898E-4</v>
      </c>
    </row>
    <row r="5214" spans="2:4" x14ac:dyDescent="0.2">
      <c r="B5214" s="20">
        <v>43661</v>
      </c>
      <c r="C5214" s="58">
        <v>12387.34</v>
      </c>
      <c r="D5214" s="3">
        <f t="shared" si="84"/>
        <v>5.1950286124193834E-3</v>
      </c>
    </row>
    <row r="5215" spans="2:4" x14ac:dyDescent="0.2">
      <c r="B5215" s="20">
        <v>43662</v>
      </c>
      <c r="C5215" s="58">
        <v>12430.97</v>
      </c>
      <c r="D5215" s="3">
        <f t="shared" si="84"/>
        <v>3.5221443828941101E-3</v>
      </c>
    </row>
    <row r="5216" spans="2:4" x14ac:dyDescent="0.2">
      <c r="B5216" s="20">
        <v>43663</v>
      </c>
      <c r="C5216" s="58">
        <v>12341.03</v>
      </c>
      <c r="D5216" s="3">
        <f t="shared" si="84"/>
        <v>-7.2351554223040182E-3</v>
      </c>
    </row>
    <row r="5217" spans="2:4" x14ac:dyDescent="0.2">
      <c r="B5217" s="20">
        <v>43664</v>
      </c>
      <c r="C5217" s="58">
        <v>12227.85</v>
      </c>
      <c r="D5217" s="3">
        <f t="shared" si="84"/>
        <v>-9.1710335360987161E-3</v>
      </c>
    </row>
    <row r="5218" spans="2:4" x14ac:dyDescent="0.2">
      <c r="B5218" s="20">
        <v>43665</v>
      </c>
      <c r="C5218" s="58">
        <v>12260.07</v>
      </c>
      <c r="D5218" s="3">
        <f t="shared" si="84"/>
        <v>2.6349685349427165E-3</v>
      </c>
    </row>
    <row r="5219" spans="2:4" x14ac:dyDescent="0.2">
      <c r="B5219" s="20">
        <v>43668</v>
      </c>
      <c r="C5219" s="58">
        <v>12289.4</v>
      </c>
      <c r="D5219" s="3">
        <f t="shared" si="84"/>
        <v>2.3923191303150126E-3</v>
      </c>
    </row>
    <row r="5220" spans="2:4" x14ac:dyDescent="0.2">
      <c r="B5220" s="20">
        <v>43669</v>
      </c>
      <c r="C5220" s="58">
        <v>12490.74</v>
      </c>
      <c r="D5220" s="3">
        <f t="shared" si="84"/>
        <v>1.638322456751351E-2</v>
      </c>
    </row>
    <row r="5221" spans="2:4" x14ac:dyDescent="0.2">
      <c r="B5221" s="20">
        <v>43670</v>
      </c>
      <c r="C5221" s="58">
        <v>12522.89</v>
      </c>
      <c r="D5221" s="3">
        <f t="shared" si="84"/>
        <v>2.5739067501204804E-3</v>
      </c>
    </row>
    <row r="5222" spans="2:4" x14ac:dyDescent="0.2">
      <c r="B5222" s="20">
        <v>43671</v>
      </c>
      <c r="C5222" s="58">
        <v>12362.1</v>
      </c>
      <c r="D5222" s="3">
        <f t="shared" si="84"/>
        <v>-1.2839687963401292E-2</v>
      </c>
    </row>
    <row r="5223" spans="2:4" x14ac:dyDescent="0.2">
      <c r="B5223" s="20">
        <v>43672</v>
      </c>
      <c r="C5223" s="58">
        <v>12419.9</v>
      </c>
      <c r="D5223" s="3">
        <f t="shared" si="84"/>
        <v>4.6755810096990036E-3</v>
      </c>
    </row>
    <row r="5224" spans="2:4" x14ac:dyDescent="0.2">
      <c r="B5224" s="20">
        <v>43675</v>
      </c>
      <c r="C5224" s="58">
        <v>12417.47</v>
      </c>
      <c r="D5224" s="3">
        <f t="shared" si="84"/>
        <v>-1.956537492250332E-4</v>
      </c>
    </row>
    <row r="5225" spans="2:4" x14ac:dyDescent="0.2">
      <c r="B5225" s="20">
        <v>43676</v>
      </c>
      <c r="C5225" s="58">
        <v>12147.24</v>
      </c>
      <c r="D5225" s="3">
        <f t="shared" si="84"/>
        <v>-2.1762081969998737E-2</v>
      </c>
    </row>
    <row r="5226" spans="2:4" x14ac:dyDescent="0.2">
      <c r="B5226" s="20">
        <v>43677</v>
      </c>
      <c r="C5226" s="58">
        <v>12189.04</v>
      </c>
      <c r="D5226" s="3">
        <f t="shared" si="84"/>
        <v>3.4411109025589415E-3</v>
      </c>
    </row>
    <row r="5227" spans="2:4" x14ac:dyDescent="0.2">
      <c r="B5227" s="20">
        <v>43678</v>
      </c>
      <c r="C5227" s="58">
        <v>12253.15</v>
      </c>
      <c r="D5227" s="3">
        <f t="shared" si="84"/>
        <v>5.259643089201349E-3</v>
      </c>
    </row>
    <row r="5228" spans="2:4" x14ac:dyDescent="0.2">
      <c r="B5228" s="20">
        <v>43679</v>
      </c>
      <c r="C5228" s="58">
        <v>11872.44</v>
      </c>
      <c r="D5228" s="3">
        <f t="shared" si="84"/>
        <v>-3.1070377821213246E-2</v>
      </c>
    </row>
    <row r="5229" spans="2:4" x14ac:dyDescent="0.2">
      <c r="B5229" s="20">
        <v>43682</v>
      </c>
      <c r="C5229" s="58">
        <v>11658.51</v>
      </c>
      <c r="D5229" s="3">
        <f t="shared" si="84"/>
        <v>-1.801904242093455E-2</v>
      </c>
    </row>
    <row r="5230" spans="2:4" x14ac:dyDescent="0.2">
      <c r="B5230" s="20">
        <v>43683</v>
      </c>
      <c r="C5230" s="58">
        <v>11567.96</v>
      </c>
      <c r="D5230" s="3">
        <f t="shared" si="84"/>
        <v>-7.7668587152218693E-3</v>
      </c>
    </row>
    <row r="5231" spans="2:4" x14ac:dyDescent="0.2">
      <c r="B5231" s="20">
        <v>43684</v>
      </c>
      <c r="C5231" s="58">
        <v>11650.15</v>
      </c>
      <c r="D5231" s="3">
        <f t="shared" si="84"/>
        <v>7.1049692426323752E-3</v>
      </c>
    </row>
    <row r="5232" spans="2:4" x14ac:dyDescent="0.2">
      <c r="B5232" s="20">
        <v>43685</v>
      </c>
      <c r="C5232" s="58">
        <v>11845.41</v>
      </c>
      <c r="D5232" s="3">
        <f t="shared" si="84"/>
        <v>1.6760299223615105E-2</v>
      </c>
    </row>
    <row r="5233" spans="2:4" x14ac:dyDescent="0.2">
      <c r="B5233" s="20">
        <v>43686</v>
      </c>
      <c r="C5233" s="58">
        <v>11693.8</v>
      </c>
      <c r="D5233" s="3">
        <f t="shared" si="84"/>
        <v>-1.2799050433881187E-2</v>
      </c>
    </row>
    <row r="5234" spans="2:4" x14ac:dyDescent="0.2">
      <c r="B5234" s="20">
        <v>43689</v>
      </c>
      <c r="C5234" s="58">
        <v>11679.68</v>
      </c>
      <c r="D5234" s="3">
        <f t="shared" si="84"/>
        <v>-1.2074774666916976E-3</v>
      </c>
    </row>
    <row r="5235" spans="2:4" x14ac:dyDescent="0.2">
      <c r="B5235" s="20">
        <v>43690</v>
      </c>
      <c r="C5235" s="58">
        <v>11750.13</v>
      </c>
      <c r="D5235" s="3">
        <f t="shared" si="84"/>
        <v>6.0318433381736369E-3</v>
      </c>
    </row>
    <row r="5236" spans="2:4" x14ac:dyDescent="0.2">
      <c r="B5236" s="20">
        <v>43691</v>
      </c>
      <c r="C5236" s="58">
        <v>11492.66</v>
      </c>
      <c r="D5236" s="3">
        <f t="shared" si="84"/>
        <v>-2.1912097993809332E-2</v>
      </c>
    </row>
    <row r="5237" spans="2:4" x14ac:dyDescent="0.2">
      <c r="B5237" s="20">
        <v>43692</v>
      </c>
      <c r="C5237" s="58">
        <v>11412.67</v>
      </c>
      <c r="D5237" s="3">
        <f t="shared" si="84"/>
        <v>-6.960094529899985E-3</v>
      </c>
    </row>
    <row r="5238" spans="2:4" x14ac:dyDescent="0.2">
      <c r="B5238" s="20">
        <v>43693</v>
      </c>
      <c r="C5238" s="58">
        <v>11562.74</v>
      </c>
      <c r="D5238" s="3">
        <f t="shared" si="84"/>
        <v>1.3149420775331322E-2</v>
      </c>
    </row>
    <row r="5239" spans="2:4" x14ac:dyDescent="0.2">
      <c r="B5239" s="20">
        <v>43696</v>
      </c>
      <c r="C5239" s="58">
        <v>11715.37</v>
      </c>
      <c r="D5239" s="3">
        <f t="shared" si="84"/>
        <v>1.320015843995459E-2</v>
      </c>
    </row>
    <row r="5240" spans="2:4" x14ac:dyDescent="0.2">
      <c r="B5240" s="20">
        <v>43697</v>
      </c>
      <c r="C5240" s="58">
        <v>11651.18</v>
      </c>
      <c r="D5240" s="3">
        <f t="shared" si="84"/>
        <v>-5.4791269930015707E-3</v>
      </c>
    </row>
    <row r="5241" spans="2:4" x14ac:dyDescent="0.2">
      <c r="B5241" s="20">
        <v>43698</v>
      </c>
      <c r="C5241" s="58">
        <v>11802.85</v>
      </c>
      <c r="D5241" s="3">
        <f t="shared" si="84"/>
        <v>1.3017565602797321E-2</v>
      </c>
    </row>
    <row r="5242" spans="2:4" x14ac:dyDescent="0.2">
      <c r="B5242" s="20">
        <v>43699</v>
      </c>
      <c r="C5242" s="58">
        <v>11747.04</v>
      </c>
      <c r="D5242" s="3">
        <f t="shared" si="84"/>
        <v>-4.728518959403849E-3</v>
      </c>
    </row>
    <row r="5243" spans="2:4" x14ac:dyDescent="0.2">
      <c r="B5243" s="20">
        <v>43700</v>
      </c>
      <c r="C5243" s="58">
        <v>11611.51</v>
      </c>
      <c r="D5243" s="3">
        <f t="shared" si="84"/>
        <v>-1.1537374521581656E-2</v>
      </c>
    </row>
    <row r="5244" spans="2:4" x14ac:dyDescent="0.2">
      <c r="B5244" s="20">
        <v>43703</v>
      </c>
      <c r="C5244" s="58">
        <v>11658.04</v>
      </c>
      <c r="D5244" s="3">
        <f t="shared" si="84"/>
        <v>4.0072307563787657E-3</v>
      </c>
    </row>
    <row r="5245" spans="2:4" x14ac:dyDescent="0.2">
      <c r="B5245" s="20">
        <v>43704</v>
      </c>
      <c r="C5245" s="58">
        <v>11730.02</v>
      </c>
      <c r="D5245" s="3">
        <f t="shared" si="84"/>
        <v>6.1742797245505354E-3</v>
      </c>
    </row>
    <row r="5246" spans="2:4" x14ac:dyDescent="0.2">
      <c r="B5246" s="20">
        <v>43705</v>
      </c>
      <c r="C5246" s="58">
        <v>11701.02</v>
      </c>
      <c r="D5246" s="3">
        <f t="shared" si="84"/>
        <v>-2.472289049805565E-3</v>
      </c>
    </row>
    <row r="5247" spans="2:4" x14ac:dyDescent="0.2">
      <c r="B5247" s="20">
        <v>43706</v>
      </c>
      <c r="C5247" s="58">
        <v>11838.88</v>
      </c>
      <c r="D5247" s="3">
        <f t="shared" si="84"/>
        <v>1.1781878844750127E-2</v>
      </c>
    </row>
    <row r="5248" spans="2:4" x14ac:dyDescent="0.2">
      <c r="B5248" s="20">
        <v>43707</v>
      </c>
      <c r="C5248" s="58">
        <v>11939.28</v>
      </c>
      <c r="D5248" s="3">
        <f t="shared" si="84"/>
        <v>8.4805319422107672E-3</v>
      </c>
    </row>
    <row r="5249" spans="2:4" x14ac:dyDescent="0.2">
      <c r="B5249" s="20">
        <v>43710</v>
      </c>
      <c r="C5249" s="58">
        <v>11953.78</v>
      </c>
      <c r="D5249" s="3">
        <f t="shared" si="84"/>
        <v>1.2144785950241044E-3</v>
      </c>
    </row>
    <row r="5250" spans="2:4" x14ac:dyDescent="0.2">
      <c r="B5250" s="20">
        <v>43711</v>
      </c>
      <c r="C5250" s="58">
        <v>11910.86</v>
      </c>
      <c r="D5250" s="3">
        <f t="shared" si="84"/>
        <v>-3.5904960606603087E-3</v>
      </c>
    </row>
    <row r="5251" spans="2:4" x14ac:dyDescent="0.2">
      <c r="B5251" s="20">
        <v>43712</v>
      </c>
      <c r="C5251" s="58">
        <v>12025.04</v>
      </c>
      <c r="D5251" s="3">
        <f t="shared" si="84"/>
        <v>9.586209560014991E-3</v>
      </c>
    </row>
    <row r="5252" spans="2:4" x14ac:dyDescent="0.2">
      <c r="B5252" s="20">
        <v>43713</v>
      </c>
      <c r="C5252" s="58">
        <v>12126.78</v>
      </c>
      <c r="D5252" s="3">
        <f t="shared" si="84"/>
        <v>8.4606787170771192E-3</v>
      </c>
    </row>
    <row r="5253" spans="2:4" x14ac:dyDescent="0.2">
      <c r="B5253" s="20">
        <v>43714</v>
      </c>
      <c r="C5253" s="58">
        <v>12191.73</v>
      </c>
      <c r="D5253" s="3">
        <f t="shared" ref="D5253:D5316" si="85">C5253/C5252-1</f>
        <v>5.3559147605546364E-3</v>
      </c>
    </row>
    <row r="5254" spans="2:4" x14ac:dyDescent="0.2">
      <c r="B5254" s="20">
        <v>43717</v>
      </c>
      <c r="C5254" s="58">
        <v>12226.1</v>
      </c>
      <c r="D5254" s="3">
        <f t="shared" si="85"/>
        <v>2.8191241111803489E-3</v>
      </c>
    </row>
    <row r="5255" spans="2:4" x14ac:dyDescent="0.2">
      <c r="B5255" s="20">
        <v>43718</v>
      </c>
      <c r="C5255" s="58">
        <v>12268.71</v>
      </c>
      <c r="D5255" s="3">
        <f t="shared" si="85"/>
        <v>3.4851669788402706E-3</v>
      </c>
    </row>
    <row r="5256" spans="2:4" x14ac:dyDescent="0.2">
      <c r="B5256" s="20">
        <v>43719</v>
      </c>
      <c r="C5256" s="58">
        <v>12359.07</v>
      </c>
      <c r="D5256" s="3">
        <f t="shared" si="85"/>
        <v>7.365077502035744E-3</v>
      </c>
    </row>
    <row r="5257" spans="2:4" x14ac:dyDescent="0.2">
      <c r="B5257" s="20">
        <v>43720</v>
      </c>
      <c r="C5257" s="58">
        <v>12410.25</v>
      </c>
      <c r="D5257" s="3">
        <f t="shared" si="85"/>
        <v>4.14108828576909E-3</v>
      </c>
    </row>
    <row r="5258" spans="2:4" x14ac:dyDescent="0.2">
      <c r="B5258" s="20">
        <v>43721</v>
      </c>
      <c r="C5258" s="58">
        <v>12468.53</v>
      </c>
      <c r="D5258" s="3">
        <f t="shared" si="85"/>
        <v>4.696118128160176E-3</v>
      </c>
    </row>
    <row r="5259" spans="2:4" x14ac:dyDescent="0.2">
      <c r="B5259" s="20">
        <v>43724</v>
      </c>
      <c r="C5259" s="58">
        <v>12380.31</v>
      </c>
      <c r="D5259" s="3">
        <f t="shared" si="85"/>
        <v>-7.0754130599197662E-3</v>
      </c>
    </row>
    <row r="5260" spans="2:4" x14ac:dyDescent="0.2">
      <c r="B5260" s="20">
        <v>43725</v>
      </c>
      <c r="C5260" s="58">
        <v>12372.61</v>
      </c>
      <c r="D5260" s="3">
        <f t="shared" si="85"/>
        <v>-6.2195534683695541E-4</v>
      </c>
    </row>
    <row r="5261" spans="2:4" x14ac:dyDescent="0.2">
      <c r="B5261" s="20">
        <v>43726</v>
      </c>
      <c r="C5261" s="58">
        <v>12389.62</v>
      </c>
      <c r="D5261" s="3">
        <f t="shared" si="85"/>
        <v>1.3748109735940428E-3</v>
      </c>
    </row>
    <row r="5262" spans="2:4" x14ac:dyDescent="0.2">
      <c r="B5262" s="20">
        <v>43727</v>
      </c>
      <c r="C5262" s="58">
        <v>12457.7</v>
      </c>
      <c r="D5262" s="3">
        <f t="shared" si="85"/>
        <v>5.4949223624292109E-3</v>
      </c>
    </row>
    <row r="5263" spans="2:4" x14ac:dyDescent="0.2">
      <c r="B5263" s="20">
        <v>43728</v>
      </c>
      <c r="C5263" s="58">
        <v>12468.01</v>
      </c>
      <c r="D5263" s="3">
        <f t="shared" si="85"/>
        <v>8.2760060043174377E-4</v>
      </c>
    </row>
    <row r="5264" spans="2:4" x14ac:dyDescent="0.2">
      <c r="B5264" s="20">
        <v>43731</v>
      </c>
      <c r="C5264" s="58">
        <v>12342.33</v>
      </c>
      <c r="D5264" s="3">
        <f t="shared" si="85"/>
        <v>-1.0080197240778577E-2</v>
      </c>
    </row>
    <row r="5265" spans="2:4" x14ac:dyDescent="0.2">
      <c r="B5265" s="20">
        <v>43732</v>
      </c>
      <c r="C5265" s="58">
        <v>12307.15</v>
      </c>
      <c r="D5265" s="3">
        <f t="shared" si="85"/>
        <v>-2.8503532153167921E-3</v>
      </c>
    </row>
    <row r="5266" spans="2:4" x14ac:dyDescent="0.2">
      <c r="B5266" s="20">
        <v>43733</v>
      </c>
      <c r="C5266" s="58">
        <v>12234.18</v>
      </c>
      <c r="D5266" s="3">
        <f t="shared" si="85"/>
        <v>-5.9290737498119972E-3</v>
      </c>
    </row>
    <row r="5267" spans="2:4" x14ac:dyDescent="0.2">
      <c r="B5267" s="20">
        <v>43734</v>
      </c>
      <c r="C5267" s="58">
        <v>12288.54</v>
      </c>
      <c r="D5267" s="3">
        <f t="shared" si="85"/>
        <v>4.4432892110464195E-3</v>
      </c>
    </row>
    <row r="5268" spans="2:4" x14ac:dyDescent="0.2">
      <c r="B5268" s="20">
        <v>43735</v>
      </c>
      <c r="C5268" s="58">
        <v>12380.94</v>
      </c>
      <c r="D5268" s="3">
        <f t="shared" si="85"/>
        <v>7.5192008163702528E-3</v>
      </c>
    </row>
    <row r="5269" spans="2:4" x14ac:dyDescent="0.2">
      <c r="B5269" s="20">
        <v>43738</v>
      </c>
      <c r="C5269" s="58">
        <v>12428.08</v>
      </c>
      <c r="D5269" s="3">
        <f t="shared" si="85"/>
        <v>3.8074653459267971E-3</v>
      </c>
    </row>
    <row r="5270" spans="2:4" x14ac:dyDescent="0.2">
      <c r="B5270" s="20">
        <v>43739</v>
      </c>
      <c r="C5270" s="58">
        <v>12263.83</v>
      </c>
      <c r="D5270" s="3">
        <f t="shared" si="85"/>
        <v>-1.3216039806631441E-2</v>
      </c>
    </row>
    <row r="5271" spans="2:4" x14ac:dyDescent="0.2">
      <c r="B5271" s="20">
        <v>43740</v>
      </c>
      <c r="C5271" s="58">
        <v>11925.25</v>
      </c>
      <c r="D5271" s="3">
        <f t="shared" si="85"/>
        <v>-2.7608014788202406E-2</v>
      </c>
    </row>
    <row r="5272" spans="2:4" x14ac:dyDescent="0.2">
      <c r="B5272" s="20">
        <v>43742</v>
      </c>
      <c r="C5272" s="58">
        <v>12012.81</v>
      </c>
      <c r="D5272" s="3">
        <f t="shared" si="85"/>
        <v>7.3424037231923922E-3</v>
      </c>
    </row>
    <row r="5273" spans="2:4" x14ac:dyDescent="0.2">
      <c r="B5273" s="20">
        <v>43745</v>
      </c>
      <c r="C5273" s="58">
        <v>12097.43</v>
      </c>
      <c r="D5273" s="3">
        <f t="shared" si="85"/>
        <v>7.044147039701798E-3</v>
      </c>
    </row>
    <row r="5274" spans="2:4" x14ac:dyDescent="0.2">
      <c r="B5274" s="20">
        <v>43746</v>
      </c>
      <c r="C5274" s="58">
        <v>11970.2</v>
      </c>
      <c r="D5274" s="3">
        <f t="shared" si="85"/>
        <v>-1.0517109832418936E-2</v>
      </c>
    </row>
    <row r="5275" spans="2:4" x14ac:dyDescent="0.2">
      <c r="B5275" s="20">
        <v>43747</v>
      </c>
      <c r="C5275" s="58">
        <v>12094.26</v>
      </c>
      <c r="D5275" s="3">
        <f t="shared" si="85"/>
        <v>1.0364070775759737E-2</v>
      </c>
    </row>
    <row r="5276" spans="2:4" x14ac:dyDescent="0.2">
      <c r="B5276" s="20">
        <v>43748</v>
      </c>
      <c r="C5276" s="58">
        <v>12164.2</v>
      </c>
      <c r="D5276" s="3">
        <f t="shared" si="85"/>
        <v>5.7829085863874141E-3</v>
      </c>
    </row>
    <row r="5277" spans="2:4" x14ac:dyDescent="0.2">
      <c r="B5277" s="20">
        <v>43749</v>
      </c>
      <c r="C5277" s="58">
        <v>12511.65</v>
      </c>
      <c r="D5277" s="3">
        <f t="shared" si="85"/>
        <v>2.8563325167294096E-2</v>
      </c>
    </row>
    <row r="5278" spans="2:4" x14ac:dyDescent="0.2">
      <c r="B5278" s="20">
        <v>43752</v>
      </c>
      <c r="C5278" s="58">
        <v>12486.56</v>
      </c>
      <c r="D5278" s="3">
        <f t="shared" si="85"/>
        <v>-2.0053310314787076E-3</v>
      </c>
    </row>
    <row r="5279" spans="2:4" x14ac:dyDescent="0.2">
      <c r="B5279" s="20">
        <v>43753</v>
      </c>
      <c r="C5279" s="58">
        <v>12629.79</v>
      </c>
      <c r="D5279" s="3">
        <f t="shared" si="85"/>
        <v>1.1470733332479277E-2</v>
      </c>
    </row>
    <row r="5280" spans="2:4" x14ac:dyDescent="0.2">
      <c r="B5280" s="20">
        <v>43754</v>
      </c>
      <c r="C5280" s="58">
        <v>12670.11</v>
      </c>
      <c r="D5280" s="3">
        <f t="shared" si="85"/>
        <v>3.1924521310331411E-3</v>
      </c>
    </row>
    <row r="5281" spans="2:4" x14ac:dyDescent="0.2">
      <c r="B5281" s="20">
        <v>43755</v>
      </c>
      <c r="C5281" s="58">
        <v>12654.95</v>
      </c>
      <c r="D5281" s="3">
        <f t="shared" si="85"/>
        <v>-1.1965168416059324E-3</v>
      </c>
    </row>
    <row r="5282" spans="2:4" x14ac:dyDescent="0.2">
      <c r="B5282" s="20">
        <v>43756</v>
      </c>
      <c r="C5282" s="58">
        <v>12633.6</v>
      </c>
      <c r="D5282" s="3">
        <f t="shared" si="85"/>
        <v>-1.6870868711452713E-3</v>
      </c>
    </row>
    <row r="5283" spans="2:4" x14ac:dyDescent="0.2">
      <c r="B5283" s="20">
        <v>43759</v>
      </c>
      <c r="C5283" s="58">
        <v>12747.96</v>
      </c>
      <c r="D5283" s="3">
        <f t="shared" si="85"/>
        <v>9.0520516717325084E-3</v>
      </c>
    </row>
    <row r="5284" spans="2:4" x14ac:dyDescent="0.2">
      <c r="B5284" s="20">
        <v>43760</v>
      </c>
      <c r="C5284" s="58">
        <v>12754.69</v>
      </c>
      <c r="D5284" s="3">
        <f t="shared" si="85"/>
        <v>5.2792760567199615E-4</v>
      </c>
    </row>
    <row r="5285" spans="2:4" x14ac:dyDescent="0.2">
      <c r="B5285" s="20">
        <v>43761</v>
      </c>
      <c r="C5285" s="58">
        <v>12798.19</v>
      </c>
      <c r="D5285" s="3">
        <f t="shared" si="85"/>
        <v>3.4105101731205512E-3</v>
      </c>
    </row>
    <row r="5286" spans="2:4" x14ac:dyDescent="0.2">
      <c r="B5286" s="20">
        <v>43762</v>
      </c>
      <c r="C5286" s="58">
        <v>12872.1</v>
      </c>
      <c r="D5286" s="3">
        <f t="shared" si="85"/>
        <v>5.7750353760961382E-3</v>
      </c>
    </row>
    <row r="5287" spans="2:4" x14ac:dyDescent="0.2">
      <c r="B5287" s="20">
        <v>43763</v>
      </c>
      <c r="C5287" s="58">
        <v>12894.51</v>
      </c>
      <c r="D5287" s="3">
        <f t="shared" si="85"/>
        <v>1.7409746661383174E-3</v>
      </c>
    </row>
    <row r="5288" spans="2:4" x14ac:dyDescent="0.2">
      <c r="B5288" s="20">
        <v>43766</v>
      </c>
      <c r="C5288" s="58">
        <v>12941.71</v>
      </c>
      <c r="D5288" s="3">
        <f t="shared" si="85"/>
        <v>3.6604725577007446E-3</v>
      </c>
    </row>
    <row r="5289" spans="2:4" x14ac:dyDescent="0.2">
      <c r="B5289" s="20">
        <v>43767</v>
      </c>
      <c r="C5289" s="58">
        <v>12939.62</v>
      </c>
      <c r="D5289" s="3">
        <f t="shared" si="85"/>
        <v>-1.6149334206982946E-4</v>
      </c>
    </row>
    <row r="5290" spans="2:4" x14ac:dyDescent="0.2">
      <c r="B5290" s="20">
        <v>43768</v>
      </c>
      <c r="C5290" s="58">
        <v>12910.23</v>
      </c>
      <c r="D5290" s="3">
        <f t="shared" si="85"/>
        <v>-2.2713186322319556E-3</v>
      </c>
    </row>
    <row r="5291" spans="2:4" x14ac:dyDescent="0.2">
      <c r="B5291" s="20">
        <v>43769</v>
      </c>
      <c r="C5291" s="58">
        <v>12866.79</v>
      </c>
      <c r="D5291" s="3">
        <f t="shared" si="85"/>
        <v>-3.3647735168156334E-3</v>
      </c>
    </row>
    <row r="5292" spans="2:4" x14ac:dyDescent="0.2">
      <c r="B5292" s="20">
        <v>43770</v>
      </c>
      <c r="C5292" s="58">
        <v>12961.05</v>
      </c>
      <c r="D5292" s="3">
        <f t="shared" si="85"/>
        <v>7.3258365140020931E-3</v>
      </c>
    </row>
    <row r="5293" spans="2:4" x14ac:dyDescent="0.2">
      <c r="B5293" s="20">
        <v>43773</v>
      </c>
      <c r="C5293" s="58">
        <v>13136.28</v>
      </c>
      <c r="D5293" s="3">
        <f t="shared" si="85"/>
        <v>1.3519737984191149E-2</v>
      </c>
    </row>
    <row r="5294" spans="2:4" x14ac:dyDescent="0.2">
      <c r="B5294" s="20">
        <v>43774</v>
      </c>
      <c r="C5294" s="58">
        <v>13148.5</v>
      </c>
      <c r="D5294" s="3">
        <f t="shared" si="85"/>
        <v>9.3024813721998001E-4</v>
      </c>
    </row>
    <row r="5295" spans="2:4" x14ac:dyDescent="0.2">
      <c r="B5295" s="20">
        <v>43775</v>
      </c>
      <c r="C5295" s="58">
        <v>13179.89</v>
      </c>
      <c r="D5295" s="3">
        <f t="shared" si="85"/>
        <v>2.3873445640185675E-3</v>
      </c>
    </row>
    <row r="5296" spans="2:4" x14ac:dyDescent="0.2">
      <c r="B5296" s="20">
        <v>43776</v>
      </c>
      <c r="C5296" s="58">
        <v>13289.46</v>
      </c>
      <c r="D5296" s="3">
        <f t="shared" si="85"/>
        <v>8.3134229496604206E-3</v>
      </c>
    </row>
    <row r="5297" spans="2:4" x14ac:dyDescent="0.2">
      <c r="B5297" s="20">
        <v>43777</v>
      </c>
      <c r="C5297" s="58">
        <v>13228.56</v>
      </c>
      <c r="D5297" s="3">
        <f t="shared" si="85"/>
        <v>-4.5825789761209101E-3</v>
      </c>
    </row>
    <row r="5298" spans="2:4" x14ac:dyDescent="0.2">
      <c r="B5298" s="20">
        <v>43780</v>
      </c>
      <c r="C5298" s="58">
        <v>13198.37</v>
      </c>
      <c r="D5298" s="3">
        <f t="shared" si="85"/>
        <v>-2.2821833971345962E-3</v>
      </c>
    </row>
    <row r="5299" spans="2:4" x14ac:dyDescent="0.2">
      <c r="B5299" s="20">
        <v>43781</v>
      </c>
      <c r="C5299" s="58">
        <v>13283.51</v>
      </c>
      <c r="D5299" s="3">
        <f t="shared" si="85"/>
        <v>6.4507965756377406E-3</v>
      </c>
    </row>
    <row r="5300" spans="2:4" x14ac:dyDescent="0.2">
      <c r="B5300" s="20">
        <v>43782</v>
      </c>
      <c r="C5300" s="58">
        <v>13230.07</v>
      </c>
      <c r="D5300" s="3">
        <f t="shared" si="85"/>
        <v>-4.0230330688199034E-3</v>
      </c>
    </row>
    <row r="5301" spans="2:4" x14ac:dyDescent="0.2">
      <c r="B5301" s="20">
        <v>43783</v>
      </c>
      <c r="C5301" s="58">
        <v>13180.23</v>
      </c>
      <c r="D5301" s="3">
        <f t="shared" si="85"/>
        <v>-3.7671758350484863E-3</v>
      </c>
    </row>
    <row r="5302" spans="2:4" x14ac:dyDescent="0.2">
      <c r="B5302" s="20">
        <v>43784</v>
      </c>
      <c r="C5302" s="58">
        <v>13241.75</v>
      </c>
      <c r="D5302" s="3">
        <f t="shared" si="85"/>
        <v>4.667596847703015E-3</v>
      </c>
    </row>
    <row r="5303" spans="2:4" x14ac:dyDescent="0.2">
      <c r="B5303" s="20">
        <v>43787</v>
      </c>
      <c r="C5303" s="58">
        <v>13207.01</v>
      </c>
      <c r="D5303" s="3">
        <f t="shared" si="85"/>
        <v>-2.6235203050956057E-3</v>
      </c>
    </row>
    <row r="5304" spans="2:4" x14ac:dyDescent="0.2">
      <c r="B5304" s="20">
        <v>43788</v>
      </c>
      <c r="C5304" s="58">
        <v>13221.12</v>
      </c>
      <c r="D5304" s="3">
        <f t="shared" si="85"/>
        <v>1.06837202364507E-3</v>
      </c>
    </row>
    <row r="5305" spans="2:4" x14ac:dyDescent="0.2">
      <c r="B5305" s="20">
        <v>43789</v>
      </c>
      <c r="C5305" s="58">
        <v>13158.14</v>
      </c>
      <c r="D5305" s="3">
        <f t="shared" si="85"/>
        <v>-4.7635903766096721E-3</v>
      </c>
    </row>
    <row r="5306" spans="2:4" x14ac:dyDescent="0.2">
      <c r="B5306" s="20">
        <v>43790</v>
      </c>
      <c r="C5306" s="58">
        <v>13137.7</v>
      </c>
      <c r="D5306" s="3">
        <f t="shared" si="85"/>
        <v>-1.5534110444180849E-3</v>
      </c>
    </row>
    <row r="5307" spans="2:4" x14ac:dyDescent="0.2">
      <c r="B5307" s="20">
        <v>43791</v>
      </c>
      <c r="C5307" s="58">
        <v>13163.88</v>
      </c>
      <c r="D5307" s="3">
        <f t="shared" si="85"/>
        <v>1.9927384549804916E-3</v>
      </c>
    </row>
    <row r="5308" spans="2:4" x14ac:dyDescent="0.2">
      <c r="B5308" s="20">
        <v>43794</v>
      </c>
      <c r="C5308" s="58">
        <v>13246.45</v>
      </c>
      <c r="D5308" s="3">
        <f t="shared" si="85"/>
        <v>6.2724667803111256E-3</v>
      </c>
    </row>
    <row r="5309" spans="2:4" x14ac:dyDescent="0.2">
      <c r="B5309" s="20">
        <v>43795</v>
      </c>
      <c r="C5309" s="58">
        <v>13236.42</v>
      </c>
      <c r="D5309" s="3">
        <f t="shared" si="85"/>
        <v>-7.5718400024160637E-4</v>
      </c>
    </row>
    <row r="5310" spans="2:4" x14ac:dyDescent="0.2">
      <c r="B5310" s="20">
        <v>43796</v>
      </c>
      <c r="C5310" s="58">
        <v>13287.07</v>
      </c>
      <c r="D5310" s="3">
        <f t="shared" si="85"/>
        <v>3.8265633758975959E-3</v>
      </c>
    </row>
    <row r="5311" spans="2:4" x14ac:dyDescent="0.2">
      <c r="B5311" s="20">
        <v>43797</v>
      </c>
      <c r="C5311" s="58">
        <v>13245.58</v>
      </c>
      <c r="D5311" s="3">
        <f t="shared" si="85"/>
        <v>-3.1225845878737335E-3</v>
      </c>
    </row>
    <row r="5312" spans="2:4" x14ac:dyDescent="0.2">
      <c r="B5312" s="20">
        <v>43798</v>
      </c>
      <c r="C5312" s="58">
        <v>13236.38</v>
      </c>
      <c r="D5312" s="3">
        <f t="shared" si="85"/>
        <v>-6.9457132115025022E-4</v>
      </c>
    </row>
    <row r="5313" spans="2:4" x14ac:dyDescent="0.2">
      <c r="B5313" s="20">
        <v>43801</v>
      </c>
      <c r="C5313" s="58">
        <v>12964.68</v>
      </c>
      <c r="D5313" s="3">
        <f t="shared" si="85"/>
        <v>-2.0526760337796213E-2</v>
      </c>
    </row>
    <row r="5314" spans="2:4" x14ac:dyDescent="0.2">
      <c r="B5314" s="20">
        <v>43802</v>
      </c>
      <c r="C5314" s="58">
        <v>12989.29</v>
      </c>
      <c r="D5314" s="3">
        <f t="shared" si="85"/>
        <v>1.8982342795965668E-3</v>
      </c>
    </row>
    <row r="5315" spans="2:4" x14ac:dyDescent="0.2">
      <c r="B5315" s="20">
        <v>43803</v>
      </c>
      <c r="C5315" s="58">
        <v>13140.57</v>
      </c>
      <c r="D5315" s="3">
        <f t="shared" si="85"/>
        <v>1.1646518015996143E-2</v>
      </c>
    </row>
    <row r="5316" spans="2:4" x14ac:dyDescent="0.2">
      <c r="B5316" s="20">
        <v>43804</v>
      </c>
      <c r="C5316" s="58">
        <v>13054.8</v>
      </c>
      <c r="D5316" s="3">
        <f t="shared" si="85"/>
        <v>-6.5271141206203476E-3</v>
      </c>
    </row>
    <row r="5317" spans="2:4" x14ac:dyDescent="0.2">
      <c r="B5317" s="20">
        <v>43805</v>
      </c>
      <c r="C5317" s="58">
        <v>13166.58</v>
      </c>
      <c r="D5317" s="3">
        <f t="shared" ref="D5317:D5380" si="86">C5317/C5316-1</f>
        <v>8.5623678646935542E-3</v>
      </c>
    </row>
    <row r="5318" spans="2:4" x14ac:dyDescent="0.2">
      <c r="B5318" s="20">
        <v>43808</v>
      </c>
      <c r="C5318" s="58">
        <v>13105.61</v>
      </c>
      <c r="D5318" s="3">
        <f t="shared" si="86"/>
        <v>-4.6306633917083673E-3</v>
      </c>
    </row>
    <row r="5319" spans="2:4" x14ac:dyDescent="0.2">
      <c r="B5319" s="20">
        <v>43809</v>
      </c>
      <c r="C5319" s="58">
        <v>13070.72</v>
      </c>
      <c r="D5319" s="3">
        <f t="shared" si="86"/>
        <v>-2.6622186987100838E-3</v>
      </c>
    </row>
    <row r="5320" spans="2:4" x14ac:dyDescent="0.2">
      <c r="B5320" s="20">
        <v>43810</v>
      </c>
      <c r="C5320" s="58">
        <v>13146.74</v>
      </c>
      <c r="D5320" s="3">
        <f t="shared" si="86"/>
        <v>5.8160529794839544E-3</v>
      </c>
    </row>
    <row r="5321" spans="2:4" x14ac:dyDescent="0.2">
      <c r="B5321" s="20">
        <v>43811</v>
      </c>
      <c r="C5321" s="58">
        <v>13221.64</v>
      </c>
      <c r="D5321" s="3">
        <f t="shared" si="86"/>
        <v>5.697229883605992E-3</v>
      </c>
    </row>
    <row r="5322" spans="2:4" x14ac:dyDescent="0.2">
      <c r="B5322" s="20">
        <v>43812</v>
      </c>
      <c r="C5322" s="58">
        <v>13282.72</v>
      </c>
      <c r="D5322" s="3">
        <f t="shared" si="86"/>
        <v>4.619699220369089E-3</v>
      </c>
    </row>
    <row r="5323" spans="2:4" x14ac:dyDescent="0.2">
      <c r="B5323" s="20">
        <v>43815</v>
      </c>
      <c r="C5323" s="58">
        <v>13407.66</v>
      </c>
      <c r="D5323" s="3">
        <f t="shared" si="86"/>
        <v>9.4062059578159385E-3</v>
      </c>
    </row>
    <row r="5324" spans="2:4" x14ac:dyDescent="0.2">
      <c r="B5324" s="20">
        <v>43816</v>
      </c>
      <c r="C5324" s="58">
        <v>13287.83</v>
      </c>
      <c r="D5324" s="3">
        <f t="shared" si="86"/>
        <v>-8.9374283059087123E-3</v>
      </c>
    </row>
    <row r="5325" spans="2:4" x14ac:dyDescent="0.2">
      <c r="B5325" s="20">
        <v>43817</v>
      </c>
      <c r="C5325" s="58">
        <v>13222.16</v>
      </c>
      <c r="D5325" s="3">
        <f t="shared" si="86"/>
        <v>-4.9421162070857338E-3</v>
      </c>
    </row>
    <row r="5326" spans="2:4" x14ac:dyDescent="0.2">
      <c r="B5326" s="20">
        <v>43818</v>
      </c>
      <c r="C5326" s="58">
        <v>13211.96</v>
      </c>
      <c r="D5326" s="3">
        <f t="shared" si="86"/>
        <v>-7.7143220169784144E-4</v>
      </c>
    </row>
    <row r="5327" spans="2:4" x14ac:dyDescent="0.2">
      <c r="B5327" s="20">
        <v>43819</v>
      </c>
      <c r="C5327" s="58">
        <v>13318.9</v>
      </c>
      <c r="D5327" s="3">
        <f t="shared" si="86"/>
        <v>8.0941813326713685E-3</v>
      </c>
    </row>
    <row r="5328" spans="2:4" x14ac:dyDescent="0.2">
      <c r="B5328" s="20">
        <v>43822</v>
      </c>
      <c r="C5328" s="58">
        <v>13300.98</v>
      </c>
      <c r="D5328" s="3">
        <f t="shared" si="86"/>
        <v>-1.3454564566143246E-3</v>
      </c>
    </row>
    <row r="5329" spans="2:4" x14ac:dyDescent="0.2">
      <c r="B5329" s="20">
        <v>43826</v>
      </c>
      <c r="C5329" s="58">
        <v>13337.11</v>
      </c>
      <c r="D5329" s="3">
        <f t="shared" si="86"/>
        <v>2.7163412019266531E-3</v>
      </c>
    </row>
    <row r="5330" spans="2:4" x14ac:dyDescent="0.2">
      <c r="B5330" s="20">
        <v>43829</v>
      </c>
      <c r="C5330" s="58">
        <v>13249.01</v>
      </c>
      <c r="D5330" s="3">
        <f t="shared" si="86"/>
        <v>-6.6056289555983527E-3</v>
      </c>
    </row>
    <row r="5331" spans="2:4" x14ac:dyDescent="0.2">
      <c r="B5331" s="20">
        <v>43832</v>
      </c>
      <c r="C5331" s="58">
        <v>13385.93</v>
      </c>
      <c r="D5331" s="3">
        <f t="shared" si="86"/>
        <v>1.0334357057621757E-2</v>
      </c>
    </row>
    <row r="5332" spans="2:4" x14ac:dyDescent="0.2">
      <c r="B5332" s="20">
        <v>43833</v>
      </c>
      <c r="C5332" s="58">
        <v>13219.14</v>
      </c>
      <c r="D5332" s="3">
        <f t="shared" si="86"/>
        <v>-1.2460098028302946E-2</v>
      </c>
    </row>
    <row r="5333" spans="2:4" x14ac:dyDescent="0.2">
      <c r="B5333" s="20">
        <v>43836</v>
      </c>
      <c r="C5333" s="58">
        <v>13126.99</v>
      </c>
      <c r="D5333" s="3">
        <f t="shared" si="86"/>
        <v>-6.9709527246099023E-3</v>
      </c>
    </row>
    <row r="5334" spans="2:4" x14ac:dyDescent="0.2">
      <c r="B5334" s="20">
        <v>43837</v>
      </c>
      <c r="C5334" s="58">
        <v>13226.83</v>
      </c>
      <c r="D5334" s="3">
        <f t="shared" si="86"/>
        <v>7.6057039732642107E-3</v>
      </c>
    </row>
    <row r="5335" spans="2:4" x14ac:dyDescent="0.2">
      <c r="B5335" s="20">
        <v>43838</v>
      </c>
      <c r="C5335" s="58">
        <v>13320.18</v>
      </c>
      <c r="D5335" s="3">
        <f t="shared" si="86"/>
        <v>7.0576245404228022E-3</v>
      </c>
    </row>
    <row r="5336" spans="2:4" x14ac:dyDescent="0.2">
      <c r="B5336" s="20">
        <v>43839</v>
      </c>
      <c r="C5336" s="58">
        <v>13495.06</v>
      </c>
      <c r="D5336" s="3">
        <f t="shared" si="86"/>
        <v>1.3128951710862813E-2</v>
      </c>
    </row>
    <row r="5337" spans="2:4" x14ac:dyDescent="0.2">
      <c r="B5337" s="20">
        <v>43840</v>
      </c>
      <c r="C5337" s="58">
        <v>13483.31</v>
      </c>
      <c r="D5337" s="3">
        <f t="shared" si="86"/>
        <v>-8.7068897804087886E-4</v>
      </c>
    </row>
    <row r="5338" spans="2:4" x14ac:dyDescent="0.2">
      <c r="B5338" s="20">
        <v>43843</v>
      </c>
      <c r="C5338" s="58">
        <v>13451.52</v>
      </c>
      <c r="D5338" s="3">
        <f t="shared" si="86"/>
        <v>-2.3577296672701031E-3</v>
      </c>
    </row>
    <row r="5339" spans="2:4" x14ac:dyDescent="0.2">
      <c r="B5339" s="20">
        <v>43844</v>
      </c>
      <c r="C5339" s="58">
        <v>13456.49</v>
      </c>
      <c r="D5339" s="3">
        <f t="shared" si="86"/>
        <v>3.6947497383188477E-4</v>
      </c>
    </row>
    <row r="5340" spans="2:4" x14ac:dyDescent="0.2">
      <c r="B5340" s="20">
        <v>43845</v>
      </c>
      <c r="C5340" s="58">
        <v>13432.3</v>
      </c>
      <c r="D5340" s="3">
        <f t="shared" si="86"/>
        <v>-1.7976455970316607E-3</v>
      </c>
    </row>
    <row r="5341" spans="2:4" x14ac:dyDescent="0.2">
      <c r="B5341" s="20">
        <v>43846</v>
      </c>
      <c r="C5341" s="58">
        <v>13429.43</v>
      </c>
      <c r="D5341" s="3">
        <f t="shared" si="86"/>
        <v>-2.1366407837819512E-4</v>
      </c>
    </row>
    <row r="5342" spans="2:4" x14ac:dyDescent="0.2">
      <c r="B5342" s="20">
        <v>43847</v>
      </c>
      <c r="C5342" s="58">
        <v>13526.13</v>
      </c>
      <c r="D5342" s="3">
        <f t="shared" si="86"/>
        <v>7.2006034507792194E-3</v>
      </c>
    </row>
    <row r="5343" spans="2:4" x14ac:dyDescent="0.2">
      <c r="B5343" s="20">
        <v>43850</v>
      </c>
      <c r="C5343" s="58">
        <v>13548.94</v>
      </c>
      <c r="D5343" s="3">
        <f t="shared" si="86"/>
        <v>1.6863655753716067E-3</v>
      </c>
    </row>
    <row r="5344" spans="2:4" x14ac:dyDescent="0.2">
      <c r="B5344" s="20">
        <v>43851</v>
      </c>
      <c r="C5344" s="58">
        <v>13555.87</v>
      </c>
      <c r="D5344" s="3">
        <f t="shared" si="86"/>
        <v>5.1147912678040086E-4</v>
      </c>
    </row>
    <row r="5345" spans="2:4" x14ac:dyDescent="0.2">
      <c r="B5345" s="20">
        <v>43852</v>
      </c>
      <c r="C5345" s="58">
        <v>13515.75</v>
      </c>
      <c r="D5345" s="3">
        <f t="shared" si="86"/>
        <v>-2.9596034780505764E-3</v>
      </c>
    </row>
    <row r="5346" spans="2:4" x14ac:dyDescent="0.2">
      <c r="B5346" s="20">
        <v>43853</v>
      </c>
      <c r="C5346" s="58">
        <v>13388.42</v>
      </c>
      <c r="D5346" s="3">
        <f t="shared" si="86"/>
        <v>-9.4208608475296884E-3</v>
      </c>
    </row>
    <row r="5347" spans="2:4" x14ac:dyDescent="0.2">
      <c r="B5347" s="20">
        <v>43854</v>
      </c>
      <c r="C5347" s="58">
        <v>13576.68</v>
      </c>
      <c r="D5347" s="3">
        <f t="shared" si="86"/>
        <v>1.4061405303986696E-2</v>
      </c>
    </row>
    <row r="5348" spans="2:4" x14ac:dyDescent="0.2">
      <c r="B5348" s="20">
        <v>43857</v>
      </c>
      <c r="C5348" s="58">
        <v>13204.77</v>
      </c>
      <c r="D5348" s="3">
        <f t="shared" si="86"/>
        <v>-2.7393294973439786E-2</v>
      </c>
    </row>
    <row r="5349" spans="2:4" x14ac:dyDescent="0.2">
      <c r="B5349" s="20">
        <v>43858</v>
      </c>
      <c r="C5349" s="58">
        <v>13323.69</v>
      </c>
      <c r="D5349" s="3">
        <f t="shared" si="86"/>
        <v>9.0058365272549512E-3</v>
      </c>
    </row>
    <row r="5350" spans="2:4" x14ac:dyDescent="0.2">
      <c r="B5350" s="20">
        <v>43859</v>
      </c>
      <c r="C5350" s="58">
        <v>13345</v>
      </c>
      <c r="D5350" s="3">
        <f t="shared" si="86"/>
        <v>1.5994067709470539E-3</v>
      </c>
    </row>
    <row r="5351" spans="2:4" x14ac:dyDescent="0.2">
      <c r="B5351" s="20">
        <v>43860</v>
      </c>
      <c r="C5351" s="58">
        <v>13157.12</v>
      </c>
      <c r="D5351" s="3">
        <f t="shared" si="86"/>
        <v>-1.4078681153990247E-2</v>
      </c>
    </row>
    <row r="5352" spans="2:4" x14ac:dyDescent="0.2">
      <c r="B5352" s="20">
        <v>43861</v>
      </c>
      <c r="C5352" s="58">
        <v>12981.97</v>
      </c>
      <c r="D5352" s="3">
        <f t="shared" si="86"/>
        <v>-1.331218382138355E-2</v>
      </c>
    </row>
    <row r="5353" spans="2:4" x14ac:dyDescent="0.2">
      <c r="B5353" s="20">
        <v>43864</v>
      </c>
      <c r="C5353" s="58">
        <v>13045.19</v>
      </c>
      <c r="D5353" s="3">
        <f t="shared" si="86"/>
        <v>4.8698310040773407E-3</v>
      </c>
    </row>
    <row r="5354" spans="2:4" x14ac:dyDescent="0.2">
      <c r="B5354" s="20">
        <v>43865</v>
      </c>
      <c r="C5354" s="58">
        <v>13281.74</v>
      </c>
      <c r="D5354" s="3">
        <f t="shared" si="86"/>
        <v>1.8133120330175334E-2</v>
      </c>
    </row>
    <row r="5355" spans="2:4" x14ac:dyDescent="0.2">
      <c r="B5355" s="20">
        <v>43866</v>
      </c>
      <c r="C5355" s="58">
        <v>13478.33</v>
      </c>
      <c r="D5355" s="3">
        <f t="shared" si="86"/>
        <v>1.4801524499049146E-2</v>
      </c>
    </row>
    <row r="5356" spans="2:4" x14ac:dyDescent="0.2">
      <c r="B5356" s="20">
        <v>43867</v>
      </c>
      <c r="C5356" s="58">
        <v>13574.82</v>
      </c>
      <c r="D5356" s="3">
        <f t="shared" si="86"/>
        <v>7.1588987656483472E-3</v>
      </c>
    </row>
    <row r="5357" spans="2:4" x14ac:dyDescent="0.2">
      <c r="B5357" s="20">
        <v>43868</v>
      </c>
      <c r="C5357" s="58">
        <v>13513.81</v>
      </c>
      <c r="D5357" s="3">
        <f t="shared" si="86"/>
        <v>-4.4943505696576347E-3</v>
      </c>
    </row>
    <row r="5358" spans="2:4" x14ac:dyDescent="0.2">
      <c r="B5358" s="20">
        <v>43871</v>
      </c>
      <c r="C5358" s="58">
        <v>13494.03</v>
      </c>
      <c r="D5358" s="3">
        <f t="shared" si="86"/>
        <v>-1.4636878866877145E-3</v>
      </c>
    </row>
    <row r="5359" spans="2:4" x14ac:dyDescent="0.2">
      <c r="B5359" s="20">
        <v>43872</v>
      </c>
      <c r="C5359" s="58">
        <v>13627.84</v>
      </c>
      <c r="D5359" s="3">
        <f t="shared" si="86"/>
        <v>9.9162370322283255E-3</v>
      </c>
    </row>
    <row r="5360" spans="2:4" x14ac:dyDescent="0.2">
      <c r="B5360" s="20">
        <v>43873</v>
      </c>
      <c r="C5360" s="58">
        <v>13749.78</v>
      </c>
      <c r="D5360" s="3">
        <f t="shared" si="86"/>
        <v>8.9478596754879458E-3</v>
      </c>
    </row>
    <row r="5361" spans="2:4" x14ac:dyDescent="0.2">
      <c r="B5361" s="20">
        <v>43874</v>
      </c>
      <c r="C5361" s="58">
        <v>13745.43</v>
      </c>
      <c r="D5361" s="3">
        <f t="shared" si="86"/>
        <v>-3.1636869826279224E-4</v>
      </c>
    </row>
    <row r="5362" spans="2:4" x14ac:dyDescent="0.2">
      <c r="B5362" s="20">
        <v>43875</v>
      </c>
      <c r="C5362" s="58">
        <v>13744.21</v>
      </c>
      <c r="D5362" s="3">
        <f t="shared" si="86"/>
        <v>-8.875677225095302E-5</v>
      </c>
    </row>
    <row r="5363" spans="2:4" x14ac:dyDescent="0.2">
      <c r="B5363" s="20">
        <v>43878</v>
      </c>
      <c r="C5363" s="58">
        <v>13783.89</v>
      </c>
      <c r="D5363" s="3">
        <f t="shared" si="86"/>
        <v>2.8870338855415678E-3</v>
      </c>
    </row>
    <row r="5364" spans="2:4" x14ac:dyDescent="0.2">
      <c r="B5364" s="20">
        <v>43879</v>
      </c>
      <c r="C5364" s="58">
        <v>13681.19</v>
      </c>
      <c r="D5364" s="3">
        <f t="shared" si="86"/>
        <v>-7.450726899300486E-3</v>
      </c>
    </row>
    <row r="5365" spans="2:4" x14ac:dyDescent="0.2">
      <c r="B5365" s="20">
        <v>43880</v>
      </c>
      <c r="C5365" s="58">
        <v>13789</v>
      </c>
      <c r="D5365" s="3">
        <f t="shared" si="86"/>
        <v>7.8801624712470097E-3</v>
      </c>
    </row>
    <row r="5366" spans="2:4" x14ac:dyDescent="0.2">
      <c r="B5366" s="20">
        <v>43881</v>
      </c>
      <c r="C5366" s="58">
        <v>13664</v>
      </c>
      <c r="D5366" s="3">
        <f t="shared" si="86"/>
        <v>-9.0651968960765439E-3</v>
      </c>
    </row>
    <row r="5367" spans="2:4" x14ac:dyDescent="0.2">
      <c r="B5367" s="20">
        <v>43882</v>
      </c>
      <c r="C5367" s="58">
        <v>13579.33</v>
      </c>
      <c r="D5367" s="3">
        <f t="shared" si="86"/>
        <v>-6.1965749414519822E-3</v>
      </c>
    </row>
    <row r="5368" spans="2:4" x14ac:dyDescent="0.2">
      <c r="B5368" s="20">
        <v>43885</v>
      </c>
      <c r="C5368" s="58">
        <v>13035.24</v>
      </c>
      <c r="D5368" s="3">
        <f t="shared" si="86"/>
        <v>-4.0067514376629809E-2</v>
      </c>
    </row>
    <row r="5369" spans="2:4" x14ac:dyDescent="0.2">
      <c r="B5369" s="20">
        <v>43886</v>
      </c>
      <c r="C5369" s="58">
        <v>12790.49</v>
      </c>
      <c r="D5369" s="3">
        <f t="shared" si="86"/>
        <v>-1.8776025604438473E-2</v>
      </c>
    </row>
    <row r="5370" spans="2:4" x14ac:dyDescent="0.2">
      <c r="B5370" s="20">
        <v>43887</v>
      </c>
      <c r="C5370" s="58">
        <v>12774.88</v>
      </c>
      <c r="D5370" s="3">
        <f t="shared" si="86"/>
        <v>-1.2204379972933221E-3</v>
      </c>
    </row>
    <row r="5371" spans="2:4" x14ac:dyDescent="0.2">
      <c r="B5371" s="20">
        <v>43888</v>
      </c>
      <c r="C5371" s="58">
        <v>12367.46</v>
      </c>
      <c r="D5371" s="3">
        <f t="shared" si="86"/>
        <v>-3.1892276091830207E-2</v>
      </c>
    </row>
    <row r="5372" spans="2:4" x14ac:dyDescent="0.2">
      <c r="B5372" s="20">
        <v>43889</v>
      </c>
      <c r="C5372" s="58">
        <v>11890.35</v>
      </c>
      <c r="D5372" s="3">
        <f t="shared" si="86"/>
        <v>-3.857784864474989E-2</v>
      </c>
    </row>
    <row r="5373" spans="2:4" x14ac:dyDescent="0.2">
      <c r="B5373" s="20">
        <v>43892</v>
      </c>
      <c r="C5373" s="58">
        <v>11857.87</v>
      </c>
      <c r="D5373" s="3">
        <f t="shared" si="86"/>
        <v>-2.731626907534257E-3</v>
      </c>
    </row>
    <row r="5374" spans="2:4" x14ac:dyDescent="0.2">
      <c r="B5374" s="20">
        <v>43893</v>
      </c>
      <c r="C5374" s="58">
        <v>11985.39</v>
      </c>
      <c r="D5374" s="3">
        <f t="shared" si="86"/>
        <v>1.0754039300481244E-2</v>
      </c>
    </row>
    <row r="5375" spans="2:4" x14ac:dyDescent="0.2">
      <c r="B5375" s="20">
        <v>43894</v>
      </c>
      <c r="C5375" s="58">
        <v>12127.69</v>
      </c>
      <c r="D5375" s="3">
        <f t="shared" si="86"/>
        <v>1.1872788453275218E-2</v>
      </c>
    </row>
    <row r="5376" spans="2:4" x14ac:dyDescent="0.2">
      <c r="B5376" s="20">
        <v>43895</v>
      </c>
      <c r="C5376" s="58">
        <v>11944.72</v>
      </c>
      <c r="D5376" s="3">
        <f t="shared" si="86"/>
        <v>-1.5086962150252958E-2</v>
      </c>
    </row>
    <row r="5377" spans="2:4" x14ac:dyDescent="0.2">
      <c r="B5377" s="20">
        <v>43896</v>
      </c>
      <c r="C5377" s="58">
        <v>11541.87</v>
      </c>
      <c r="D5377" s="3">
        <f t="shared" si="86"/>
        <v>-3.3726198688625475E-2</v>
      </c>
    </row>
    <row r="5378" spans="2:4" x14ac:dyDescent="0.2">
      <c r="B5378" s="20">
        <v>43899</v>
      </c>
      <c r="C5378" s="58">
        <v>10625.02</v>
      </c>
      <c r="D5378" s="3">
        <f t="shared" si="86"/>
        <v>-7.9436867682619927E-2</v>
      </c>
    </row>
    <row r="5379" spans="2:4" x14ac:dyDescent="0.2">
      <c r="B5379" s="20">
        <v>43900</v>
      </c>
      <c r="C5379" s="58">
        <v>10475.49</v>
      </c>
      <c r="D5379" s="3">
        <f t="shared" si="86"/>
        <v>-1.4073385273627781E-2</v>
      </c>
    </row>
    <row r="5380" spans="2:4" x14ac:dyDescent="0.2">
      <c r="B5380" s="20">
        <v>43901</v>
      </c>
      <c r="C5380" s="58">
        <v>10438.68</v>
      </c>
      <c r="D5380" s="3">
        <f t="shared" si="86"/>
        <v>-3.5139167714349773E-3</v>
      </c>
    </row>
    <row r="5381" spans="2:4" x14ac:dyDescent="0.2">
      <c r="B5381" s="20">
        <v>43902</v>
      </c>
      <c r="C5381" s="58">
        <v>9161.1299999999992</v>
      </c>
      <c r="D5381" s="3">
        <f t="shared" ref="D5381:D5444" si="87">C5381/C5380-1</f>
        <v>-0.12238616376783285</v>
      </c>
    </row>
    <row r="5382" spans="2:4" x14ac:dyDescent="0.2">
      <c r="B5382" s="20">
        <v>43903</v>
      </c>
      <c r="C5382" s="58">
        <v>9232.08</v>
      </c>
      <c r="D5382" s="3">
        <f t="shared" si="87"/>
        <v>7.7446777853824589E-3</v>
      </c>
    </row>
    <row r="5383" spans="2:4" x14ac:dyDescent="0.2">
      <c r="B5383" s="20">
        <v>43906</v>
      </c>
      <c r="C5383" s="58">
        <v>8742.25</v>
      </c>
      <c r="D5383" s="3">
        <f t="shared" si="87"/>
        <v>-5.3057382518349017E-2</v>
      </c>
    </row>
    <row r="5384" spans="2:4" x14ac:dyDescent="0.2">
      <c r="B5384" s="20">
        <v>43907</v>
      </c>
      <c r="C5384" s="58">
        <v>8939.1</v>
      </c>
      <c r="D5384" s="3">
        <f t="shared" si="87"/>
        <v>2.2517086562383826E-2</v>
      </c>
    </row>
    <row r="5385" spans="2:4" x14ac:dyDescent="0.2">
      <c r="B5385" s="20">
        <v>43908</v>
      </c>
      <c r="C5385" s="58">
        <v>8441.7099999999991</v>
      </c>
      <c r="D5385" s="3">
        <f t="shared" si="87"/>
        <v>-5.5642066874741491E-2</v>
      </c>
    </row>
    <row r="5386" spans="2:4" x14ac:dyDescent="0.2">
      <c r="B5386" s="20">
        <v>43909</v>
      </c>
      <c r="C5386" s="58">
        <v>8610.43</v>
      </c>
      <c r="D5386" s="3">
        <f t="shared" si="87"/>
        <v>1.9986471935188543E-2</v>
      </c>
    </row>
    <row r="5387" spans="2:4" x14ac:dyDescent="0.2">
      <c r="B5387" s="20">
        <v>43910</v>
      </c>
      <c r="C5387" s="58">
        <v>8928.9500000000007</v>
      </c>
      <c r="D5387" s="3">
        <f t="shared" si="87"/>
        <v>3.6992345330024268E-2</v>
      </c>
    </row>
    <row r="5388" spans="2:4" x14ac:dyDescent="0.2">
      <c r="B5388" s="20">
        <v>43913</v>
      </c>
      <c r="C5388" s="58">
        <v>8741.15</v>
      </c>
      <c r="D5388" s="3">
        <f t="shared" si="87"/>
        <v>-2.1032708213171936E-2</v>
      </c>
    </row>
    <row r="5389" spans="2:4" x14ac:dyDescent="0.2">
      <c r="B5389" s="20">
        <v>43914</v>
      </c>
      <c r="C5389" s="58">
        <v>9700.57</v>
      </c>
      <c r="D5389" s="3">
        <f t="shared" si="87"/>
        <v>0.10975901340212668</v>
      </c>
    </row>
    <row r="5390" spans="2:4" x14ac:dyDescent="0.2">
      <c r="B5390" s="20">
        <v>43915</v>
      </c>
      <c r="C5390" s="58">
        <v>9874.26</v>
      </c>
      <c r="D5390" s="3">
        <f t="shared" si="87"/>
        <v>1.7905133409686247E-2</v>
      </c>
    </row>
    <row r="5391" spans="2:4" x14ac:dyDescent="0.2">
      <c r="B5391" s="20">
        <v>43916</v>
      </c>
      <c r="C5391" s="58">
        <v>10000.959999999999</v>
      </c>
      <c r="D5391" s="3">
        <f t="shared" si="87"/>
        <v>1.2831341285321596E-2</v>
      </c>
    </row>
    <row r="5392" spans="2:4" x14ac:dyDescent="0.2">
      <c r="B5392" s="20">
        <v>43917</v>
      </c>
      <c r="C5392" s="58">
        <v>9632.52</v>
      </c>
      <c r="D5392" s="3">
        <f t="shared" si="87"/>
        <v>-3.6840463315521599E-2</v>
      </c>
    </row>
    <row r="5393" spans="2:4" x14ac:dyDescent="0.2">
      <c r="B5393" s="20">
        <v>43920</v>
      </c>
      <c r="C5393" s="58">
        <v>9815.9699999999993</v>
      </c>
      <c r="D5393" s="3">
        <f t="shared" si="87"/>
        <v>1.9044860534937813E-2</v>
      </c>
    </row>
    <row r="5394" spans="2:4" x14ac:dyDescent="0.2">
      <c r="B5394" s="20">
        <v>43921</v>
      </c>
      <c r="C5394" s="58">
        <v>9935.84</v>
      </c>
      <c r="D5394" s="3">
        <f t="shared" si="87"/>
        <v>1.2211732513444984E-2</v>
      </c>
    </row>
    <row r="5395" spans="2:4" x14ac:dyDescent="0.2">
      <c r="B5395" s="20">
        <v>43922</v>
      </c>
      <c r="C5395" s="58">
        <v>9544.75</v>
      </c>
      <c r="D5395" s="3">
        <f t="shared" si="87"/>
        <v>-3.9361543664149234E-2</v>
      </c>
    </row>
    <row r="5396" spans="2:4" x14ac:dyDescent="0.2">
      <c r="B5396" s="20">
        <v>43923</v>
      </c>
      <c r="C5396" s="58">
        <v>9570.82</v>
      </c>
      <c r="D5396" s="3">
        <f t="shared" si="87"/>
        <v>2.7313444563765721E-3</v>
      </c>
    </row>
    <row r="5397" spans="2:4" x14ac:dyDescent="0.2">
      <c r="B5397" s="20">
        <v>43924</v>
      </c>
      <c r="C5397" s="58">
        <v>9525.77</v>
      </c>
      <c r="D5397" s="3">
        <f t="shared" si="87"/>
        <v>-4.7070156998041401E-3</v>
      </c>
    </row>
    <row r="5398" spans="2:4" x14ac:dyDescent="0.2">
      <c r="B5398" s="20">
        <v>43927</v>
      </c>
      <c r="C5398" s="58">
        <v>10075.17</v>
      </c>
      <c r="D5398" s="3">
        <f t="shared" si="87"/>
        <v>5.7675127574988716E-2</v>
      </c>
    </row>
    <row r="5399" spans="2:4" x14ac:dyDescent="0.2">
      <c r="B5399" s="20">
        <v>43928</v>
      </c>
      <c r="C5399" s="58">
        <v>10356.700000000001</v>
      </c>
      <c r="D5399" s="3">
        <f t="shared" si="87"/>
        <v>2.79429528236248E-2</v>
      </c>
    </row>
    <row r="5400" spans="2:4" x14ac:dyDescent="0.2">
      <c r="B5400" s="20">
        <v>43929</v>
      </c>
      <c r="C5400" s="58">
        <v>10332.89</v>
      </c>
      <c r="D5400" s="3">
        <f t="shared" si="87"/>
        <v>-2.2989948535732108E-3</v>
      </c>
    </row>
    <row r="5401" spans="2:4" x14ac:dyDescent="0.2">
      <c r="B5401" s="20">
        <v>43930</v>
      </c>
      <c r="C5401" s="58">
        <v>10564.74</v>
      </c>
      <c r="D5401" s="3">
        <f t="shared" si="87"/>
        <v>2.2438059439324309E-2</v>
      </c>
    </row>
    <row r="5402" spans="2:4" x14ac:dyDescent="0.2">
      <c r="B5402" s="20">
        <v>43935</v>
      </c>
      <c r="C5402" s="58">
        <v>10696.56</v>
      </c>
      <c r="D5402" s="3">
        <f t="shared" si="87"/>
        <v>1.2477353915004041E-2</v>
      </c>
    </row>
    <row r="5403" spans="2:4" x14ac:dyDescent="0.2">
      <c r="B5403" s="20">
        <v>43936</v>
      </c>
      <c r="C5403" s="58">
        <v>10279.76</v>
      </c>
      <c r="D5403" s="3">
        <f t="shared" si="87"/>
        <v>-3.8965798350123704E-2</v>
      </c>
    </row>
    <row r="5404" spans="2:4" x14ac:dyDescent="0.2">
      <c r="B5404" s="20">
        <v>43937</v>
      </c>
      <c r="C5404" s="58">
        <v>10301.540000000001</v>
      </c>
      <c r="D5404" s="3">
        <f t="shared" si="87"/>
        <v>2.1187265072337702E-3</v>
      </c>
    </row>
    <row r="5405" spans="2:4" x14ac:dyDescent="0.2">
      <c r="B5405" s="20">
        <v>43938</v>
      </c>
      <c r="C5405" s="58">
        <v>10625.78</v>
      </c>
      <c r="D5405" s="3">
        <f t="shared" si="87"/>
        <v>3.1474905693711808E-2</v>
      </c>
    </row>
    <row r="5406" spans="2:4" x14ac:dyDescent="0.2">
      <c r="B5406" s="20">
        <v>43941</v>
      </c>
      <c r="C5406" s="58">
        <v>10675.9</v>
      </c>
      <c r="D5406" s="3">
        <f t="shared" si="87"/>
        <v>4.7168301997593254E-3</v>
      </c>
    </row>
    <row r="5407" spans="2:4" x14ac:dyDescent="0.2">
      <c r="B5407" s="20">
        <v>43942</v>
      </c>
      <c r="C5407" s="58">
        <v>10249.85</v>
      </c>
      <c r="D5407" s="3">
        <f t="shared" si="87"/>
        <v>-3.990764244700673E-2</v>
      </c>
    </row>
    <row r="5408" spans="2:4" x14ac:dyDescent="0.2">
      <c r="B5408" s="20">
        <v>43943</v>
      </c>
      <c r="C5408" s="58">
        <v>10415.030000000001</v>
      </c>
      <c r="D5408" s="3">
        <f t="shared" si="87"/>
        <v>1.6115357785723816E-2</v>
      </c>
    </row>
    <row r="5409" spans="2:4" x14ac:dyDescent="0.2">
      <c r="B5409" s="20">
        <v>43944</v>
      </c>
      <c r="C5409" s="58">
        <v>10513.79</v>
      </c>
      <c r="D5409" s="3">
        <f t="shared" si="87"/>
        <v>9.4824498825256676E-3</v>
      </c>
    </row>
    <row r="5410" spans="2:4" x14ac:dyDescent="0.2">
      <c r="B5410" s="20">
        <v>43945</v>
      </c>
      <c r="C5410" s="58">
        <v>10336.09</v>
      </c>
      <c r="D5410" s="3">
        <f t="shared" si="87"/>
        <v>-1.6901612073286665E-2</v>
      </c>
    </row>
    <row r="5411" spans="2:4" x14ac:dyDescent="0.2">
      <c r="B5411" s="20">
        <v>43948</v>
      </c>
      <c r="C5411" s="58">
        <v>10659.99</v>
      </c>
      <c r="D5411" s="3">
        <f t="shared" si="87"/>
        <v>3.1336801440389861E-2</v>
      </c>
    </row>
    <row r="5412" spans="2:4" x14ac:dyDescent="0.2">
      <c r="B5412" s="20">
        <v>43949</v>
      </c>
      <c r="C5412" s="58">
        <v>10795.63</v>
      </c>
      <c r="D5412" s="3">
        <f t="shared" si="87"/>
        <v>1.272421456305306E-2</v>
      </c>
    </row>
    <row r="5413" spans="2:4" x14ac:dyDescent="0.2">
      <c r="B5413" s="20">
        <v>43950</v>
      </c>
      <c r="C5413" s="58">
        <v>11107.74</v>
      </c>
      <c r="D5413" s="3">
        <f t="shared" si="87"/>
        <v>2.8910772229133519E-2</v>
      </c>
    </row>
    <row r="5414" spans="2:4" x14ac:dyDescent="0.2">
      <c r="B5414" s="20">
        <v>43951</v>
      </c>
      <c r="C5414" s="58">
        <v>10861.64</v>
      </c>
      <c r="D5414" s="3">
        <f t="shared" si="87"/>
        <v>-2.215572204606886E-2</v>
      </c>
    </row>
    <row r="5415" spans="2:4" x14ac:dyDescent="0.2">
      <c r="B5415" s="20">
        <v>43955</v>
      </c>
      <c r="C5415" s="58">
        <v>10466.799999999999</v>
      </c>
      <c r="D5415" s="3">
        <f t="shared" si="87"/>
        <v>-3.6351784813343113E-2</v>
      </c>
    </row>
    <row r="5416" spans="2:4" x14ac:dyDescent="0.2">
      <c r="B5416" s="20">
        <v>43956</v>
      </c>
      <c r="C5416" s="58">
        <v>10729.46</v>
      </c>
      <c r="D5416" s="3">
        <f t="shared" si="87"/>
        <v>2.5094584782359375E-2</v>
      </c>
    </row>
    <row r="5417" spans="2:4" x14ac:dyDescent="0.2">
      <c r="B5417" s="20">
        <v>43957</v>
      </c>
      <c r="C5417" s="58">
        <v>10606.2</v>
      </c>
      <c r="D5417" s="3">
        <f t="shared" si="87"/>
        <v>-1.1487996600015093E-2</v>
      </c>
    </row>
    <row r="5418" spans="2:4" x14ac:dyDescent="0.2">
      <c r="B5418" s="20">
        <v>43958</v>
      </c>
      <c r="C5418" s="58">
        <v>10759.27</v>
      </c>
      <c r="D5418" s="3">
        <f t="shared" si="87"/>
        <v>1.443212460636234E-2</v>
      </c>
    </row>
    <row r="5419" spans="2:4" x14ac:dyDescent="0.2">
      <c r="B5419" s="20">
        <v>43959</v>
      </c>
      <c r="C5419" s="58">
        <v>10904.48</v>
      </c>
      <c r="D5419" s="3">
        <f t="shared" si="87"/>
        <v>1.3496268798905531E-2</v>
      </c>
    </row>
    <row r="5420" spans="2:4" x14ac:dyDescent="0.2">
      <c r="B5420" s="20">
        <v>43962</v>
      </c>
      <c r="C5420" s="58">
        <v>10824.99</v>
      </c>
      <c r="D5420" s="3">
        <f t="shared" si="87"/>
        <v>-7.2896644314996983E-3</v>
      </c>
    </row>
    <row r="5421" spans="2:4" x14ac:dyDescent="0.2">
      <c r="B5421" s="20">
        <v>43963</v>
      </c>
      <c r="C5421" s="58">
        <v>10819.5</v>
      </c>
      <c r="D5421" s="3">
        <f t="shared" si="87"/>
        <v>-5.0715982185667308E-4</v>
      </c>
    </row>
    <row r="5422" spans="2:4" x14ac:dyDescent="0.2">
      <c r="B5422" s="20">
        <v>43964</v>
      </c>
      <c r="C5422" s="58">
        <v>10542.66</v>
      </c>
      <c r="D5422" s="3">
        <f t="shared" si="87"/>
        <v>-2.5587134340773643E-2</v>
      </c>
    </row>
    <row r="5423" spans="2:4" x14ac:dyDescent="0.2">
      <c r="B5423" s="20">
        <v>43965</v>
      </c>
      <c r="C5423" s="58">
        <v>10337.02</v>
      </c>
      <c r="D5423" s="3">
        <f t="shared" si="87"/>
        <v>-1.9505513788740214E-2</v>
      </c>
    </row>
    <row r="5424" spans="2:4" x14ac:dyDescent="0.2">
      <c r="B5424" s="20">
        <v>43966</v>
      </c>
      <c r="C5424" s="58">
        <v>10465.17</v>
      </c>
      <c r="D5424" s="3">
        <f t="shared" si="87"/>
        <v>1.2397189905794859E-2</v>
      </c>
    </row>
    <row r="5425" spans="2:4" x14ac:dyDescent="0.2">
      <c r="B5425" s="20">
        <v>43969</v>
      </c>
      <c r="C5425" s="58">
        <v>11058.87</v>
      </c>
      <c r="D5425" s="3">
        <f t="shared" si="87"/>
        <v>5.6731042113983943E-2</v>
      </c>
    </row>
    <row r="5426" spans="2:4" x14ac:dyDescent="0.2">
      <c r="B5426" s="20">
        <v>43970</v>
      </c>
      <c r="C5426" s="58">
        <v>11075.29</v>
      </c>
      <c r="D5426" s="3">
        <f t="shared" si="87"/>
        <v>1.4847809948033142E-3</v>
      </c>
    </row>
    <row r="5427" spans="2:4" x14ac:dyDescent="0.2">
      <c r="B5427" s="20">
        <v>43971</v>
      </c>
      <c r="C5427" s="58">
        <v>11223.71</v>
      </c>
      <c r="D5427" s="3">
        <f t="shared" si="87"/>
        <v>1.3401003495167929E-2</v>
      </c>
    </row>
    <row r="5428" spans="2:4" x14ac:dyDescent="0.2">
      <c r="B5428" s="20">
        <v>43972</v>
      </c>
      <c r="C5428" s="58">
        <v>11065.93</v>
      </c>
      <c r="D5428" s="3">
        <f t="shared" si="87"/>
        <v>-1.4057740265919105E-2</v>
      </c>
    </row>
    <row r="5429" spans="2:4" x14ac:dyDescent="0.2">
      <c r="B5429" s="20">
        <v>43973</v>
      </c>
      <c r="C5429" s="58">
        <v>11073.87</v>
      </c>
      <c r="D5429" s="3">
        <f t="shared" si="87"/>
        <v>7.1751764198757506E-4</v>
      </c>
    </row>
    <row r="5430" spans="2:4" x14ac:dyDescent="0.2">
      <c r="B5430" s="20">
        <v>43976</v>
      </c>
      <c r="C5430" s="58">
        <v>11391.28</v>
      </c>
      <c r="D5430" s="3">
        <f t="shared" si="87"/>
        <v>2.8662969675461225E-2</v>
      </c>
    </row>
    <row r="5431" spans="2:4" x14ac:dyDescent="0.2">
      <c r="B5431" s="20">
        <v>43977</v>
      </c>
      <c r="C5431" s="58">
        <v>11504.65</v>
      </c>
      <c r="D5431" s="3">
        <f t="shared" si="87"/>
        <v>9.9523495164721698E-3</v>
      </c>
    </row>
    <row r="5432" spans="2:4" x14ac:dyDescent="0.2">
      <c r="B5432" s="20">
        <v>43978</v>
      </c>
      <c r="C5432" s="58">
        <v>11657.69</v>
      </c>
      <c r="D5432" s="3">
        <f t="shared" si="87"/>
        <v>1.3302447271320794E-2</v>
      </c>
    </row>
    <row r="5433" spans="2:4" x14ac:dyDescent="0.2">
      <c r="B5433" s="20">
        <v>43979</v>
      </c>
      <c r="C5433" s="58">
        <v>11781.13</v>
      </c>
      <c r="D5433" s="3">
        <f t="shared" si="87"/>
        <v>1.0588718691267207E-2</v>
      </c>
    </row>
    <row r="5434" spans="2:4" x14ac:dyDescent="0.2">
      <c r="B5434" s="20">
        <v>43980</v>
      </c>
      <c r="C5434" s="58">
        <v>11586.85</v>
      </c>
      <c r="D5434" s="3">
        <f t="shared" si="87"/>
        <v>-1.6490778049304211E-2</v>
      </c>
    </row>
    <row r="5435" spans="2:4" x14ac:dyDescent="0.2">
      <c r="B5435" s="20">
        <v>43984</v>
      </c>
      <c r="C5435" s="58">
        <v>12021.28</v>
      </c>
      <c r="D5435" s="3">
        <f t="shared" si="87"/>
        <v>3.7493365323621131E-2</v>
      </c>
    </row>
    <row r="5436" spans="2:4" x14ac:dyDescent="0.2">
      <c r="B5436" s="20">
        <v>43985</v>
      </c>
      <c r="C5436" s="58">
        <v>12487.36</v>
      </c>
      <c r="D5436" s="3">
        <f t="shared" si="87"/>
        <v>3.8771245657700293E-2</v>
      </c>
    </row>
    <row r="5437" spans="2:4" x14ac:dyDescent="0.2">
      <c r="B5437" s="20">
        <v>43986</v>
      </c>
      <c r="C5437" s="58">
        <v>12430.56</v>
      </c>
      <c r="D5437" s="3">
        <f t="shared" si="87"/>
        <v>-4.5485995438588889E-3</v>
      </c>
    </row>
    <row r="5438" spans="2:4" x14ac:dyDescent="0.2">
      <c r="B5438" s="20">
        <v>43987</v>
      </c>
      <c r="C5438" s="58">
        <v>12847.68</v>
      </c>
      <c r="D5438" s="3">
        <f t="shared" si="87"/>
        <v>3.3556010348689158E-2</v>
      </c>
    </row>
    <row r="5439" spans="2:4" x14ac:dyDescent="0.2">
      <c r="B5439" s="20">
        <v>43990</v>
      </c>
      <c r="C5439" s="58">
        <v>12819.59</v>
      </c>
      <c r="D5439" s="3">
        <f t="shared" si="87"/>
        <v>-2.1863869585793116E-3</v>
      </c>
    </row>
    <row r="5440" spans="2:4" x14ac:dyDescent="0.2">
      <c r="B5440" s="20">
        <v>43991</v>
      </c>
      <c r="C5440" s="58">
        <v>12617.99</v>
      </c>
      <c r="D5440" s="3">
        <f t="shared" si="87"/>
        <v>-1.5725931952581984E-2</v>
      </c>
    </row>
    <row r="5441" spans="2:4" x14ac:dyDescent="0.2">
      <c r="B5441" s="20">
        <v>43992</v>
      </c>
      <c r="C5441" s="58">
        <v>12530.16</v>
      </c>
      <c r="D5441" s="3">
        <f t="shared" si="87"/>
        <v>-6.9606965927220266E-3</v>
      </c>
    </row>
    <row r="5442" spans="2:4" x14ac:dyDescent="0.2">
      <c r="B5442" s="20">
        <v>43993</v>
      </c>
      <c r="C5442" s="58">
        <v>11970.29</v>
      </c>
      <c r="D5442" s="3">
        <f t="shared" si="87"/>
        <v>-4.4681791772810509E-2</v>
      </c>
    </row>
    <row r="5443" spans="2:4" x14ac:dyDescent="0.2">
      <c r="B5443" s="20">
        <v>43994</v>
      </c>
      <c r="C5443" s="58">
        <v>11949.28</v>
      </c>
      <c r="D5443" s="3">
        <f t="shared" si="87"/>
        <v>-1.7551788636699373E-3</v>
      </c>
    </row>
    <row r="5444" spans="2:4" x14ac:dyDescent="0.2">
      <c r="B5444" s="20">
        <v>43997</v>
      </c>
      <c r="C5444" s="58">
        <v>11911.35</v>
      </c>
      <c r="D5444" s="3">
        <f t="shared" si="87"/>
        <v>-3.1742498292783861E-3</v>
      </c>
    </row>
    <row r="5445" spans="2:4" x14ac:dyDescent="0.2">
      <c r="B5445" s="20">
        <v>43998</v>
      </c>
      <c r="C5445" s="58">
        <v>12315.66</v>
      </c>
      <c r="D5445" s="3">
        <f t="shared" ref="D5445:D5508" si="88">C5445/C5444-1</f>
        <v>3.3943255802239003E-2</v>
      </c>
    </row>
    <row r="5446" spans="2:4" x14ac:dyDescent="0.2">
      <c r="B5446" s="20">
        <v>43999</v>
      </c>
      <c r="C5446" s="58">
        <v>12382.14</v>
      </c>
      <c r="D5446" s="3">
        <f t="shared" si="88"/>
        <v>5.3980054662112753E-3</v>
      </c>
    </row>
    <row r="5447" spans="2:4" x14ac:dyDescent="0.2">
      <c r="B5447" s="20">
        <v>44000</v>
      </c>
      <c r="C5447" s="58">
        <v>12281.53</v>
      </c>
      <c r="D5447" s="3">
        <f t="shared" si="88"/>
        <v>-8.1254128930862146E-3</v>
      </c>
    </row>
    <row r="5448" spans="2:4" x14ac:dyDescent="0.2">
      <c r="B5448" s="20">
        <v>44001</v>
      </c>
      <c r="C5448" s="58">
        <v>12330.76</v>
      </c>
      <c r="D5448" s="3">
        <f t="shared" si="88"/>
        <v>4.0084582295527582E-3</v>
      </c>
    </row>
    <row r="5449" spans="2:4" x14ac:dyDescent="0.2">
      <c r="B5449" s="20">
        <v>44004</v>
      </c>
      <c r="C5449" s="58">
        <v>12262.97</v>
      </c>
      <c r="D5449" s="3">
        <f t="shared" si="88"/>
        <v>-5.4976335602996418E-3</v>
      </c>
    </row>
    <row r="5450" spans="2:4" x14ac:dyDescent="0.2">
      <c r="B5450" s="20">
        <v>44005</v>
      </c>
      <c r="C5450" s="58">
        <v>12523.76</v>
      </c>
      <c r="D5450" s="3">
        <f t="shared" si="88"/>
        <v>2.1266463181431661E-2</v>
      </c>
    </row>
    <row r="5451" spans="2:4" x14ac:dyDescent="0.2">
      <c r="B5451" s="20">
        <v>44006</v>
      </c>
      <c r="C5451" s="58">
        <v>12093.94</v>
      </c>
      <c r="D5451" s="3">
        <f t="shared" si="88"/>
        <v>-3.4320363852389346E-2</v>
      </c>
    </row>
    <row r="5452" spans="2:4" x14ac:dyDescent="0.2">
      <c r="B5452" s="20">
        <v>44007</v>
      </c>
      <c r="C5452" s="58">
        <v>12177.87</v>
      </c>
      <c r="D5452" s="3">
        <f t="shared" si="88"/>
        <v>6.9398392914137297E-3</v>
      </c>
    </row>
    <row r="5453" spans="2:4" x14ac:dyDescent="0.2">
      <c r="B5453" s="20">
        <v>44008</v>
      </c>
      <c r="C5453" s="58">
        <v>12089.39</v>
      </c>
      <c r="D5453" s="3">
        <f t="shared" si="88"/>
        <v>-7.2656384080304059E-3</v>
      </c>
    </row>
    <row r="5454" spans="2:4" x14ac:dyDescent="0.2">
      <c r="B5454" s="20">
        <v>44011</v>
      </c>
      <c r="C5454" s="58">
        <v>12232.12</v>
      </c>
      <c r="D5454" s="3">
        <f t="shared" si="88"/>
        <v>1.1806220164954695E-2</v>
      </c>
    </row>
    <row r="5455" spans="2:4" x14ac:dyDescent="0.2">
      <c r="B5455" s="20">
        <v>44012</v>
      </c>
      <c r="C5455" s="58">
        <v>12310.93</v>
      </c>
      <c r="D5455" s="3">
        <f t="shared" si="88"/>
        <v>6.4428733531063376E-3</v>
      </c>
    </row>
    <row r="5456" spans="2:4" x14ac:dyDescent="0.2">
      <c r="B5456" s="20">
        <v>44013</v>
      </c>
      <c r="C5456" s="58">
        <v>12260.57</v>
      </c>
      <c r="D5456" s="3">
        <f t="shared" si="88"/>
        <v>-4.0906738970979406E-3</v>
      </c>
    </row>
    <row r="5457" spans="2:4" x14ac:dyDescent="0.2">
      <c r="B5457" s="20">
        <v>44014</v>
      </c>
      <c r="C5457" s="58">
        <v>12608.46</v>
      </c>
      <c r="D5457" s="3">
        <f t="shared" si="88"/>
        <v>2.8374700360586758E-2</v>
      </c>
    </row>
    <row r="5458" spans="2:4" x14ac:dyDescent="0.2">
      <c r="B5458" s="20">
        <v>44015</v>
      </c>
      <c r="C5458" s="58">
        <v>12528.18</v>
      </c>
      <c r="D5458" s="3">
        <f t="shared" si="88"/>
        <v>-6.3671534826615916E-3</v>
      </c>
    </row>
    <row r="5459" spans="2:4" x14ac:dyDescent="0.2">
      <c r="B5459" s="20">
        <v>44018</v>
      </c>
      <c r="C5459" s="58">
        <v>12733.45</v>
      </c>
      <c r="D5459" s="3">
        <f t="shared" si="88"/>
        <v>1.6384662417046947E-2</v>
      </c>
    </row>
    <row r="5460" spans="2:4" x14ac:dyDescent="0.2">
      <c r="B5460" s="20">
        <v>44019</v>
      </c>
      <c r="C5460" s="58">
        <v>12616.8</v>
      </c>
      <c r="D5460" s="3">
        <f t="shared" si="88"/>
        <v>-9.1609108293511099E-3</v>
      </c>
    </row>
    <row r="5461" spans="2:4" x14ac:dyDescent="0.2">
      <c r="B5461" s="20">
        <v>44020</v>
      </c>
      <c r="C5461" s="58">
        <v>12494.81</v>
      </c>
      <c r="D5461" s="3">
        <f t="shared" si="88"/>
        <v>-9.6688542261111898E-3</v>
      </c>
    </row>
    <row r="5462" spans="2:4" x14ac:dyDescent="0.2">
      <c r="B5462" s="20">
        <v>44021</v>
      </c>
      <c r="C5462" s="58">
        <v>12489.46</v>
      </c>
      <c r="D5462" s="3">
        <f t="shared" si="88"/>
        <v>-4.2817777941406288E-4</v>
      </c>
    </row>
    <row r="5463" spans="2:4" x14ac:dyDescent="0.2">
      <c r="B5463" s="20">
        <v>44022</v>
      </c>
      <c r="C5463" s="58">
        <v>12633.71</v>
      </c>
      <c r="D5463" s="3">
        <f t="shared" si="88"/>
        <v>1.1549738739705218E-2</v>
      </c>
    </row>
    <row r="5464" spans="2:4" x14ac:dyDescent="0.2">
      <c r="B5464" s="20">
        <v>44025</v>
      </c>
      <c r="C5464" s="58">
        <v>12799.97</v>
      </c>
      <c r="D5464" s="3">
        <f t="shared" si="88"/>
        <v>1.3160029793306993E-2</v>
      </c>
    </row>
    <row r="5465" spans="2:4" x14ac:dyDescent="0.2">
      <c r="B5465" s="20">
        <v>44026</v>
      </c>
      <c r="C5465" s="58">
        <v>12697.36</v>
      </c>
      <c r="D5465" s="3">
        <f t="shared" si="88"/>
        <v>-8.0164250384960889E-3</v>
      </c>
    </row>
    <row r="5466" spans="2:4" x14ac:dyDescent="0.2">
      <c r="B5466" s="20">
        <v>44027</v>
      </c>
      <c r="C5466" s="58">
        <v>12930.98</v>
      </c>
      <c r="D5466" s="3">
        <f t="shared" si="88"/>
        <v>1.8399100285413583E-2</v>
      </c>
    </row>
    <row r="5467" spans="2:4" x14ac:dyDescent="0.2">
      <c r="B5467" s="20">
        <v>44028</v>
      </c>
      <c r="C5467" s="58">
        <v>12874.97</v>
      </c>
      <c r="D5467" s="3">
        <f t="shared" si="88"/>
        <v>-4.3314582498774623E-3</v>
      </c>
    </row>
    <row r="5468" spans="2:4" x14ac:dyDescent="0.2">
      <c r="B5468" s="20">
        <v>44029</v>
      </c>
      <c r="C5468" s="58">
        <v>12919.61</v>
      </c>
      <c r="D5468" s="3">
        <f t="shared" si="88"/>
        <v>3.4671925449147878E-3</v>
      </c>
    </row>
    <row r="5469" spans="2:4" x14ac:dyDescent="0.2">
      <c r="B5469" s="20">
        <v>44032</v>
      </c>
      <c r="C5469" s="58">
        <v>13046.92</v>
      </c>
      <c r="D5469" s="3">
        <f t="shared" si="88"/>
        <v>9.8540126211239532E-3</v>
      </c>
    </row>
    <row r="5470" spans="2:4" x14ac:dyDescent="0.2">
      <c r="B5470" s="20">
        <v>44033</v>
      </c>
      <c r="C5470" s="58">
        <v>13171.83</v>
      </c>
      <c r="D5470" s="3">
        <f t="shared" si="88"/>
        <v>9.573907098380241E-3</v>
      </c>
    </row>
    <row r="5471" spans="2:4" x14ac:dyDescent="0.2">
      <c r="B5471" s="20">
        <v>44034</v>
      </c>
      <c r="C5471" s="58">
        <v>13104.25</v>
      </c>
      <c r="D5471" s="3">
        <f t="shared" si="88"/>
        <v>-5.1306462351852211E-3</v>
      </c>
    </row>
    <row r="5472" spans="2:4" x14ac:dyDescent="0.2">
      <c r="B5472" s="20">
        <v>44035</v>
      </c>
      <c r="C5472" s="58">
        <v>13103.39</v>
      </c>
      <c r="D5472" s="3">
        <f t="shared" si="88"/>
        <v>-6.5627563576753367E-5</v>
      </c>
    </row>
    <row r="5473" spans="2:4" x14ac:dyDescent="0.2">
      <c r="B5473" s="20">
        <v>44036</v>
      </c>
      <c r="C5473" s="58">
        <v>12838.06</v>
      </c>
      <c r="D5473" s="3">
        <f t="shared" si="88"/>
        <v>-2.0248958475631129E-2</v>
      </c>
    </row>
    <row r="5474" spans="2:4" x14ac:dyDescent="0.2">
      <c r="B5474" s="20">
        <v>44039</v>
      </c>
      <c r="C5474" s="58">
        <v>12838.66</v>
      </c>
      <c r="D5474" s="3">
        <f t="shared" si="88"/>
        <v>4.6736033325833759E-5</v>
      </c>
    </row>
    <row r="5475" spans="2:4" x14ac:dyDescent="0.2">
      <c r="B5475" s="20">
        <v>44040</v>
      </c>
      <c r="C5475" s="58">
        <v>12835.28</v>
      </c>
      <c r="D5475" s="3">
        <f t="shared" si="88"/>
        <v>-2.6326735033088688E-4</v>
      </c>
    </row>
    <row r="5476" spans="2:4" x14ac:dyDescent="0.2">
      <c r="B5476" s="20">
        <v>44041</v>
      </c>
      <c r="C5476" s="58">
        <v>12822.26</v>
      </c>
      <c r="D5476" s="3">
        <f t="shared" si="88"/>
        <v>-1.0143915831988259E-3</v>
      </c>
    </row>
    <row r="5477" spans="2:4" x14ac:dyDescent="0.2">
      <c r="B5477" s="20">
        <v>44042</v>
      </c>
      <c r="C5477" s="58">
        <v>12379.65</v>
      </c>
      <c r="D5477" s="3">
        <f t="shared" si="88"/>
        <v>-3.451887576761048E-2</v>
      </c>
    </row>
    <row r="5478" spans="2:4" x14ac:dyDescent="0.2">
      <c r="B5478" s="20">
        <v>44043</v>
      </c>
      <c r="C5478" s="58">
        <v>12313.36</v>
      </c>
      <c r="D5478" s="3">
        <f t="shared" si="88"/>
        <v>-5.3547555867895502E-3</v>
      </c>
    </row>
    <row r="5479" spans="2:4" x14ac:dyDescent="0.2">
      <c r="B5479" s="20">
        <v>44046</v>
      </c>
      <c r="C5479" s="58">
        <v>12646.98</v>
      </c>
      <c r="D5479" s="3">
        <f t="shared" si="88"/>
        <v>2.7094148144779284E-2</v>
      </c>
    </row>
    <row r="5480" spans="2:4" x14ac:dyDescent="0.2">
      <c r="B5480" s="20">
        <v>44047</v>
      </c>
      <c r="C5480" s="58">
        <v>12600.87</v>
      </c>
      <c r="D5480" s="3">
        <f t="shared" si="88"/>
        <v>-3.6459297002129354E-3</v>
      </c>
    </row>
    <row r="5481" spans="2:4" x14ac:dyDescent="0.2">
      <c r="B5481" s="20">
        <v>44048</v>
      </c>
      <c r="C5481" s="58">
        <v>12660.25</v>
      </c>
      <c r="D5481" s="3">
        <f t="shared" si="88"/>
        <v>4.71237303456018E-3</v>
      </c>
    </row>
    <row r="5482" spans="2:4" x14ac:dyDescent="0.2">
      <c r="B5482" s="20">
        <v>44049</v>
      </c>
      <c r="C5482" s="58">
        <v>12591.68</v>
      </c>
      <c r="D5482" s="3">
        <f t="shared" si="88"/>
        <v>-5.4161647676783664E-3</v>
      </c>
    </row>
    <row r="5483" spans="2:4" x14ac:dyDescent="0.2">
      <c r="B5483" s="20">
        <v>44050</v>
      </c>
      <c r="C5483" s="58">
        <v>12674.88</v>
      </c>
      <c r="D5483" s="3">
        <f t="shared" si="88"/>
        <v>6.6075376756715709E-3</v>
      </c>
    </row>
    <row r="5484" spans="2:4" x14ac:dyDescent="0.2">
      <c r="B5484" s="20">
        <v>44053</v>
      </c>
      <c r="C5484" s="58">
        <v>12687.53</v>
      </c>
      <c r="D5484" s="3">
        <f t="shared" si="88"/>
        <v>9.9803706228396294E-4</v>
      </c>
    </row>
    <row r="5485" spans="2:4" x14ac:dyDescent="0.2">
      <c r="B5485" s="20">
        <v>44054</v>
      </c>
      <c r="C5485" s="58">
        <v>12946.89</v>
      </c>
      <c r="D5485" s="3">
        <f t="shared" si="88"/>
        <v>2.0442119151639293E-2</v>
      </c>
    </row>
    <row r="5486" spans="2:4" x14ac:dyDescent="0.2">
      <c r="B5486" s="20">
        <v>44055</v>
      </c>
      <c r="C5486" s="58">
        <v>13058.63</v>
      </c>
      <c r="D5486" s="3">
        <f t="shared" si="88"/>
        <v>8.6306441160772795E-3</v>
      </c>
    </row>
    <row r="5487" spans="2:4" x14ac:dyDescent="0.2">
      <c r="B5487" s="20">
        <v>44056</v>
      </c>
      <c r="C5487" s="58">
        <v>12993.71</v>
      </c>
      <c r="D5487" s="3">
        <f t="shared" si="88"/>
        <v>-4.971425026974452E-3</v>
      </c>
    </row>
    <row r="5488" spans="2:4" x14ac:dyDescent="0.2">
      <c r="B5488" s="20">
        <v>44057</v>
      </c>
      <c r="C5488" s="58">
        <v>12901.34</v>
      </c>
      <c r="D5488" s="3">
        <f t="shared" si="88"/>
        <v>-7.1088241926284823E-3</v>
      </c>
    </row>
    <row r="5489" spans="2:4" x14ac:dyDescent="0.2">
      <c r="B5489" s="20">
        <v>44060</v>
      </c>
      <c r="C5489" s="58">
        <v>12920.66</v>
      </c>
      <c r="D5489" s="3">
        <f t="shared" si="88"/>
        <v>1.4975188623818081E-3</v>
      </c>
    </row>
    <row r="5490" spans="2:4" x14ac:dyDescent="0.2">
      <c r="B5490" s="20">
        <v>44061</v>
      </c>
      <c r="C5490" s="58">
        <v>12881.76</v>
      </c>
      <c r="D5490" s="3">
        <f t="shared" si="88"/>
        <v>-3.0106821168577325E-3</v>
      </c>
    </row>
    <row r="5491" spans="2:4" x14ac:dyDescent="0.2">
      <c r="B5491" s="20">
        <v>44062</v>
      </c>
      <c r="C5491" s="58">
        <v>12977.33</v>
      </c>
      <c r="D5491" s="3">
        <f t="shared" si="88"/>
        <v>7.4190172771422258E-3</v>
      </c>
    </row>
    <row r="5492" spans="2:4" x14ac:dyDescent="0.2">
      <c r="B5492" s="20">
        <v>44063</v>
      </c>
      <c r="C5492" s="58">
        <v>12830</v>
      </c>
      <c r="D5492" s="3">
        <f t="shared" si="88"/>
        <v>-1.1352874589765416E-2</v>
      </c>
    </row>
    <row r="5493" spans="2:4" x14ac:dyDescent="0.2">
      <c r="B5493" s="20">
        <v>44064</v>
      </c>
      <c r="C5493" s="58">
        <v>12764.8</v>
      </c>
      <c r="D5493" s="3">
        <f t="shared" si="88"/>
        <v>-5.0818394388153498E-3</v>
      </c>
    </row>
    <row r="5494" spans="2:4" x14ac:dyDescent="0.2">
      <c r="B5494" s="20">
        <v>44067</v>
      </c>
      <c r="C5494" s="58">
        <v>13066.54</v>
      </c>
      <c r="D5494" s="3">
        <f t="shared" si="88"/>
        <v>2.363844321885189E-2</v>
      </c>
    </row>
    <row r="5495" spans="2:4" x14ac:dyDescent="0.2">
      <c r="B5495" s="20">
        <v>44068</v>
      </c>
      <c r="C5495" s="58">
        <v>13061.62</v>
      </c>
      <c r="D5495" s="3">
        <f t="shared" si="88"/>
        <v>-3.7653426232198139E-4</v>
      </c>
    </row>
    <row r="5496" spans="2:4" x14ac:dyDescent="0.2">
      <c r="B5496" s="20">
        <v>44069</v>
      </c>
      <c r="C5496" s="58">
        <v>13190.15</v>
      </c>
      <c r="D5496" s="3">
        <f t="shared" si="88"/>
        <v>9.8402801490167224E-3</v>
      </c>
    </row>
    <row r="5497" spans="2:4" x14ac:dyDescent="0.2">
      <c r="B5497" s="20">
        <v>44070</v>
      </c>
      <c r="C5497" s="58">
        <v>13096.36</v>
      </c>
      <c r="D5497" s="3">
        <f t="shared" si="88"/>
        <v>-7.1106090529674537E-3</v>
      </c>
    </row>
    <row r="5498" spans="2:4" x14ac:dyDescent="0.2">
      <c r="B5498" s="20">
        <v>44071</v>
      </c>
      <c r="C5498" s="58">
        <v>13033.2</v>
      </c>
      <c r="D5498" s="3">
        <f t="shared" si="88"/>
        <v>-4.8227140976576655E-3</v>
      </c>
    </row>
    <row r="5499" spans="2:4" x14ac:dyDescent="0.2">
      <c r="B5499" s="20">
        <v>44074</v>
      </c>
      <c r="C5499" s="58">
        <v>12945.38</v>
      </c>
      <c r="D5499" s="3">
        <f t="shared" si="88"/>
        <v>-6.7381763496302538E-3</v>
      </c>
    </row>
    <row r="5500" spans="2:4" x14ac:dyDescent="0.2">
      <c r="B5500" s="20">
        <v>44075</v>
      </c>
      <c r="C5500" s="58">
        <v>12974.25</v>
      </c>
      <c r="D5500" s="3">
        <f t="shared" si="88"/>
        <v>2.2301392465884362E-3</v>
      </c>
    </row>
    <row r="5501" spans="2:4" x14ac:dyDescent="0.2">
      <c r="B5501" s="20">
        <v>44076</v>
      </c>
      <c r="C5501" s="58">
        <v>13243.43</v>
      </c>
      <c r="D5501" s="3">
        <f t="shared" si="88"/>
        <v>2.074724935930794E-2</v>
      </c>
    </row>
    <row r="5502" spans="2:4" x14ac:dyDescent="0.2">
      <c r="B5502" s="20">
        <v>44077</v>
      </c>
      <c r="C5502" s="58">
        <v>13057.77</v>
      </c>
      <c r="D5502" s="3">
        <f t="shared" si="88"/>
        <v>-1.4019026792907896E-2</v>
      </c>
    </row>
    <row r="5503" spans="2:4" x14ac:dyDescent="0.2">
      <c r="B5503" s="20">
        <v>44078</v>
      </c>
      <c r="C5503" s="58">
        <v>12842.66</v>
      </c>
      <c r="D5503" s="3">
        <f t="shared" si="88"/>
        <v>-1.6473716415590145E-2</v>
      </c>
    </row>
    <row r="5504" spans="2:4" x14ac:dyDescent="0.2">
      <c r="B5504" s="20">
        <v>44081</v>
      </c>
      <c r="C5504" s="58">
        <v>13100.28</v>
      </c>
      <c r="D5504" s="3">
        <f t="shared" si="88"/>
        <v>2.0059707256907977E-2</v>
      </c>
    </row>
    <row r="5505" spans="2:4" x14ac:dyDescent="0.2">
      <c r="B5505" s="20">
        <v>44082</v>
      </c>
      <c r="C5505" s="58">
        <v>12968.33</v>
      </c>
      <c r="D5505" s="3">
        <f t="shared" si="88"/>
        <v>-1.0072303798086768E-2</v>
      </c>
    </row>
    <row r="5506" spans="2:4" x14ac:dyDescent="0.2">
      <c r="B5506" s="20">
        <v>44083</v>
      </c>
      <c r="C5506" s="58">
        <v>13237.21</v>
      </c>
      <c r="D5506" s="3">
        <f t="shared" si="88"/>
        <v>2.0733587131110953E-2</v>
      </c>
    </row>
    <row r="5507" spans="2:4" x14ac:dyDescent="0.2">
      <c r="B5507" s="20">
        <v>44084</v>
      </c>
      <c r="C5507" s="58">
        <v>13208.89</v>
      </c>
      <c r="D5507" s="3">
        <f t="shared" si="88"/>
        <v>-2.1394236398757371E-3</v>
      </c>
    </row>
    <row r="5508" spans="2:4" x14ac:dyDescent="0.2">
      <c r="B5508" s="20">
        <v>44085</v>
      </c>
      <c r="C5508" s="58">
        <v>13202.84</v>
      </c>
      <c r="D5508" s="3">
        <f t="shared" si="88"/>
        <v>-4.5802486052948232E-4</v>
      </c>
    </row>
    <row r="5509" spans="2:4" x14ac:dyDescent="0.2">
      <c r="B5509" s="20">
        <v>44088</v>
      </c>
      <c r="C5509" s="58">
        <v>13193.66</v>
      </c>
      <c r="D5509" s="3">
        <f t="shared" ref="D5509:D5572" si="89">C5509/C5508-1</f>
        <v>-6.9530494954117561E-4</v>
      </c>
    </row>
    <row r="5510" spans="2:4" x14ac:dyDescent="0.2">
      <c r="B5510" s="20">
        <v>44089</v>
      </c>
      <c r="C5510" s="58">
        <v>13217.67</v>
      </c>
      <c r="D5510" s="3">
        <f t="shared" si="89"/>
        <v>1.8198134558569112E-3</v>
      </c>
    </row>
    <row r="5511" spans="2:4" x14ac:dyDescent="0.2">
      <c r="B5511" s="20">
        <v>44090</v>
      </c>
      <c r="C5511" s="58">
        <v>13255.37</v>
      </c>
      <c r="D5511" s="3">
        <f t="shared" si="89"/>
        <v>2.8522424905448318E-3</v>
      </c>
    </row>
    <row r="5512" spans="2:4" x14ac:dyDescent="0.2">
      <c r="B5512" s="20">
        <v>44091</v>
      </c>
      <c r="C5512" s="58">
        <v>13208.12</v>
      </c>
      <c r="D5512" s="3">
        <f t="shared" si="89"/>
        <v>-3.5645930668098957E-3</v>
      </c>
    </row>
    <row r="5513" spans="2:4" x14ac:dyDescent="0.2">
      <c r="B5513" s="20">
        <v>44092</v>
      </c>
      <c r="C5513" s="58">
        <v>13116.25</v>
      </c>
      <c r="D5513" s="3">
        <f t="shared" si="89"/>
        <v>-6.9555697555746532E-3</v>
      </c>
    </row>
    <row r="5514" spans="2:4" x14ac:dyDescent="0.2">
      <c r="B5514" s="20">
        <v>44095</v>
      </c>
      <c r="C5514" s="58">
        <v>12542.44</v>
      </c>
      <c r="D5514" s="3">
        <f t="shared" si="89"/>
        <v>-4.3748022491184591E-2</v>
      </c>
    </row>
    <row r="5515" spans="2:4" x14ac:dyDescent="0.2">
      <c r="B5515" s="20">
        <v>44096</v>
      </c>
      <c r="C5515" s="58">
        <v>12594.39</v>
      </c>
      <c r="D5515" s="3">
        <f t="shared" si="89"/>
        <v>4.1419372944977439E-3</v>
      </c>
    </row>
    <row r="5516" spans="2:4" x14ac:dyDescent="0.2">
      <c r="B5516" s="20">
        <v>44097</v>
      </c>
      <c r="C5516" s="58">
        <v>12642.97</v>
      </c>
      <c r="D5516" s="3">
        <f t="shared" si="89"/>
        <v>3.8572729604211542E-3</v>
      </c>
    </row>
    <row r="5517" spans="2:4" x14ac:dyDescent="0.2">
      <c r="B5517" s="20">
        <v>44098</v>
      </c>
      <c r="C5517" s="58">
        <v>12606.57</v>
      </c>
      <c r="D5517" s="3">
        <f t="shared" si="89"/>
        <v>-2.8790703450217725E-3</v>
      </c>
    </row>
    <row r="5518" spans="2:4" x14ac:dyDescent="0.2">
      <c r="B5518" s="20">
        <v>44099</v>
      </c>
      <c r="C5518" s="58">
        <v>12469.2</v>
      </c>
      <c r="D5518" s="3">
        <f t="shared" si="89"/>
        <v>-1.0896699102134755E-2</v>
      </c>
    </row>
    <row r="5519" spans="2:4" x14ac:dyDescent="0.2">
      <c r="B5519" s="20">
        <v>44102</v>
      </c>
      <c r="C5519" s="58">
        <v>12870.87</v>
      </c>
      <c r="D5519" s="3">
        <f t="shared" si="89"/>
        <v>3.2212972764892767E-2</v>
      </c>
    </row>
    <row r="5520" spans="2:4" x14ac:dyDescent="0.2">
      <c r="B5520" s="20">
        <v>44103</v>
      </c>
      <c r="C5520" s="58">
        <v>12825.82</v>
      </c>
      <c r="D5520" s="3">
        <f t="shared" si="89"/>
        <v>-3.5001518933841513E-3</v>
      </c>
    </row>
    <row r="5521" spans="2:4" x14ac:dyDescent="0.2">
      <c r="B5521" s="20">
        <v>44104</v>
      </c>
      <c r="C5521" s="58">
        <v>12760.73</v>
      </c>
      <c r="D5521" s="3">
        <f t="shared" si="89"/>
        <v>-5.0749191864536414E-3</v>
      </c>
    </row>
    <row r="5522" spans="2:4" x14ac:dyDescent="0.2">
      <c r="B5522" s="20">
        <v>44105</v>
      </c>
      <c r="C5522" s="58">
        <v>12730.77</v>
      </c>
      <c r="D5522" s="3">
        <f t="shared" si="89"/>
        <v>-2.3478280631279436E-3</v>
      </c>
    </row>
    <row r="5523" spans="2:4" x14ac:dyDescent="0.2">
      <c r="B5523" s="20">
        <v>44106</v>
      </c>
      <c r="C5523" s="58">
        <v>12689.04</v>
      </c>
      <c r="D5523" s="3">
        <f t="shared" si="89"/>
        <v>-3.2778849983150504E-3</v>
      </c>
    </row>
    <row r="5524" spans="2:4" x14ac:dyDescent="0.2">
      <c r="B5524" s="20">
        <v>44109</v>
      </c>
      <c r="C5524" s="58">
        <v>12828.31</v>
      </c>
      <c r="D5524" s="3">
        <f t="shared" si="89"/>
        <v>1.0975613600398448E-2</v>
      </c>
    </row>
    <row r="5525" spans="2:4" x14ac:dyDescent="0.2">
      <c r="B5525" s="20">
        <v>44110</v>
      </c>
      <c r="C5525" s="58">
        <v>12906.02</v>
      </c>
      <c r="D5525" s="3">
        <f t="shared" si="89"/>
        <v>6.0576958305498252E-3</v>
      </c>
    </row>
    <row r="5526" spans="2:4" x14ac:dyDescent="0.2">
      <c r="B5526" s="20">
        <v>44111</v>
      </c>
      <c r="C5526" s="58">
        <v>12928.57</v>
      </c>
      <c r="D5526" s="3">
        <f t="shared" si="89"/>
        <v>1.7472466337413728E-3</v>
      </c>
    </row>
    <row r="5527" spans="2:4" x14ac:dyDescent="0.2">
      <c r="B5527" s="20">
        <v>44112</v>
      </c>
      <c r="C5527" s="58">
        <v>13042.21</v>
      </c>
      <c r="D5527" s="3">
        <f t="shared" si="89"/>
        <v>8.7898352253961143E-3</v>
      </c>
    </row>
    <row r="5528" spans="2:4" x14ac:dyDescent="0.2">
      <c r="B5528" s="20">
        <v>44113</v>
      </c>
      <c r="C5528" s="58">
        <v>13051.23</v>
      </c>
      <c r="D5528" s="3">
        <f t="shared" si="89"/>
        <v>6.9160057996309199E-4</v>
      </c>
    </row>
    <row r="5529" spans="2:4" x14ac:dyDescent="0.2">
      <c r="B5529" s="20">
        <v>44116</v>
      </c>
      <c r="C5529" s="58">
        <v>13138.41</v>
      </c>
      <c r="D5529" s="3">
        <f t="shared" si="89"/>
        <v>6.6798301769259716E-3</v>
      </c>
    </row>
    <row r="5530" spans="2:4" x14ac:dyDescent="0.2">
      <c r="B5530" s="20">
        <v>44117</v>
      </c>
      <c r="C5530" s="58">
        <v>13018.99</v>
      </c>
      <c r="D5530" s="3">
        <f t="shared" si="89"/>
        <v>-9.0893799173568102E-3</v>
      </c>
    </row>
    <row r="5531" spans="2:4" x14ac:dyDescent="0.2">
      <c r="B5531" s="20">
        <v>44118</v>
      </c>
      <c r="C5531" s="58">
        <v>13028.06</v>
      </c>
      <c r="D5531" s="3">
        <f t="shared" si="89"/>
        <v>6.9667462683353776E-4</v>
      </c>
    </row>
    <row r="5532" spans="2:4" x14ac:dyDescent="0.2">
      <c r="B5532" s="20">
        <v>44119</v>
      </c>
      <c r="C5532" s="58">
        <v>12703.75</v>
      </c>
      <c r="D5532" s="3">
        <f t="shared" si="89"/>
        <v>-2.4893192079250448E-2</v>
      </c>
    </row>
    <row r="5533" spans="2:4" x14ac:dyDescent="0.2">
      <c r="B5533" s="20">
        <v>44120</v>
      </c>
      <c r="C5533" s="58">
        <v>12908.99</v>
      </c>
      <c r="D5533" s="3">
        <f t="shared" si="89"/>
        <v>1.6155859490307956E-2</v>
      </c>
    </row>
    <row r="5534" spans="2:4" x14ac:dyDescent="0.2">
      <c r="B5534" s="20">
        <v>44123</v>
      </c>
      <c r="C5534" s="58">
        <v>12854.66</v>
      </c>
      <c r="D5534" s="3">
        <f t="shared" si="89"/>
        <v>-4.2086948707837912E-3</v>
      </c>
    </row>
    <row r="5535" spans="2:4" x14ac:dyDescent="0.2">
      <c r="B5535" s="20">
        <v>44124</v>
      </c>
      <c r="C5535" s="58">
        <v>12736.95</v>
      </c>
      <c r="D5535" s="3">
        <f t="shared" si="89"/>
        <v>-9.15699053883956E-3</v>
      </c>
    </row>
    <row r="5536" spans="2:4" x14ac:dyDescent="0.2">
      <c r="B5536" s="20">
        <v>44125</v>
      </c>
      <c r="C5536" s="58">
        <v>12557.64</v>
      </c>
      <c r="D5536" s="3">
        <f t="shared" si="89"/>
        <v>-1.4077938595974837E-2</v>
      </c>
    </row>
    <row r="5537" spans="2:4" x14ac:dyDescent="0.2">
      <c r="B5537" s="20">
        <v>44126</v>
      </c>
      <c r="C5537" s="58">
        <v>12543.06</v>
      </c>
      <c r="D5537" s="3">
        <f t="shared" si="89"/>
        <v>-1.1610461838370556E-3</v>
      </c>
    </row>
    <row r="5538" spans="2:4" x14ac:dyDescent="0.2">
      <c r="B5538" s="20">
        <v>44127</v>
      </c>
      <c r="C5538" s="58">
        <v>12645.75</v>
      </c>
      <c r="D5538" s="3">
        <f t="shared" si="89"/>
        <v>8.1869974312489546E-3</v>
      </c>
    </row>
    <row r="5539" spans="2:4" x14ac:dyDescent="0.2">
      <c r="B5539" s="20">
        <v>44130</v>
      </c>
      <c r="C5539" s="58">
        <v>12177.18</v>
      </c>
      <c r="D5539" s="3">
        <f t="shared" si="89"/>
        <v>-3.7053555542375882E-2</v>
      </c>
    </row>
    <row r="5540" spans="2:4" x14ac:dyDescent="0.2">
      <c r="B5540" s="20">
        <v>44131</v>
      </c>
      <c r="C5540" s="58">
        <v>12063.57</v>
      </c>
      <c r="D5540" s="3">
        <f t="shared" si="89"/>
        <v>-9.329746295940522E-3</v>
      </c>
    </row>
    <row r="5541" spans="2:4" x14ac:dyDescent="0.2">
      <c r="B5541" s="20">
        <v>44132</v>
      </c>
      <c r="C5541" s="58">
        <v>11560.51</v>
      </c>
      <c r="D5541" s="3">
        <f t="shared" si="89"/>
        <v>-4.1700756906952074E-2</v>
      </c>
    </row>
    <row r="5542" spans="2:4" x14ac:dyDescent="0.2">
      <c r="B5542" s="20">
        <v>44133</v>
      </c>
      <c r="C5542" s="58">
        <v>11598.07</v>
      </c>
      <c r="D5542" s="3">
        <f t="shared" si="89"/>
        <v>3.2489916102316219E-3</v>
      </c>
    </row>
    <row r="5543" spans="2:4" x14ac:dyDescent="0.2">
      <c r="B5543" s="20">
        <v>44134</v>
      </c>
      <c r="C5543" s="58">
        <v>11556.48</v>
      </c>
      <c r="D5543" s="3">
        <f t="shared" si="89"/>
        <v>-3.5859414540523327E-3</v>
      </c>
    </row>
    <row r="5544" spans="2:4" x14ac:dyDescent="0.2">
      <c r="B5544" s="20">
        <v>44137</v>
      </c>
      <c r="C5544" s="58">
        <v>11788.28</v>
      </c>
      <c r="D5544" s="3">
        <f t="shared" si="89"/>
        <v>2.0058010743756016E-2</v>
      </c>
    </row>
    <row r="5545" spans="2:4" x14ac:dyDescent="0.2">
      <c r="B5545" s="20">
        <v>44138</v>
      </c>
      <c r="C5545" s="58">
        <v>12088.98</v>
      </c>
      <c r="D5545" s="3">
        <f t="shared" si="89"/>
        <v>2.5508386295540975E-2</v>
      </c>
    </row>
    <row r="5546" spans="2:4" x14ac:dyDescent="0.2">
      <c r="B5546" s="20">
        <v>44139</v>
      </c>
      <c r="C5546" s="58">
        <v>12324.22</v>
      </c>
      <c r="D5546" s="3">
        <f t="shared" si="89"/>
        <v>1.945904451823055E-2</v>
      </c>
    </row>
    <row r="5547" spans="2:4" x14ac:dyDescent="0.2">
      <c r="B5547" s="20">
        <v>44140</v>
      </c>
      <c r="C5547" s="58">
        <v>12568.09</v>
      </c>
      <c r="D5547" s="3">
        <f t="shared" si="89"/>
        <v>1.9787864870961513E-2</v>
      </c>
    </row>
    <row r="5548" spans="2:4" x14ac:dyDescent="0.2">
      <c r="B5548" s="20">
        <v>44141</v>
      </c>
      <c r="C5548" s="58">
        <v>12480.02</v>
      </c>
      <c r="D5548" s="3">
        <f t="shared" si="89"/>
        <v>-7.0074291320320059E-3</v>
      </c>
    </row>
    <row r="5549" spans="2:4" x14ac:dyDescent="0.2">
      <c r="B5549" s="20">
        <v>44144</v>
      </c>
      <c r="C5549" s="58">
        <v>13095.97</v>
      </c>
      <c r="D5549" s="3">
        <f t="shared" si="89"/>
        <v>4.9354888854344692E-2</v>
      </c>
    </row>
    <row r="5550" spans="2:4" x14ac:dyDescent="0.2">
      <c r="B5550" s="20">
        <v>44145</v>
      </c>
      <c r="C5550" s="58">
        <v>13163.11</v>
      </c>
      <c r="D5550" s="3">
        <f t="shared" si="89"/>
        <v>5.1267680057300868E-3</v>
      </c>
    </row>
    <row r="5551" spans="2:4" x14ac:dyDescent="0.2">
      <c r="B5551" s="20">
        <v>44146</v>
      </c>
      <c r="C5551" s="58">
        <v>13216.18</v>
      </c>
      <c r="D5551" s="3">
        <f t="shared" si="89"/>
        <v>4.0317219866732312E-3</v>
      </c>
    </row>
    <row r="5552" spans="2:4" x14ac:dyDescent="0.2">
      <c r="B5552" s="20">
        <v>44147</v>
      </c>
      <c r="C5552" s="58">
        <v>13052.95</v>
      </c>
      <c r="D5552" s="3">
        <f t="shared" si="89"/>
        <v>-1.2350770040964854E-2</v>
      </c>
    </row>
    <row r="5553" spans="2:4" x14ac:dyDescent="0.2">
      <c r="B5553" s="20">
        <v>44148</v>
      </c>
      <c r="C5553" s="58">
        <v>13076.72</v>
      </c>
      <c r="D5553" s="3">
        <f t="shared" si="89"/>
        <v>1.8210442850081776E-3</v>
      </c>
    </row>
    <row r="5554" spans="2:4" x14ac:dyDescent="0.2">
      <c r="B5554" s="20">
        <v>44151</v>
      </c>
      <c r="C5554" s="58">
        <v>13138.61</v>
      </c>
      <c r="D5554" s="3">
        <f t="shared" si="89"/>
        <v>4.7328382040756622E-3</v>
      </c>
    </row>
    <row r="5555" spans="2:4" x14ac:dyDescent="0.2">
      <c r="B5555" s="20">
        <v>44152</v>
      </c>
      <c r="C5555" s="58">
        <v>13133.47</v>
      </c>
      <c r="D5555" s="3">
        <f t="shared" si="89"/>
        <v>-3.912133779754301E-4</v>
      </c>
    </row>
    <row r="5556" spans="2:4" x14ac:dyDescent="0.2">
      <c r="B5556" s="20">
        <v>44153</v>
      </c>
      <c r="C5556" s="58">
        <v>13201.89</v>
      </c>
      <c r="D5556" s="3">
        <f t="shared" si="89"/>
        <v>5.2095904585764963E-3</v>
      </c>
    </row>
    <row r="5557" spans="2:4" x14ac:dyDescent="0.2">
      <c r="B5557" s="20">
        <v>44154</v>
      </c>
      <c r="C5557" s="58">
        <v>13086.16</v>
      </c>
      <c r="D5557" s="3">
        <f t="shared" si="89"/>
        <v>-8.7661690863959363E-3</v>
      </c>
    </row>
    <row r="5558" spans="2:4" x14ac:dyDescent="0.2">
      <c r="B5558" s="20">
        <v>44155</v>
      </c>
      <c r="C5558" s="58">
        <v>13137.25</v>
      </c>
      <c r="D5558" s="3">
        <f t="shared" si="89"/>
        <v>3.9041246630027171E-3</v>
      </c>
    </row>
    <row r="5559" spans="2:4" x14ac:dyDescent="0.2">
      <c r="B5559" s="20">
        <v>44158</v>
      </c>
      <c r="C5559" s="58">
        <v>13126.97</v>
      </c>
      <c r="D5559" s="3">
        <f t="shared" si="89"/>
        <v>-7.8250775466714995E-4</v>
      </c>
    </row>
    <row r="5560" spans="2:4" x14ac:dyDescent="0.2">
      <c r="B5560" s="20">
        <v>44159</v>
      </c>
      <c r="C5560" s="58">
        <v>13292.44</v>
      </c>
      <c r="D5560" s="3">
        <f t="shared" si="89"/>
        <v>1.2605346092815051E-2</v>
      </c>
    </row>
    <row r="5561" spans="2:4" x14ac:dyDescent="0.2">
      <c r="B5561" s="20">
        <v>44160</v>
      </c>
      <c r="C5561" s="58">
        <v>13289.8</v>
      </c>
      <c r="D5561" s="3">
        <f t="shared" si="89"/>
        <v>-1.9860913421476667E-4</v>
      </c>
    </row>
    <row r="5562" spans="2:4" x14ac:dyDescent="0.2">
      <c r="B5562" s="20">
        <v>44161</v>
      </c>
      <c r="C5562" s="58">
        <v>13286.57</v>
      </c>
      <c r="D5562" s="3">
        <f t="shared" si="89"/>
        <v>-2.4304353714876825E-4</v>
      </c>
    </row>
    <row r="5563" spans="2:4" x14ac:dyDescent="0.2">
      <c r="B5563" s="20">
        <v>44162</v>
      </c>
      <c r="C5563" s="58">
        <v>13335.68</v>
      </c>
      <c r="D5563" s="3">
        <f t="shared" si="89"/>
        <v>3.6962135449556399E-3</v>
      </c>
    </row>
    <row r="5564" spans="2:4" x14ac:dyDescent="0.2">
      <c r="B5564" s="20">
        <v>44165</v>
      </c>
      <c r="C5564" s="58">
        <v>13291.16</v>
      </c>
      <c r="D5564" s="3">
        <f t="shared" si="89"/>
        <v>-3.3384124394106873E-3</v>
      </c>
    </row>
    <row r="5565" spans="2:4" x14ac:dyDescent="0.2">
      <c r="B5565" s="20">
        <v>44166</v>
      </c>
      <c r="C5565" s="58">
        <v>13382.3</v>
      </c>
      <c r="D5565" s="3">
        <f t="shared" si="89"/>
        <v>6.8571892897233422E-3</v>
      </c>
    </row>
    <row r="5566" spans="2:4" x14ac:dyDescent="0.2">
      <c r="B5566" s="20">
        <v>44167</v>
      </c>
      <c r="C5566" s="58">
        <v>13313.24</v>
      </c>
      <c r="D5566" s="3">
        <f t="shared" si="89"/>
        <v>-5.1605478878816724E-3</v>
      </c>
    </row>
    <row r="5567" spans="2:4" x14ac:dyDescent="0.2">
      <c r="B5567" s="20">
        <v>44168</v>
      </c>
      <c r="C5567" s="58">
        <v>13252.86</v>
      </c>
      <c r="D5567" s="3">
        <f t="shared" si="89"/>
        <v>-4.5353347494674345E-3</v>
      </c>
    </row>
    <row r="5568" spans="2:4" x14ac:dyDescent="0.2">
      <c r="B5568" s="20">
        <v>44169</v>
      </c>
      <c r="C5568" s="58">
        <v>13298.96</v>
      </c>
      <c r="D5568" s="3">
        <f t="shared" si="89"/>
        <v>3.4784944532726403E-3</v>
      </c>
    </row>
    <row r="5569" spans="2:4" x14ac:dyDescent="0.2">
      <c r="B5569" s="20">
        <v>44172</v>
      </c>
      <c r="C5569" s="58">
        <v>13271</v>
      </c>
      <c r="D5569" s="3">
        <f t="shared" si="89"/>
        <v>-2.1024200388600756E-3</v>
      </c>
    </row>
    <row r="5570" spans="2:4" x14ac:dyDescent="0.2">
      <c r="B5570" s="20">
        <v>44173</v>
      </c>
      <c r="C5570" s="58">
        <v>13278.49</v>
      </c>
      <c r="D5570" s="3">
        <f t="shared" si="89"/>
        <v>5.6438851631379627E-4</v>
      </c>
    </row>
    <row r="5571" spans="2:4" x14ac:dyDescent="0.2">
      <c r="B5571" s="20">
        <v>44174</v>
      </c>
      <c r="C5571" s="58">
        <v>13340.26</v>
      </c>
      <c r="D5571" s="3">
        <f t="shared" si="89"/>
        <v>4.6518843633576168E-3</v>
      </c>
    </row>
    <row r="5572" spans="2:4" x14ac:dyDescent="0.2">
      <c r="B5572" s="20">
        <v>44175</v>
      </c>
      <c r="C5572" s="58">
        <v>13295.73</v>
      </c>
      <c r="D5572" s="3">
        <f t="shared" si="89"/>
        <v>-3.338015900739566E-3</v>
      </c>
    </row>
    <row r="5573" spans="2:4" x14ac:dyDescent="0.2">
      <c r="B5573" s="20">
        <v>44176</v>
      </c>
      <c r="C5573" s="58">
        <v>13114.3</v>
      </c>
      <c r="D5573" s="3">
        <f t="shared" ref="D5573:D5636" si="90">C5573/C5572-1</f>
        <v>-1.3645734382391916E-2</v>
      </c>
    </row>
    <row r="5574" spans="2:4" x14ac:dyDescent="0.2">
      <c r="B5574" s="20">
        <v>44179</v>
      </c>
      <c r="C5574" s="58">
        <v>13223.16</v>
      </c>
      <c r="D5574" s="3">
        <f t="shared" si="90"/>
        <v>8.3008624173612766E-3</v>
      </c>
    </row>
    <row r="5575" spans="2:4" x14ac:dyDescent="0.2">
      <c r="B5575" s="20">
        <v>44180</v>
      </c>
      <c r="C5575" s="58">
        <v>13362.87</v>
      </c>
      <c r="D5575" s="3">
        <f t="shared" si="90"/>
        <v>1.0565553165809094E-2</v>
      </c>
    </row>
    <row r="5576" spans="2:4" x14ac:dyDescent="0.2">
      <c r="B5576" s="20">
        <v>44181</v>
      </c>
      <c r="C5576" s="58">
        <v>13565.98</v>
      </c>
      <c r="D5576" s="3">
        <f t="shared" si="90"/>
        <v>1.5199579132326946E-2</v>
      </c>
    </row>
    <row r="5577" spans="2:4" x14ac:dyDescent="0.2">
      <c r="B5577" s="20">
        <v>44182</v>
      </c>
      <c r="C5577" s="58">
        <v>13667.25</v>
      </c>
      <c r="D5577" s="3">
        <f t="shared" si="90"/>
        <v>7.4649969998481502E-3</v>
      </c>
    </row>
    <row r="5578" spans="2:4" x14ac:dyDescent="0.2">
      <c r="B5578" s="20">
        <v>44183</v>
      </c>
      <c r="C5578" s="58">
        <v>13630.51</v>
      </c>
      <c r="D5578" s="3">
        <f t="shared" si="90"/>
        <v>-2.6881779436243036E-3</v>
      </c>
    </row>
    <row r="5579" spans="2:4" x14ac:dyDescent="0.2">
      <c r="B5579" s="20">
        <v>44186</v>
      </c>
      <c r="C5579" s="58">
        <v>13246.3</v>
      </c>
      <c r="D5579" s="3">
        <f t="shared" si="90"/>
        <v>-2.8187499954147044E-2</v>
      </c>
    </row>
    <row r="5580" spans="2:4" x14ac:dyDescent="0.2">
      <c r="B5580" s="20">
        <v>44187</v>
      </c>
      <c r="C5580" s="58">
        <v>13418.11</v>
      </c>
      <c r="D5580" s="3">
        <f t="shared" si="90"/>
        <v>1.297041437986457E-2</v>
      </c>
    </row>
    <row r="5581" spans="2:4" x14ac:dyDescent="0.2">
      <c r="B5581" s="20">
        <v>44188</v>
      </c>
      <c r="C5581" s="58">
        <v>13587.23</v>
      </c>
      <c r="D5581" s="3">
        <f t="shared" si="90"/>
        <v>1.2603861497632707E-2</v>
      </c>
    </row>
    <row r="5582" spans="2:4" x14ac:dyDescent="0.2">
      <c r="B5582" s="20">
        <v>44193</v>
      </c>
      <c r="C5582" s="58">
        <v>13790.29</v>
      </c>
      <c r="D5582" s="3">
        <f t="shared" si="90"/>
        <v>1.4944915188747077E-2</v>
      </c>
    </row>
    <row r="5583" spans="2:4" x14ac:dyDescent="0.2">
      <c r="B5583" s="20">
        <v>44194</v>
      </c>
      <c r="C5583" s="58">
        <v>13761.38</v>
      </c>
      <c r="D5583" s="3">
        <f t="shared" si="90"/>
        <v>-2.0964026137232361E-3</v>
      </c>
    </row>
    <row r="5584" spans="2:4" x14ac:dyDescent="0.2">
      <c r="B5584" s="20">
        <v>44195</v>
      </c>
      <c r="C5584" s="58">
        <v>13718.78</v>
      </c>
      <c r="D5584" s="3">
        <f t="shared" si="90"/>
        <v>-3.0956197706915045E-3</v>
      </c>
    </row>
    <row r="5585" spans="2:4" x14ac:dyDescent="0.2">
      <c r="B5585" s="20">
        <v>44200</v>
      </c>
      <c r="C5585" s="58">
        <v>13726.74</v>
      </c>
      <c r="D5585" s="3">
        <f t="shared" si="90"/>
        <v>5.8022652160016897E-4</v>
      </c>
    </row>
    <row r="5586" spans="2:4" x14ac:dyDescent="0.2">
      <c r="B5586" s="20">
        <v>44201</v>
      </c>
      <c r="C5586" s="58">
        <v>13651.22</v>
      </c>
      <c r="D5586" s="3">
        <f t="shared" si="90"/>
        <v>-5.5016704621781987E-3</v>
      </c>
    </row>
    <row r="5587" spans="2:4" x14ac:dyDescent="0.2">
      <c r="B5587" s="20">
        <v>44202</v>
      </c>
      <c r="C5587" s="58">
        <v>13891.97</v>
      </c>
      <c r="D5587" s="3">
        <f t="shared" si="90"/>
        <v>1.7635786398578324E-2</v>
      </c>
    </row>
    <row r="5588" spans="2:4" x14ac:dyDescent="0.2">
      <c r="B5588" s="20">
        <v>44203</v>
      </c>
      <c r="C5588" s="58">
        <v>13968.24</v>
      </c>
      <c r="D5588" s="3">
        <f t="shared" si="90"/>
        <v>5.4902220491406251E-3</v>
      </c>
    </row>
    <row r="5589" spans="2:4" x14ac:dyDescent="0.2">
      <c r="B5589" s="20">
        <v>44204</v>
      </c>
      <c r="C5589" s="58">
        <v>14049.53</v>
      </c>
      <c r="D5589" s="3">
        <f t="shared" si="90"/>
        <v>5.8196308196307722E-3</v>
      </c>
    </row>
    <row r="5590" spans="2:4" x14ac:dyDescent="0.2">
      <c r="B5590" s="20">
        <v>44207</v>
      </c>
      <c r="C5590" s="58">
        <v>13936.66</v>
      </c>
      <c r="D5590" s="3">
        <f t="shared" si="90"/>
        <v>-8.0337207009771872E-3</v>
      </c>
    </row>
    <row r="5591" spans="2:4" x14ac:dyDescent="0.2">
      <c r="B5591" s="20">
        <v>44208</v>
      </c>
      <c r="C5591" s="58">
        <v>13925.06</v>
      </c>
      <c r="D5591" s="3">
        <f t="shared" si="90"/>
        <v>-8.3233715969255329E-4</v>
      </c>
    </row>
    <row r="5592" spans="2:4" x14ac:dyDescent="0.2">
      <c r="B5592" s="20">
        <v>44209</v>
      </c>
      <c r="C5592" s="58">
        <v>13939.71</v>
      </c>
      <c r="D5592" s="3">
        <f t="shared" si="90"/>
        <v>1.0520600988432882E-3</v>
      </c>
    </row>
    <row r="5593" spans="2:4" x14ac:dyDescent="0.2">
      <c r="B5593" s="20">
        <v>44210</v>
      </c>
      <c r="C5593" s="58">
        <v>13988.7</v>
      </c>
      <c r="D5593" s="3">
        <f t="shared" si="90"/>
        <v>3.5144203143395725E-3</v>
      </c>
    </row>
    <row r="5594" spans="2:4" x14ac:dyDescent="0.2">
      <c r="B5594" s="20">
        <v>44211</v>
      </c>
      <c r="C5594" s="58">
        <v>13787.73</v>
      </c>
      <c r="D5594" s="3">
        <f t="shared" si="90"/>
        <v>-1.4366595895258349E-2</v>
      </c>
    </row>
    <row r="5595" spans="2:4" x14ac:dyDescent="0.2">
      <c r="B5595" s="20">
        <v>44214</v>
      </c>
      <c r="C5595" s="58">
        <v>13848.35</v>
      </c>
      <c r="D5595" s="3">
        <f t="shared" si="90"/>
        <v>4.3966628299221266E-3</v>
      </c>
    </row>
    <row r="5596" spans="2:4" x14ac:dyDescent="0.2">
      <c r="B5596" s="20">
        <v>44215</v>
      </c>
      <c r="C5596" s="58">
        <v>13815.06</v>
      </c>
      <c r="D5596" s="3">
        <f t="shared" si="90"/>
        <v>-2.4038964930840345E-3</v>
      </c>
    </row>
    <row r="5597" spans="2:4" x14ac:dyDescent="0.2">
      <c r="B5597" s="20">
        <v>44216</v>
      </c>
      <c r="C5597" s="58">
        <v>13921.37</v>
      </c>
      <c r="D5597" s="3">
        <f t="shared" si="90"/>
        <v>7.6952253555178096E-3</v>
      </c>
    </row>
    <row r="5598" spans="2:4" x14ac:dyDescent="0.2">
      <c r="B5598" s="20">
        <v>44217</v>
      </c>
      <c r="C5598" s="58">
        <v>13906.67</v>
      </c>
      <c r="D5598" s="3">
        <f t="shared" si="90"/>
        <v>-1.055930558558571E-3</v>
      </c>
    </row>
    <row r="5599" spans="2:4" x14ac:dyDescent="0.2">
      <c r="B5599" s="20">
        <v>44218</v>
      </c>
      <c r="C5599" s="58">
        <v>13873.97</v>
      </c>
      <c r="D5599" s="3">
        <f t="shared" si="90"/>
        <v>-2.3513896569057335E-3</v>
      </c>
    </row>
    <row r="5600" spans="2:4" x14ac:dyDescent="0.2">
      <c r="B5600" s="20">
        <v>44221</v>
      </c>
      <c r="C5600" s="58">
        <v>13643.95</v>
      </c>
      <c r="D5600" s="3">
        <f t="shared" si="90"/>
        <v>-1.657924876585426E-2</v>
      </c>
    </row>
    <row r="5601" spans="2:4" x14ac:dyDescent="0.2">
      <c r="B5601" s="20">
        <v>44222</v>
      </c>
      <c r="C5601" s="58">
        <v>13870.99</v>
      </c>
      <c r="D5601" s="3">
        <f t="shared" si="90"/>
        <v>1.6640342422832077E-2</v>
      </c>
    </row>
    <row r="5602" spans="2:4" x14ac:dyDescent="0.2">
      <c r="B5602" s="20">
        <v>44223</v>
      </c>
      <c r="C5602" s="58">
        <v>13620.46</v>
      </c>
      <c r="D5602" s="3">
        <f t="shared" si="90"/>
        <v>-1.8061436133974595E-2</v>
      </c>
    </row>
    <row r="5603" spans="2:4" x14ac:dyDescent="0.2">
      <c r="B5603" s="20">
        <v>44224</v>
      </c>
      <c r="C5603" s="58">
        <v>13665.93</v>
      </c>
      <c r="D5603" s="3">
        <f t="shared" si="90"/>
        <v>3.3383600847549655E-3</v>
      </c>
    </row>
    <row r="5604" spans="2:4" x14ac:dyDescent="0.2">
      <c r="B5604" s="20">
        <v>44225</v>
      </c>
      <c r="C5604" s="58">
        <v>13432.87</v>
      </c>
      <c r="D5604" s="3">
        <f t="shared" si="90"/>
        <v>-1.7054089988753018E-2</v>
      </c>
    </row>
    <row r="5605" spans="2:4" x14ac:dyDescent="0.2">
      <c r="B5605" s="20">
        <v>44228</v>
      </c>
      <c r="C5605" s="58">
        <v>13622.02</v>
      </c>
      <c r="D5605" s="3">
        <f t="shared" si="90"/>
        <v>1.4081130838011546E-2</v>
      </c>
    </row>
    <row r="5606" spans="2:4" x14ac:dyDescent="0.2">
      <c r="B5606" s="20">
        <v>44229</v>
      </c>
      <c r="C5606" s="58">
        <v>13835.16</v>
      </c>
      <c r="D5606" s="3">
        <f t="shared" si="90"/>
        <v>1.5646724935068246E-2</v>
      </c>
    </row>
    <row r="5607" spans="2:4" x14ac:dyDescent="0.2">
      <c r="B5607" s="20">
        <v>44230</v>
      </c>
      <c r="C5607" s="58">
        <v>13933.63</v>
      </c>
      <c r="D5607" s="3">
        <f t="shared" si="90"/>
        <v>7.1173734167151448E-3</v>
      </c>
    </row>
    <row r="5608" spans="2:4" x14ac:dyDescent="0.2">
      <c r="B5608" s="20">
        <v>44231</v>
      </c>
      <c r="C5608" s="58">
        <v>14060.29</v>
      </c>
      <c r="D5608" s="3">
        <f t="shared" si="90"/>
        <v>9.0902370738996652E-3</v>
      </c>
    </row>
    <row r="5609" spans="2:4" x14ac:dyDescent="0.2">
      <c r="B5609" s="20">
        <v>44232</v>
      </c>
      <c r="C5609" s="58">
        <v>14056.72</v>
      </c>
      <c r="D5609" s="3">
        <f t="shared" si="90"/>
        <v>-2.539065694947551E-4</v>
      </c>
    </row>
    <row r="5610" spans="2:4" x14ac:dyDescent="0.2">
      <c r="B5610" s="20">
        <v>44235</v>
      </c>
      <c r="C5610" s="58">
        <v>14059.91</v>
      </c>
      <c r="D5610" s="3">
        <f t="shared" si="90"/>
        <v>2.2693772089077413E-4</v>
      </c>
    </row>
    <row r="5611" spans="2:4" x14ac:dyDescent="0.2">
      <c r="B5611" s="20">
        <v>44236</v>
      </c>
      <c r="C5611" s="58">
        <v>14011.8</v>
      </c>
      <c r="D5611" s="3">
        <f t="shared" si="90"/>
        <v>-3.4217857724552214E-3</v>
      </c>
    </row>
    <row r="5612" spans="2:4" x14ac:dyDescent="0.2">
      <c r="B5612" s="20">
        <v>44237</v>
      </c>
      <c r="C5612" s="58">
        <v>13932.97</v>
      </c>
      <c r="D5612" s="3">
        <f t="shared" si="90"/>
        <v>-5.6259723946958662E-3</v>
      </c>
    </row>
    <row r="5613" spans="2:4" x14ac:dyDescent="0.2">
      <c r="B5613" s="20">
        <v>44238</v>
      </c>
      <c r="C5613" s="58">
        <v>14040.91</v>
      </c>
      <c r="D5613" s="3">
        <f t="shared" si="90"/>
        <v>7.7470919696231988E-3</v>
      </c>
    </row>
    <row r="5614" spans="2:4" x14ac:dyDescent="0.2">
      <c r="B5614" s="20">
        <v>44239</v>
      </c>
      <c r="C5614" s="58">
        <v>14049.89</v>
      </c>
      <c r="D5614" s="3">
        <f t="shared" si="90"/>
        <v>6.3955968665840857E-4</v>
      </c>
    </row>
    <row r="5615" spans="2:4" x14ac:dyDescent="0.2">
      <c r="B5615" s="20">
        <v>44242</v>
      </c>
      <c r="C5615" s="58">
        <v>14109.48</v>
      </c>
      <c r="D5615" s="3">
        <f t="shared" si="90"/>
        <v>4.2413143448098989E-3</v>
      </c>
    </row>
    <row r="5616" spans="2:4" x14ac:dyDescent="0.2">
      <c r="B5616" s="20">
        <v>44243</v>
      </c>
      <c r="C5616" s="58">
        <v>14064.6</v>
      </c>
      <c r="D5616" s="3">
        <f t="shared" si="90"/>
        <v>-3.1808401160070554E-3</v>
      </c>
    </row>
    <row r="5617" spans="2:4" x14ac:dyDescent="0.2">
      <c r="B5617" s="20">
        <v>44244</v>
      </c>
      <c r="C5617" s="58">
        <v>13909.27</v>
      </c>
      <c r="D5617" s="3">
        <f t="shared" si="90"/>
        <v>-1.1044039645635162E-2</v>
      </c>
    </row>
    <row r="5618" spans="2:4" x14ac:dyDescent="0.2">
      <c r="B5618" s="20">
        <v>44245</v>
      </c>
      <c r="C5618" s="58">
        <v>13886.93</v>
      </c>
      <c r="D5618" s="3">
        <f t="shared" si="90"/>
        <v>-1.6061231107024065E-3</v>
      </c>
    </row>
    <row r="5619" spans="2:4" x14ac:dyDescent="0.2">
      <c r="B5619" s="20">
        <v>44246</v>
      </c>
      <c r="C5619" s="58">
        <v>13993.23</v>
      </c>
      <c r="D5619" s="3">
        <f t="shared" si="90"/>
        <v>7.6546796160130715E-3</v>
      </c>
    </row>
    <row r="5620" spans="2:4" x14ac:dyDescent="0.2">
      <c r="B5620" s="20">
        <v>44249</v>
      </c>
      <c r="C5620" s="58">
        <v>13950.04</v>
      </c>
      <c r="D5620" s="3">
        <f t="shared" si="90"/>
        <v>-3.0864925396065779E-3</v>
      </c>
    </row>
    <row r="5621" spans="2:4" x14ac:dyDescent="0.2">
      <c r="B5621" s="20">
        <v>44250</v>
      </c>
      <c r="C5621" s="58">
        <v>13864.81</v>
      </c>
      <c r="D5621" s="3">
        <f t="shared" si="90"/>
        <v>-6.1096599006168484E-3</v>
      </c>
    </row>
    <row r="5622" spans="2:4" x14ac:dyDescent="0.2">
      <c r="B5622" s="20">
        <v>44251</v>
      </c>
      <c r="C5622" s="58">
        <v>13976</v>
      </c>
      <c r="D5622" s="3">
        <f t="shared" si="90"/>
        <v>8.0195833913339065E-3</v>
      </c>
    </row>
    <row r="5623" spans="2:4" x14ac:dyDescent="0.2">
      <c r="B5623" s="20">
        <v>44252</v>
      </c>
      <c r="C5623" s="58">
        <v>13879.33</v>
      </c>
      <c r="D5623" s="3">
        <f t="shared" si="90"/>
        <v>-6.916857469948523E-3</v>
      </c>
    </row>
    <row r="5624" spans="2:4" x14ac:dyDescent="0.2">
      <c r="B5624" s="20">
        <v>44253</v>
      </c>
      <c r="C5624" s="58">
        <v>13786.29</v>
      </c>
      <c r="D5624" s="3">
        <f t="shared" si="90"/>
        <v>-6.7034936124437117E-3</v>
      </c>
    </row>
    <row r="5625" spans="2:4" x14ac:dyDescent="0.2">
      <c r="B5625" s="20">
        <v>44256</v>
      </c>
      <c r="C5625" s="58">
        <v>14012.82</v>
      </c>
      <c r="D5625" s="3">
        <f t="shared" si="90"/>
        <v>1.643154177084627E-2</v>
      </c>
    </row>
    <row r="5626" spans="2:4" x14ac:dyDescent="0.2">
      <c r="B5626" s="20">
        <v>44257</v>
      </c>
      <c r="C5626" s="58">
        <v>14039.8</v>
      </c>
      <c r="D5626" s="3">
        <f t="shared" si="90"/>
        <v>1.9253797593916655E-3</v>
      </c>
    </row>
    <row r="5627" spans="2:4" x14ac:dyDescent="0.2">
      <c r="B5627" s="20">
        <v>44258</v>
      </c>
      <c r="C5627" s="58">
        <v>14080.03</v>
      </c>
      <c r="D5627" s="3">
        <f t="shared" si="90"/>
        <v>2.8654254334108398E-3</v>
      </c>
    </row>
    <row r="5628" spans="2:4" x14ac:dyDescent="0.2">
      <c r="B5628" s="20">
        <v>44259</v>
      </c>
      <c r="C5628" s="58">
        <v>14056.34</v>
      </c>
      <c r="D5628" s="3">
        <f t="shared" si="90"/>
        <v>-1.6825248241658652E-3</v>
      </c>
    </row>
    <row r="5629" spans="2:4" x14ac:dyDescent="0.2">
      <c r="B5629" s="20">
        <v>44260</v>
      </c>
      <c r="C5629" s="58">
        <v>13920.69</v>
      </c>
      <c r="D5629" s="3">
        <f t="shared" si="90"/>
        <v>-9.6504495480330688E-3</v>
      </c>
    </row>
    <row r="5630" spans="2:4" x14ac:dyDescent="0.2">
      <c r="B5630" s="20">
        <v>44263</v>
      </c>
      <c r="C5630" s="58">
        <v>14380.91</v>
      </c>
      <c r="D5630" s="3">
        <f t="shared" si="90"/>
        <v>3.3060142852114227E-2</v>
      </c>
    </row>
    <row r="5631" spans="2:4" x14ac:dyDescent="0.2">
      <c r="B5631" s="20">
        <v>44264</v>
      </c>
      <c r="C5631" s="58">
        <v>14437.94</v>
      </c>
      <c r="D5631" s="3">
        <f t="shared" si="90"/>
        <v>3.965673938575609E-3</v>
      </c>
    </row>
    <row r="5632" spans="2:4" x14ac:dyDescent="0.2">
      <c r="B5632" s="20">
        <v>44265</v>
      </c>
      <c r="C5632" s="58">
        <v>14540.25</v>
      </c>
      <c r="D5632" s="3">
        <f t="shared" si="90"/>
        <v>7.0861909663011424E-3</v>
      </c>
    </row>
    <row r="5633" spans="2:4" x14ac:dyDescent="0.2">
      <c r="B5633" s="20">
        <v>44266</v>
      </c>
      <c r="C5633" s="58">
        <v>14569.39</v>
      </c>
      <c r="D5633" s="3">
        <f t="shared" si="90"/>
        <v>2.0040920892006042E-3</v>
      </c>
    </row>
    <row r="5634" spans="2:4" x14ac:dyDescent="0.2">
      <c r="B5634" s="20">
        <v>44267</v>
      </c>
      <c r="C5634" s="58">
        <v>14502.39</v>
      </c>
      <c r="D5634" s="3">
        <f t="shared" si="90"/>
        <v>-4.5986825803963072E-3</v>
      </c>
    </row>
    <row r="5635" spans="2:4" x14ac:dyDescent="0.2">
      <c r="B5635" s="20">
        <v>44270</v>
      </c>
      <c r="C5635" s="58">
        <v>14461.42</v>
      </c>
      <c r="D5635" s="3">
        <f t="shared" si="90"/>
        <v>-2.8250515949439503E-3</v>
      </c>
    </row>
    <row r="5636" spans="2:4" x14ac:dyDescent="0.2">
      <c r="B5636" s="20">
        <v>44271</v>
      </c>
      <c r="C5636" s="58">
        <v>14557.58</v>
      </c>
      <c r="D5636" s="3">
        <f t="shared" si="90"/>
        <v>6.6494161707495447E-3</v>
      </c>
    </row>
    <row r="5637" spans="2:4" x14ac:dyDescent="0.2">
      <c r="B5637" s="20">
        <v>44272</v>
      </c>
      <c r="C5637" s="58">
        <v>14596.61</v>
      </c>
      <c r="D5637" s="3">
        <f t="shared" ref="D5637:D5700" si="91">C5637/C5636-1</f>
        <v>2.6810774867800369E-3</v>
      </c>
    </row>
    <row r="5638" spans="2:4" x14ac:dyDescent="0.2">
      <c r="B5638" s="20">
        <v>44273</v>
      </c>
      <c r="C5638" s="58">
        <v>14775.52</v>
      </c>
      <c r="D5638" s="3">
        <f t="shared" si="91"/>
        <v>1.2256955553378468E-2</v>
      </c>
    </row>
    <row r="5639" spans="2:4" x14ac:dyDescent="0.2">
      <c r="B5639" s="20">
        <v>44274</v>
      </c>
      <c r="C5639" s="58">
        <v>14621</v>
      </c>
      <c r="D5639" s="3">
        <f t="shared" si="91"/>
        <v>-1.0457838370493966E-2</v>
      </c>
    </row>
    <row r="5640" spans="2:4" x14ac:dyDescent="0.2">
      <c r="B5640" s="20">
        <v>44277</v>
      </c>
      <c r="C5640" s="58">
        <v>14657.21</v>
      </c>
      <c r="D5640" s="3">
        <f t="shared" si="91"/>
        <v>2.4765747896859924E-3</v>
      </c>
    </row>
    <row r="5641" spans="2:4" x14ac:dyDescent="0.2">
      <c r="B5641" s="20">
        <v>44278</v>
      </c>
      <c r="C5641" s="58">
        <v>14662.02</v>
      </c>
      <c r="D5641" s="3">
        <f t="shared" si="91"/>
        <v>3.2816613803055006E-4</v>
      </c>
    </row>
    <row r="5642" spans="2:4" x14ac:dyDescent="0.2">
      <c r="B5642" s="20">
        <v>44279</v>
      </c>
      <c r="C5642" s="58">
        <v>14610.39</v>
      </c>
      <c r="D5642" s="3">
        <f t="shared" si="91"/>
        <v>-3.5213428981819561E-3</v>
      </c>
    </row>
    <row r="5643" spans="2:4" x14ac:dyDescent="0.2">
      <c r="B5643" s="20">
        <v>44280</v>
      </c>
      <c r="C5643" s="58">
        <v>14621.36</v>
      </c>
      <c r="D5643" s="3">
        <f t="shared" si="91"/>
        <v>7.5083553553345617E-4</v>
      </c>
    </row>
    <row r="5644" spans="2:4" x14ac:dyDescent="0.2">
      <c r="B5644" s="20">
        <v>44281</v>
      </c>
      <c r="C5644" s="58">
        <v>14748.94</v>
      </c>
      <c r="D5644" s="3">
        <f t="shared" si="91"/>
        <v>8.7255905059446803E-3</v>
      </c>
    </row>
    <row r="5645" spans="2:4" x14ac:dyDescent="0.2">
      <c r="B5645" s="20">
        <v>44284</v>
      </c>
      <c r="C5645" s="58">
        <v>14817.72</v>
      </c>
      <c r="D5645" s="3">
        <f t="shared" si="91"/>
        <v>4.6633859789244614E-3</v>
      </c>
    </row>
    <row r="5646" spans="2:4" x14ac:dyDescent="0.2">
      <c r="B5646" s="20">
        <v>44285</v>
      </c>
      <c r="C5646" s="58">
        <v>15008.61</v>
      </c>
      <c r="D5646" s="3">
        <f t="shared" si="91"/>
        <v>1.2882548732193744E-2</v>
      </c>
    </row>
    <row r="5647" spans="2:4" x14ac:dyDescent="0.2">
      <c r="B5647" s="20">
        <v>44286</v>
      </c>
      <c r="C5647" s="58">
        <v>15008.34</v>
      </c>
      <c r="D5647" s="3">
        <f t="shared" si="91"/>
        <v>-1.7989673927187866E-5</v>
      </c>
    </row>
    <row r="5648" spans="2:4" x14ac:dyDescent="0.2">
      <c r="B5648" s="20">
        <v>44287</v>
      </c>
      <c r="C5648" s="58">
        <v>15107.17</v>
      </c>
      <c r="D5648" s="3">
        <f t="shared" si="91"/>
        <v>6.5850054036622474E-3</v>
      </c>
    </row>
    <row r="5649" spans="2:4" x14ac:dyDescent="0.2">
      <c r="B5649" s="20">
        <v>44292</v>
      </c>
      <c r="C5649" s="58">
        <v>15212.68</v>
      </c>
      <c r="D5649" s="3">
        <f t="shared" si="91"/>
        <v>6.98410092691093E-3</v>
      </c>
    </row>
    <row r="5650" spans="2:4" x14ac:dyDescent="0.2">
      <c r="B5650" s="20">
        <v>44293</v>
      </c>
      <c r="C5650" s="58">
        <v>15176.36</v>
      </c>
      <c r="D5650" s="3">
        <f t="shared" si="91"/>
        <v>-2.3874820215766812E-3</v>
      </c>
    </row>
    <row r="5651" spans="2:4" x14ac:dyDescent="0.2">
      <c r="B5651" s="20">
        <v>44294</v>
      </c>
      <c r="C5651" s="58">
        <v>15202.68</v>
      </c>
      <c r="D5651" s="3">
        <f t="shared" si="91"/>
        <v>1.734276203252838E-3</v>
      </c>
    </row>
    <row r="5652" spans="2:4" x14ac:dyDescent="0.2">
      <c r="B5652" s="20">
        <v>44295</v>
      </c>
      <c r="C5652" s="58">
        <v>15234.16</v>
      </c>
      <c r="D5652" s="3">
        <f t="shared" si="91"/>
        <v>2.0706875366711675E-3</v>
      </c>
    </row>
    <row r="5653" spans="2:4" x14ac:dyDescent="0.2">
      <c r="B5653" s="20">
        <v>44298</v>
      </c>
      <c r="C5653" s="58">
        <v>15215</v>
      </c>
      <c r="D5653" s="3">
        <f t="shared" si="91"/>
        <v>-1.2576998009735663E-3</v>
      </c>
    </row>
    <row r="5654" spans="2:4" x14ac:dyDescent="0.2">
      <c r="B5654" s="20">
        <v>44299</v>
      </c>
      <c r="C5654" s="58">
        <v>15234.36</v>
      </c>
      <c r="D5654" s="3">
        <f t="shared" si="91"/>
        <v>1.2724285244825051E-3</v>
      </c>
    </row>
    <row r="5655" spans="2:4" x14ac:dyDescent="0.2">
      <c r="B5655" s="20">
        <v>44300</v>
      </c>
      <c r="C5655" s="58">
        <v>15209.15</v>
      </c>
      <c r="D5655" s="3">
        <f t="shared" si="91"/>
        <v>-1.6548118857635519E-3</v>
      </c>
    </row>
    <row r="5656" spans="2:4" x14ac:dyDescent="0.2">
      <c r="B5656" s="20">
        <v>44301</v>
      </c>
      <c r="C5656" s="58">
        <v>15255.33</v>
      </c>
      <c r="D5656" s="3">
        <f t="shared" si="91"/>
        <v>3.0363301039177948E-3</v>
      </c>
    </row>
    <row r="5657" spans="2:4" x14ac:dyDescent="0.2">
      <c r="B5657" s="20">
        <v>44302</v>
      </c>
      <c r="C5657" s="58">
        <v>15459.75</v>
      </c>
      <c r="D5657" s="3">
        <f t="shared" si="91"/>
        <v>1.339990678667724E-2</v>
      </c>
    </row>
    <row r="5658" spans="2:4" x14ac:dyDescent="0.2">
      <c r="B5658" s="20">
        <v>44305</v>
      </c>
      <c r="C5658" s="58">
        <v>15368.39</v>
      </c>
      <c r="D5658" s="3">
        <f t="shared" si="91"/>
        <v>-5.9095392875047059E-3</v>
      </c>
    </row>
    <row r="5659" spans="2:4" x14ac:dyDescent="0.2">
      <c r="B5659" s="20">
        <v>44306</v>
      </c>
      <c r="C5659" s="58">
        <v>15129.51</v>
      </c>
      <c r="D5659" s="3">
        <f t="shared" si="91"/>
        <v>-1.5543593050410531E-2</v>
      </c>
    </row>
    <row r="5660" spans="2:4" x14ac:dyDescent="0.2">
      <c r="B5660" s="20">
        <v>44307</v>
      </c>
      <c r="C5660" s="58">
        <v>15195.97</v>
      </c>
      <c r="D5660" s="3">
        <f t="shared" si="91"/>
        <v>4.392739751650776E-3</v>
      </c>
    </row>
    <row r="5661" spans="2:4" x14ac:dyDescent="0.2">
      <c r="B5661" s="20">
        <v>44308</v>
      </c>
      <c r="C5661" s="58">
        <v>15320.52</v>
      </c>
      <c r="D5661" s="3">
        <f t="shared" si="91"/>
        <v>8.1962520326113175E-3</v>
      </c>
    </row>
    <row r="5662" spans="2:4" x14ac:dyDescent="0.2">
      <c r="B5662" s="20">
        <v>44309</v>
      </c>
      <c r="C5662" s="58">
        <v>15279.62</v>
      </c>
      <c r="D5662" s="3">
        <f t="shared" si="91"/>
        <v>-2.6696221799259456E-3</v>
      </c>
    </row>
    <row r="5663" spans="2:4" x14ac:dyDescent="0.2">
      <c r="B5663" s="20">
        <v>44312</v>
      </c>
      <c r="C5663" s="58">
        <v>15296.34</v>
      </c>
      <c r="D5663" s="3">
        <f t="shared" si="91"/>
        <v>1.0942680511687453E-3</v>
      </c>
    </row>
    <row r="5664" spans="2:4" x14ac:dyDescent="0.2">
      <c r="B5664" s="20">
        <v>44313</v>
      </c>
      <c r="C5664" s="58">
        <v>15249.27</v>
      </c>
      <c r="D5664" s="3">
        <f t="shared" si="91"/>
        <v>-3.077206704348856E-3</v>
      </c>
    </row>
    <row r="5665" spans="2:4" x14ac:dyDescent="0.2">
      <c r="B5665" s="20">
        <v>44314</v>
      </c>
      <c r="C5665" s="58">
        <v>15292.18</v>
      </c>
      <c r="D5665" s="3">
        <f t="shared" si="91"/>
        <v>2.8139051902156265E-3</v>
      </c>
    </row>
    <row r="5666" spans="2:4" x14ac:dyDescent="0.2">
      <c r="B5666" s="20">
        <v>44315</v>
      </c>
      <c r="C5666" s="58">
        <v>15154.2</v>
      </c>
      <c r="D5666" s="3">
        <f t="shared" si="91"/>
        <v>-9.0229123643587039E-3</v>
      </c>
    </row>
    <row r="5667" spans="2:4" x14ac:dyDescent="0.2">
      <c r="B5667" s="20">
        <v>44316</v>
      </c>
      <c r="C5667" s="58">
        <v>15135.91</v>
      </c>
      <c r="D5667" s="3">
        <f t="shared" si="91"/>
        <v>-1.2069261326893566E-3</v>
      </c>
    </row>
    <row r="5668" spans="2:4" x14ac:dyDescent="0.2">
      <c r="B5668" s="20">
        <v>44319</v>
      </c>
      <c r="C5668" s="58">
        <v>15236.47</v>
      </c>
      <c r="D5668" s="3">
        <f t="shared" si="91"/>
        <v>6.6438027181714432E-3</v>
      </c>
    </row>
    <row r="5669" spans="2:4" x14ac:dyDescent="0.2">
      <c r="B5669" s="20">
        <v>44320</v>
      </c>
      <c r="C5669" s="58">
        <v>14856.48</v>
      </c>
      <c r="D5669" s="3">
        <f t="shared" si="91"/>
        <v>-2.4939503703941934E-2</v>
      </c>
    </row>
    <row r="5670" spans="2:4" x14ac:dyDescent="0.2">
      <c r="B5670" s="20">
        <v>44321</v>
      </c>
      <c r="C5670" s="58">
        <v>15170.78</v>
      </c>
      <c r="D5670" s="3">
        <f t="shared" si="91"/>
        <v>2.1155751564300607E-2</v>
      </c>
    </row>
    <row r="5671" spans="2:4" x14ac:dyDescent="0.2">
      <c r="B5671" s="20">
        <v>44322</v>
      </c>
      <c r="C5671" s="58">
        <v>15196.74</v>
      </c>
      <c r="D5671" s="3">
        <f t="shared" si="91"/>
        <v>1.7111842634327523E-3</v>
      </c>
    </row>
    <row r="5672" spans="2:4" x14ac:dyDescent="0.2">
      <c r="B5672" s="20">
        <v>44323</v>
      </c>
      <c r="C5672" s="58">
        <v>15399.65</v>
      </c>
      <c r="D5672" s="3">
        <f t="shared" si="91"/>
        <v>1.335220580203389E-2</v>
      </c>
    </row>
    <row r="5673" spans="2:4" x14ac:dyDescent="0.2">
      <c r="B5673" s="20">
        <v>44326</v>
      </c>
      <c r="C5673" s="58">
        <v>15400.41</v>
      </c>
      <c r="D5673" s="3">
        <f t="shared" si="91"/>
        <v>4.9351770981864718E-5</v>
      </c>
    </row>
    <row r="5674" spans="2:4" x14ac:dyDescent="0.2">
      <c r="B5674" s="20">
        <v>44327</v>
      </c>
      <c r="C5674" s="58">
        <v>15119.75</v>
      </c>
      <c r="D5674" s="3">
        <f t="shared" si="91"/>
        <v>-1.8224190135197715E-2</v>
      </c>
    </row>
    <row r="5675" spans="2:4" x14ac:dyDescent="0.2">
      <c r="B5675" s="20">
        <v>44328</v>
      </c>
      <c r="C5675" s="58">
        <v>15150.22</v>
      </c>
      <c r="D5675" s="3">
        <f t="shared" si="91"/>
        <v>2.0152449610608691E-3</v>
      </c>
    </row>
    <row r="5676" spans="2:4" x14ac:dyDescent="0.2">
      <c r="B5676" s="20">
        <v>44329</v>
      </c>
      <c r="C5676" s="58">
        <v>15199.68</v>
      </c>
      <c r="D5676" s="3">
        <f t="shared" si="91"/>
        <v>3.2646390613471077E-3</v>
      </c>
    </row>
    <row r="5677" spans="2:4" x14ac:dyDescent="0.2">
      <c r="B5677" s="20">
        <v>44330</v>
      </c>
      <c r="C5677" s="58">
        <v>15416.64</v>
      </c>
      <c r="D5677" s="3">
        <f t="shared" si="91"/>
        <v>1.4273984715467591E-2</v>
      </c>
    </row>
    <row r="5678" spans="2:4" x14ac:dyDescent="0.2">
      <c r="B5678" s="20">
        <v>44333</v>
      </c>
      <c r="C5678" s="58">
        <v>15396.62</v>
      </c>
      <c r="D5678" s="3">
        <f t="shared" si="91"/>
        <v>-1.2985968408160131E-3</v>
      </c>
    </row>
    <row r="5679" spans="2:4" x14ac:dyDescent="0.2">
      <c r="B5679" s="20">
        <v>44334</v>
      </c>
      <c r="C5679" s="58">
        <v>15386.58</v>
      </c>
      <c r="D5679" s="3">
        <f t="shared" si="91"/>
        <v>-6.5209117325759625E-4</v>
      </c>
    </row>
    <row r="5680" spans="2:4" x14ac:dyDescent="0.2">
      <c r="B5680" s="20">
        <v>44335</v>
      </c>
      <c r="C5680" s="58">
        <v>15113.56</v>
      </c>
      <c r="D5680" s="3">
        <f t="shared" si="91"/>
        <v>-1.7744034086847105E-2</v>
      </c>
    </row>
    <row r="5681" spans="2:4" x14ac:dyDescent="0.2">
      <c r="B5681" s="20">
        <v>44336</v>
      </c>
      <c r="C5681" s="58">
        <v>15370.26</v>
      </c>
      <c r="D5681" s="3">
        <f t="shared" si="91"/>
        <v>1.6984747471806783E-2</v>
      </c>
    </row>
    <row r="5682" spans="2:4" x14ac:dyDescent="0.2">
      <c r="B5682" s="20">
        <v>44337</v>
      </c>
      <c r="C5682" s="58">
        <v>15437.51</v>
      </c>
      <c r="D5682" s="3">
        <f t="shared" si="91"/>
        <v>4.3753326228703759E-3</v>
      </c>
    </row>
    <row r="5683" spans="2:4" x14ac:dyDescent="0.2">
      <c r="B5683" s="20">
        <v>44341</v>
      </c>
      <c r="C5683" s="58">
        <v>15465.09</v>
      </c>
      <c r="D5683" s="3">
        <f t="shared" si="91"/>
        <v>1.7865575471691653E-3</v>
      </c>
    </row>
    <row r="5684" spans="2:4" x14ac:dyDescent="0.2">
      <c r="B5684" s="20">
        <v>44342</v>
      </c>
      <c r="C5684" s="58">
        <v>15450.72</v>
      </c>
      <c r="D5684" s="3">
        <f t="shared" si="91"/>
        <v>-9.2918954884846361E-4</v>
      </c>
    </row>
    <row r="5685" spans="2:4" x14ac:dyDescent="0.2">
      <c r="B5685" s="20">
        <v>44343</v>
      </c>
      <c r="C5685" s="58">
        <v>15406.73</v>
      </c>
      <c r="D5685" s="3">
        <f t="shared" si="91"/>
        <v>-2.847116509780756E-3</v>
      </c>
    </row>
    <row r="5686" spans="2:4" x14ac:dyDescent="0.2">
      <c r="B5686" s="20">
        <v>44344</v>
      </c>
      <c r="C5686" s="58">
        <v>15519.98</v>
      </c>
      <c r="D5686" s="3">
        <f t="shared" si="91"/>
        <v>7.3506837596297725E-3</v>
      </c>
    </row>
    <row r="5687" spans="2:4" x14ac:dyDescent="0.2">
      <c r="B5687" s="20">
        <v>44347</v>
      </c>
      <c r="C5687" s="58">
        <v>15421.13</v>
      </c>
      <c r="D5687" s="3">
        <f t="shared" si="91"/>
        <v>-6.3692092386716803E-3</v>
      </c>
    </row>
    <row r="5688" spans="2:4" x14ac:dyDescent="0.2">
      <c r="B5688" s="20">
        <v>44348</v>
      </c>
      <c r="C5688" s="58">
        <v>15567.36</v>
      </c>
      <c r="D5688" s="3">
        <f t="shared" si="91"/>
        <v>9.482443893541026E-3</v>
      </c>
    </row>
    <row r="5689" spans="2:4" x14ac:dyDescent="0.2">
      <c r="B5689" s="20">
        <v>44349</v>
      </c>
      <c r="C5689" s="58">
        <v>15602.71</v>
      </c>
      <c r="D5689" s="3">
        <f t="shared" si="91"/>
        <v>2.2707768048018107E-3</v>
      </c>
    </row>
    <row r="5690" spans="2:4" x14ac:dyDescent="0.2">
      <c r="B5690" s="20">
        <v>44350</v>
      </c>
      <c r="C5690" s="58">
        <v>15632.67</v>
      </c>
      <c r="D5690" s="3">
        <f t="shared" si="91"/>
        <v>1.9201792509122573E-3</v>
      </c>
    </row>
    <row r="5691" spans="2:4" x14ac:dyDescent="0.2">
      <c r="B5691" s="20">
        <v>44351</v>
      </c>
      <c r="C5691" s="58">
        <v>15692.9</v>
      </c>
      <c r="D5691" s="3">
        <f t="shared" si="91"/>
        <v>3.8528287234362857E-3</v>
      </c>
    </row>
    <row r="5692" spans="2:4" x14ac:dyDescent="0.2">
      <c r="B5692" s="20">
        <v>44354</v>
      </c>
      <c r="C5692" s="58">
        <v>15677.15</v>
      </c>
      <c r="D5692" s="3">
        <f t="shared" si="91"/>
        <v>-1.0036385881513343E-3</v>
      </c>
    </row>
    <row r="5693" spans="2:4" x14ac:dyDescent="0.2">
      <c r="B5693" s="20">
        <v>44355</v>
      </c>
      <c r="C5693" s="58">
        <v>15640.6</v>
      </c>
      <c r="D5693" s="3">
        <f t="shared" si="91"/>
        <v>-2.3314186570900786E-3</v>
      </c>
    </row>
    <row r="5694" spans="2:4" x14ac:dyDescent="0.2">
      <c r="B5694" s="20">
        <v>44356</v>
      </c>
      <c r="C5694" s="58">
        <v>15581.14</v>
      </c>
      <c r="D5694" s="3">
        <f t="shared" si="91"/>
        <v>-3.8016444381929748E-3</v>
      </c>
    </row>
    <row r="5695" spans="2:4" x14ac:dyDescent="0.2">
      <c r="B5695" s="20">
        <v>44357</v>
      </c>
      <c r="C5695" s="58">
        <v>15571.22</v>
      </c>
      <c r="D5695" s="3">
        <f t="shared" si="91"/>
        <v>-6.3666715015719966E-4</v>
      </c>
    </row>
    <row r="5696" spans="2:4" x14ac:dyDescent="0.2">
      <c r="B5696" s="20">
        <v>44358</v>
      </c>
      <c r="C5696" s="58">
        <v>15693.27</v>
      </c>
      <c r="D5696" s="3">
        <f t="shared" si="91"/>
        <v>7.8381783829399865E-3</v>
      </c>
    </row>
    <row r="5697" spans="2:4" x14ac:dyDescent="0.2">
      <c r="B5697" s="20">
        <v>44361</v>
      </c>
      <c r="C5697" s="58">
        <v>15673.64</v>
      </c>
      <c r="D5697" s="3">
        <f t="shared" si="91"/>
        <v>-1.2508546657261643E-3</v>
      </c>
    </row>
    <row r="5698" spans="2:4" x14ac:dyDescent="0.2">
      <c r="B5698" s="20">
        <v>44362</v>
      </c>
      <c r="C5698" s="58">
        <v>15729.52</v>
      </c>
      <c r="D5698" s="3">
        <f t="shared" si="91"/>
        <v>3.5652216077439736E-3</v>
      </c>
    </row>
    <row r="5699" spans="2:4" x14ac:dyDescent="0.2">
      <c r="B5699" s="20">
        <v>44363</v>
      </c>
      <c r="C5699" s="58">
        <v>15710.57</v>
      </c>
      <c r="D5699" s="3">
        <f t="shared" si="91"/>
        <v>-1.204741149126054E-3</v>
      </c>
    </row>
    <row r="5700" spans="2:4" x14ac:dyDescent="0.2">
      <c r="B5700" s="20">
        <v>44364</v>
      </c>
      <c r="C5700" s="58">
        <v>15727.67</v>
      </c>
      <c r="D5700" s="3">
        <f t="shared" si="91"/>
        <v>1.0884391845744634E-3</v>
      </c>
    </row>
    <row r="5701" spans="2:4" x14ac:dyDescent="0.2">
      <c r="B5701" s="20">
        <v>44365</v>
      </c>
      <c r="C5701" s="58">
        <v>15448.04</v>
      </c>
      <c r="D5701" s="3">
        <f t="shared" ref="D5701:D5764" si="92">C5701/C5700-1</f>
        <v>-1.7779493084481013E-2</v>
      </c>
    </row>
    <row r="5702" spans="2:4" x14ac:dyDescent="0.2">
      <c r="B5702" s="20">
        <v>44368</v>
      </c>
      <c r="C5702" s="58">
        <v>15603.24</v>
      </c>
      <c r="D5702" s="3">
        <f t="shared" si="92"/>
        <v>1.0046581961206558E-2</v>
      </c>
    </row>
    <row r="5703" spans="2:4" x14ac:dyDescent="0.2">
      <c r="B5703" s="20">
        <v>44369</v>
      </c>
      <c r="C5703" s="58">
        <v>15636.33</v>
      </c>
      <c r="D5703" s="3">
        <f t="shared" si="92"/>
        <v>2.1207133902958475E-3</v>
      </c>
    </row>
    <row r="5704" spans="2:4" x14ac:dyDescent="0.2">
      <c r="B5704" s="20">
        <v>44370</v>
      </c>
      <c r="C5704" s="58">
        <v>15456.39</v>
      </c>
      <c r="D5704" s="3">
        <f t="shared" si="92"/>
        <v>-1.1507815452858838E-2</v>
      </c>
    </row>
    <row r="5705" spans="2:4" x14ac:dyDescent="0.2">
      <c r="B5705" s="20">
        <v>44371</v>
      </c>
      <c r="C5705" s="58">
        <v>15589.23</v>
      </c>
      <c r="D5705" s="3">
        <f t="shared" si="92"/>
        <v>8.5945036324781565E-3</v>
      </c>
    </row>
    <row r="5706" spans="2:4" x14ac:dyDescent="0.2">
      <c r="B5706" s="20">
        <v>44372</v>
      </c>
      <c r="C5706" s="58">
        <v>15607.97</v>
      </c>
      <c r="D5706" s="3">
        <f t="shared" si="92"/>
        <v>1.2021119708927053E-3</v>
      </c>
    </row>
    <row r="5707" spans="2:4" x14ac:dyDescent="0.2">
      <c r="B5707" s="20">
        <v>44375</v>
      </c>
      <c r="C5707" s="58">
        <v>15554.18</v>
      </c>
      <c r="D5707" s="3">
        <f t="shared" si="92"/>
        <v>-3.4463162089624078E-3</v>
      </c>
    </row>
    <row r="5708" spans="2:4" x14ac:dyDescent="0.2">
      <c r="B5708" s="20">
        <v>44376</v>
      </c>
      <c r="C5708" s="58">
        <v>15690.59</v>
      </c>
      <c r="D5708" s="3">
        <f t="shared" si="92"/>
        <v>8.7699898033839485E-3</v>
      </c>
    </row>
    <row r="5709" spans="2:4" x14ac:dyDescent="0.2">
      <c r="B5709" s="20">
        <v>44377</v>
      </c>
      <c r="C5709" s="58">
        <v>15531.04</v>
      </c>
      <c r="D5709" s="3">
        <f t="shared" si="92"/>
        <v>-1.0168515014413071E-2</v>
      </c>
    </row>
    <row r="5710" spans="2:4" x14ac:dyDescent="0.2">
      <c r="B5710" s="20">
        <v>44378</v>
      </c>
      <c r="C5710" s="58">
        <v>15603.81</v>
      </c>
      <c r="D5710" s="3">
        <f t="shared" si="92"/>
        <v>4.6854557067652625E-3</v>
      </c>
    </row>
    <row r="5711" spans="2:4" x14ac:dyDescent="0.2">
      <c r="B5711" s="20">
        <v>44379</v>
      </c>
      <c r="C5711" s="58">
        <v>15650.09</v>
      </c>
      <c r="D5711" s="3">
        <f t="shared" si="92"/>
        <v>2.965942292299184E-3</v>
      </c>
    </row>
    <row r="5712" spans="2:4" x14ac:dyDescent="0.2">
      <c r="B5712" s="20">
        <v>44382</v>
      </c>
      <c r="C5712" s="58">
        <v>15661.97</v>
      </c>
      <c r="D5712" s="3">
        <f t="shared" si="92"/>
        <v>7.5910106587251391E-4</v>
      </c>
    </row>
    <row r="5713" spans="2:4" x14ac:dyDescent="0.2">
      <c r="B5713" s="20">
        <v>44383</v>
      </c>
      <c r="C5713" s="58">
        <v>15511.38</v>
      </c>
      <c r="D5713" s="3">
        <f t="shared" si="92"/>
        <v>-9.6150101168627211E-3</v>
      </c>
    </row>
    <row r="5714" spans="2:4" x14ac:dyDescent="0.2">
      <c r="B5714" s="20">
        <v>44384</v>
      </c>
      <c r="C5714" s="58">
        <v>15692.71</v>
      </c>
      <c r="D5714" s="3">
        <f t="shared" si="92"/>
        <v>1.169012686169757E-2</v>
      </c>
    </row>
    <row r="5715" spans="2:4" x14ac:dyDescent="0.2">
      <c r="B5715" s="20">
        <v>44385</v>
      </c>
      <c r="C5715" s="58">
        <v>15420.64</v>
      </c>
      <c r="D5715" s="3">
        <f t="shared" si="92"/>
        <v>-1.7337349635595078E-2</v>
      </c>
    </row>
    <row r="5716" spans="2:4" x14ac:dyDescent="0.2">
      <c r="B5716" s="20">
        <v>44386</v>
      </c>
      <c r="C5716" s="58">
        <v>15687.93</v>
      </c>
      <c r="D5716" s="3">
        <f t="shared" si="92"/>
        <v>1.7333262432687624E-2</v>
      </c>
    </row>
    <row r="5717" spans="2:4" x14ac:dyDescent="0.2">
      <c r="B5717" s="20">
        <v>44389</v>
      </c>
      <c r="C5717" s="58">
        <v>15790.51</v>
      </c>
      <c r="D5717" s="3">
        <f t="shared" si="92"/>
        <v>6.5387849129872055E-3</v>
      </c>
    </row>
    <row r="5718" spans="2:4" x14ac:dyDescent="0.2">
      <c r="B5718" s="20">
        <v>44390</v>
      </c>
      <c r="C5718" s="58">
        <v>15789.64</v>
      </c>
      <c r="D5718" s="3">
        <f t="shared" si="92"/>
        <v>-5.5096383840713692E-5</v>
      </c>
    </row>
    <row r="5719" spans="2:4" x14ac:dyDescent="0.2">
      <c r="B5719" s="20">
        <v>44391</v>
      </c>
      <c r="C5719" s="58">
        <v>15788.98</v>
      </c>
      <c r="D5719" s="3">
        <f t="shared" si="92"/>
        <v>-4.1799559711286349E-5</v>
      </c>
    </row>
    <row r="5720" spans="2:4" x14ac:dyDescent="0.2">
      <c r="B5720" s="20">
        <v>44392</v>
      </c>
      <c r="C5720" s="58">
        <v>15629.66</v>
      </c>
      <c r="D5720" s="3">
        <f t="shared" si="92"/>
        <v>-1.0090582165535711E-2</v>
      </c>
    </row>
    <row r="5721" spans="2:4" x14ac:dyDescent="0.2">
      <c r="B5721" s="20">
        <v>44393</v>
      </c>
      <c r="C5721" s="58">
        <v>15540.31</v>
      </c>
      <c r="D5721" s="3">
        <f t="shared" si="92"/>
        <v>-5.7166950528674265E-3</v>
      </c>
    </row>
    <row r="5722" spans="2:4" x14ac:dyDescent="0.2">
      <c r="B5722" s="20">
        <v>44396</v>
      </c>
      <c r="C5722" s="58">
        <v>15133.2</v>
      </c>
      <c r="D5722" s="3">
        <f t="shared" si="92"/>
        <v>-2.6197032105537033E-2</v>
      </c>
    </row>
    <row r="5723" spans="2:4" x14ac:dyDescent="0.2">
      <c r="B5723" s="20">
        <v>44397</v>
      </c>
      <c r="C5723" s="58">
        <v>15216.27</v>
      </c>
      <c r="D5723" s="3">
        <f t="shared" si="92"/>
        <v>5.4892554119418957E-3</v>
      </c>
    </row>
    <row r="5724" spans="2:4" x14ac:dyDescent="0.2">
      <c r="B5724" s="20">
        <v>44398</v>
      </c>
      <c r="C5724" s="58">
        <v>15422.5</v>
      </c>
      <c r="D5724" s="3">
        <f t="shared" si="92"/>
        <v>1.3553255824193311E-2</v>
      </c>
    </row>
    <row r="5725" spans="2:4" x14ac:dyDescent="0.2">
      <c r="B5725" s="20">
        <v>44399</v>
      </c>
      <c r="C5725" s="58">
        <v>15514.54</v>
      </c>
      <c r="D5725" s="3">
        <f t="shared" si="92"/>
        <v>5.967904036310534E-3</v>
      </c>
    </row>
    <row r="5726" spans="2:4" x14ac:dyDescent="0.2">
      <c r="B5726" s="20">
        <v>44400</v>
      </c>
      <c r="C5726" s="58">
        <v>15669.29</v>
      </c>
      <c r="D5726" s="3">
        <f t="shared" si="92"/>
        <v>9.9745142298772738E-3</v>
      </c>
    </row>
    <row r="5727" spans="2:4" x14ac:dyDescent="0.2">
      <c r="B5727" s="20">
        <v>44403</v>
      </c>
      <c r="C5727" s="58">
        <v>15618.98</v>
      </c>
      <c r="D5727" s="3">
        <f t="shared" si="92"/>
        <v>-3.2107389677517029E-3</v>
      </c>
    </row>
    <row r="5728" spans="2:4" x14ac:dyDescent="0.2">
      <c r="B5728" s="20">
        <v>44404</v>
      </c>
      <c r="C5728" s="58">
        <v>15519.13</v>
      </c>
      <c r="D5728" s="3">
        <f t="shared" si="92"/>
        <v>-6.3928630422729338E-3</v>
      </c>
    </row>
    <row r="5729" spans="2:4" x14ac:dyDescent="0.2">
      <c r="B5729" s="20">
        <v>44405</v>
      </c>
      <c r="C5729" s="58">
        <v>15570.36</v>
      </c>
      <c r="D5729" s="3">
        <f t="shared" si="92"/>
        <v>3.3010871099090622E-3</v>
      </c>
    </row>
    <row r="5730" spans="2:4" x14ac:dyDescent="0.2">
      <c r="B5730" s="20">
        <v>44406</v>
      </c>
      <c r="C5730" s="58">
        <v>15640.47</v>
      </c>
      <c r="D5730" s="3">
        <f t="shared" si="92"/>
        <v>4.5027860627500083E-3</v>
      </c>
    </row>
    <row r="5731" spans="2:4" x14ac:dyDescent="0.2">
      <c r="B5731" s="20">
        <v>44407</v>
      </c>
      <c r="C5731" s="58">
        <v>15544.39</v>
      </c>
      <c r="D5731" s="3">
        <f t="shared" si="92"/>
        <v>-6.1430379010349867E-3</v>
      </c>
    </row>
    <row r="5732" spans="2:4" x14ac:dyDescent="0.2">
      <c r="B5732" s="20">
        <v>44410</v>
      </c>
      <c r="C5732" s="58">
        <v>15568.73</v>
      </c>
      <c r="D5732" s="3">
        <f t="shared" si="92"/>
        <v>1.5658382220209432E-3</v>
      </c>
    </row>
    <row r="5733" spans="2:4" x14ac:dyDescent="0.2">
      <c r="B5733" s="20">
        <v>44411</v>
      </c>
      <c r="C5733" s="58">
        <v>15555.08</v>
      </c>
      <c r="D5733" s="3">
        <f t="shared" si="92"/>
        <v>-8.7675744906612341E-4</v>
      </c>
    </row>
    <row r="5734" spans="2:4" x14ac:dyDescent="0.2">
      <c r="B5734" s="20">
        <v>44412</v>
      </c>
      <c r="C5734" s="58">
        <v>15692.13</v>
      </c>
      <c r="D5734" s="3">
        <f t="shared" si="92"/>
        <v>8.8106264962957148E-3</v>
      </c>
    </row>
    <row r="5735" spans="2:4" x14ac:dyDescent="0.2">
      <c r="B5735" s="20">
        <v>44413</v>
      </c>
      <c r="C5735" s="58">
        <v>15744.67</v>
      </c>
      <c r="D5735" s="3">
        <f t="shared" si="92"/>
        <v>3.348175168061962E-3</v>
      </c>
    </row>
    <row r="5736" spans="2:4" x14ac:dyDescent="0.2">
      <c r="B5736" s="20">
        <v>44414</v>
      </c>
      <c r="C5736" s="58">
        <v>15761.45</v>
      </c>
      <c r="D5736" s="3">
        <f t="shared" si="92"/>
        <v>1.0657574912653622E-3</v>
      </c>
    </row>
    <row r="5737" spans="2:4" x14ac:dyDescent="0.2">
      <c r="B5737" s="20">
        <v>44417</v>
      </c>
      <c r="C5737" s="58">
        <v>15745.41</v>
      </c>
      <c r="D5737" s="3">
        <f t="shared" si="92"/>
        <v>-1.0176728663924273E-3</v>
      </c>
    </row>
    <row r="5738" spans="2:4" x14ac:dyDescent="0.2">
      <c r="B5738" s="20">
        <v>44418</v>
      </c>
      <c r="C5738" s="58">
        <v>15770.71</v>
      </c>
      <c r="D5738" s="3">
        <f t="shared" si="92"/>
        <v>1.6068174788714806E-3</v>
      </c>
    </row>
    <row r="5739" spans="2:4" x14ac:dyDescent="0.2">
      <c r="B5739" s="20">
        <v>44419</v>
      </c>
      <c r="C5739" s="58">
        <v>15826.09</v>
      </c>
      <c r="D5739" s="3">
        <f t="shared" si="92"/>
        <v>3.5115730363439734E-3</v>
      </c>
    </row>
    <row r="5740" spans="2:4" x14ac:dyDescent="0.2">
      <c r="B5740" s="20">
        <v>44420</v>
      </c>
      <c r="C5740" s="58">
        <v>15937.51</v>
      </c>
      <c r="D5740" s="3">
        <f t="shared" si="92"/>
        <v>7.0402733713759158E-3</v>
      </c>
    </row>
    <row r="5741" spans="2:4" x14ac:dyDescent="0.2">
      <c r="B5741" s="20">
        <v>44421</v>
      </c>
      <c r="C5741" s="58">
        <v>15977.44</v>
      </c>
      <c r="D5741" s="3">
        <f t="shared" si="92"/>
        <v>2.5054101926837991E-3</v>
      </c>
    </row>
    <row r="5742" spans="2:4" x14ac:dyDescent="0.2">
      <c r="B5742" s="20">
        <v>44424</v>
      </c>
      <c r="C5742" s="58">
        <v>15925.73</v>
      </c>
      <c r="D5742" s="3">
        <f t="shared" si="92"/>
        <v>-3.23643837811316E-3</v>
      </c>
    </row>
    <row r="5743" spans="2:4" x14ac:dyDescent="0.2">
      <c r="B5743" s="20">
        <v>44425</v>
      </c>
      <c r="C5743" s="58">
        <v>15921.95</v>
      </c>
      <c r="D5743" s="3">
        <f t="shared" si="92"/>
        <v>-2.3735175718786472E-4</v>
      </c>
    </row>
    <row r="5744" spans="2:4" x14ac:dyDescent="0.2">
      <c r="B5744" s="20">
        <v>44426</v>
      </c>
      <c r="C5744" s="58">
        <v>15965.97</v>
      </c>
      <c r="D5744" s="3">
        <f t="shared" si="92"/>
        <v>2.7647367313676785E-3</v>
      </c>
    </row>
    <row r="5745" spans="2:4" x14ac:dyDescent="0.2">
      <c r="B5745" s="20">
        <v>44427</v>
      </c>
      <c r="C5745" s="58">
        <v>15765.81</v>
      </c>
      <c r="D5745" s="3">
        <f t="shared" si="92"/>
        <v>-1.2536663917068647E-2</v>
      </c>
    </row>
    <row r="5746" spans="2:4" x14ac:dyDescent="0.2">
      <c r="B5746" s="20">
        <v>44428</v>
      </c>
      <c r="C5746" s="58">
        <v>15808.04</v>
      </c>
      <c r="D5746" s="3">
        <f t="shared" si="92"/>
        <v>2.6785810560954193E-3</v>
      </c>
    </row>
    <row r="5747" spans="2:4" x14ac:dyDescent="0.2">
      <c r="B5747" s="20">
        <v>44431</v>
      </c>
      <c r="C5747" s="58">
        <v>15852.79</v>
      </c>
      <c r="D5747" s="3">
        <f t="shared" si="92"/>
        <v>2.8308379786488036E-3</v>
      </c>
    </row>
    <row r="5748" spans="2:4" x14ac:dyDescent="0.2">
      <c r="B5748" s="20">
        <v>44432</v>
      </c>
      <c r="C5748" s="58">
        <v>15905.85</v>
      </c>
      <c r="D5748" s="3">
        <f t="shared" si="92"/>
        <v>3.3470449050292395E-3</v>
      </c>
    </row>
    <row r="5749" spans="2:4" x14ac:dyDescent="0.2">
      <c r="B5749" s="20">
        <v>44433</v>
      </c>
      <c r="C5749" s="58">
        <v>15860.66</v>
      </c>
      <c r="D5749" s="3">
        <f t="shared" si="92"/>
        <v>-2.8410930569570114E-3</v>
      </c>
    </row>
    <row r="5750" spans="2:4" x14ac:dyDescent="0.2">
      <c r="B5750" s="20">
        <v>44434</v>
      </c>
      <c r="C5750" s="58">
        <v>15793.62</v>
      </c>
      <c r="D5750" s="3">
        <f t="shared" si="92"/>
        <v>-4.2268102336220359E-3</v>
      </c>
    </row>
    <row r="5751" spans="2:4" x14ac:dyDescent="0.2">
      <c r="B5751" s="20">
        <v>44435</v>
      </c>
      <c r="C5751" s="58">
        <v>15851.75</v>
      </c>
      <c r="D5751" s="3">
        <f t="shared" si="92"/>
        <v>3.6806001410696343E-3</v>
      </c>
    </row>
    <row r="5752" spans="2:4" x14ac:dyDescent="0.2">
      <c r="B5752" s="20">
        <v>44438</v>
      </c>
      <c r="C5752" s="58">
        <v>15887.31</v>
      </c>
      <c r="D5752" s="3">
        <f t="shared" si="92"/>
        <v>2.2432854416705172E-3</v>
      </c>
    </row>
    <row r="5753" spans="2:4" x14ac:dyDescent="0.2">
      <c r="B5753" s="20">
        <v>44439</v>
      </c>
      <c r="C5753" s="58">
        <v>15835.09</v>
      </c>
      <c r="D5753" s="3">
        <f t="shared" si="92"/>
        <v>-3.2869000478997767E-3</v>
      </c>
    </row>
    <row r="5754" spans="2:4" x14ac:dyDescent="0.2">
      <c r="B5754" s="20">
        <v>44440</v>
      </c>
      <c r="C5754" s="58">
        <v>15824.29</v>
      </c>
      <c r="D5754" s="3">
        <f t="shared" si="92"/>
        <v>-6.820295937692844E-4</v>
      </c>
    </row>
    <row r="5755" spans="2:4" x14ac:dyDescent="0.2">
      <c r="B5755" s="20">
        <v>44441</v>
      </c>
      <c r="C5755" s="58">
        <v>15840.59</v>
      </c>
      <c r="D5755" s="3">
        <f t="shared" si="92"/>
        <v>1.0300620122607462E-3</v>
      </c>
    </row>
    <row r="5756" spans="2:4" x14ac:dyDescent="0.2">
      <c r="B5756" s="20">
        <v>44442</v>
      </c>
      <c r="C5756" s="58">
        <v>15781.2</v>
      </c>
      <c r="D5756" s="3">
        <f t="shared" si="92"/>
        <v>-3.7492290375547022E-3</v>
      </c>
    </row>
    <row r="5757" spans="2:4" x14ac:dyDescent="0.2">
      <c r="B5757" s="20">
        <v>44445</v>
      </c>
      <c r="C5757" s="58">
        <v>15932.12</v>
      </c>
      <c r="D5757" s="3">
        <f t="shared" si="92"/>
        <v>9.5632778242464855E-3</v>
      </c>
    </row>
    <row r="5758" spans="2:4" x14ac:dyDescent="0.2">
      <c r="B5758" s="20">
        <v>44446</v>
      </c>
      <c r="C5758" s="58">
        <v>15843.09</v>
      </c>
      <c r="D5758" s="3">
        <f t="shared" si="92"/>
        <v>-5.58808243975073E-3</v>
      </c>
    </row>
    <row r="5759" spans="2:4" x14ac:dyDescent="0.2">
      <c r="B5759" s="20">
        <v>44447</v>
      </c>
      <c r="C5759" s="58">
        <v>15610.28</v>
      </c>
      <c r="D5759" s="3">
        <f t="shared" si="92"/>
        <v>-1.4694734423650879E-2</v>
      </c>
    </row>
    <row r="5760" spans="2:4" x14ac:dyDescent="0.2">
      <c r="B5760" s="20">
        <v>44448</v>
      </c>
      <c r="C5760" s="58">
        <v>15623.15</v>
      </c>
      <c r="D5760" s="3">
        <f t="shared" si="92"/>
        <v>8.2445670417174988E-4</v>
      </c>
    </row>
    <row r="5761" spans="2:4" x14ac:dyDescent="0.2">
      <c r="B5761" s="20">
        <v>44449</v>
      </c>
      <c r="C5761" s="58">
        <v>15609.81</v>
      </c>
      <c r="D5761" s="3">
        <f t="shared" si="92"/>
        <v>-8.5386109715390734E-4</v>
      </c>
    </row>
    <row r="5762" spans="2:4" x14ac:dyDescent="0.2">
      <c r="B5762" s="20">
        <v>44452</v>
      </c>
      <c r="C5762" s="58">
        <v>15701.42</v>
      </c>
      <c r="D5762" s="3">
        <f t="shared" si="92"/>
        <v>5.8687453594887806E-3</v>
      </c>
    </row>
    <row r="5763" spans="2:4" x14ac:dyDescent="0.2">
      <c r="B5763" s="20">
        <v>44453</v>
      </c>
      <c r="C5763" s="58">
        <v>15722.99</v>
      </c>
      <c r="D5763" s="3">
        <f t="shared" si="92"/>
        <v>1.3737610993145299E-3</v>
      </c>
    </row>
    <row r="5764" spans="2:4" x14ac:dyDescent="0.2">
      <c r="B5764" s="20">
        <v>44454</v>
      </c>
      <c r="C5764" s="58">
        <v>15616</v>
      </c>
      <c r="D5764" s="3">
        <f t="shared" si="92"/>
        <v>-6.8046853683682018E-3</v>
      </c>
    </row>
    <row r="5765" spans="2:4" x14ac:dyDescent="0.2">
      <c r="B5765" s="20">
        <v>44455</v>
      </c>
      <c r="C5765" s="58">
        <v>15651.75</v>
      </c>
      <c r="D5765" s="3">
        <f t="shared" ref="D5765:D5828" si="93">C5765/C5764-1</f>
        <v>2.2893186475410054E-3</v>
      </c>
    </row>
    <row r="5766" spans="2:4" x14ac:dyDescent="0.2">
      <c r="B5766" s="20">
        <v>44456</v>
      </c>
      <c r="C5766" s="58">
        <v>15490.17</v>
      </c>
      <c r="D5766" s="3">
        <f t="shared" si="93"/>
        <v>-1.0323446260002922E-2</v>
      </c>
    </row>
    <row r="5767" spans="2:4" x14ac:dyDescent="0.2">
      <c r="B5767" s="20">
        <v>44459</v>
      </c>
      <c r="C5767" s="58">
        <v>15132.06</v>
      </c>
      <c r="D5767" s="3">
        <f t="shared" si="93"/>
        <v>-2.311853259195995E-2</v>
      </c>
    </row>
    <row r="5768" spans="2:4" x14ac:dyDescent="0.2">
      <c r="B5768" s="20">
        <v>44460</v>
      </c>
      <c r="C5768" s="58">
        <v>15348.53</v>
      </c>
      <c r="D5768" s="3">
        <f t="shared" si="93"/>
        <v>1.4305388691295162E-2</v>
      </c>
    </row>
    <row r="5769" spans="2:4" x14ac:dyDescent="0.2">
      <c r="B5769" s="20">
        <v>44461</v>
      </c>
      <c r="C5769" s="58">
        <v>15506.74</v>
      </c>
      <c r="D5769" s="3">
        <f t="shared" si="93"/>
        <v>1.0307827524850932E-2</v>
      </c>
    </row>
    <row r="5770" spans="2:4" x14ac:dyDescent="0.2">
      <c r="B5770" s="20">
        <v>44462</v>
      </c>
      <c r="C5770" s="58">
        <v>15643.97</v>
      </c>
      <c r="D5770" s="3">
        <f t="shared" si="93"/>
        <v>8.84970019488307E-3</v>
      </c>
    </row>
    <row r="5771" spans="2:4" x14ac:dyDescent="0.2">
      <c r="B5771" s="20">
        <v>44463</v>
      </c>
      <c r="C5771" s="58">
        <v>15531.75</v>
      </c>
      <c r="D5771" s="3">
        <f t="shared" si="93"/>
        <v>-7.1733709537923351E-3</v>
      </c>
    </row>
    <row r="5772" spans="2:4" x14ac:dyDescent="0.2">
      <c r="B5772" s="20">
        <v>44466</v>
      </c>
      <c r="C5772" s="58">
        <v>15573.88</v>
      </c>
      <c r="D5772" s="3">
        <f t="shared" si="93"/>
        <v>2.7125082492314156E-3</v>
      </c>
    </row>
    <row r="5773" spans="2:4" x14ac:dyDescent="0.2">
      <c r="B5773" s="20">
        <v>44467</v>
      </c>
      <c r="C5773" s="58">
        <v>15248.56</v>
      </c>
      <c r="D5773" s="3">
        <f t="shared" si="93"/>
        <v>-2.0888821539654878E-2</v>
      </c>
    </row>
    <row r="5774" spans="2:4" x14ac:dyDescent="0.2">
      <c r="B5774" s="20">
        <v>44468</v>
      </c>
      <c r="C5774" s="58">
        <v>15365.27</v>
      </c>
      <c r="D5774" s="3">
        <f t="shared" si="93"/>
        <v>7.6538374771126794E-3</v>
      </c>
    </row>
    <row r="5775" spans="2:4" x14ac:dyDescent="0.2">
      <c r="B5775" s="20">
        <v>44469</v>
      </c>
      <c r="C5775" s="58">
        <v>15260.69</v>
      </c>
      <c r="D5775" s="3">
        <f t="shared" si="93"/>
        <v>-6.8062585297882228E-3</v>
      </c>
    </row>
    <row r="5776" spans="2:4" x14ac:dyDescent="0.2">
      <c r="B5776" s="20">
        <v>44470</v>
      </c>
      <c r="C5776" s="58">
        <v>15156.44</v>
      </c>
      <c r="D5776" s="3">
        <f t="shared" si="93"/>
        <v>-6.831276960609256E-3</v>
      </c>
    </row>
    <row r="5777" spans="2:4" x14ac:dyDescent="0.2">
      <c r="B5777" s="20">
        <v>44473</v>
      </c>
      <c r="C5777" s="58">
        <v>15036.55</v>
      </c>
      <c r="D5777" s="3">
        <f t="shared" si="93"/>
        <v>-7.9101688787077684E-3</v>
      </c>
    </row>
    <row r="5778" spans="2:4" x14ac:dyDescent="0.2">
      <c r="B5778" s="20">
        <v>44474</v>
      </c>
      <c r="C5778" s="58">
        <v>15194.49</v>
      </c>
      <c r="D5778" s="3">
        <f t="shared" si="93"/>
        <v>1.0503739222095465E-2</v>
      </c>
    </row>
    <row r="5779" spans="2:4" x14ac:dyDescent="0.2">
      <c r="B5779" s="20">
        <v>44475</v>
      </c>
      <c r="C5779" s="58">
        <v>14973.33</v>
      </c>
      <c r="D5779" s="3">
        <f t="shared" si="93"/>
        <v>-1.4555276287654295E-2</v>
      </c>
    </row>
    <row r="5780" spans="2:4" x14ac:dyDescent="0.2">
      <c r="B5780" s="20">
        <v>44476</v>
      </c>
      <c r="C5780" s="58">
        <v>15250.86</v>
      </c>
      <c r="D5780" s="3">
        <f t="shared" si="93"/>
        <v>1.853495515025716E-2</v>
      </c>
    </row>
    <row r="5781" spans="2:4" x14ac:dyDescent="0.2">
      <c r="B5781" s="20">
        <v>44477</v>
      </c>
      <c r="C5781" s="58">
        <v>15206.13</v>
      </c>
      <c r="D5781" s="3">
        <f t="shared" si="93"/>
        <v>-2.9329493549873353E-3</v>
      </c>
    </row>
    <row r="5782" spans="2:4" x14ac:dyDescent="0.2">
      <c r="B5782" s="20">
        <v>44480</v>
      </c>
      <c r="C5782" s="58">
        <v>15199.14</v>
      </c>
      <c r="D5782" s="3">
        <f t="shared" si="93"/>
        <v>-4.5968303572307967E-4</v>
      </c>
    </row>
    <row r="5783" spans="2:4" x14ac:dyDescent="0.2">
      <c r="B5783" s="20">
        <v>44481</v>
      </c>
      <c r="C5783" s="58">
        <v>15146.87</v>
      </c>
      <c r="D5783" s="3">
        <f t="shared" si="93"/>
        <v>-3.4390103650600023E-3</v>
      </c>
    </row>
    <row r="5784" spans="2:4" x14ac:dyDescent="0.2">
      <c r="B5784" s="20">
        <v>44482</v>
      </c>
      <c r="C5784" s="58">
        <v>15249.38</v>
      </c>
      <c r="D5784" s="3">
        <f t="shared" si="93"/>
        <v>6.7677348521508751E-3</v>
      </c>
    </row>
    <row r="5785" spans="2:4" x14ac:dyDescent="0.2">
      <c r="B5785" s="20">
        <v>44483</v>
      </c>
      <c r="C5785" s="58">
        <v>15462.72</v>
      </c>
      <c r="D5785" s="3">
        <f t="shared" si="93"/>
        <v>1.3990076973621202E-2</v>
      </c>
    </row>
    <row r="5786" spans="2:4" x14ac:dyDescent="0.2">
      <c r="B5786" s="20">
        <v>44484</v>
      </c>
      <c r="C5786" s="58">
        <v>15587.36</v>
      </c>
      <c r="D5786" s="3">
        <f t="shared" si="93"/>
        <v>8.0606775522029661E-3</v>
      </c>
    </row>
    <row r="5787" spans="2:4" x14ac:dyDescent="0.2">
      <c r="B5787" s="20">
        <v>44487</v>
      </c>
      <c r="C5787" s="58">
        <v>15474.47</v>
      </c>
      <c r="D5787" s="3">
        <f t="shared" si="93"/>
        <v>-7.2424066679669385E-3</v>
      </c>
    </row>
    <row r="5788" spans="2:4" x14ac:dyDescent="0.2">
      <c r="B5788" s="20">
        <v>44488</v>
      </c>
      <c r="C5788" s="58">
        <v>15515.83</v>
      </c>
      <c r="D5788" s="3">
        <f t="shared" si="93"/>
        <v>2.6727894396383345E-3</v>
      </c>
    </row>
    <row r="5789" spans="2:4" x14ac:dyDescent="0.2">
      <c r="B5789" s="20">
        <v>44489</v>
      </c>
      <c r="C5789" s="58">
        <v>15522.92</v>
      </c>
      <c r="D5789" s="3">
        <f t="shared" si="93"/>
        <v>4.5695267349543656E-4</v>
      </c>
    </row>
    <row r="5790" spans="2:4" x14ac:dyDescent="0.2">
      <c r="B5790" s="20">
        <v>44490</v>
      </c>
      <c r="C5790" s="58">
        <v>15472.56</v>
      </c>
      <c r="D5790" s="3">
        <f t="shared" si="93"/>
        <v>-3.2442349764091327E-3</v>
      </c>
    </row>
    <row r="5791" spans="2:4" x14ac:dyDescent="0.2">
      <c r="B5791" s="20">
        <v>44491</v>
      </c>
      <c r="C5791" s="58">
        <v>15542.98</v>
      </c>
      <c r="D5791" s="3">
        <f t="shared" si="93"/>
        <v>4.5512830455980424E-3</v>
      </c>
    </row>
    <row r="5792" spans="2:4" x14ac:dyDescent="0.2">
      <c r="B5792" s="20">
        <v>44494</v>
      </c>
      <c r="C5792" s="58">
        <v>15599.23</v>
      </c>
      <c r="D5792" s="3">
        <f t="shared" si="93"/>
        <v>3.6189971292506229E-3</v>
      </c>
    </row>
    <row r="5793" spans="2:4" x14ac:dyDescent="0.2">
      <c r="B5793" s="20">
        <v>44495</v>
      </c>
      <c r="C5793" s="58">
        <v>15757.06</v>
      </c>
      <c r="D5793" s="3">
        <f t="shared" si="93"/>
        <v>1.0117807096888809E-2</v>
      </c>
    </row>
    <row r="5794" spans="2:4" x14ac:dyDescent="0.2">
      <c r="B5794" s="20">
        <v>44496</v>
      </c>
      <c r="C5794" s="58">
        <v>15705.81</v>
      </c>
      <c r="D5794" s="3">
        <f t="shared" si="93"/>
        <v>-3.2525103033179681E-3</v>
      </c>
    </row>
    <row r="5795" spans="2:4" x14ac:dyDescent="0.2">
      <c r="B5795" s="20">
        <v>44497</v>
      </c>
      <c r="C5795" s="58">
        <v>15696.33</v>
      </c>
      <c r="D5795" s="3">
        <f t="shared" si="93"/>
        <v>-6.035982862392375E-4</v>
      </c>
    </row>
    <row r="5796" spans="2:4" x14ac:dyDescent="0.2">
      <c r="B5796" s="20">
        <v>44498</v>
      </c>
      <c r="C5796" s="58">
        <v>15688.77</v>
      </c>
      <c r="D5796" s="3">
        <f t="shared" si="93"/>
        <v>-4.8164124989724666E-4</v>
      </c>
    </row>
    <row r="5797" spans="2:4" x14ac:dyDescent="0.2">
      <c r="B5797" s="20">
        <v>44501</v>
      </c>
      <c r="C5797" s="58">
        <v>15806.29</v>
      </c>
      <c r="D5797" s="3">
        <f t="shared" si="93"/>
        <v>7.4907083219397652E-3</v>
      </c>
    </row>
    <row r="5798" spans="2:4" x14ac:dyDescent="0.2">
      <c r="B5798" s="20">
        <v>44502</v>
      </c>
      <c r="C5798" s="58">
        <v>15954.45</v>
      </c>
      <c r="D5798" s="3">
        <f t="shared" si="93"/>
        <v>9.3734835941894357E-3</v>
      </c>
    </row>
    <row r="5799" spans="2:4" x14ac:dyDescent="0.2">
      <c r="B5799" s="20">
        <v>44503</v>
      </c>
      <c r="C5799" s="58">
        <v>15959.98</v>
      </c>
      <c r="D5799" s="3">
        <f t="shared" si="93"/>
        <v>3.466117603552199E-4</v>
      </c>
    </row>
    <row r="5800" spans="2:4" x14ac:dyDescent="0.2">
      <c r="B5800" s="20">
        <v>44504</v>
      </c>
      <c r="C5800" s="58">
        <v>16029.65</v>
      </c>
      <c r="D5800" s="3">
        <f t="shared" si="93"/>
        <v>4.365293690844263E-3</v>
      </c>
    </row>
    <row r="5801" spans="2:4" x14ac:dyDescent="0.2">
      <c r="B5801" s="20">
        <v>44505</v>
      </c>
      <c r="C5801" s="58">
        <v>16054.36</v>
      </c>
      <c r="D5801" s="3">
        <f t="shared" si="93"/>
        <v>1.5415183737637062E-3</v>
      </c>
    </row>
    <row r="5802" spans="2:4" x14ac:dyDescent="0.2">
      <c r="B5802" s="20">
        <v>44508</v>
      </c>
      <c r="C5802" s="58">
        <v>16046.52</v>
      </c>
      <c r="D5802" s="3">
        <f t="shared" si="93"/>
        <v>-4.8834086192162118E-4</v>
      </c>
    </row>
    <row r="5803" spans="2:4" x14ac:dyDescent="0.2">
      <c r="B5803" s="20">
        <v>44509</v>
      </c>
      <c r="C5803" s="58">
        <v>16040.47</v>
      </c>
      <c r="D5803" s="3">
        <f t="shared" si="93"/>
        <v>-3.7702878879664059E-4</v>
      </c>
    </row>
    <row r="5804" spans="2:4" x14ac:dyDescent="0.2">
      <c r="B5804" s="20">
        <v>44510</v>
      </c>
      <c r="C5804" s="58">
        <v>16067.83</v>
      </c>
      <c r="D5804" s="3">
        <f t="shared" si="93"/>
        <v>1.7056856812800447E-3</v>
      </c>
    </row>
    <row r="5805" spans="2:4" x14ac:dyDescent="0.2">
      <c r="B5805" s="20">
        <v>44511</v>
      </c>
      <c r="C5805" s="58">
        <v>16083.11</v>
      </c>
      <c r="D5805" s="3">
        <f t="shared" si="93"/>
        <v>9.5096848796627498E-4</v>
      </c>
    </row>
    <row r="5806" spans="2:4" x14ac:dyDescent="0.2">
      <c r="B5806" s="20">
        <v>44512</v>
      </c>
      <c r="C5806" s="58">
        <v>16094.07</v>
      </c>
      <c r="D5806" s="3">
        <f t="shared" si="93"/>
        <v>6.8146023996606964E-4</v>
      </c>
    </row>
    <row r="5807" spans="2:4" x14ac:dyDescent="0.2">
      <c r="B5807" s="20">
        <v>44515</v>
      </c>
      <c r="C5807" s="58">
        <v>16148.64</v>
      </c>
      <c r="D5807" s="3">
        <f t="shared" si="93"/>
        <v>3.39068986278801E-3</v>
      </c>
    </row>
    <row r="5808" spans="2:4" x14ac:dyDescent="0.2">
      <c r="B5808" s="20">
        <v>44516</v>
      </c>
      <c r="C5808" s="58">
        <v>16247.86</v>
      </c>
      <c r="D5808" s="3">
        <f t="shared" si="93"/>
        <v>6.1441706546185859E-3</v>
      </c>
    </row>
    <row r="5809" spans="2:4" x14ac:dyDescent="0.2">
      <c r="B5809" s="20">
        <v>44517</v>
      </c>
      <c r="C5809" s="58">
        <v>16251.13</v>
      </c>
      <c r="D5809" s="3">
        <f t="shared" si="93"/>
        <v>2.0125727326547604E-4</v>
      </c>
    </row>
    <row r="5810" spans="2:4" x14ac:dyDescent="0.2">
      <c r="B5810" s="20">
        <v>44518</v>
      </c>
      <c r="C5810" s="58">
        <v>16221.73</v>
      </c>
      <c r="D5810" s="3">
        <f t="shared" si="93"/>
        <v>-1.8091049668546022E-3</v>
      </c>
    </row>
    <row r="5811" spans="2:4" x14ac:dyDescent="0.2">
      <c r="B5811" s="20">
        <v>44519</v>
      </c>
      <c r="C5811" s="58">
        <v>16159.97</v>
      </c>
      <c r="D5811" s="3">
        <f t="shared" si="93"/>
        <v>-3.8072388086843878E-3</v>
      </c>
    </row>
    <row r="5812" spans="2:4" x14ac:dyDescent="0.2">
      <c r="B5812" s="20">
        <v>44522</v>
      </c>
      <c r="C5812" s="58">
        <v>16115.69</v>
      </c>
      <c r="D5812" s="3">
        <f t="shared" si="93"/>
        <v>-2.7401040967278689E-3</v>
      </c>
    </row>
    <row r="5813" spans="2:4" x14ac:dyDescent="0.2">
      <c r="B5813" s="20">
        <v>44523</v>
      </c>
      <c r="C5813" s="58">
        <v>15937</v>
      </c>
      <c r="D5813" s="3">
        <f t="shared" si="93"/>
        <v>-1.1087952175798943E-2</v>
      </c>
    </row>
    <row r="5814" spans="2:4" x14ac:dyDescent="0.2">
      <c r="B5814" s="20">
        <v>44524</v>
      </c>
      <c r="C5814" s="58">
        <v>15878.39</v>
      </c>
      <c r="D5814" s="3">
        <f t="shared" si="93"/>
        <v>-3.677605571939524E-3</v>
      </c>
    </row>
    <row r="5815" spans="2:4" x14ac:dyDescent="0.2">
      <c r="B5815" s="20">
        <v>44525</v>
      </c>
      <c r="C5815" s="58">
        <v>15917.98</v>
      </c>
      <c r="D5815" s="3">
        <f t="shared" si="93"/>
        <v>2.4933258346722109E-3</v>
      </c>
    </row>
    <row r="5816" spans="2:4" x14ac:dyDescent="0.2">
      <c r="B5816" s="20">
        <v>44526</v>
      </c>
      <c r="C5816" s="58">
        <v>15257.04</v>
      </c>
      <c r="D5816" s="3">
        <f t="shared" si="93"/>
        <v>-4.152160010252548E-2</v>
      </c>
    </row>
    <row r="5817" spans="2:4" x14ac:dyDescent="0.2">
      <c r="B5817" s="20">
        <v>44529</v>
      </c>
      <c r="C5817" s="58">
        <v>15280.86</v>
      </c>
      <c r="D5817" s="3">
        <f t="shared" si="93"/>
        <v>1.5612464803134163E-3</v>
      </c>
    </row>
    <row r="5818" spans="2:4" x14ac:dyDescent="0.2">
      <c r="B5818" s="20">
        <v>44530</v>
      </c>
      <c r="C5818" s="58">
        <v>15100.13</v>
      </c>
      <c r="D5818" s="3">
        <f t="shared" si="93"/>
        <v>-1.1827213913353174E-2</v>
      </c>
    </row>
    <row r="5819" spans="2:4" x14ac:dyDescent="0.2">
      <c r="B5819" s="20">
        <v>44531</v>
      </c>
      <c r="C5819" s="58">
        <v>15472.67</v>
      </c>
      <c r="D5819" s="3">
        <f t="shared" si="93"/>
        <v>2.467131077679463E-2</v>
      </c>
    </row>
    <row r="5820" spans="2:4" x14ac:dyDescent="0.2">
      <c r="B5820" s="20">
        <v>44532</v>
      </c>
      <c r="C5820" s="58">
        <v>15263.11</v>
      </c>
      <c r="D5820" s="3">
        <f t="shared" si="93"/>
        <v>-1.3543880920358298E-2</v>
      </c>
    </row>
    <row r="5821" spans="2:4" x14ac:dyDescent="0.2">
      <c r="B5821" s="20">
        <v>44533</v>
      </c>
      <c r="C5821" s="58">
        <v>15169.98</v>
      </c>
      <c r="D5821" s="3">
        <f t="shared" si="93"/>
        <v>-6.1016398361802837E-3</v>
      </c>
    </row>
    <row r="5822" spans="2:4" x14ac:dyDescent="0.2">
      <c r="B5822" s="20">
        <v>44536</v>
      </c>
      <c r="C5822" s="58">
        <v>15380.79</v>
      </c>
      <c r="D5822" s="3">
        <f t="shared" si="93"/>
        <v>1.3896524583420833E-2</v>
      </c>
    </row>
    <row r="5823" spans="2:4" x14ac:dyDescent="0.2">
      <c r="B5823" s="20">
        <v>44537</v>
      </c>
      <c r="C5823" s="58">
        <v>15813.94</v>
      </c>
      <c r="D5823" s="3">
        <f t="shared" si="93"/>
        <v>2.8161752419739061E-2</v>
      </c>
    </row>
    <row r="5824" spans="2:4" x14ac:dyDescent="0.2">
      <c r="B5824" s="20">
        <v>44538</v>
      </c>
      <c r="C5824" s="58">
        <v>15687.09</v>
      </c>
      <c r="D5824" s="3">
        <f t="shared" si="93"/>
        <v>-8.0214039006092364E-3</v>
      </c>
    </row>
    <row r="5825" spans="2:4" x14ac:dyDescent="0.2">
      <c r="B5825" s="20">
        <v>44539</v>
      </c>
      <c r="C5825" s="58">
        <v>15639.26</v>
      </c>
      <c r="D5825" s="3">
        <f t="shared" si="93"/>
        <v>-3.0490039899050414E-3</v>
      </c>
    </row>
    <row r="5826" spans="2:4" x14ac:dyDescent="0.2">
      <c r="B5826" s="20">
        <v>44540</v>
      </c>
      <c r="C5826" s="58">
        <v>15623.31</v>
      </c>
      <c r="D5826" s="3">
        <f t="shared" si="93"/>
        <v>-1.0198692265491749E-3</v>
      </c>
    </row>
    <row r="5827" spans="2:4" x14ac:dyDescent="0.2">
      <c r="B5827" s="20">
        <v>44543</v>
      </c>
      <c r="C5827" s="58">
        <v>15621.72</v>
      </c>
      <c r="D5827" s="3">
        <f t="shared" si="93"/>
        <v>-1.0177100755215385E-4</v>
      </c>
    </row>
    <row r="5828" spans="2:4" x14ac:dyDescent="0.2">
      <c r="B5828" s="20">
        <v>44544</v>
      </c>
      <c r="C5828" s="58">
        <v>15453.56</v>
      </c>
      <c r="D5828" s="3">
        <f t="shared" si="93"/>
        <v>-1.0764499683773576E-2</v>
      </c>
    </row>
    <row r="5829" spans="2:4" x14ac:dyDescent="0.2">
      <c r="B5829" s="20">
        <v>44545</v>
      </c>
      <c r="C5829" s="58">
        <v>15476.35</v>
      </c>
      <c r="D5829" s="3">
        <f t="shared" ref="D5829:D5892" si="94">C5829/C5828-1</f>
        <v>1.4747410952558049E-3</v>
      </c>
    </row>
    <row r="5830" spans="2:4" x14ac:dyDescent="0.2">
      <c r="B5830" s="20">
        <v>44546</v>
      </c>
      <c r="C5830" s="58">
        <v>15636.4</v>
      </c>
      <c r="D5830" s="3">
        <f t="shared" si="94"/>
        <v>1.0341585709808809E-2</v>
      </c>
    </row>
    <row r="5831" spans="2:4" x14ac:dyDescent="0.2">
      <c r="B5831" s="20">
        <v>44547</v>
      </c>
      <c r="C5831" s="58">
        <v>15531.69</v>
      </c>
      <c r="D5831" s="3">
        <f t="shared" si="94"/>
        <v>-6.6965541940600115E-3</v>
      </c>
    </row>
    <row r="5832" spans="2:4" x14ac:dyDescent="0.2">
      <c r="B5832" s="20">
        <v>44550</v>
      </c>
      <c r="C5832" s="58">
        <v>15239.67</v>
      </c>
      <c r="D5832" s="3">
        <f t="shared" si="94"/>
        <v>-1.8801559907518195E-2</v>
      </c>
    </row>
    <row r="5833" spans="2:4" x14ac:dyDescent="0.2">
      <c r="B5833" s="20">
        <v>44551</v>
      </c>
      <c r="C5833" s="58">
        <v>15447.44</v>
      </c>
      <c r="D5833" s="3">
        <f t="shared" si="94"/>
        <v>1.3633497313262133E-2</v>
      </c>
    </row>
    <row r="5834" spans="2:4" x14ac:dyDescent="0.2">
      <c r="B5834" s="20">
        <v>44552</v>
      </c>
      <c r="C5834" s="58">
        <v>15593.47</v>
      </c>
      <c r="D5834" s="3">
        <f t="shared" si="94"/>
        <v>9.4533463149879537E-3</v>
      </c>
    </row>
    <row r="5835" spans="2:4" x14ac:dyDescent="0.2">
      <c r="B5835" s="20">
        <v>44553</v>
      </c>
      <c r="C5835" s="58">
        <v>15756.31</v>
      </c>
      <c r="D5835" s="3">
        <f t="shared" si="94"/>
        <v>1.0442832801166091E-2</v>
      </c>
    </row>
    <row r="5836" spans="2:4" x14ac:dyDescent="0.2">
      <c r="B5836" s="20">
        <v>44557</v>
      </c>
      <c r="C5836" s="58">
        <v>15835.25</v>
      </c>
      <c r="D5836" s="3">
        <f t="shared" si="94"/>
        <v>5.0100562885599942E-3</v>
      </c>
    </row>
    <row r="5837" spans="2:4" x14ac:dyDescent="0.2">
      <c r="B5837" s="20">
        <v>44558</v>
      </c>
      <c r="C5837" s="58">
        <v>15963.7</v>
      </c>
      <c r="D5837" s="3">
        <f t="shared" si="94"/>
        <v>8.1116496424118445E-3</v>
      </c>
    </row>
    <row r="5838" spans="2:4" x14ac:dyDescent="0.2">
      <c r="B5838" s="20">
        <v>44559</v>
      </c>
      <c r="C5838" s="58">
        <v>15852.25</v>
      </c>
      <c r="D5838" s="3">
        <f t="shared" si="94"/>
        <v>-6.9814641968967139E-3</v>
      </c>
    </row>
    <row r="5839" spans="2:4" x14ac:dyDescent="0.2">
      <c r="B5839" s="20">
        <v>44560</v>
      </c>
      <c r="C5839" s="58">
        <v>15884.86</v>
      </c>
      <c r="D5839" s="3">
        <f t="shared" si="94"/>
        <v>2.0571212288476026E-3</v>
      </c>
    </row>
    <row r="5840" spans="2:4" x14ac:dyDescent="0.2">
      <c r="B5840" s="20">
        <v>44564</v>
      </c>
      <c r="C5840" s="58">
        <v>16020.73</v>
      </c>
      <c r="D5840" s="3">
        <f t="shared" si="94"/>
        <v>8.5534276033907286E-3</v>
      </c>
    </row>
    <row r="5841" spans="2:4" x14ac:dyDescent="0.2">
      <c r="B5841" s="20">
        <v>44565</v>
      </c>
      <c r="C5841" s="58">
        <v>16152.61</v>
      </c>
      <c r="D5841" s="3">
        <f t="shared" si="94"/>
        <v>8.2318346292584721E-3</v>
      </c>
    </row>
    <row r="5842" spans="2:4" x14ac:dyDescent="0.2">
      <c r="B5842" s="20">
        <v>44566</v>
      </c>
      <c r="C5842" s="58">
        <v>16271.75</v>
      </c>
      <c r="D5842" s="3">
        <f t="shared" si="94"/>
        <v>7.3758977651290358E-3</v>
      </c>
    </row>
    <row r="5843" spans="2:4" x14ac:dyDescent="0.2">
      <c r="B5843" s="20">
        <v>44567</v>
      </c>
      <c r="C5843" s="58">
        <v>16052.03</v>
      </c>
      <c r="D5843" s="3">
        <f t="shared" si="94"/>
        <v>-1.3503157312520164E-2</v>
      </c>
    </row>
    <row r="5844" spans="2:4" x14ac:dyDescent="0.2">
      <c r="B5844" s="20">
        <v>44568</v>
      </c>
      <c r="C5844" s="58">
        <v>15947.74</v>
      </c>
      <c r="D5844" s="3">
        <f t="shared" si="94"/>
        <v>-6.4969975760075238E-3</v>
      </c>
    </row>
    <row r="5845" spans="2:4" x14ac:dyDescent="0.2">
      <c r="B5845" s="20">
        <v>44571</v>
      </c>
      <c r="C5845" s="58">
        <v>15768.27</v>
      </c>
      <c r="D5845" s="3">
        <f t="shared" si="94"/>
        <v>-1.1253632176095096E-2</v>
      </c>
    </row>
    <row r="5846" spans="2:4" x14ac:dyDescent="0.2">
      <c r="B5846" s="20">
        <v>44572</v>
      </c>
      <c r="C5846" s="58">
        <v>15941.81</v>
      </c>
      <c r="D5846" s="3">
        <f t="shared" si="94"/>
        <v>1.1005646148879888E-2</v>
      </c>
    </row>
    <row r="5847" spans="2:4" x14ac:dyDescent="0.2">
      <c r="B5847" s="20">
        <v>44573</v>
      </c>
      <c r="C5847" s="58">
        <v>16010.32</v>
      </c>
      <c r="D5847" s="3">
        <f t="shared" si="94"/>
        <v>4.2975044866297996E-3</v>
      </c>
    </row>
    <row r="5848" spans="2:4" x14ac:dyDescent="0.2">
      <c r="B5848" s="20">
        <v>44574</v>
      </c>
      <c r="C5848" s="58">
        <v>16031.59</v>
      </c>
      <c r="D5848" s="3">
        <f t="shared" si="94"/>
        <v>1.3285181058217965E-3</v>
      </c>
    </row>
    <row r="5849" spans="2:4" x14ac:dyDescent="0.2">
      <c r="B5849" s="20">
        <v>44575</v>
      </c>
      <c r="C5849" s="58">
        <v>15883.24</v>
      </c>
      <c r="D5849" s="3">
        <f t="shared" si="94"/>
        <v>-9.2536049137983412E-3</v>
      </c>
    </row>
    <row r="5850" spans="2:4" x14ac:dyDescent="0.2">
      <c r="B5850" s="20">
        <v>44578</v>
      </c>
      <c r="C5850" s="58">
        <v>15933.72</v>
      </c>
      <c r="D5850" s="3">
        <f t="shared" si="94"/>
        <v>3.1781928624134981E-3</v>
      </c>
    </row>
    <row r="5851" spans="2:4" x14ac:dyDescent="0.2">
      <c r="B5851" s="20">
        <v>44579</v>
      </c>
      <c r="C5851" s="58">
        <v>15772.56</v>
      </c>
      <c r="D5851" s="3">
        <f t="shared" si="94"/>
        <v>-1.0114398897432597E-2</v>
      </c>
    </row>
    <row r="5852" spans="2:4" x14ac:dyDescent="0.2">
      <c r="B5852" s="20">
        <v>44580</v>
      </c>
      <c r="C5852" s="58">
        <v>15809.72</v>
      </c>
      <c r="D5852" s="3">
        <f t="shared" si="94"/>
        <v>2.3559904035870272E-3</v>
      </c>
    </row>
    <row r="5853" spans="2:4" x14ac:dyDescent="0.2">
      <c r="B5853" s="20">
        <v>44581</v>
      </c>
      <c r="C5853" s="58">
        <v>15912.33</v>
      </c>
      <c r="D5853" s="3">
        <f t="shared" si="94"/>
        <v>6.4903110238512252E-3</v>
      </c>
    </row>
    <row r="5854" spans="2:4" x14ac:dyDescent="0.2">
      <c r="B5854" s="20">
        <v>44582</v>
      </c>
      <c r="C5854" s="58">
        <v>15603.88</v>
      </c>
      <c r="D5854" s="3">
        <f t="shared" si="94"/>
        <v>-1.9384339062852529E-2</v>
      </c>
    </row>
    <row r="5855" spans="2:4" x14ac:dyDescent="0.2">
      <c r="B5855" s="20">
        <v>44585</v>
      </c>
      <c r="C5855" s="58">
        <v>15011.13</v>
      </c>
      <c r="D5855" s="3">
        <f t="shared" si="94"/>
        <v>-3.7987346736837235E-2</v>
      </c>
    </row>
    <row r="5856" spans="2:4" x14ac:dyDescent="0.2">
      <c r="B5856" s="20">
        <v>44586</v>
      </c>
      <c r="C5856" s="58">
        <v>15123.87</v>
      </c>
      <c r="D5856" s="3">
        <f t="shared" si="94"/>
        <v>7.510427262970909E-3</v>
      </c>
    </row>
    <row r="5857" spans="2:4" x14ac:dyDescent="0.2">
      <c r="B5857" s="20">
        <v>44587</v>
      </c>
      <c r="C5857" s="58">
        <v>15459.39</v>
      </c>
      <c r="D5857" s="3">
        <f t="shared" si="94"/>
        <v>2.2184797938622713E-2</v>
      </c>
    </row>
    <row r="5858" spans="2:4" x14ac:dyDescent="0.2">
      <c r="B5858" s="20">
        <v>44588</v>
      </c>
      <c r="C5858" s="58">
        <v>15524.27</v>
      </c>
      <c r="D5858" s="3">
        <f t="shared" si="94"/>
        <v>4.1968020730442923E-3</v>
      </c>
    </row>
    <row r="5859" spans="2:4" x14ac:dyDescent="0.2">
      <c r="B5859" s="20">
        <v>44589</v>
      </c>
      <c r="C5859" s="58">
        <v>15318.95</v>
      </c>
      <c r="D5859" s="3">
        <f t="shared" si="94"/>
        <v>-1.3225742659719208E-2</v>
      </c>
    </row>
    <row r="5860" spans="2:4" x14ac:dyDescent="0.2">
      <c r="B5860" s="20">
        <v>44592</v>
      </c>
      <c r="C5860" s="58">
        <v>15471.2</v>
      </c>
      <c r="D5860" s="3">
        <f t="shared" si="94"/>
        <v>9.9386707313491307E-3</v>
      </c>
    </row>
    <row r="5861" spans="2:4" x14ac:dyDescent="0.2">
      <c r="B5861" s="20">
        <v>44593</v>
      </c>
      <c r="C5861" s="58">
        <v>15619.39</v>
      </c>
      <c r="D5861" s="3">
        <f t="shared" si="94"/>
        <v>9.5784425254665795E-3</v>
      </c>
    </row>
    <row r="5862" spans="2:4" x14ac:dyDescent="0.2">
      <c r="B5862" s="20">
        <v>44594</v>
      </c>
      <c r="C5862" s="58">
        <v>15613.77</v>
      </c>
      <c r="D5862" s="3">
        <f t="shared" si="94"/>
        <v>-3.5980918589006983E-4</v>
      </c>
    </row>
    <row r="5863" spans="2:4" x14ac:dyDescent="0.2">
      <c r="B5863" s="20">
        <v>44595</v>
      </c>
      <c r="C5863" s="58">
        <v>15368.47</v>
      </c>
      <c r="D5863" s="3">
        <f t="shared" si="94"/>
        <v>-1.5710491444410946E-2</v>
      </c>
    </row>
    <row r="5864" spans="2:4" x14ac:dyDescent="0.2">
      <c r="B5864" s="20">
        <v>44596</v>
      </c>
      <c r="C5864" s="58">
        <v>15099.56</v>
      </c>
      <c r="D5864" s="3">
        <f t="shared" si="94"/>
        <v>-1.7497512764770962E-2</v>
      </c>
    </row>
    <row r="5865" spans="2:4" x14ac:dyDescent="0.2">
      <c r="B5865" s="20">
        <v>44599</v>
      </c>
      <c r="C5865" s="58">
        <v>15206.64</v>
      </c>
      <c r="D5865" s="3">
        <f t="shared" si="94"/>
        <v>7.0915973710492519E-3</v>
      </c>
    </row>
    <row r="5866" spans="2:4" x14ac:dyDescent="0.2">
      <c r="B5866" s="20">
        <v>44600</v>
      </c>
      <c r="C5866" s="58">
        <v>15242.38</v>
      </c>
      <c r="D5866" s="3">
        <f t="shared" si="94"/>
        <v>2.3502890842421742E-3</v>
      </c>
    </row>
    <row r="5867" spans="2:4" x14ac:dyDescent="0.2">
      <c r="B5867" s="20">
        <v>44601</v>
      </c>
      <c r="C5867" s="58">
        <v>15482.01</v>
      </c>
      <c r="D5867" s="3">
        <f t="shared" si="94"/>
        <v>1.5721298117485683E-2</v>
      </c>
    </row>
    <row r="5868" spans="2:4" x14ac:dyDescent="0.2">
      <c r="B5868" s="20">
        <v>44602</v>
      </c>
      <c r="C5868" s="58">
        <v>15490.44</v>
      </c>
      <c r="D5868" s="3">
        <f t="shared" si="94"/>
        <v>5.4450294244734465E-4</v>
      </c>
    </row>
    <row r="5869" spans="2:4" x14ac:dyDescent="0.2">
      <c r="B5869" s="20">
        <v>44603</v>
      </c>
      <c r="C5869" s="58">
        <v>15425.12</v>
      </c>
      <c r="D5869" s="3">
        <f t="shared" si="94"/>
        <v>-4.2167943583267808E-3</v>
      </c>
    </row>
    <row r="5870" spans="2:4" x14ac:dyDescent="0.2">
      <c r="B5870" s="20">
        <v>44606</v>
      </c>
      <c r="C5870" s="58">
        <v>15113.97</v>
      </c>
      <c r="D5870" s="3">
        <f t="shared" si="94"/>
        <v>-2.0171642100677456E-2</v>
      </c>
    </row>
    <row r="5871" spans="2:4" x14ac:dyDescent="0.2">
      <c r="B5871" s="20">
        <v>44607</v>
      </c>
      <c r="C5871" s="58">
        <v>15412.71</v>
      </c>
      <c r="D5871" s="3">
        <f t="shared" si="94"/>
        <v>1.9765819304921273E-2</v>
      </c>
    </row>
    <row r="5872" spans="2:4" x14ac:dyDescent="0.2">
      <c r="B5872" s="20">
        <v>44608</v>
      </c>
      <c r="C5872" s="58">
        <v>15370.3</v>
      </c>
      <c r="D5872" s="3">
        <f t="shared" si="94"/>
        <v>-2.7516251197874375E-3</v>
      </c>
    </row>
    <row r="5873" spans="2:4" x14ac:dyDescent="0.2">
      <c r="B5873" s="20">
        <v>44609</v>
      </c>
      <c r="C5873" s="58">
        <v>15267.63</v>
      </c>
      <c r="D5873" s="3">
        <f t="shared" si="94"/>
        <v>-6.6797655218180374E-3</v>
      </c>
    </row>
    <row r="5874" spans="2:4" x14ac:dyDescent="0.2">
      <c r="B5874" s="20">
        <v>44610</v>
      </c>
      <c r="C5874" s="58">
        <v>15042.51</v>
      </c>
      <c r="D5874" s="3">
        <f t="shared" si="94"/>
        <v>-1.4744921117422871E-2</v>
      </c>
    </row>
    <row r="5875" spans="2:4" x14ac:dyDescent="0.2">
      <c r="B5875" s="20">
        <v>44613</v>
      </c>
      <c r="C5875" s="58">
        <v>14731.12</v>
      </c>
      <c r="D5875" s="3">
        <f t="shared" si="94"/>
        <v>-2.0700667641238013E-2</v>
      </c>
    </row>
    <row r="5876" spans="2:4" x14ac:dyDescent="0.2">
      <c r="B5876" s="20">
        <v>44614</v>
      </c>
      <c r="C5876" s="58">
        <v>14693</v>
      </c>
      <c r="D5876" s="3">
        <f t="shared" si="94"/>
        <v>-2.5877190600579469E-3</v>
      </c>
    </row>
    <row r="5877" spans="2:4" x14ac:dyDescent="0.2">
      <c r="B5877" s="20">
        <v>44615</v>
      </c>
      <c r="C5877" s="58">
        <v>14631.36</v>
      </c>
      <c r="D5877" s="3">
        <f t="shared" si="94"/>
        <v>-4.1951949908118902E-3</v>
      </c>
    </row>
    <row r="5878" spans="2:4" x14ac:dyDescent="0.2">
      <c r="B5878" s="20">
        <v>44616</v>
      </c>
      <c r="C5878" s="58">
        <v>14052.1</v>
      </c>
      <c r="D5878" s="3">
        <f t="shared" si="94"/>
        <v>-3.9590304660674036E-2</v>
      </c>
    </row>
    <row r="5879" spans="2:4" x14ac:dyDescent="0.2">
      <c r="B5879" s="20">
        <v>44617</v>
      </c>
      <c r="C5879" s="58">
        <v>14567.23</v>
      </c>
      <c r="D5879" s="3">
        <f t="shared" si="94"/>
        <v>3.6658577721479402E-2</v>
      </c>
    </row>
    <row r="5880" spans="2:4" x14ac:dyDescent="0.2">
      <c r="B5880" s="20">
        <v>44620</v>
      </c>
      <c r="C5880" s="58">
        <v>14461.02</v>
      </c>
      <c r="D5880" s="3">
        <f t="shared" si="94"/>
        <v>-7.2910223838025257E-3</v>
      </c>
    </row>
    <row r="5881" spans="2:4" x14ac:dyDescent="0.2">
      <c r="B5881" s="20">
        <v>44621</v>
      </c>
      <c r="C5881" s="58">
        <v>13904.85</v>
      </c>
      <c r="D5881" s="3">
        <f t="shared" si="94"/>
        <v>-3.8459942659646473E-2</v>
      </c>
    </row>
    <row r="5882" spans="2:4" x14ac:dyDescent="0.2">
      <c r="B5882" s="20">
        <v>44622</v>
      </c>
      <c r="C5882" s="58">
        <v>14000.11</v>
      </c>
      <c r="D5882" s="3">
        <f t="shared" si="94"/>
        <v>6.8508470066199756E-3</v>
      </c>
    </row>
    <row r="5883" spans="2:4" x14ac:dyDescent="0.2">
      <c r="B5883" s="20">
        <v>44623</v>
      </c>
      <c r="C5883" s="58">
        <v>13698.4</v>
      </c>
      <c r="D5883" s="3">
        <f t="shared" si="94"/>
        <v>-2.155054496000397E-2</v>
      </c>
    </row>
    <row r="5884" spans="2:4" x14ac:dyDescent="0.2">
      <c r="B5884" s="20">
        <v>44624</v>
      </c>
      <c r="C5884" s="58">
        <v>13094.54</v>
      </c>
      <c r="D5884" s="3">
        <f t="shared" si="94"/>
        <v>-4.4082520586345764E-2</v>
      </c>
    </row>
    <row r="5885" spans="2:4" x14ac:dyDescent="0.2">
      <c r="B5885" s="20">
        <v>44627</v>
      </c>
      <c r="C5885" s="58">
        <v>12834.65</v>
      </c>
      <c r="D5885" s="3">
        <f t="shared" si="94"/>
        <v>-1.9847203490920728E-2</v>
      </c>
    </row>
    <row r="5886" spans="2:4" x14ac:dyDescent="0.2">
      <c r="B5886" s="20">
        <v>44628</v>
      </c>
      <c r="C5886" s="58">
        <v>12831.51</v>
      </c>
      <c r="D5886" s="3">
        <f t="shared" si="94"/>
        <v>-2.4465022419772886E-4</v>
      </c>
    </row>
    <row r="5887" spans="2:4" x14ac:dyDescent="0.2">
      <c r="B5887" s="20">
        <v>44629</v>
      </c>
      <c r="C5887" s="58">
        <v>13847.93</v>
      </c>
      <c r="D5887" s="3">
        <f t="shared" si="94"/>
        <v>7.9212812833407753E-2</v>
      </c>
    </row>
    <row r="5888" spans="2:4" x14ac:dyDescent="0.2">
      <c r="B5888" s="20">
        <v>44630</v>
      </c>
      <c r="C5888" s="58">
        <v>13442.1</v>
      </c>
      <c r="D5888" s="3">
        <f t="shared" si="94"/>
        <v>-2.9306185112143113E-2</v>
      </c>
    </row>
    <row r="5889" spans="2:4" x14ac:dyDescent="0.2">
      <c r="B5889" s="20">
        <v>44631</v>
      </c>
      <c r="C5889" s="58">
        <v>13628.11</v>
      </c>
      <c r="D5889" s="3">
        <f t="shared" si="94"/>
        <v>1.3837867595092979E-2</v>
      </c>
    </row>
    <row r="5890" spans="2:4" x14ac:dyDescent="0.2">
      <c r="B5890" s="20">
        <v>44634</v>
      </c>
      <c r="C5890" s="58">
        <v>13929.11</v>
      </c>
      <c r="D5890" s="3">
        <f t="shared" si="94"/>
        <v>2.2086701677635379E-2</v>
      </c>
    </row>
    <row r="5891" spans="2:4" x14ac:dyDescent="0.2">
      <c r="B5891" s="20">
        <v>44635</v>
      </c>
      <c r="C5891" s="58">
        <v>13917.27</v>
      </c>
      <c r="D5891" s="3">
        <f t="shared" si="94"/>
        <v>-8.5001841467258199E-4</v>
      </c>
    </row>
    <row r="5892" spans="2:4" x14ac:dyDescent="0.2">
      <c r="B5892" s="20">
        <v>44636</v>
      </c>
      <c r="C5892" s="58">
        <v>14440.74</v>
      </c>
      <c r="D5892" s="3">
        <f t="shared" si="94"/>
        <v>3.7612980131879192E-2</v>
      </c>
    </row>
    <row r="5893" spans="2:4" x14ac:dyDescent="0.2">
      <c r="B5893" s="20">
        <v>44637</v>
      </c>
      <c r="C5893" s="58">
        <v>14388.06</v>
      </c>
      <c r="D5893" s="3">
        <f t="shared" ref="D5893:D5956" si="95">C5893/C5892-1</f>
        <v>-3.6480124979745288E-3</v>
      </c>
    </row>
    <row r="5894" spans="2:4" x14ac:dyDescent="0.2">
      <c r="B5894" s="20">
        <v>44638</v>
      </c>
      <c r="C5894" s="58">
        <v>14413.09</v>
      </c>
      <c r="D5894" s="3">
        <f t="shared" si="95"/>
        <v>1.7396368933686457E-3</v>
      </c>
    </row>
    <row r="5895" spans="2:4" x14ac:dyDescent="0.2">
      <c r="B5895" s="20">
        <v>44641</v>
      </c>
      <c r="C5895" s="58">
        <v>14326.97</v>
      </c>
      <c r="D5895" s="3">
        <f t="shared" si="95"/>
        <v>-5.9751240018622864E-3</v>
      </c>
    </row>
    <row r="5896" spans="2:4" x14ac:dyDescent="0.2">
      <c r="B5896" s="20">
        <v>44642</v>
      </c>
      <c r="C5896" s="58">
        <v>14473.2</v>
      </c>
      <c r="D5896" s="3">
        <f t="shared" si="95"/>
        <v>1.0206624289713861E-2</v>
      </c>
    </row>
    <row r="5897" spans="2:4" x14ac:dyDescent="0.2">
      <c r="B5897" s="20">
        <v>44643</v>
      </c>
      <c r="C5897" s="58">
        <v>14283.65</v>
      </c>
      <c r="D5897" s="3">
        <f t="shared" si="95"/>
        <v>-1.3096619959649614E-2</v>
      </c>
    </row>
    <row r="5898" spans="2:4" x14ac:dyDescent="0.2">
      <c r="B5898" s="20">
        <v>44644</v>
      </c>
      <c r="C5898" s="58">
        <v>14273.79</v>
      </c>
      <c r="D5898" s="3">
        <f t="shared" si="95"/>
        <v>-6.9029974831358309E-4</v>
      </c>
    </row>
    <row r="5899" spans="2:4" x14ac:dyDescent="0.2">
      <c r="B5899" s="20">
        <v>44645</v>
      </c>
      <c r="C5899" s="58">
        <v>14305.76</v>
      </c>
      <c r="D5899" s="3">
        <f t="shared" si="95"/>
        <v>2.2397695356313196E-3</v>
      </c>
    </row>
    <row r="5900" spans="2:4" x14ac:dyDescent="0.2">
      <c r="B5900" s="20">
        <v>44648</v>
      </c>
      <c r="C5900" s="58">
        <v>14417.37</v>
      </c>
      <c r="D5900" s="3">
        <f t="shared" si="95"/>
        <v>7.8017525807787536E-3</v>
      </c>
    </row>
    <row r="5901" spans="2:4" x14ac:dyDescent="0.2">
      <c r="B5901" s="20">
        <v>44649</v>
      </c>
      <c r="C5901" s="58">
        <v>14820.33</v>
      </c>
      <c r="D5901" s="3">
        <f t="shared" si="95"/>
        <v>2.7949619105287482E-2</v>
      </c>
    </row>
    <row r="5902" spans="2:4" x14ac:dyDescent="0.2">
      <c r="B5902" s="20">
        <v>44650</v>
      </c>
      <c r="C5902" s="58">
        <v>14606.05</v>
      </c>
      <c r="D5902" s="3">
        <f t="shared" si="95"/>
        <v>-1.4458517455414377E-2</v>
      </c>
    </row>
    <row r="5903" spans="2:4" x14ac:dyDescent="0.2">
      <c r="B5903" s="20">
        <v>44651</v>
      </c>
      <c r="C5903" s="58">
        <v>14414.75</v>
      </c>
      <c r="D5903" s="3">
        <f t="shared" si="95"/>
        <v>-1.3097312415060847E-2</v>
      </c>
    </row>
    <row r="5904" spans="2:4" x14ac:dyDescent="0.2">
      <c r="B5904" s="20">
        <v>44652</v>
      </c>
      <c r="C5904" s="58">
        <v>14446.48</v>
      </c>
      <c r="D5904" s="3">
        <f t="shared" si="95"/>
        <v>2.2012175029049175E-3</v>
      </c>
    </row>
    <row r="5905" spans="2:4" x14ac:dyDescent="0.2">
      <c r="B5905" s="20">
        <v>44655</v>
      </c>
      <c r="C5905" s="58">
        <v>14518.16</v>
      </c>
      <c r="D5905" s="3">
        <f t="shared" si="95"/>
        <v>4.9617623116495757E-3</v>
      </c>
    </row>
    <row r="5906" spans="2:4" x14ac:dyDescent="0.2">
      <c r="B5906" s="20">
        <v>44656</v>
      </c>
      <c r="C5906" s="58">
        <v>14424.36</v>
      </c>
      <c r="D5906" s="3">
        <f t="shared" si="95"/>
        <v>-6.4608738297414758E-3</v>
      </c>
    </row>
    <row r="5907" spans="2:4" x14ac:dyDescent="0.2">
      <c r="B5907" s="20">
        <v>44657</v>
      </c>
      <c r="C5907" s="58">
        <v>14151.69</v>
      </c>
      <c r="D5907" s="3">
        <f t="shared" si="95"/>
        <v>-1.8903438350124424E-2</v>
      </c>
    </row>
    <row r="5908" spans="2:4" x14ac:dyDescent="0.2">
      <c r="B5908" s="20">
        <v>44658</v>
      </c>
      <c r="C5908" s="58">
        <v>14078.15</v>
      </c>
      <c r="D5908" s="3">
        <f t="shared" si="95"/>
        <v>-5.1965524965570387E-3</v>
      </c>
    </row>
    <row r="5909" spans="2:4" x14ac:dyDescent="0.2">
      <c r="B5909" s="20">
        <v>44659</v>
      </c>
      <c r="C5909" s="58">
        <v>14283.67</v>
      </c>
      <c r="D5909" s="3">
        <f t="shared" si="95"/>
        <v>1.4598509037053953E-2</v>
      </c>
    </row>
    <row r="5910" spans="2:4" x14ac:dyDescent="0.2">
      <c r="B5910" s="20">
        <v>44662</v>
      </c>
      <c r="C5910" s="58">
        <v>14192.78</v>
      </c>
      <c r="D5910" s="3">
        <f t="shared" si="95"/>
        <v>-6.3632105754333201E-3</v>
      </c>
    </row>
    <row r="5911" spans="2:4" x14ac:dyDescent="0.2">
      <c r="B5911" s="20">
        <v>44663</v>
      </c>
      <c r="C5911" s="58">
        <v>14124.95</v>
      </c>
      <c r="D5911" s="3">
        <f t="shared" si="95"/>
        <v>-4.7791905461791462E-3</v>
      </c>
    </row>
    <row r="5912" spans="2:4" x14ac:dyDescent="0.2">
      <c r="B5912" s="20">
        <v>44664</v>
      </c>
      <c r="C5912" s="58">
        <v>14076.44</v>
      </c>
      <c r="D5912" s="3">
        <f t="shared" si="95"/>
        <v>-3.4343484401714308E-3</v>
      </c>
    </row>
    <row r="5913" spans="2:4" x14ac:dyDescent="0.2">
      <c r="B5913" s="20">
        <v>44665</v>
      </c>
      <c r="C5913" s="58">
        <v>14163.85</v>
      </c>
      <c r="D5913" s="3">
        <f t="shared" si="95"/>
        <v>6.2096666486697316E-3</v>
      </c>
    </row>
    <row r="5914" spans="2:4" x14ac:dyDescent="0.2">
      <c r="B5914" s="20">
        <v>44670</v>
      </c>
      <c r="C5914" s="58">
        <v>14153.46</v>
      </c>
      <c r="D5914" s="3">
        <f t="shared" si="95"/>
        <v>-7.3355761321969304E-4</v>
      </c>
    </row>
    <row r="5915" spans="2:4" x14ac:dyDescent="0.2">
      <c r="B5915" s="20">
        <v>44671</v>
      </c>
      <c r="C5915" s="58">
        <v>14362.03</v>
      </c>
      <c r="D5915" s="3">
        <f t="shared" si="95"/>
        <v>1.4736325958458307E-2</v>
      </c>
    </row>
    <row r="5916" spans="2:4" x14ac:dyDescent="0.2">
      <c r="B5916" s="20">
        <v>44672</v>
      </c>
      <c r="C5916" s="58">
        <v>14502.41</v>
      </c>
      <c r="D5916" s="3">
        <f t="shared" si="95"/>
        <v>9.7743842618347454E-3</v>
      </c>
    </row>
    <row r="5917" spans="2:4" x14ac:dyDescent="0.2">
      <c r="B5917" s="20">
        <v>44673</v>
      </c>
      <c r="C5917" s="58">
        <v>14142.09</v>
      </c>
      <c r="D5917" s="3">
        <f t="shared" si="95"/>
        <v>-2.4845525674698221E-2</v>
      </c>
    </row>
    <row r="5918" spans="2:4" x14ac:dyDescent="0.2">
      <c r="B5918" s="20">
        <v>44676</v>
      </c>
      <c r="C5918" s="58">
        <v>13924.17</v>
      </c>
      <c r="D5918" s="3">
        <f t="shared" si="95"/>
        <v>-1.5409320687394867E-2</v>
      </c>
    </row>
    <row r="5919" spans="2:4" x14ac:dyDescent="0.2">
      <c r="B5919" s="20">
        <v>44677</v>
      </c>
      <c r="C5919" s="58">
        <v>13756.4</v>
      </c>
      <c r="D5919" s="3">
        <f t="shared" si="95"/>
        <v>-1.2048833072276555E-2</v>
      </c>
    </row>
    <row r="5920" spans="2:4" x14ac:dyDescent="0.2">
      <c r="B5920" s="20">
        <v>44678</v>
      </c>
      <c r="C5920" s="58">
        <v>13793.94</v>
      </c>
      <c r="D5920" s="3">
        <f t="shared" si="95"/>
        <v>2.7289116338578001E-3</v>
      </c>
    </row>
    <row r="5921" spans="2:4" x14ac:dyDescent="0.2">
      <c r="B5921" s="20">
        <v>44679</v>
      </c>
      <c r="C5921" s="58">
        <v>13979.84</v>
      </c>
      <c r="D5921" s="3">
        <f t="shared" si="95"/>
        <v>1.3476932624036264E-2</v>
      </c>
    </row>
    <row r="5922" spans="2:4" x14ac:dyDescent="0.2">
      <c r="B5922" s="20">
        <v>44680</v>
      </c>
      <c r="C5922" s="58">
        <v>14097.88</v>
      </c>
      <c r="D5922" s="3">
        <f t="shared" si="95"/>
        <v>8.4435873371939696E-3</v>
      </c>
    </row>
    <row r="5923" spans="2:4" x14ac:dyDescent="0.2">
      <c r="B5923" s="20">
        <v>44683</v>
      </c>
      <c r="C5923" s="58">
        <v>13939.07</v>
      </c>
      <c r="D5923" s="3">
        <f t="shared" si="95"/>
        <v>-1.1264814284133506E-2</v>
      </c>
    </row>
    <row r="5924" spans="2:4" x14ac:dyDescent="0.2">
      <c r="B5924" s="20">
        <v>44684</v>
      </c>
      <c r="C5924" s="58">
        <v>14039.47</v>
      </c>
      <c r="D5924" s="3">
        <f t="shared" si="95"/>
        <v>7.2027760819051156E-3</v>
      </c>
    </row>
    <row r="5925" spans="2:4" x14ac:dyDescent="0.2">
      <c r="B5925" s="20">
        <v>44685</v>
      </c>
      <c r="C5925" s="58">
        <v>13970.82</v>
      </c>
      <c r="D5925" s="3">
        <f t="shared" si="95"/>
        <v>-4.8897857255294497E-3</v>
      </c>
    </row>
    <row r="5926" spans="2:4" x14ac:dyDescent="0.2">
      <c r="B5926" s="20">
        <v>44686</v>
      </c>
      <c r="C5926" s="58">
        <v>13902.52</v>
      </c>
      <c r="D5926" s="3">
        <f t="shared" si="95"/>
        <v>-4.8887610032910533E-3</v>
      </c>
    </row>
    <row r="5927" spans="2:4" x14ac:dyDescent="0.2">
      <c r="B5927" s="20">
        <v>44687</v>
      </c>
      <c r="C5927" s="58">
        <v>13674.29</v>
      </c>
      <c r="D5927" s="3">
        <f t="shared" si="95"/>
        <v>-1.6416448241038273E-2</v>
      </c>
    </row>
    <row r="5928" spans="2:4" x14ac:dyDescent="0.2">
      <c r="B5928" s="20">
        <v>44690</v>
      </c>
      <c r="C5928" s="58">
        <v>13380.67</v>
      </c>
      <c r="D5928" s="3">
        <f t="shared" si="95"/>
        <v>-2.147241282728396E-2</v>
      </c>
    </row>
    <row r="5929" spans="2:4" x14ac:dyDescent="0.2">
      <c r="B5929" s="20">
        <v>44691</v>
      </c>
      <c r="C5929" s="58">
        <v>13534.74</v>
      </c>
      <c r="D5929" s="3">
        <f t="shared" si="95"/>
        <v>1.1514371103988008E-2</v>
      </c>
    </row>
    <row r="5930" spans="2:4" x14ac:dyDescent="0.2">
      <c r="B5930" s="20">
        <v>44692</v>
      </c>
      <c r="C5930" s="58">
        <v>13828.64</v>
      </c>
      <c r="D5930" s="3">
        <f t="shared" si="95"/>
        <v>2.1714491744946773E-2</v>
      </c>
    </row>
    <row r="5931" spans="2:4" x14ac:dyDescent="0.2">
      <c r="B5931" s="20">
        <v>44693</v>
      </c>
      <c r="C5931" s="58">
        <v>13739.64</v>
      </c>
      <c r="D5931" s="3">
        <f t="shared" si="95"/>
        <v>-6.4359184995776975E-3</v>
      </c>
    </row>
    <row r="5932" spans="2:4" x14ac:dyDescent="0.2">
      <c r="B5932" s="20">
        <v>44694</v>
      </c>
      <c r="C5932" s="58">
        <v>14027.93</v>
      </c>
      <c r="D5932" s="3">
        <f t="shared" si="95"/>
        <v>2.0982354705072481E-2</v>
      </c>
    </row>
    <row r="5933" spans="2:4" x14ac:dyDescent="0.2">
      <c r="B5933" s="20">
        <v>44697</v>
      </c>
      <c r="C5933" s="58">
        <v>13964.38</v>
      </c>
      <c r="D5933" s="3">
        <f t="shared" si="95"/>
        <v>-4.5302478697856197E-3</v>
      </c>
    </row>
    <row r="5934" spans="2:4" x14ac:dyDescent="0.2">
      <c r="B5934" s="20">
        <v>44698</v>
      </c>
      <c r="C5934" s="58">
        <v>14185.94</v>
      </c>
      <c r="D5934" s="3">
        <f t="shared" si="95"/>
        <v>1.5866082131824166E-2</v>
      </c>
    </row>
    <row r="5935" spans="2:4" x14ac:dyDescent="0.2">
      <c r="B5935" s="20">
        <v>44699</v>
      </c>
      <c r="C5935" s="58">
        <v>14007.76</v>
      </c>
      <c r="D5935" s="3">
        <f t="shared" si="95"/>
        <v>-1.2560323813578855E-2</v>
      </c>
    </row>
    <row r="5936" spans="2:4" x14ac:dyDescent="0.2">
      <c r="B5936" s="20">
        <v>44700</v>
      </c>
      <c r="C5936" s="58">
        <v>13882.3</v>
      </c>
      <c r="D5936" s="3">
        <f t="shared" si="95"/>
        <v>-8.9564641313101268E-3</v>
      </c>
    </row>
    <row r="5937" spans="2:4" x14ac:dyDescent="0.2">
      <c r="B5937" s="20">
        <v>44701</v>
      </c>
      <c r="C5937" s="58">
        <v>13981.91</v>
      </c>
      <c r="D5937" s="3">
        <f t="shared" si="95"/>
        <v>7.1753239736931373E-3</v>
      </c>
    </row>
    <row r="5938" spans="2:4" x14ac:dyDescent="0.2">
      <c r="B5938" s="20">
        <v>44704</v>
      </c>
      <c r="C5938" s="58">
        <v>14175.4</v>
      </c>
      <c r="D5938" s="3">
        <f t="shared" si="95"/>
        <v>1.3838595728337566E-2</v>
      </c>
    </row>
    <row r="5939" spans="2:4" x14ac:dyDescent="0.2">
      <c r="B5939" s="20">
        <v>44705</v>
      </c>
      <c r="C5939" s="58">
        <v>13919.75</v>
      </c>
      <c r="D5939" s="3">
        <f t="shared" si="95"/>
        <v>-1.8034764451091312E-2</v>
      </c>
    </row>
    <row r="5940" spans="2:4" x14ac:dyDescent="0.2">
      <c r="B5940" s="20">
        <v>44706</v>
      </c>
      <c r="C5940" s="58">
        <v>14007.93</v>
      </c>
      <c r="D5940" s="3">
        <f t="shared" si="95"/>
        <v>6.3348838880008529E-3</v>
      </c>
    </row>
    <row r="5941" spans="2:4" x14ac:dyDescent="0.2">
      <c r="B5941" s="20">
        <v>44707</v>
      </c>
      <c r="C5941" s="58">
        <v>14231.29</v>
      </c>
      <c r="D5941" s="3">
        <f t="shared" si="95"/>
        <v>1.594525386691692E-2</v>
      </c>
    </row>
    <row r="5942" spans="2:4" x14ac:dyDescent="0.2">
      <c r="B5942" s="20">
        <v>44708</v>
      </c>
      <c r="C5942" s="58">
        <v>14462.19</v>
      </c>
      <c r="D5942" s="3">
        <f t="shared" si="95"/>
        <v>1.6224811665000116E-2</v>
      </c>
    </row>
    <row r="5943" spans="2:4" x14ac:dyDescent="0.2">
      <c r="B5943" s="20">
        <v>44711</v>
      </c>
      <c r="C5943" s="58">
        <v>14575.98</v>
      </c>
      <c r="D5943" s="3">
        <f t="shared" si="95"/>
        <v>7.8681029636589184E-3</v>
      </c>
    </row>
    <row r="5944" spans="2:4" x14ac:dyDescent="0.2">
      <c r="B5944" s="20">
        <v>44712</v>
      </c>
      <c r="C5944" s="58">
        <v>14388.35</v>
      </c>
      <c r="D5944" s="3">
        <f t="shared" si="95"/>
        <v>-1.2872547849269722E-2</v>
      </c>
    </row>
    <row r="5945" spans="2:4" x14ac:dyDescent="0.2">
      <c r="B5945" s="20">
        <v>44713</v>
      </c>
      <c r="C5945" s="58">
        <v>14340.47</v>
      </c>
      <c r="D5945" s="3">
        <f t="shared" si="95"/>
        <v>-3.3276921954220606E-3</v>
      </c>
    </row>
    <row r="5946" spans="2:4" x14ac:dyDescent="0.2">
      <c r="B5946" s="20">
        <v>44714</v>
      </c>
      <c r="C5946" s="58">
        <v>14485.17</v>
      </c>
      <c r="D5946" s="3">
        <f t="shared" si="95"/>
        <v>1.0090324794096661E-2</v>
      </c>
    </row>
    <row r="5947" spans="2:4" x14ac:dyDescent="0.2">
      <c r="B5947" s="20">
        <v>44715</v>
      </c>
      <c r="C5947" s="58">
        <v>14460.09</v>
      </c>
      <c r="D5947" s="3">
        <f t="shared" si="95"/>
        <v>-1.7314260032846862E-3</v>
      </c>
    </row>
    <row r="5948" spans="2:4" x14ac:dyDescent="0.2">
      <c r="B5948" s="20">
        <v>44718</v>
      </c>
      <c r="C5948" s="58">
        <v>14653.81</v>
      </c>
      <c r="D5948" s="3">
        <f t="shared" si="95"/>
        <v>1.3396873740066484E-2</v>
      </c>
    </row>
    <row r="5949" spans="2:4" x14ac:dyDescent="0.2">
      <c r="B5949" s="20">
        <v>44719</v>
      </c>
      <c r="C5949" s="58">
        <v>14556.62</v>
      </c>
      <c r="D5949" s="3">
        <f t="shared" si="95"/>
        <v>-6.6324048148569403E-3</v>
      </c>
    </row>
    <row r="5950" spans="2:4" x14ac:dyDescent="0.2">
      <c r="B5950" s="20">
        <v>44720</v>
      </c>
      <c r="C5950" s="58">
        <v>14445.99</v>
      </c>
      <c r="D5950" s="3">
        <f t="shared" si="95"/>
        <v>-7.5999785664530028E-3</v>
      </c>
    </row>
    <row r="5951" spans="2:4" x14ac:dyDescent="0.2">
      <c r="B5951" s="20">
        <v>44721</v>
      </c>
      <c r="C5951" s="58">
        <v>14198.8</v>
      </c>
      <c r="D5951" s="3">
        <f t="shared" si="95"/>
        <v>-1.7111322934599826E-2</v>
      </c>
    </row>
    <row r="5952" spans="2:4" x14ac:dyDescent="0.2">
      <c r="B5952" s="20">
        <v>44722</v>
      </c>
      <c r="C5952" s="58">
        <v>13761.83</v>
      </c>
      <c r="D5952" s="3">
        <f t="shared" si="95"/>
        <v>-3.0775135926979669E-2</v>
      </c>
    </row>
    <row r="5953" spans="2:4" x14ac:dyDescent="0.2">
      <c r="B5953" s="20">
        <v>44725</v>
      </c>
      <c r="C5953" s="58">
        <v>13427.03</v>
      </c>
      <c r="D5953" s="3">
        <f t="shared" si="95"/>
        <v>-2.4328159845020569E-2</v>
      </c>
    </row>
    <row r="5954" spans="2:4" x14ac:dyDescent="0.2">
      <c r="B5954" s="20">
        <v>44726</v>
      </c>
      <c r="C5954" s="58">
        <v>13304.39</v>
      </c>
      <c r="D5954" s="3">
        <f t="shared" si="95"/>
        <v>-9.133814402738416E-3</v>
      </c>
    </row>
    <row r="5955" spans="2:4" x14ac:dyDescent="0.2">
      <c r="B5955" s="20">
        <v>44727</v>
      </c>
      <c r="C5955" s="58">
        <v>13485.29</v>
      </c>
      <c r="D5955" s="3">
        <f t="shared" si="95"/>
        <v>1.3597015721878325E-2</v>
      </c>
    </row>
    <row r="5956" spans="2:4" x14ac:dyDescent="0.2">
      <c r="B5956" s="20">
        <v>44728</v>
      </c>
      <c r="C5956" s="58">
        <v>13038.49</v>
      </c>
      <c r="D5956" s="3">
        <f t="shared" si="95"/>
        <v>-3.3132398339227542E-2</v>
      </c>
    </row>
    <row r="5957" spans="2:4" x14ac:dyDescent="0.2">
      <c r="B5957" s="20">
        <v>44729</v>
      </c>
      <c r="C5957" s="58">
        <v>13126.26</v>
      </c>
      <c r="D5957" s="3">
        <f t="shared" ref="D5957:D6020" si="96">C5957/C5956-1</f>
        <v>6.7316077245140882E-3</v>
      </c>
    </row>
    <row r="5958" spans="2:4" x14ac:dyDescent="0.2">
      <c r="B5958" s="20">
        <v>44732</v>
      </c>
      <c r="C5958" s="58">
        <v>13265.6</v>
      </c>
      <c r="D5958" s="3">
        <f t="shared" si="96"/>
        <v>1.0615361877640783E-2</v>
      </c>
    </row>
    <row r="5959" spans="2:4" x14ac:dyDescent="0.2">
      <c r="B5959" s="20">
        <v>44733</v>
      </c>
      <c r="C5959" s="58">
        <v>13292.4</v>
      </c>
      <c r="D5959" s="3">
        <f t="shared" si="96"/>
        <v>2.020262935713335E-3</v>
      </c>
    </row>
    <row r="5960" spans="2:4" x14ac:dyDescent="0.2">
      <c r="B5960" s="20">
        <v>44734</v>
      </c>
      <c r="C5960" s="58">
        <v>13144.28</v>
      </c>
      <c r="D5960" s="3">
        <f t="shared" si="96"/>
        <v>-1.1143209653636577E-2</v>
      </c>
    </row>
    <row r="5961" spans="2:4" x14ac:dyDescent="0.2">
      <c r="B5961" s="20">
        <v>44735</v>
      </c>
      <c r="C5961" s="58">
        <v>12912.59</v>
      </c>
      <c r="D5961" s="3">
        <f t="shared" si="96"/>
        <v>-1.7626678676960661E-2</v>
      </c>
    </row>
    <row r="5962" spans="2:4" x14ac:dyDescent="0.2">
      <c r="B5962" s="20">
        <v>44736</v>
      </c>
      <c r="C5962" s="58">
        <v>13118.13</v>
      </c>
      <c r="D5962" s="3">
        <f t="shared" si="96"/>
        <v>1.5917798056005683E-2</v>
      </c>
    </row>
    <row r="5963" spans="2:4" x14ac:dyDescent="0.2">
      <c r="B5963" s="20">
        <v>44739</v>
      </c>
      <c r="C5963" s="58">
        <v>13186.07</v>
      </c>
      <c r="D5963" s="3">
        <f t="shared" si="96"/>
        <v>5.1790918370224759E-3</v>
      </c>
    </row>
    <row r="5964" spans="2:4" x14ac:dyDescent="0.2">
      <c r="B5964" s="20">
        <v>44740</v>
      </c>
      <c r="C5964" s="58">
        <v>13231.82</v>
      </c>
      <c r="D5964" s="3">
        <f t="shared" si="96"/>
        <v>3.4695705392129295E-3</v>
      </c>
    </row>
    <row r="5965" spans="2:4" x14ac:dyDescent="0.2">
      <c r="B5965" s="20">
        <v>44741</v>
      </c>
      <c r="C5965" s="58">
        <v>13003.35</v>
      </c>
      <c r="D5965" s="3">
        <f t="shared" si="96"/>
        <v>-1.7266710097325944E-2</v>
      </c>
    </row>
    <row r="5966" spans="2:4" x14ac:dyDescent="0.2">
      <c r="B5966" s="20">
        <v>44742</v>
      </c>
      <c r="C5966" s="58">
        <v>12783.77</v>
      </c>
      <c r="D5966" s="3">
        <f t="shared" si="96"/>
        <v>-1.6886417730815562E-2</v>
      </c>
    </row>
    <row r="5967" spans="2:4" x14ac:dyDescent="0.2">
      <c r="B5967" s="20">
        <v>44743</v>
      </c>
      <c r="C5967" s="58">
        <v>12813.03</v>
      </c>
      <c r="D5967" s="3">
        <f t="shared" si="96"/>
        <v>2.2888396771845176E-3</v>
      </c>
    </row>
    <row r="5968" spans="2:4" x14ac:dyDescent="0.2">
      <c r="B5968" s="20">
        <v>44746</v>
      </c>
      <c r="C5968" s="58">
        <v>12773.38</v>
      </c>
      <c r="D5968" s="3">
        <f t="shared" si="96"/>
        <v>-3.0945061394535012E-3</v>
      </c>
    </row>
    <row r="5969" spans="2:4" x14ac:dyDescent="0.2">
      <c r="B5969" s="20">
        <v>44747</v>
      </c>
      <c r="C5969" s="58">
        <v>12401.2</v>
      </c>
      <c r="D5969" s="3">
        <f t="shared" si="96"/>
        <v>-2.9137158684702014E-2</v>
      </c>
    </row>
    <row r="5970" spans="2:4" x14ac:dyDescent="0.2">
      <c r="B5970" s="20">
        <v>44748</v>
      </c>
      <c r="C5970" s="58">
        <v>12594.52</v>
      </c>
      <c r="D5970" s="3">
        <f t="shared" si="96"/>
        <v>1.5588813985743188E-2</v>
      </c>
    </row>
    <row r="5971" spans="2:4" x14ac:dyDescent="0.2">
      <c r="B5971" s="20">
        <v>44749</v>
      </c>
      <c r="C5971" s="58">
        <v>12843.22</v>
      </c>
      <c r="D5971" s="3">
        <f t="shared" si="96"/>
        <v>1.974668347821118E-2</v>
      </c>
    </row>
    <row r="5972" spans="2:4" x14ac:dyDescent="0.2">
      <c r="B5972" s="20">
        <v>44750</v>
      </c>
      <c r="C5972" s="58">
        <v>13015.23</v>
      </c>
      <c r="D5972" s="3">
        <f t="shared" si="96"/>
        <v>1.3393058750064357E-2</v>
      </c>
    </row>
    <row r="5973" spans="2:4" x14ac:dyDescent="0.2">
      <c r="B5973" s="20">
        <v>44753</v>
      </c>
      <c r="C5973" s="58">
        <v>12832.44</v>
      </c>
      <c r="D5973" s="3">
        <f t="shared" si="96"/>
        <v>-1.4044315774673133E-2</v>
      </c>
    </row>
    <row r="5974" spans="2:4" x14ac:dyDescent="0.2">
      <c r="B5974" s="20">
        <v>44754</v>
      </c>
      <c r="C5974" s="58">
        <v>12905.48</v>
      </c>
      <c r="D5974" s="3">
        <f t="shared" si="96"/>
        <v>5.6918247815691547E-3</v>
      </c>
    </row>
    <row r="5975" spans="2:4" x14ac:dyDescent="0.2">
      <c r="B5975" s="20">
        <v>44755</v>
      </c>
      <c r="C5975" s="58">
        <v>12756.32</v>
      </c>
      <c r="D5975" s="3">
        <f t="shared" si="96"/>
        <v>-1.1557880838217516E-2</v>
      </c>
    </row>
    <row r="5976" spans="2:4" x14ac:dyDescent="0.2">
      <c r="B5976" s="20">
        <v>44756</v>
      </c>
      <c r="C5976" s="58">
        <v>12519.66</v>
      </c>
      <c r="D5976" s="3">
        <f t="shared" si="96"/>
        <v>-1.8552372471057454E-2</v>
      </c>
    </row>
    <row r="5977" spans="2:4" x14ac:dyDescent="0.2">
      <c r="B5977" s="20">
        <v>44757</v>
      </c>
      <c r="C5977" s="58">
        <v>12864.72</v>
      </c>
      <c r="D5977" s="3">
        <f t="shared" si="96"/>
        <v>2.7561451349317645E-2</v>
      </c>
    </row>
    <row r="5978" spans="2:4" x14ac:dyDescent="0.2">
      <c r="B5978" s="20">
        <v>44760</v>
      </c>
      <c r="C5978" s="58">
        <v>12959.81</v>
      </c>
      <c r="D5978" s="3">
        <f t="shared" si="96"/>
        <v>7.3915328122182711E-3</v>
      </c>
    </row>
    <row r="5979" spans="2:4" x14ac:dyDescent="0.2">
      <c r="B5979" s="20">
        <v>44761</v>
      </c>
      <c r="C5979" s="58">
        <v>13308.41</v>
      </c>
      <c r="D5979" s="3">
        <f t="shared" si="96"/>
        <v>2.6898542494064426E-2</v>
      </c>
    </row>
    <row r="5980" spans="2:4" x14ac:dyDescent="0.2">
      <c r="B5980" s="20">
        <v>44762</v>
      </c>
      <c r="C5980" s="58">
        <v>13281.98</v>
      </c>
      <c r="D5980" s="3">
        <f t="shared" si="96"/>
        <v>-1.9859622599543991E-3</v>
      </c>
    </row>
    <row r="5981" spans="2:4" x14ac:dyDescent="0.2">
      <c r="B5981" s="20">
        <v>44763</v>
      </c>
      <c r="C5981" s="58">
        <v>13246.64</v>
      </c>
      <c r="D5981" s="3">
        <f t="shared" si="96"/>
        <v>-2.6607478704229193E-3</v>
      </c>
    </row>
    <row r="5982" spans="2:4" x14ac:dyDescent="0.2">
      <c r="B5982" s="20">
        <v>44764</v>
      </c>
      <c r="C5982" s="58">
        <v>13253.68</v>
      </c>
      <c r="D5982" s="3">
        <f t="shared" si="96"/>
        <v>5.3145552381583805E-4</v>
      </c>
    </row>
    <row r="5983" spans="2:4" x14ac:dyDescent="0.2">
      <c r="B5983" s="20">
        <v>44767</v>
      </c>
      <c r="C5983" s="58">
        <v>13210.32</v>
      </c>
      <c r="D5983" s="3">
        <f t="shared" si="96"/>
        <v>-3.2715442050812449E-3</v>
      </c>
    </row>
    <row r="5984" spans="2:4" x14ac:dyDescent="0.2">
      <c r="B5984" s="20">
        <v>44768</v>
      </c>
      <c r="C5984" s="58">
        <v>13096.93</v>
      </c>
      <c r="D5984" s="3">
        <f t="shared" si="96"/>
        <v>-8.5834408250519134E-3</v>
      </c>
    </row>
    <row r="5985" spans="2:4" x14ac:dyDescent="0.2">
      <c r="B5985" s="20">
        <v>44769</v>
      </c>
      <c r="C5985" s="58">
        <v>13166.38</v>
      </c>
      <c r="D5985" s="3">
        <f t="shared" si="96"/>
        <v>5.3027694276444048E-3</v>
      </c>
    </row>
    <row r="5986" spans="2:4" x14ac:dyDescent="0.2">
      <c r="B5986" s="20">
        <v>44770</v>
      </c>
      <c r="C5986" s="58">
        <v>13282.11</v>
      </c>
      <c r="D5986" s="3">
        <f t="shared" si="96"/>
        <v>8.7898116262785653E-3</v>
      </c>
    </row>
    <row r="5987" spans="2:4" x14ac:dyDescent="0.2">
      <c r="B5987" s="20">
        <v>44771</v>
      </c>
      <c r="C5987" s="58">
        <v>13484.05</v>
      </c>
      <c r="D5987" s="3">
        <f t="shared" si="96"/>
        <v>1.5203909619781797E-2</v>
      </c>
    </row>
    <row r="5988" spans="2:4" x14ac:dyDescent="0.2">
      <c r="B5988" s="20">
        <v>44774</v>
      </c>
      <c r="C5988" s="58">
        <v>13479.63</v>
      </c>
      <c r="D5988" s="3">
        <f t="shared" si="96"/>
        <v>-3.2779469076427148E-4</v>
      </c>
    </row>
    <row r="5989" spans="2:4" x14ac:dyDescent="0.2">
      <c r="B5989" s="20">
        <v>44775</v>
      </c>
      <c r="C5989" s="58">
        <v>13449.2</v>
      </c>
      <c r="D5989" s="3">
        <f t="shared" si="96"/>
        <v>-2.2574803611077332E-3</v>
      </c>
    </row>
    <row r="5990" spans="2:4" x14ac:dyDescent="0.2">
      <c r="B5990" s="20">
        <v>44776</v>
      </c>
      <c r="C5990" s="58">
        <v>13587.56</v>
      </c>
      <c r="D5990" s="3">
        <f t="shared" si="96"/>
        <v>1.0287600749486758E-2</v>
      </c>
    </row>
    <row r="5991" spans="2:4" x14ac:dyDescent="0.2">
      <c r="B5991" s="20">
        <v>44777</v>
      </c>
      <c r="C5991" s="58">
        <v>13662.68</v>
      </c>
      <c r="D5991" s="3">
        <f t="shared" si="96"/>
        <v>5.5285864423046949E-3</v>
      </c>
    </row>
    <row r="5992" spans="2:4" x14ac:dyDescent="0.2">
      <c r="B5992" s="20">
        <v>44778</v>
      </c>
      <c r="C5992" s="58">
        <v>13573.93</v>
      </c>
      <c r="D5992" s="3">
        <f t="shared" si="96"/>
        <v>-6.4957973106301026E-3</v>
      </c>
    </row>
    <row r="5993" spans="2:4" x14ac:dyDescent="0.2">
      <c r="B5993" s="20">
        <v>44781</v>
      </c>
      <c r="C5993" s="58">
        <v>13687.69</v>
      </c>
      <c r="D5993" s="3">
        <f t="shared" si="96"/>
        <v>8.3807710810355207E-3</v>
      </c>
    </row>
    <row r="5994" spans="2:4" x14ac:dyDescent="0.2">
      <c r="B5994" s="20">
        <v>44782</v>
      </c>
      <c r="C5994" s="58">
        <v>13534.97</v>
      </c>
      <c r="D5994" s="3">
        <f t="shared" si="96"/>
        <v>-1.115747069081785E-2</v>
      </c>
    </row>
    <row r="5995" spans="2:4" x14ac:dyDescent="0.2">
      <c r="B5995" s="20">
        <v>44783</v>
      </c>
      <c r="C5995" s="58">
        <v>13700.93</v>
      </c>
      <c r="D5995" s="3">
        <f t="shared" si="96"/>
        <v>1.2261571322286002E-2</v>
      </c>
    </row>
    <row r="5996" spans="2:4" x14ac:dyDescent="0.2">
      <c r="B5996" s="20">
        <v>44784</v>
      </c>
      <c r="C5996" s="58">
        <v>13694.51</v>
      </c>
      <c r="D5996" s="3">
        <f t="shared" si="96"/>
        <v>-4.6858132988047974E-4</v>
      </c>
    </row>
    <row r="5997" spans="2:4" x14ac:dyDescent="0.2">
      <c r="B5997" s="20">
        <v>44785</v>
      </c>
      <c r="C5997" s="58">
        <v>13795.85</v>
      </c>
      <c r="D5997" s="3">
        <f t="shared" si="96"/>
        <v>7.4000457117486818E-3</v>
      </c>
    </row>
    <row r="5998" spans="2:4" x14ac:dyDescent="0.2">
      <c r="B5998" s="20">
        <v>44788</v>
      </c>
      <c r="C5998" s="58">
        <v>13816.61</v>
      </c>
      <c r="D5998" s="3">
        <f t="shared" si="96"/>
        <v>1.5048003566289214E-3</v>
      </c>
    </row>
    <row r="5999" spans="2:4" x14ac:dyDescent="0.2">
      <c r="B5999" s="20">
        <v>44789</v>
      </c>
      <c r="C5999" s="58">
        <v>13910.12</v>
      </c>
      <c r="D5999" s="3">
        <f t="shared" si="96"/>
        <v>6.7679409059095974E-3</v>
      </c>
    </row>
    <row r="6000" spans="2:4" x14ac:dyDescent="0.2">
      <c r="B6000" s="20">
        <v>44790</v>
      </c>
      <c r="C6000" s="58">
        <v>13626.71</v>
      </c>
      <c r="D6000" s="3">
        <f t="shared" si="96"/>
        <v>-2.0374374915529292E-2</v>
      </c>
    </row>
    <row r="6001" spans="2:4" x14ac:dyDescent="0.2">
      <c r="B6001" s="20">
        <v>44791</v>
      </c>
      <c r="C6001" s="58">
        <v>13697.41</v>
      </c>
      <c r="D6001" s="3">
        <f t="shared" si="96"/>
        <v>5.1883396652603331E-3</v>
      </c>
    </row>
    <row r="6002" spans="2:4" x14ac:dyDescent="0.2">
      <c r="B6002" s="20">
        <v>44792</v>
      </c>
      <c r="C6002" s="58">
        <v>13544.52</v>
      </c>
      <c r="D6002" s="3">
        <f t="shared" si="96"/>
        <v>-1.1161964196150898E-2</v>
      </c>
    </row>
    <row r="6003" spans="2:4" x14ac:dyDescent="0.2">
      <c r="B6003" s="20">
        <v>44795</v>
      </c>
      <c r="C6003" s="58">
        <v>13230.57</v>
      </c>
      <c r="D6003" s="3">
        <f t="shared" si="96"/>
        <v>-2.3179115981961762E-2</v>
      </c>
    </row>
    <row r="6004" spans="2:4" x14ac:dyDescent="0.2">
      <c r="B6004" s="20">
        <v>44796</v>
      </c>
      <c r="C6004" s="58">
        <v>13194.23</v>
      </c>
      <c r="D6004" s="3">
        <f t="shared" si="96"/>
        <v>-2.746669266705859E-3</v>
      </c>
    </row>
    <row r="6005" spans="2:4" x14ac:dyDescent="0.2">
      <c r="B6005" s="20">
        <v>44797</v>
      </c>
      <c r="C6005" s="58">
        <v>13220.06</v>
      </c>
      <c r="D6005" s="3">
        <f t="shared" si="96"/>
        <v>1.9576739226161433E-3</v>
      </c>
    </row>
    <row r="6006" spans="2:4" x14ac:dyDescent="0.2">
      <c r="B6006" s="20">
        <v>44798</v>
      </c>
      <c r="C6006" s="58">
        <v>13271.96</v>
      </c>
      <c r="D6006" s="3">
        <f t="shared" si="96"/>
        <v>3.9258520763143512E-3</v>
      </c>
    </row>
    <row r="6007" spans="2:4" x14ac:dyDescent="0.2">
      <c r="B6007" s="20">
        <v>44799</v>
      </c>
      <c r="C6007" s="58">
        <v>12971.47</v>
      </c>
      <c r="D6007" s="3">
        <f t="shared" si="96"/>
        <v>-2.2640966368192794E-2</v>
      </c>
    </row>
    <row r="6008" spans="2:4" x14ac:dyDescent="0.2">
      <c r="B6008" s="20">
        <v>44802</v>
      </c>
      <c r="C6008" s="58">
        <v>12892.99</v>
      </c>
      <c r="D6008" s="3">
        <f t="shared" si="96"/>
        <v>-6.0502009409881818E-3</v>
      </c>
    </row>
    <row r="6009" spans="2:4" x14ac:dyDescent="0.2">
      <c r="B6009" s="20">
        <v>44803</v>
      </c>
      <c r="C6009" s="58">
        <v>12961.14</v>
      </c>
      <c r="D6009" s="3">
        <f t="shared" si="96"/>
        <v>5.2858181073591748E-3</v>
      </c>
    </row>
    <row r="6010" spans="2:4" x14ac:dyDescent="0.2">
      <c r="B6010" s="20">
        <v>44804</v>
      </c>
      <c r="C6010" s="58">
        <v>12834.96</v>
      </c>
      <c r="D6010" s="3">
        <f t="shared" si="96"/>
        <v>-9.7352547692564073E-3</v>
      </c>
    </row>
    <row r="6011" spans="2:4" x14ac:dyDescent="0.2">
      <c r="B6011" s="20">
        <v>44805</v>
      </c>
      <c r="C6011" s="58">
        <v>12630.23</v>
      </c>
      <c r="D6011" s="3">
        <f t="shared" si="96"/>
        <v>-1.5950965176362075E-2</v>
      </c>
    </row>
    <row r="6012" spans="2:4" x14ac:dyDescent="0.2">
      <c r="B6012" s="20">
        <v>44806</v>
      </c>
      <c r="C6012" s="58">
        <v>13050.27</v>
      </c>
      <c r="D6012" s="3">
        <f t="shared" si="96"/>
        <v>3.3256718207032021E-2</v>
      </c>
    </row>
    <row r="6013" spans="2:4" x14ac:dyDescent="0.2">
      <c r="B6013" s="20">
        <v>44809</v>
      </c>
      <c r="C6013" s="58">
        <v>12760.78</v>
      </c>
      <c r="D6013" s="3">
        <f t="shared" si="96"/>
        <v>-2.2182682810393928E-2</v>
      </c>
    </row>
    <row r="6014" spans="2:4" x14ac:dyDescent="0.2">
      <c r="B6014" s="20">
        <v>44810</v>
      </c>
      <c r="C6014" s="58">
        <v>12871.44</v>
      </c>
      <c r="D6014" s="3">
        <f t="shared" si="96"/>
        <v>8.6718836936299226E-3</v>
      </c>
    </row>
    <row r="6015" spans="2:4" x14ac:dyDescent="0.2">
      <c r="B6015" s="20">
        <v>44811</v>
      </c>
      <c r="C6015" s="58">
        <v>12915.97</v>
      </c>
      <c r="D6015" s="3">
        <f t="shared" si="96"/>
        <v>3.4595973721665008E-3</v>
      </c>
    </row>
    <row r="6016" spans="2:4" x14ac:dyDescent="0.2">
      <c r="B6016" s="20">
        <v>44812</v>
      </c>
      <c r="C6016" s="58">
        <v>12904.32</v>
      </c>
      <c r="D6016" s="3">
        <f t="shared" si="96"/>
        <v>-9.0198413282160939E-4</v>
      </c>
    </row>
    <row r="6017" spans="2:4" x14ac:dyDescent="0.2">
      <c r="B6017" s="20">
        <v>44813</v>
      </c>
      <c r="C6017" s="58">
        <v>13088.21</v>
      </c>
      <c r="D6017" s="3">
        <f t="shared" si="96"/>
        <v>1.4250266577394255E-2</v>
      </c>
    </row>
    <row r="6018" spans="2:4" x14ac:dyDescent="0.2">
      <c r="B6018" s="20">
        <v>44816</v>
      </c>
      <c r="C6018" s="58">
        <v>13402.27</v>
      </c>
      <c r="D6018" s="3">
        <f t="shared" si="96"/>
        <v>2.399564187921821E-2</v>
      </c>
    </row>
    <row r="6019" spans="2:4" x14ac:dyDescent="0.2">
      <c r="B6019" s="20">
        <v>44817</v>
      </c>
      <c r="C6019" s="58">
        <v>13188.95</v>
      </c>
      <c r="D6019" s="3">
        <f t="shared" si="96"/>
        <v>-1.5916706647455925E-2</v>
      </c>
    </row>
    <row r="6020" spans="2:4" x14ac:dyDescent="0.2">
      <c r="B6020" s="20">
        <v>44818</v>
      </c>
      <c r="C6020" s="58">
        <v>13028</v>
      </c>
      <c r="D6020" s="3">
        <f t="shared" si="96"/>
        <v>-1.220339754112354E-2</v>
      </c>
    </row>
    <row r="6021" spans="2:4" x14ac:dyDescent="0.2">
      <c r="B6021" s="20">
        <v>44819</v>
      </c>
      <c r="C6021" s="58">
        <v>12956.66</v>
      </c>
      <c r="D6021" s="3">
        <f t="shared" ref="D6021:D6084" si="97">C6021/C6020-1</f>
        <v>-5.4758980657046985E-3</v>
      </c>
    </row>
    <row r="6022" spans="2:4" x14ac:dyDescent="0.2">
      <c r="B6022" s="20">
        <v>44820</v>
      </c>
      <c r="C6022" s="58">
        <v>12741.26</v>
      </c>
      <c r="D6022" s="3">
        <f t="shared" si="97"/>
        <v>-1.6624654810730499E-2</v>
      </c>
    </row>
    <row r="6023" spans="2:4" x14ac:dyDescent="0.2">
      <c r="B6023" s="20">
        <v>44823</v>
      </c>
      <c r="C6023" s="58">
        <v>12803.24</v>
      </c>
      <c r="D6023" s="3">
        <f t="shared" si="97"/>
        <v>4.8645110452183449E-3</v>
      </c>
    </row>
    <row r="6024" spans="2:4" x14ac:dyDescent="0.2">
      <c r="B6024" s="20">
        <v>44824</v>
      </c>
      <c r="C6024" s="58">
        <v>12670.83</v>
      </c>
      <c r="D6024" s="3">
        <f t="shared" si="97"/>
        <v>-1.0341913453157159E-2</v>
      </c>
    </row>
    <row r="6025" spans="2:4" x14ac:dyDescent="0.2">
      <c r="B6025" s="20">
        <v>44825</v>
      </c>
      <c r="C6025" s="58">
        <v>12767.15</v>
      </c>
      <c r="D6025" s="3">
        <f t="shared" si="97"/>
        <v>7.6017119636202501E-3</v>
      </c>
    </row>
    <row r="6026" spans="2:4" x14ac:dyDescent="0.2">
      <c r="B6026" s="20">
        <v>44826</v>
      </c>
      <c r="C6026" s="58">
        <v>12531.63</v>
      </c>
      <c r="D6026" s="3">
        <f t="shared" si="97"/>
        <v>-1.8447343377339553E-2</v>
      </c>
    </row>
    <row r="6027" spans="2:4" x14ac:dyDescent="0.2">
      <c r="B6027" s="20">
        <v>44827</v>
      </c>
      <c r="C6027" s="58">
        <v>12284.19</v>
      </c>
      <c r="D6027" s="3">
        <f t="shared" si="97"/>
        <v>-1.9745236653172737E-2</v>
      </c>
    </row>
    <row r="6028" spans="2:4" x14ac:dyDescent="0.2">
      <c r="B6028" s="20">
        <v>44830</v>
      </c>
      <c r="C6028" s="58">
        <v>12227.92</v>
      </c>
      <c r="D6028" s="3">
        <f t="shared" si="97"/>
        <v>-4.580684603543328E-3</v>
      </c>
    </row>
    <row r="6029" spans="2:4" x14ac:dyDescent="0.2">
      <c r="B6029" s="20">
        <v>44831</v>
      </c>
      <c r="C6029" s="58">
        <v>12139.68</v>
      </c>
      <c r="D6029" s="3">
        <f t="shared" si="97"/>
        <v>-7.2162722687095782E-3</v>
      </c>
    </row>
    <row r="6030" spans="2:4" x14ac:dyDescent="0.2">
      <c r="B6030" s="20">
        <v>44832</v>
      </c>
      <c r="C6030" s="58">
        <v>12183.28</v>
      </c>
      <c r="D6030" s="3">
        <f t="shared" si="97"/>
        <v>3.5915279480185358E-3</v>
      </c>
    </row>
    <row r="6031" spans="2:4" x14ac:dyDescent="0.2">
      <c r="B6031" s="20">
        <v>44833</v>
      </c>
      <c r="C6031" s="58">
        <v>11975.55</v>
      </c>
      <c r="D6031" s="3">
        <f t="shared" si="97"/>
        <v>-1.705041663657092E-2</v>
      </c>
    </row>
    <row r="6032" spans="2:4" x14ac:dyDescent="0.2">
      <c r="B6032" s="20">
        <v>44834</v>
      </c>
      <c r="C6032" s="58">
        <v>12114.36</v>
      </c>
      <c r="D6032" s="3">
        <f t="shared" si="97"/>
        <v>1.1591116900685261E-2</v>
      </c>
    </row>
    <row r="6033" spans="2:4" x14ac:dyDescent="0.2">
      <c r="B6033" s="20">
        <v>44837</v>
      </c>
      <c r="C6033" s="58">
        <v>12209.48</v>
      </c>
      <c r="D6033" s="3">
        <f t="shared" si="97"/>
        <v>7.8518386443855448E-3</v>
      </c>
    </row>
    <row r="6034" spans="2:4" x14ac:dyDescent="0.2">
      <c r="B6034" s="20">
        <v>44838</v>
      </c>
      <c r="C6034" s="58">
        <v>12670.48</v>
      </c>
      <c r="D6034" s="3">
        <f t="shared" si="97"/>
        <v>3.7757545775905177E-2</v>
      </c>
    </row>
    <row r="6035" spans="2:4" x14ac:dyDescent="0.2">
      <c r="B6035" s="20">
        <v>44839</v>
      </c>
      <c r="C6035" s="58">
        <v>12517.18</v>
      </c>
      <c r="D6035" s="3">
        <f t="shared" si="97"/>
        <v>-1.2098989146425376E-2</v>
      </c>
    </row>
    <row r="6036" spans="2:4" x14ac:dyDescent="0.2">
      <c r="B6036" s="20">
        <v>44840</v>
      </c>
      <c r="C6036" s="58">
        <v>12470.78</v>
      </c>
      <c r="D6036" s="3">
        <f t="shared" si="97"/>
        <v>-3.7069052294526061E-3</v>
      </c>
    </row>
    <row r="6037" spans="2:4" x14ac:dyDescent="0.2">
      <c r="B6037" s="20">
        <v>44841</v>
      </c>
      <c r="C6037" s="58">
        <v>12273</v>
      </c>
      <c r="D6037" s="3">
        <f t="shared" si="97"/>
        <v>-1.5859473104328781E-2</v>
      </c>
    </row>
    <row r="6038" spans="2:4" x14ac:dyDescent="0.2">
      <c r="B6038" s="20">
        <v>44844</v>
      </c>
      <c r="C6038" s="58">
        <v>12272.94</v>
      </c>
      <c r="D6038" s="3">
        <f t="shared" si="97"/>
        <v>-4.8887802492902921E-6</v>
      </c>
    </row>
    <row r="6039" spans="2:4" x14ac:dyDescent="0.2">
      <c r="B6039" s="20">
        <v>44845</v>
      </c>
      <c r="C6039" s="58">
        <v>12220.25</v>
      </c>
      <c r="D6039" s="3">
        <f t="shared" si="97"/>
        <v>-4.2931848440553866E-3</v>
      </c>
    </row>
    <row r="6040" spans="2:4" x14ac:dyDescent="0.2">
      <c r="B6040" s="20">
        <v>44846</v>
      </c>
      <c r="C6040" s="58">
        <v>12172.26</v>
      </c>
      <c r="D6040" s="3">
        <f t="shared" si="97"/>
        <v>-3.9270882346923441E-3</v>
      </c>
    </row>
    <row r="6041" spans="2:4" x14ac:dyDescent="0.2">
      <c r="B6041" s="20">
        <v>44847</v>
      </c>
      <c r="C6041" s="58">
        <v>12355.58</v>
      </c>
      <c r="D6041" s="3">
        <f t="shared" si="97"/>
        <v>1.5060473568589527E-2</v>
      </c>
    </row>
    <row r="6042" spans="2:4" x14ac:dyDescent="0.2">
      <c r="B6042" s="20">
        <v>44848</v>
      </c>
      <c r="C6042" s="58">
        <v>12437.81</v>
      </c>
      <c r="D6042" s="3">
        <f t="shared" si="97"/>
        <v>6.6552925884499903E-3</v>
      </c>
    </row>
    <row r="6043" spans="2:4" x14ac:dyDescent="0.2">
      <c r="B6043" s="20">
        <v>44851</v>
      </c>
      <c r="C6043" s="58">
        <v>12649.03</v>
      </c>
      <c r="D6043" s="3">
        <f t="shared" si="97"/>
        <v>1.6982089290638935E-2</v>
      </c>
    </row>
    <row r="6044" spans="2:4" x14ac:dyDescent="0.2">
      <c r="B6044" s="20">
        <v>44852</v>
      </c>
      <c r="C6044" s="58">
        <v>12765.61</v>
      </c>
      <c r="D6044" s="3">
        <f t="shared" si="97"/>
        <v>9.2165169977460604E-3</v>
      </c>
    </row>
    <row r="6045" spans="2:4" x14ac:dyDescent="0.2">
      <c r="B6045" s="20">
        <v>44853</v>
      </c>
      <c r="C6045" s="58">
        <v>12741.41</v>
      </c>
      <c r="D6045" s="3">
        <f t="shared" si="97"/>
        <v>-1.8957182617987955E-3</v>
      </c>
    </row>
    <row r="6046" spans="2:4" x14ac:dyDescent="0.2">
      <c r="B6046" s="20">
        <v>44854</v>
      </c>
      <c r="C6046" s="58">
        <v>12767.41</v>
      </c>
      <c r="D6046" s="3">
        <f t="shared" si="97"/>
        <v>2.0405904840987699E-3</v>
      </c>
    </row>
    <row r="6047" spans="2:4" x14ac:dyDescent="0.2">
      <c r="B6047" s="20">
        <v>44855</v>
      </c>
      <c r="C6047" s="58">
        <v>12730.9</v>
      </c>
      <c r="D6047" s="3">
        <f t="shared" si="97"/>
        <v>-2.8596246223784316E-3</v>
      </c>
    </row>
    <row r="6048" spans="2:4" x14ac:dyDescent="0.2">
      <c r="B6048" s="20">
        <v>44858</v>
      </c>
      <c r="C6048" s="58">
        <v>12931.45</v>
      </c>
      <c r="D6048" s="3">
        <f t="shared" si="97"/>
        <v>1.5753010392038247E-2</v>
      </c>
    </row>
    <row r="6049" spans="2:4" x14ac:dyDescent="0.2">
      <c r="B6049" s="20">
        <v>44859</v>
      </c>
      <c r="C6049" s="58">
        <v>13052.96</v>
      </c>
      <c r="D6049" s="3">
        <f t="shared" si="97"/>
        <v>9.3964713933858413E-3</v>
      </c>
    </row>
    <row r="6050" spans="2:4" x14ac:dyDescent="0.2">
      <c r="B6050" s="20">
        <v>44860</v>
      </c>
      <c r="C6050" s="58">
        <v>13195.81</v>
      </c>
      <c r="D6050" s="3">
        <f t="shared" si="97"/>
        <v>1.094387786371831E-2</v>
      </c>
    </row>
    <row r="6051" spans="2:4" x14ac:dyDescent="0.2">
      <c r="B6051" s="20">
        <v>44861</v>
      </c>
      <c r="C6051" s="58">
        <v>13211.23</v>
      </c>
      <c r="D6051" s="3">
        <f t="shared" si="97"/>
        <v>1.1685527451517075E-3</v>
      </c>
    </row>
    <row r="6052" spans="2:4" x14ac:dyDescent="0.2">
      <c r="B6052" s="20">
        <v>44862</v>
      </c>
      <c r="C6052" s="58">
        <v>13243.33</v>
      </c>
      <c r="D6052" s="3">
        <f t="shared" si="97"/>
        <v>2.4297510527029331E-3</v>
      </c>
    </row>
    <row r="6053" spans="2:4" x14ac:dyDescent="0.2">
      <c r="B6053" s="20">
        <v>44865</v>
      </c>
      <c r="C6053" s="58">
        <v>13253.74</v>
      </c>
      <c r="D6053" s="3">
        <f t="shared" si="97"/>
        <v>7.8605607502035824E-4</v>
      </c>
    </row>
    <row r="6054" spans="2:4" x14ac:dyDescent="0.2">
      <c r="B6054" s="20">
        <v>44866</v>
      </c>
      <c r="C6054" s="58">
        <v>13338.74</v>
      </c>
      <c r="D6054" s="3">
        <f t="shared" si="97"/>
        <v>6.4132840994315377E-3</v>
      </c>
    </row>
    <row r="6055" spans="2:4" x14ac:dyDescent="0.2">
      <c r="B6055" s="20">
        <v>44867</v>
      </c>
      <c r="C6055" s="58">
        <v>13256.74</v>
      </c>
      <c r="D6055" s="3">
        <f t="shared" si="97"/>
        <v>-6.1475071858361208E-3</v>
      </c>
    </row>
    <row r="6056" spans="2:4" x14ac:dyDescent="0.2">
      <c r="B6056" s="20">
        <v>44868</v>
      </c>
      <c r="C6056" s="58">
        <v>13130.19</v>
      </c>
      <c r="D6056" s="3">
        <f t="shared" si="97"/>
        <v>-9.5460874996415868E-3</v>
      </c>
    </row>
    <row r="6057" spans="2:4" x14ac:dyDescent="0.2">
      <c r="B6057" s="20">
        <v>44869</v>
      </c>
      <c r="C6057" s="58">
        <v>13459.85</v>
      </c>
      <c r="D6057" s="3">
        <f t="shared" si="97"/>
        <v>2.5107024346182394E-2</v>
      </c>
    </row>
    <row r="6058" spans="2:4" x14ac:dyDescent="0.2">
      <c r="B6058" s="20">
        <v>44872</v>
      </c>
      <c r="C6058" s="58">
        <v>13533.52</v>
      </c>
      <c r="D6058" s="3">
        <f t="shared" si="97"/>
        <v>5.4733150815202691E-3</v>
      </c>
    </row>
    <row r="6059" spans="2:4" x14ac:dyDescent="0.2">
      <c r="B6059" s="20">
        <v>44873</v>
      </c>
      <c r="C6059" s="58">
        <v>13688.75</v>
      </c>
      <c r="D6059" s="3">
        <f t="shared" si="97"/>
        <v>1.1470038836902674E-2</v>
      </c>
    </row>
    <row r="6060" spans="2:4" x14ac:dyDescent="0.2">
      <c r="B6060" s="20">
        <v>44874</v>
      </c>
      <c r="C6060" s="58">
        <v>13666.32</v>
      </c>
      <c r="D6060" s="3">
        <f t="shared" si="97"/>
        <v>-1.6385718199251054E-3</v>
      </c>
    </row>
    <row r="6061" spans="2:4" x14ac:dyDescent="0.2">
      <c r="B6061" s="20">
        <v>44875</v>
      </c>
      <c r="C6061" s="58">
        <v>14146.09</v>
      </c>
      <c r="D6061" s="3">
        <f t="shared" si="97"/>
        <v>3.5106012445193846E-2</v>
      </c>
    </row>
    <row r="6062" spans="2:4" x14ac:dyDescent="0.2">
      <c r="B6062" s="20">
        <v>44876</v>
      </c>
      <c r="C6062" s="58">
        <v>14224.86</v>
      </c>
      <c r="D6062" s="3">
        <f t="shared" si="97"/>
        <v>5.5683231196748117E-3</v>
      </c>
    </row>
    <row r="6063" spans="2:4" x14ac:dyDescent="0.2">
      <c r="B6063" s="20">
        <v>44879</v>
      </c>
      <c r="C6063" s="58">
        <v>14313.3</v>
      </c>
      <c r="D6063" s="3">
        <f t="shared" si="97"/>
        <v>6.2172843880361484E-3</v>
      </c>
    </row>
    <row r="6064" spans="2:4" x14ac:dyDescent="0.2">
      <c r="B6064" s="20">
        <v>44880</v>
      </c>
      <c r="C6064" s="58">
        <v>14378.51</v>
      </c>
      <c r="D6064" s="3">
        <f t="shared" si="97"/>
        <v>4.5559025521717533E-3</v>
      </c>
    </row>
    <row r="6065" spans="2:4" x14ac:dyDescent="0.2">
      <c r="B6065" s="20">
        <v>44881</v>
      </c>
      <c r="C6065" s="58">
        <v>14234.03</v>
      </c>
      <c r="D6065" s="3">
        <f t="shared" si="97"/>
        <v>-1.0048329068867323E-2</v>
      </c>
    </row>
    <row r="6066" spans="2:4" x14ac:dyDescent="0.2">
      <c r="B6066" s="20">
        <v>44882</v>
      </c>
      <c r="C6066" s="58">
        <v>14266.38</v>
      </c>
      <c r="D6066" s="3">
        <f t="shared" si="97"/>
        <v>2.2727224826699644E-3</v>
      </c>
    </row>
    <row r="6067" spans="2:4" x14ac:dyDescent="0.2">
      <c r="B6067" s="20">
        <v>44883</v>
      </c>
      <c r="C6067" s="58">
        <v>14431.86</v>
      </c>
      <c r="D6067" s="3">
        <f t="shared" si="97"/>
        <v>1.1599298490577281E-2</v>
      </c>
    </row>
    <row r="6068" spans="2:4" x14ac:dyDescent="0.2">
      <c r="B6068" s="20">
        <v>44886</v>
      </c>
      <c r="C6068" s="58">
        <v>14379.93</v>
      </c>
      <c r="D6068" s="3">
        <f t="shared" si="97"/>
        <v>-3.5982887860608326E-3</v>
      </c>
    </row>
    <row r="6069" spans="2:4" x14ac:dyDescent="0.2">
      <c r="B6069" s="20">
        <v>44887</v>
      </c>
      <c r="C6069" s="58">
        <v>14422.35</v>
      </c>
      <c r="D6069" s="3">
        <f t="shared" si="97"/>
        <v>2.9499448189247435E-3</v>
      </c>
    </row>
    <row r="6070" spans="2:4" x14ac:dyDescent="0.2">
      <c r="B6070" s="20">
        <v>44888</v>
      </c>
      <c r="C6070" s="58">
        <v>14427.59</v>
      </c>
      <c r="D6070" s="3">
        <f t="shared" si="97"/>
        <v>3.6332497824553833E-4</v>
      </c>
    </row>
    <row r="6071" spans="2:4" x14ac:dyDescent="0.2">
      <c r="B6071" s="20">
        <v>44889</v>
      </c>
      <c r="C6071" s="58">
        <v>14539.56</v>
      </c>
      <c r="D6071" s="3">
        <f t="shared" si="97"/>
        <v>7.7608249194771606E-3</v>
      </c>
    </row>
    <row r="6072" spans="2:4" x14ac:dyDescent="0.2">
      <c r="B6072" s="20">
        <v>44890</v>
      </c>
      <c r="C6072" s="58">
        <v>14541.38</v>
      </c>
      <c r="D6072" s="3">
        <f t="shared" si="97"/>
        <v>1.2517572746362227E-4</v>
      </c>
    </row>
    <row r="6073" spans="2:4" x14ac:dyDescent="0.2">
      <c r="B6073" s="20">
        <v>44893</v>
      </c>
      <c r="C6073" s="58">
        <v>14383.36</v>
      </c>
      <c r="D6073" s="3">
        <f t="shared" si="97"/>
        <v>-1.086691909571158E-2</v>
      </c>
    </row>
    <row r="6074" spans="2:4" x14ac:dyDescent="0.2">
      <c r="B6074" s="20">
        <v>44894</v>
      </c>
      <c r="C6074" s="58">
        <v>14355.45</v>
      </c>
      <c r="D6074" s="3">
        <f t="shared" si="97"/>
        <v>-1.9404367268843759E-3</v>
      </c>
    </row>
    <row r="6075" spans="2:4" x14ac:dyDescent="0.2">
      <c r="B6075" s="20">
        <v>44895</v>
      </c>
      <c r="C6075" s="58">
        <v>14397.04</v>
      </c>
      <c r="D6075" s="3">
        <f t="shared" si="97"/>
        <v>2.8971575255389848E-3</v>
      </c>
    </row>
    <row r="6076" spans="2:4" x14ac:dyDescent="0.2">
      <c r="B6076" s="20">
        <v>44896</v>
      </c>
      <c r="C6076" s="58">
        <v>14490.3</v>
      </c>
      <c r="D6076" s="3">
        <f t="shared" si="97"/>
        <v>6.4777204203085859E-3</v>
      </c>
    </row>
    <row r="6077" spans="2:4" x14ac:dyDescent="0.2">
      <c r="B6077" s="20">
        <v>44897</v>
      </c>
      <c r="C6077" s="58">
        <v>14529.39</v>
      </c>
      <c r="D6077" s="3">
        <f t="shared" si="97"/>
        <v>2.6976667149749556E-3</v>
      </c>
    </row>
    <row r="6078" spans="2:4" x14ac:dyDescent="0.2">
      <c r="B6078" s="20">
        <v>44900</v>
      </c>
      <c r="C6078" s="58">
        <v>14447.61</v>
      </c>
      <c r="D6078" s="3">
        <f t="shared" si="97"/>
        <v>-5.6285914274445403E-3</v>
      </c>
    </row>
    <row r="6079" spans="2:4" x14ac:dyDescent="0.2">
      <c r="B6079" s="20">
        <v>44901</v>
      </c>
      <c r="C6079" s="58">
        <v>14343.19</v>
      </c>
      <c r="D6079" s="3">
        <f t="shared" si="97"/>
        <v>-7.2274929901900986E-3</v>
      </c>
    </row>
    <row r="6080" spans="2:4" x14ac:dyDescent="0.2">
      <c r="B6080" s="20">
        <v>44902</v>
      </c>
      <c r="C6080" s="58">
        <v>14261.19</v>
      </c>
      <c r="D6080" s="3">
        <f t="shared" si="97"/>
        <v>-5.7169987987331083E-3</v>
      </c>
    </row>
    <row r="6081" spans="2:4" x14ac:dyDescent="0.2">
      <c r="B6081" s="20">
        <v>44903</v>
      </c>
      <c r="C6081" s="58">
        <v>14264.56</v>
      </c>
      <c r="D6081" s="3">
        <f t="shared" si="97"/>
        <v>2.3630566593668689E-4</v>
      </c>
    </row>
    <row r="6082" spans="2:4" x14ac:dyDescent="0.2">
      <c r="B6082" s="20">
        <v>44904</v>
      </c>
      <c r="C6082" s="58">
        <v>14370.72</v>
      </c>
      <c r="D6082" s="3">
        <f t="shared" si="97"/>
        <v>7.4422204400275138E-3</v>
      </c>
    </row>
    <row r="6083" spans="2:4" x14ac:dyDescent="0.2">
      <c r="B6083" s="20">
        <v>44907</v>
      </c>
      <c r="C6083" s="58">
        <v>14306.63</v>
      </c>
      <c r="D6083" s="3">
        <f t="shared" si="97"/>
        <v>-4.4597626284555991E-3</v>
      </c>
    </row>
    <row r="6084" spans="2:4" x14ac:dyDescent="0.2">
      <c r="B6084" s="20">
        <v>44908</v>
      </c>
      <c r="C6084" s="58">
        <v>14497.89</v>
      </c>
      <c r="D6084" s="3">
        <f t="shared" si="97"/>
        <v>1.3368626993219168E-2</v>
      </c>
    </row>
    <row r="6085" spans="2:4" x14ac:dyDescent="0.2">
      <c r="B6085" s="20">
        <v>44909</v>
      </c>
      <c r="C6085" s="58">
        <v>14460.2</v>
      </c>
      <c r="D6085" s="3">
        <f t="shared" ref="D6085:D6148" si="98">C6085/C6084-1</f>
        <v>-2.5996886443474532E-3</v>
      </c>
    </row>
    <row r="6086" spans="2:4" x14ac:dyDescent="0.2">
      <c r="B6086" s="20">
        <v>44910</v>
      </c>
      <c r="C6086" s="58">
        <v>13986.23</v>
      </c>
      <c r="D6086" s="3">
        <f t="shared" si="98"/>
        <v>-3.2777554943915099E-2</v>
      </c>
    </row>
    <row r="6087" spans="2:4" x14ac:dyDescent="0.2">
      <c r="B6087" s="20">
        <v>44911</v>
      </c>
      <c r="C6087" s="58">
        <v>13893.07</v>
      </c>
      <c r="D6087" s="3">
        <f t="shared" si="98"/>
        <v>-6.6608371233706221E-3</v>
      </c>
    </row>
    <row r="6088" spans="2:4" x14ac:dyDescent="0.2">
      <c r="B6088" s="20">
        <v>44914</v>
      </c>
      <c r="C6088" s="58">
        <v>13942.87</v>
      </c>
      <c r="D6088" s="3">
        <f t="shared" si="98"/>
        <v>3.5845209158236191E-3</v>
      </c>
    </row>
    <row r="6089" spans="2:4" x14ac:dyDescent="0.2">
      <c r="B6089" s="20">
        <v>44915</v>
      </c>
      <c r="C6089" s="58">
        <v>13884.66</v>
      </c>
      <c r="D6089" s="3">
        <f t="shared" si="98"/>
        <v>-4.1748936911841783E-3</v>
      </c>
    </row>
    <row r="6090" spans="2:4" x14ac:dyDescent="0.2">
      <c r="B6090" s="20">
        <v>44916</v>
      </c>
      <c r="C6090" s="58">
        <v>14097.82</v>
      </c>
      <c r="D6090" s="3">
        <f t="shared" si="98"/>
        <v>1.535219443616187E-2</v>
      </c>
    </row>
    <row r="6091" spans="2:4" x14ac:dyDescent="0.2">
      <c r="B6091" s="20">
        <v>44917</v>
      </c>
      <c r="C6091" s="58">
        <v>13914.07</v>
      </c>
      <c r="D6091" s="3">
        <f t="shared" si="98"/>
        <v>-1.3033930068620525E-2</v>
      </c>
    </row>
    <row r="6092" spans="2:4" x14ac:dyDescent="0.2">
      <c r="B6092" s="20">
        <v>44918</v>
      </c>
      <c r="C6092" s="58">
        <v>13940.93</v>
      </c>
      <c r="D6092" s="3">
        <f t="shared" si="98"/>
        <v>1.930420071194261E-3</v>
      </c>
    </row>
    <row r="6093" spans="2:4" x14ac:dyDescent="0.2">
      <c r="B6093" s="20">
        <v>44922</v>
      </c>
      <c r="C6093" s="58">
        <v>13995.1</v>
      </c>
      <c r="D6093" s="3">
        <f t="shared" si="98"/>
        <v>3.885680510554268E-3</v>
      </c>
    </row>
    <row r="6094" spans="2:4" x14ac:dyDescent="0.2">
      <c r="B6094" s="20">
        <v>44923</v>
      </c>
      <c r="C6094" s="58">
        <v>13925.6</v>
      </c>
      <c r="D6094" s="3">
        <f t="shared" si="98"/>
        <v>-4.9660238226236775E-3</v>
      </c>
    </row>
    <row r="6095" spans="2:4" x14ac:dyDescent="0.2">
      <c r="B6095" s="20">
        <v>44924</v>
      </c>
      <c r="C6095" s="58">
        <v>14071.72</v>
      </c>
      <c r="D6095" s="3">
        <f t="shared" si="98"/>
        <v>1.0492905153099308E-2</v>
      </c>
    </row>
    <row r="6096" spans="2:4" x14ac:dyDescent="0.2">
      <c r="B6096" s="20">
        <v>44925</v>
      </c>
      <c r="C6096" s="58">
        <v>13923.59</v>
      </c>
      <c r="D6096" s="3">
        <f t="shared" si="98"/>
        <v>-1.0526787059435438E-2</v>
      </c>
    </row>
    <row r="6097" spans="2:4" x14ac:dyDescent="0.2">
      <c r="B6097" s="20">
        <v>44928</v>
      </c>
      <c r="C6097" s="58">
        <v>14069.26</v>
      </c>
      <c r="D6097" s="3">
        <f t="shared" si="98"/>
        <v>1.0462100650766137E-2</v>
      </c>
    </row>
    <row r="6098" spans="2:4" x14ac:dyDescent="0.2">
      <c r="B6098" s="20">
        <v>44929</v>
      </c>
      <c r="C6098" s="58">
        <v>14181.67</v>
      </c>
      <c r="D6098" s="3">
        <f t="shared" si="98"/>
        <v>7.9897592339610579E-3</v>
      </c>
    </row>
    <row r="6099" spans="2:4" x14ac:dyDescent="0.2">
      <c r="B6099" s="20">
        <v>44930</v>
      </c>
      <c r="C6099" s="58">
        <v>14490.78</v>
      </c>
      <c r="D6099" s="3">
        <f t="shared" si="98"/>
        <v>2.1796445693631261E-2</v>
      </c>
    </row>
    <row r="6100" spans="2:4" x14ac:dyDescent="0.2">
      <c r="B6100" s="20">
        <v>44931</v>
      </c>
      <c r="C6100" s="58">
        <v>14436.31</v>
      </c>
      <c r="D6100" s="3">
        <f t="shared" si="98"/>
        <v>-3.7589418927069795E-3</v>
      </c>
    </row>
    <row r="6101" spans="2:4" x14ac:dyDescent="0.2">
      <c r="B6101" s="20">
        <v>44932</v>
      </c>
      <c r="C6101" s="58">
        <v>14610.02</v>
      </c>
      <c r="D6101" s="3">
        <f t="shared" si="98"/>
        <v>1.2032853270676602E-2</v>
      </c>
    </row>
    <row r="6102" spans="2:4" x14ac:dyDescent="0.2">
      <c r="B6102" s="20">
        <v>44935</v>
      </c>
      <c r="C6102" s="58">
        <v>14792.83</v>
      </c>
      <c r="D6102" s="3">
        <f t="shared" si="98"/>
        <v>1.251264543101227E-2</v>
      </c>
    </row>
    <row r="6103" spans="2:4" x14ac:dyDescent="0.2">
      <c r="B6103" s="20">
        <v>44936</v>
      </c>
      <c r="C6103" s="58">
        <v>14774.6</v>
      </c>
      <c r="D6103" s="3">
        <f t="shared" si="98"/>
        <v>-1.2323537822038766E-3</v>
      </c>
    </row>
    <row r="6104" spans="2:4" x14ac:dyDescent="0.2">
      <c r="B6104" s="20">
        <v>44937</v>
      </c>
      <c r="C6104" s="58">
        <v>14947.91</v>
      </c>
      <c r="D6104" s="3">
        <f t="shared" si="98"/>
        <v>1.1730266809253598E-2</v>
      </c>
    </row>
    <row r="6105" spans="2:4" x14ac:dyDescent="0.2">
      <c r="B6105" s="20">
        <v>44938</v>
      </c>
      <c r="C6105" s="58">
        <v>15058.3</v>
      </c>
      <c r="D6105" s="3">
        <f t="shared" si="98"/>
        <v>7.3849789034052815E-3</v>
      </c>
    </row>
    <row r="6106" spans="2:4" x14ac:dyDescent="0.2">
      <c r="B6106" s="20">
        <v>44939</v>
      </c>
      <c r="C6106" s="58">
        <v>15086.52</v>
      </c>
      <c r="D6106" s="3">
        <f t="shared" si="98"/>
        <v>1.874049527503141E-3</v>
      </c>
    </row>
    <row r="6107" spans="2:4" x14ac:dyDescent="0.2">
      <c r="B6107" s="20">
        <v>44942</v>
      </c>
      <c r="C6107" s="58">
        <v>15134.04</v>
      </c>
      <c r="D6107" s="3">
        <f t="shared" si="98"/>
        <v>3.1498317703486656E-3</v>
      </c>
    </row>
    <row r="6108" spans="2:4" x14ac:dyDescent="0.2">
      <c r="B6108" s="20">
        <v>44943</v>
      </c>
      <c r="C6108" s="58">
        <v>15187.07</v>
      </c>
      <c r="D6108" s="3">
        <f t="shared" si="98"/>
        <v>3.5040213981196722E-3</v>
      </c>
    </row>
    <row r="6109" spans="2:4" x14ac:dyDescent="0.2">
      <c r="B6109" s="20">
        <v>44944</v>
      </c>
      <c r="C6109" s="58">
        <v>15181.8</v>
      </c>
      <c r="D6109" s="3">
        <f t="shared" si="98"/>
        <v>-3.4700570946211151E-4</v>
      </c>
    </row>
    <row r="6110" spans="2:4" x14ac:dyDescent="0.2">
      <c r="B6110" s="20">
        <v>44945</v>
      </c>
      <c r="C6110" s="58">
        <v>14920.36</v>
      </c>
      <c r="D6110" s="3">
        <f t="shared" si="98"/>
        <v>-1.7220619425891481E-2</v>
      </c>
    </row>
    <row r="6111" spans="2:4" x14ac:dyDescent="0.2">
      <c r="B6111" s="20">
        <v>44946</v>
      </c>
      <c r="C6111" s="58">
        <v>15033.56</v>
      </c>
      <c r="D6111" s="3">
        <f t="shared" si="98"/>
        <v>7.5869483041963726E-3</v>
      </c>
    </row>
    <row r="6112" spans="2:4" x14ac:dyDescent="0.2">
      <c r="B6112" s="20">
        <v>44949</v>
      </c>
      <c r="C6112" s="58">
        <v>15102.95</v>
      </c>
      <c r="D6112" s="3">
        <f t="shared" si="98"/>
        <v>4.6156732004929424E-3</v>
      </c>
    </row>
    <row r="6113" spans="2:4" x14ac:dyDescent="0.2">
      <c r="B6113" s="20">
        <v>44950</v>
      </c>
      <c r="C6113" s="58">
        <v>15093.11</v>
      </c>
      <c r="D6113" s="3">
        <f t="shared" si="98"/>
        <v>-6.5152834380044489E-4</v>
      </c>
    </row>
    <row r="6114" spans="2:4" x14ac:dyDescent="0.2">
      <c r="B6114" s="20">
        <v>44951</v>
      </c>
      <c r="C6114" s="58">
        <v>15081.64</v>
      </c>
      <c r="D6114" s="3">
        <f t="shared" si="98"/>
        <v>-7.5994940737866834E-4</v>
      </c>
    </row>
    <row r="6115" spans="2:4" x14ac:dyDescent="0.2">
      <c r="B6115" s="20">
        <v>44952</v>
      </c>
      <c r="C6115" s="58">
        <v>15132.85</v>
      </c>
      <c r="D6115" s="3">
        <f t="shared" si="98"/>
        <v>3.3955193201800071E-3</v>
      </c>
    </row>
    <row r="6116" spans="2:4" x14ac:dyDescent="0.2">
      <c r="B6116" s="20">
        <v>44953</v>
      </c>
      <c r="C6116" s="58">
        <v>15150.03</v>
      </c>
      <c r="D6116" s="3">
        <f t="shared" si="98"/>
        <v>1.1352785496452356E-3</v>
      </c>
    </row>
    <row r="6117" spans="2:4" x14ac:dyDescent="0.2">
      <c r="B6117" s="20">
        <v>44956</v>
      </c>
      <c r="C6117" s="58">
        <v>15126.08</v>
      </c>
      <c r="D6117" s="3">
        <f t="shared" si="98"/>
        <v>-1.5808549554027218E-3</v>
      </c>
    </row>
    <row r="6118" spans="2:4" x14ac:dyDescent="0.2">
      <c r="B6118" s="20">
        <v>44957</v>
      </c>
      <c r="C6118" s="58">
        <v>15128.27</v>
      </c>
      <c r="D6118" s="3">
        <f t="shared" si="98"/>
        <v>1.4478305020215743E-4</v>
      </c>
    </row>
    <row r="6119" spans="2:4" x14ac:dyDescent="0.2">
      <c r="B6119" s="20">
        <v>44958</v>
      </c>
      <c r="C6119" s="58">
        <v>15180.74</v>
      </c>
      <c r="D6119" s="3">
        <f t="shared" si="98"/>
        <v>3.4683410594866793E-3</v>
      </c>
    </row>
    <row r="6120" spans="2:4" x14ac:dyDescent="0.2">
      <c r="B6120" s="20">
        <v>44959</v>
      </c>
      <c r="C6120" s="58">
        <v>15509.19</v>
      </c>
      <c r="D6120" s="3">
        <f t="shared" si="98"/>
        <v>2.1635967680099899E-2</v>
      </c>
    </row>
    <row r="6121" spans="2:4" x14ac:dyDescent="0.2">
      <c r="B6121" s="20">
        <v>44960</v>
      </c>
      <c r="C6121" s="58">
        <v>15476.43</v>
      </c>
      <c r="D6121" s="3">
        <f t="shared" si="98"/>
        <v>-2.1122959999845259E-3</v>
      </c>
    </row>
    <row r="6122" spans="2:4" x14ac:dyDescent="0.2">
      <c r="B6122" s="20">
        <v>44963</v>
      </c>
      <c r="C6122" s="58">
        <v>15345.91</v>
      </c>
      <c r="D6122" s="3">
        <f t="shared" si="98"/>
        <v>-8.4334694758416706E-3</v>
      </c>
    </row>
    <row r="6123" spans="2:4" x14ac:dyDescent="0.2">
      <c r="B6123" s="20">
        <v>44964</v>
      </c>
      <c r="C6123" s="58">
        <v>15320.88</v>
      </c>
      <c r="D6123" s="3">
        <f t="shared" si="98"/>
        <v>-1.6310534859125259E-3</v>
      </c>
    </row>
    <row r="6124" spans="2:4" x14ac:dyDescent="0.2">
      <c r="B6124" s="20">
        <v>44965</v>
      </c>
      <c r="C6124" s="58">
        <v>15412.05</v>
      </c>
      <c r="D6124" s="3">
        <f t="shared" si="98"/>
        <v>5.9507025706095895E-3</v>
      </c>
    </row>
    <row r="6125" spans="2:4" x14ac:dyDescent="0.2">
      <c r="B6125" s="20">
        <v>44966</v>
      </c>
      <c r="C6125" s="58">
        <v>15523.42</v>
      </c>
      <c r="D6125" s="3">
        <f t="shared" si="98"/>
        <v>7.2261639431483449E-3</v>
      </c>
    </row>
    <row r="6126" spans="2:4" x14ac:dyDescent="0.2">
      <c r="B6126" s="20">
        <v>44967</v>
      </c>
      <c r="C6126" s="58">
        <v>15307.98</v>
      </c>
      <c r="D6126" s="3">
        <f t="shared" si="98"/>
        <v>-1.3878385046594111E-2</v>
      </c>
    </row>
    <row r="6127" spans="2:4" x14ac:dyDescent="0.2">
      <c r="B6127" s="20">
        <v>44970</v>
      </c>
      <c r="C6127" s="58">
        <v>15397.34</v>
      </c>
      <c r="D6127" s="3">
        <f t="shared" si="98"/>
        <v>5.8374782303087791E-3</v>
      </c>
    </row>
    <row r="6128" spans="2:4" x14ac:dyDescent="0.2">
      <c r="B6128" s="20">
        <v>44971</v>
      </c>
      <c r="C6128" s="58">
        <v>15380.56</v>
      </c>
      <c r="D6128" s="3">
        <f t="shared" si="98"/>
        <v>-1.0897986275552052E-3</v>
      </c>
    </row>
    <row r="6129" spans="2:4" x14ac:dyDescent="0.2">
      <c r="B6129" s="20">
        <v>44972</v>
      </c>
      <c r="C6129" s="58">
        <v>15506.34</v>
      </c>
      <c r="D6129" s="3">
        <f t="shared" si="98"/>
        <v>8.1778556827580839E-3</v>
      </c>
    </row>
    <row r="6130" spans="2:4" x14ac:dyDescent="0.2">
      <c r="B6130" s="20">
        <v>44973</v>
      </c>
      <c r="C6130" s="58">
        <v>15533.64</v>
      </c>
      <c r="D6130" s="3">
        <f t="shared" si="98"/>
        <v>1.7605701925791362E-3</v>
      </c>
    </row>
    <row r="6131" spans="2:4" x14ac:dyDescent="0.2">
      <c r="B6131" s="20">
        <v>44974</v>
      </c>
      <c r="C6131" s="58">
        <v>15482</v>
      </c>
      <c r="D6131" s="3">
        <f t="shared" si="98"/>
        <v>-3.324397887423669E-3</v>
      </c>
    </row>
    <row r="6132" spans="2:4" x14ac:dyDescent="0.2">
      <c r="B6132" s="20">
        <v>44977</v>
      </c>
      <c r="C6132" s="58">
        <v>15477.55</v>
      </c>
      <c r="D6132" s="3">
        <f t="shared" si="98"/>
        <v>-2.8743056452662508E-4</v>
      </c>
    </row>
    <row r="6133" spans="2:4" x14ac:dyDescent="0.2">
      <c r="B6133" s="20">
        <v>44978</v>
      </c>
      <c r="C6133" s="58">
        <v>15397.62</v>
      </c>
      <c r="D6133" s="3">
        <f t="shared" si="98"/>
        <v>-5.1642540324533526E-3</v>
      </c>
    </row>
    <row r="6134" spans="2:4" x14ac:dyDescent="0.2">
      <c r="B6134" s="20">
        <v>44979</v>
      </c>
      <c r="C6134" s="58">
        <v>15399.89</v>
      </c>
      <c r="D6134" s="3">
        <f t="shared" si="98"/>
        <v>1.4742538132517247E-4</v>
      </c>
    </row>
    <row r="6135" spans="2:4" x14ac:dyDescent="0.2">
      <c r="B6135" s="20">
        <v>44980</v>
      </c>
      <c r="C6135" s="58">
        <v>15475.69</v>
      </c>
      <c r="D6135" s="3">
        <f t="shared" si="98"/>
        <v>4.9221130800285451E-3</v>
      </c>
    </row>
    <row r="6136" spans="2:4" x14ac:dyDescent="0.2">
      <c r="B6136" s="20">
        <v>44981</v>
      </c>
      <c r="C6136" s="58">
        <v>15209.74</v>
      </c>
      <c r="D6136" s="3">
        <f t="shared" si="98"/>
        <v>-1.7185017275481829E-2</v>
      </c>
    </row>
    <row r="6137" spans="2:4" x14ac:dyDescent="0.2">
      <c r="B6137" s="20">
        <v>44984</v>
      </c>
      <c r="C6137" s="58">
        <v>15381.43</v>
      </c>
      <c r="D6137" s="3">
        <f t="shared" si="98"/>
        <v>1.1288161401838526E-2</v>
      </c>
    </row>
    <row r="6138" spans="2:4" x14ac:dyDescent="0.2">
      <c r="B6138" s="20">
        <v>44985</v>
      </c>
      <c r="C6138" s="58">
        <v>15365.14</v>
      </c>
      <c r="D6138" s="3">
        <f t="shared" si="98"/>
        <v>-1.0590692802945334E-3</v>
      </c>
    </row>
    <row r="6139" spans="2:4" x14ac:dyDescent="0.2">
      <c r="B6139" s="20">
        <v>44986</v>
      </c>
      <c r="C6139" s="58">
        <v>15305.02</v>
      </c>
      <c r="D6139" s="3">
        <f t="shared" si="98"/>
        <v>-3.9127531542179073E-3</v>
      </c>
    </row>
    <row r="6140" spans="2:4" x14ac:dyDescent="0.2">
      <c r="B6140" s="20">
        <v>44987</v>
      </c>
      <c r="C6140" s="58">
        <v>15327.64</v>
      </c>
      <c r="D6140" s="3">
        <f t="shared" si="98"/>
        <v>1.4779464515564111E-3</v>
      </c>
    </row>
    <row r="6141" spans="2:4" x14ac:dyDescent="0.2">
      <c r="B6141" s="20">
        <v>44988</v>
      </c>
      <c r="C6141" s="58">
        <v>15578.39</v>
      </c>
      <c r="D6141" s="3">
        <f t="shared" si="98"/>
        <v>1.6359335161838295E-2</v>
      </c>
    </row>
    <row r="6142" spans="2:4" x14ac:dyDescent="0.2">
      <c r="B6142" s="20">
        <v>44991</v>
      </c>
      <c r="C6142" s="58">
        <v>15653.58</v>
      </c>
      <c r="D6142" s="3">
        <f t="shared" si="98"/>
        <v>4.8265578150246125E-3</v>
      </c>
    </row>
    <row r="6143" spans="2:4" x14ac:dyDescent="0.2">
      <c r="B6143" s="20">
        <v>44992</v>
      </c>
      <c r="C6143" s="58">
        <v>15559.53</v>
      </c>
      <c r="D6143" s="3">
        <f t="shared" si="98"/>
        <v>-6.0082102624446909E-3</v>
      </c>
    </row>
    <row r="6144" spans="2:4" x14ac:dyDescent="0.2">
      <c r="B6144" s="20">
        <v>44993</v>
      </c>
      <c r="C6144" s="58">
        <v>15631.87</v>
      </c>
      <c r="D6144" s="3">
        <f t="shared" si="98"/>
        <v>4.6492406904321548E-3</v>
      </c>
    </row>
    <row r="6145" spans="2:4" x14ac:dyDescent="0.2">
      <c r="B6145" s="20">
        <v>44994</v>
      </c>
      <c r="C6145" s="58">
        <v>15633.21</v>
      </c>
      <c r="D6145" s="3">
        <f t="shared" si="98"/>
        <v>8.5722309614899572E-5</v>
      </c>
    </row>
    <row r="6146" spans="2:4" x14ac:dyDescent="0.2">
      <c r="B6146" s="20">
        <v>44995</v>
      </c>
      <c r="C6146" s="58">
        <v>15427.97</v>
      </c>
      <c r="D6146" s="3">
        <f t="shared" si="98"/>
        <v>-1.3128461781041767E-2</v>
      </c>
    </row>
    <row r="6147" spans="2:4" x14ac:dyDescent="0.2">
      <c r="B6147" s="20">
        <v>44998</v>
      </c>
      <c r="C6147" s="58">
        <v>14959.47</v>
      </c>
      <c r="D6147" s="3">
        <f t="shared" si="98"/>
        <v>-3.0366924488445357E-2</v>
      </c>
    </row>
    <row r="6148" spans="2:4" x14ac:dyDescent="0.2">
      <c r="B6148" s="20">
        <v>44999</v>
      </c>
      <c r="C6148" s="58">
        <v>15232.83</v>
      </c>
      <c r="D6148" s="3">
        <f t="shared" si="98"/>
        <v>1.8273374658326791E-2</v>
      </c>
    </row>
    <row r="6149" spans="2:4" x14ac:dyDescent="0.2">
      <c r="B6149" s="20">
        <v>45000</v>
      </c>
      <c r="C6149" s="58">
        <v>14735.26</v>
      </c>
      <c r="D6149" s="3">
        <f t="shared" ref="D6149:D6212" si="99">C6149/C6148-1</f>
        <v>-3.2664317792557296E-2</v>
      </c>
    </row>
    <row r="6150" spans="2:4" x14ac:dyDescent="0.2">
      <c r="B6150" s="20">
        <v>45001</v>
      </c>
      <c r="C6150" s="58">
        <v>14967.1</v>
      </c>
      <c r="D6150" s="3">
        <f t="shared" si="99"/>
        <v>1.5733689123911043E-2</v>
      </c>
    </row>
    <row r="6151" spans="2:4" x14ac:dyDescent="0.2">
      <c r="B6151" s="20">
        <v>45002</v>
      </c>
      <c r="C6151" s="58">
        <v>14768.2</v>
      </c>
      <c r="D6151" s="3">
        <f t="shared" si="99"/>
        <v>-1.3289147530249679E-2</v>
      </c>
    </row>
    <row r="6152" spans="2:4" x14ac:dyDescent="0.2">
      <c r="B6152" s="20">
        <v>45005</v>
      </c>
      <c r="C6152" s="58">
        <v>14933.38</v>
      </c>
      <c r="D6152" s="3">
        <f t="shared" si="99"/>
        <v>1.1184843108841935E-2</v>
      </c>
    </row>
    <row r="6153" spans="2:4" x14ac:dyDescent="0.2">
      <c r="B6153" s="20">
        <v>45006</v>
      </c>
      <c r="C6153" s="58">
        <v>15195.34</v>
      </c>
      <c r="D6153" s="3">
        <f t="shared" si="99"/>
        <v>1.7541909467247319E-2</v>
      </c>
    </row>
    <row r="6154" spans="2:4" x14ac:dyDescent="0.2">
      <c r="B6154" s="20">
        <v>45007</v>
      </c>
      <c r="C6154" s="58">
        <v>15216.19</v>
      </c>
      <c r="D6154" s="3">
        <f t="shared" si="99"/>
        <v>1.3721311928525104E-3</v>
      </c>
    </row>
    <row r="6155" spans="2:4" x14ac:dyDescent="0.2">
      <c r="B6155" s="20">
        <v>45008</v>
      </c>
      <c r="C6155" s="58">
        <v>15210.39</v>
      </c>
      <c r="D6155" s="3">
        <f t="shared" si="99"/>
        <v>-3.8117294802453294E-4</v>
      </c>
    </row>
    <row r="6156" spans="2:4" x14ac:dyDescent="0.2">
      <c r="B6156" s="20">
        <v>45009</v>
      </c>
      <c r="C6156" s="58">
        <v>14957.23</v>
      </c>
      <c r="D6156" s="3">
        <f t="shared" si="99"/>
        <v>-1.6643886185692791E-2</v>
      </c>
    </row>
    <row r="6157" spans="2:4" x14ac:dyDescent="0.2">
      <c r="B6157" s="20">
        <v>45012</v>
      </c>
      <c r="C6157" s="58">
        <v>15127.68</v>
      </c>
      <c r="D6157" s="3">
        <f t="shared" si="99"/>
        <v>1.1395826633674888E-2</v>
      </c>
    </row>
    <row r="6158" spans="2:4" x14ac:dyDescent="0.2">
      <c r="B6158" s="20">
        <v>45013</v>
      </c>
      <c r="C6158" s="58">
        <v>15142.02</v>
      </c>
      <c r="D6158" s="3">
        <f t="shared" si="99"/>
        <v>9.479312095443948E-4</v>
      </c>
    </row>
    <row r="6159" spans="2:4" x14ac:dyDescent="0.2">
      <c r="B6159" s="20">
        <v>45014</v>
      </c>
      <c r="C6159" s="58">
        <v>15328.78</v>
      </c>
      <c r="D6159" s="3">
        <f t="shared" si="99"/>
        <v>1.233388940181035E-2</v>
      </c>
    </row>
    <row r="6160" spans="2:4" x14ac:dyDescent="0.2">
      <c r="B6160" s="20">
        <v>45015</v>
      </c>
      <c r="C6160" s="58">
        <v>15522.4</v>
      </c>
      <c r="D6160" s="3">
        <f t="shared" si="99"/>
        <v>1.2631142204402313E-2</v>
      </c>
    </row>
    <row r="6161" spans="2:4" x14ac:dyDescent="0.2">
      <c r="B6161" s="20">
        <v>45016</v>
      </c>
      <c r="C6161" s="58">
        <v>15628.84</v>
      </c>
      <c r="D6161" s="3">
        <f t="shared" si="99"/>
        <v>6.857187032933032E-3</v>
      </c>
    </row>
    <row r="6162" spans="2:4" x14ac:dyDescent="0.2">
      <c r="B6162" s="20">
        <v>45019</v>
      </c>
      <c r="C6162" s="58">
        <v>15580.92</v>
      </c>
      <c r="D6162" s="3">
        <f t="shared" si="99"/>
        <v>-3.0661264687590339E-3</v>
      </c>
    </row>
    <row r="6163" spans="2:4" x14ac:dyDescent="0.2">
      <c r="B6163" s="20">
        <v>45020</v>
      </c>
      <c r="C6163" s="58">
        <v>15603.47</v>
      </c>
      <c r="D6163" s="3">
        <f t="shared" si="99"/>
        <v>1.4472829589009528E-3</v>
      </c>
    </row>
    <row r="6164" spans="2:4" x14ac:dyDescent="0.2">
      <c r="B6164" s="20">
        <v>45021</v>
      </c>
      <c r="C6164" s="58">
        <v>15520.17</v>
      </c>
      <c r="D6164" s="3">
        <f t="shared" si="99"/>
        <v>-5.3385561032257556E-3</v>
      </c>
    </row>
    <row r="6165" spans="2:4" x14ac:dyDescent="0.2">
      <c r="B6165" s="20">
        <v>45022</v>
      </c>
      <c r="C6165" s="58">
        <v>15597.89</v>
      </c>
      <c r="D6165" s="3">
        <f t="shared" si="99"/>
        <v>5.0076771066296377E-3</v>
      </c>
    </row>
    <row r="6166" spans="2:4" x14ac:dyDescent="0.2">
      <c r="B6166" s="20">
        <v>45027</v>
      </c>
      <c r="C6166" s="58">
        <v>15655.17</v>
      </c>
      <c r="D6166" s="3">
        <f t="shared" si="99"/>
        <v>3.6722915727704919E-3</v>
      </c>
    </row>
    <row r="6167" spans="2:4" x14ac:dyDescent="0.2">
      <c r="B6167" s="20">
        <v>45028</v>
      </c>
      <c r="C6167" s="58">
        <v>15703.6</v>
      </c>
      <c r="D6167" s="3">
        <f t="shared" si="99"/>
        <v>3.0935467324852972E-3</v>
      </c>
    </row>
    <row r="6168" spans="2:4" x14ac:dyDescent="0.2">
      <c r="B6168" s="20">
        <v>45029</v>
      </c>
      <c r="C6168" s="58">
        <v>15729.46</v>
      </c>
      <c r="D6168" s="3">
        <f t="shared" si="99"/>
        <v>1.6467561578235035E-3</v>
      </c>
    </row>
    <row r="6169" spans="2:4" x14ac:dyDescent="0.2">
      <c r="B6169" s="20">
        <v>45030</v>
      </c>
      <c r="C6169" s="58">
        <v>15807.5</v>
      </c>
      <c r="D6169" s="3">
        <f t="shared" si="99"/>
        <v>4.9613909186965177E-3</v>
      </c>
    </row>
    <row r="6170" spans="2:4" x14ac:dyDescent="0.2">
      <c r="B6170" s="20">
        <v>45033</v>
      </c>
      <c r="C6170" s="58">
        <v>15789.53</v>
      </c>
      <c r="D6170" s="3">
        <f t="shared" si="99"/>
        <v>-1.1368021508777471E-3</v>
      </c>
    </row>
    <row r="6171" spans="2:4" x14ac:dyDescent="0.2">
      <c r="B6171" s="20">
        <v>45034</v>
      </c>
      <c r="C6171" s="58">
        <v>15882.67</v>
      </c>
      <c r="D6171" s="3">
        <f t="shared" si="99"/>
        <v>5.8988456274504664E-3</v>
      </c>
    </row>
    <row r="6172" spans="2:4" x14ac:dyDescent="0.2">
      <c r="B6172" s="20">
        <v>45035</v>
      </c>
      <c r="C6172" s="58">
        <v>15895.2</v>
      </c>
      <c r="D6172" s="3">
        <f t="shared" si="99"/>
        <v>7.8891017694138199E-4</v>
      </c>
    </row>
    <row r="6173" spans="2:4" x14ac:dyDescent="0.2">
      <c r="B6173" s="20">
        <v>45036</v>
      </c>
      <c r="C6173" s="58">
        <v>15795.97</v>
      </c>
      <c r="D6173" s="3">
        <f t="shared" si="99"/>
        <v>-6.2427651114802529E-3</v>
      </c>
    </row>
    <row r="6174" spans="2:4" x14ac:dyDescent="0.2">
      <c r="B6174" s="20">
        <v>45037</v>
      </c>
      <c r="C6174" s="58">
        <v>15881.66</v>
      </c>
      <c r="D6174" s="3">
        <f t="shared" si="99"/>
        <v>5.4248013892150837E-3</v>
      </c>
    </row>
    <row r="6175" spans="2:4" x14ac:dyDescent="0.2">
      <c r="B6175" s="20">
        <v>45040</v>
      </c>
      <c r="C6175" s="58">
        <v>15863.95</v>
      </c>
      <c r="D6175" s="3">
        <f t="shared" si="99"/>
        <v>-1.1151227264655228E-3</v>
      </c>
    </row>
    <row r="6176" spans="2:4" x14ac:dyDescent="0.2">
      <c r="B6176" s="20">
        <v>45041</v>
      </c>
      <c r="C6176" s="58">
        <v>15872.13</v>
      </c>
      <c r="D6176" s="3">
        <f t="shared" si="99"/>
        <v>5.1563450464731098E-4</v>
      </c>
    </row>
    <row r="6177" spans="2:4" x14ac:dyDescent="0.2">
      <c r="B6177" s="20">
        <v>45042</v>
      </c>
      <c r="C6177" s="58">
        <v>15795.73</v>
      </c>
      <c r="D6177" s="3">
        <f t="shared" si="99"/>
        <v>-4.8134686396847925E-3</v>
      </c>
    </row>
    <row r="6178" spans="2:4" x14ac:dyDescent="0.2">
      <c r="B6178" s="20">
        <v>45043</v>
      </c>
      <c r="C6178" s="58">
        <v>15800.45</v>
      </c>
      <c r="D6178" s="3">
        <f t="shared" si="99"/>
        <v>2.9881493289640737E-4</v>
      </c>
    </row>
    <row r="6179" spans="2:4" x14ac:dyDescent="0.2">
      <c r="B6179" s="20">
        <v>45044</v>
      </c>
      <c r="C6179" s="58">
        <v>15922.38</v>
      </c>
      <c r="D6179" s="3">
        <f t="shared" si="99"/>
        <v>7.7168688233562044E-3</v>
      </c>
    </row>
    <row r="6180" spans="2:4" x14ac:dyDescent="0.2">
      <c r="B6180" s="20">
        <v>45048</v>
      </c>
      <c r="C6180" s="58">
        <v>15726.94</v>
      </c>
      <c r="D6180" s="3">
        <f t="shared" si="99"/>
        <v>-1.2274546895627347E-2</v>
      </c>
    </row>
    <row r="6181" spans="2:4" x14ac:dyDescent="0.2">
      <c r="B6181" s="20">
        <v>45049</v>
      </c>
      <c r="C6181" s="58">
        <v>15815.06</v>
      </c>
      <c r="D6181" s="3">
        <f t="shared" si="99"/>
        <v>5.6031243204335279E-3</v>
      </c>
    </row>
    <row r="6182" spans="2:4" x14ac:dyDescent="0.2">
      <c r="B6182" s="20">
        <v>45050</v>
      </c>
      <c r="C6182" s="58">
        <v>15734.24</v>
      </c>
      <c r="D6182" s="3">
        <f t="shared" si="99"/>
        <v>-5.110318898568833E-3</v>
      </c>
    </row>
    <row r="6183" spans="2:4" x14ac:dyDescent="0.2">
      <c r="B6183" s="20">
        <v>45051</v>
      </c>
      <c r="C6183" s="58">
        <v>15961.02</v>
      </c>
      <c r="D6183" s="3">
        <f t="shared" si="99"/>
        <v>1.4413152462400491E-2</v>
      </c>
    </row>
    <row r="6184" spans="2:4" x14ac:dyDescent="0.2">
      <c r="B6184" s="20">
        <v>45054</v>
      </c>
      <c r="C6184" s="58">
        <v>15952.83</v>
      </c>
      <c r="D6184" s="3">
        <f t="shared" si="99"/>
        <v>-5.1312510102741182E-4</v>
      </c>
    </row>
    <row r="6185" spans="2:4" x14ac:dyDescent="0.2">
      <c r="B6185" s="20">
        <v>45055</v>
      </c>
      <c r="C6185" s="58">
        <v>15955.48</v>
      </c>
      <c r="D6185" s="3">
        <f t="shared" si="99"/>
        <v>1.6611472697936058E-4</v>
      </c>
    </row>
    <row r="6186" spans="2:4" x14ac:dyDescent="0.2">
      <c r="B6186" s="20">
        <v>45056</v>
      </c>
      <c r="C6186" s="58">
        <v>15896.23</v>
      </c>
      <c r="D6186" s="3">
        <f t="shared" si="99"/>
        <v>-3.7134576960392573E-3</v>
      </c>
    </row>
    <row r="6187" spans="2:4" x14ac:dyDescent="0.2">
      <c r="B6187" s="20">
        <v>45057</v>
      </c>
      <c r="C6187" s="58">
        <v>15834.91</v>
      </c>
      <c r="D6187" s="3">
        <f t="shared" si="99"/>
        <v>-3.8575184178889499E-3</v>
      </c>
    </row>
    <row r="6188" spans="2:4" x14ac:dyDescent="0.2">
      <c r="B6188" s="20">
        <v>45058</v>
      </c>
      <c r="C6188" s="58">
        <v>15913.82</v>
      </c>
      <c r="D6188" s="3">
        <f t="shared" si="99"/>
        <v>4.9832932425886156E-3</v>
      </c>
    </row>
    <row r="6189" spans="2:4" x14ac:dyDescent="0.2">
      <c r="B6189" s="20">
        <v>45061</v>
      </c>
      <c r="C6189" s="58">
        <v>15917.24</v>
      </c>
      <c r="D6189" s="3">
        <f t="shared" si="99"/>
        <v>2.1490754576847237E-4</v>
      </c>
    </row>
    <row r="6190" spans="2:4" x14ac:dyDescent="0.2">
      <c r="B6190" s="20">
        <v>45062</v>
      </c>
      <c r="C6190" s="58">
        <v>15897.93</v>
      </c>
      <c r="D6190" s="3">
        <f t="shared" si="99"/>
        <v>-1.2131500184705546E-3</v>
      </c>
    </row>
    <row r="6191" spans="2:4" x14ac:dyDescent="0.2">
      <c r="B6191" s="20">
        <v>45063</v>
      </c>
      <c r="C6191" s="58">
        <v>15951.3</v>
      </c>
      <c r="D6191" s="3">
        <f t="shared" si="99"/>
        <v>3.3570408222955983E-3</v>
      </c>
    </row>
    <row r="6192" spans="2:4" x14ac:dyDescent="0.2">
      <c r="B6192" s="20">
        <v>45064</v>
      </c>
      <c r="C6192" s="58">
        <v>16163.36</v>
      </c>
      <c r="D6192" s="3">
        <f t="shared" si="99"/>
        <v>1.3294214264668147E-2</v>
      </c>
    </row>
    <row r="6193" spans="2:4" x14ac:dyDescent="0.2">
      <c r="B6193" s="20">
        <v>45065</v>
      </c>
      <c r="C6193" s="58">
        <v>16275.38</v>
      </c>
      <c r="D6193" s="3">
        <f t="shared" si="99"/>
        <v>6.9304897001611909E-3</v>
      </c>
    </row>
    <row r="6194" spans="2:4" x14ac:dyDescent="0.2">
      <c r="B6194" s="20">
        <v>45068</v>
      </c>
      <c r="C6194" s="58">
        <v>16223.99</v>
      </c>
      <c r="D6194" s="3">
        <f t="shared" si="99"/>
        <v>-3.1575299624340136E-3</v>
      </c>
    </row>
    <row r="6195" spans="2:4" x14ac:dyDescent="0.2">
      <c r="B6195" s="20">
        <v>45069</v>
      </c>
      <c r="C6195" s="58">
        <v>16152.86</v>
      </c>
      <c r="D6195" s="3">
        <f t="shared" si="99"/>
        <v>-4.384248264452828E-3</v>
      </c>
    </row>
    <row r="6196" spans="2:4" x14ac:dyDescent="0.2">
      <c r="B6196" s="20">
        <v>45070</v>
      </c>
      <c r="C6196" s="58">
        <v>15842.13</v>
      </c>
      <c r="D6196" s="3">
        <f t="shared" si="99"/>
        <v>-1.9236841030009666E-2</v>
      </c>
    </row>
    <row r="6197" spans="2:4" x14ac:dyDescent="0.2">
      <c r="B6197" s="20">
        <v>45071</v>
      </c>
      <c r="C6197" s="58">
        <v>15793.8</v>
      </c>
      <c r="D6197" s="3">
        <f t="shared" si="99"/>
        <v>-3.0507261334176139E-3</v>
      </c>
    </row>
    <row r="6198" spans="2:4" x14ac:dyDescent="0.2">
      <c r="B6198" s="20">
        <v>45072</v>
      </c>
      <c r="C6198" s="58">
        <v>15983.97</v>
      </c>
      <c r="D6198" s="3">
        <f t="shared" si="99"/>
        <v>1.2040800820575237E-2</v>
      </c>
    </row>
    <row r="6199" spans="2:4" x14ac:dyDescent="0.2">
      <c r="B6199" s="20">
        <v>45075</v>
      </c>
      <c r="C6199" s="58">
        <v>15952.73</v>
      </c>
      <c r="D6199" s="3">
        <f t="shared" si="99"/>
        <v>-1.9544581227316504E-3</v>
      </c>
    </row>
    <row r="6200" spans="2:4" x14ac:dyDescent="0.2">
      <c r="B6200" s="20">
        <v>45076</v>
      </c>
      <c r="C6200" s="58">
        <v>15908.91</v>
      </c>
      <c r="D6200" s="3">
        <f t="shared" si="99"/>
        <v>-2.7468652700822771E-3</v>
      </c>
    </row>
    <row r="6201" spans="2:4" x14ac:dyDescent="0.2">
      <c r="B6201" s="20">
        <v>45077</v>
      </c>
      <c r="C6201" s="58">
        <v>15664.02</v>
      </c>
      <c r="D6201" s="3">
        <f t="shared" si="99"/>
        <v>-1.5393260757650906E-2</v>
      </c>
    </row>
    <row r="6202" spans="2:4" x14ac:dyDescent="0.2">
      <c r="B6202" s="20">
        <v>45078</v>
      </c>
      <c r="C6202" s="58">
        <v>15853.66</v>
      </c>
      <c r="D6202" s="3">
        <f t="shared" si="99"/>
        <v>1.2106726115007405E-2</v>
      </c>
    </row>
    <row r="6203" spans="2:4" x14ac:dyDescent="0.2">
      <c r="B6203" s="20">
        <v>45079</v>
      </c>
      <c r="C6203" s="58">
        <v>16051.23</v>
      </c>
      <c r="D6203" s="3">
        <f t="shared" si="99"/>
        <v>1.246210654195945E-2</v>
      </c>
    </row>
    <row r="6204" spans="2:4" x14ac:dyDescent="0.2">
      <c r="B6204" s="20">
        <v>45082</v>
      </c>
      <c r="C6204" s="58">
        <v>15963.89</v>
      </c>
      <c r="D6204" s="3">
        <f t="shared" si="99"/>
        <v>-5.4413275493528923E-3</v>
      </c>
    </row>
    <row r="6205" spans="2:4" x14ac:dyDescent="0.2">
      <c r="B6205" s="20">
        <v>45083</v>
      </c>
      <c r="C6205" s="58">
        <v>15992.44</v>
      </c>
      <c r="D6205" s="3">
        <f t="shared" si="99"/>
        <v>1.7884112205734937E-3</v>
      </c>
    </row>
    <row r="6206" spans="2:4" x14ac:dyDescent="0.2">
      <c r="B6206" s="20">
        <v>45084</v>
      </c>
      <c r="C6206" s="58">
        <v>15960.56</v>
      </c>
      <c r="D6206" s="3">
        <f t="shared" si="99"/>
        <v>-1.993441901298465E-3</v>
      </c>
    </row>
    <row r="6207" spans="2:4" x14ac:dyDescent="0.2">
      <c r="B6207" s="20">
        <v>45085</v>
      </c>
      <c r="C6207" s="58">
        <v>15989.96</v>
      </c>
      <c r="D6207" s="3">
        <f t="shared" si="99"/>
        <v>1.8420406301533632E-3</v>
      </c>
    </row>
    <row r="6208" spans="2:4" x14ac:dyDescent="0.2">
      <c r="B6208" s="20">
        <v>45086</v>
      </c>
      <c r="C6208" s="58">
        <v>15949.84</v>
      </c>
      <c r="D6208" s="3">
        <f t="shared" si="99"/>
        <v>-2.5090744442136659E-3</v>
      </c>
    </row>
    <row r="6209" spans="2:4" x14ac:dyDescent="0.2">
      <c r="B6209" s="20">
        <v>45089</v>
      </c>
      <c r="C6209" s="58">
        <v>16097.87</v>
      </c>
      <c r="D6209" s="3">
        <f t="shared" si="99"/>
        <v>9.2809708435948046E-3</v>
      </c>
    </row>
    <row r="6210" spans="2:4" x14ac:dyDescent="0.2">
      <c r="B6210" s="20">
        <v>45090</v>
      </c>
      <c r="C6210" s="58">
        <v>16230.68</v>
      </c>
      <c r="D6210" s="3">
        <f t="shared" si="99"/>
        <v>8.2501598037503232E-3</v>
      </c>
    </row>
    <row r="6211" spans="2:4" x14ac:dyDescent="0.2">
      <c r="B6211" s="20">
        <v>45091</v>
      </c>
      <c r="C6211" s="58">
        <v>16310.79</v>
      </c>
      <c r="D6211" s="3">
        <f t="shared" si="99"/>
        <v>4.9357143385244662E-3</v>
      </c>
    </row>
    <row r="6212" spans="2:4" x14ac:dyDescent="0.2">
      <c r="B6212" s="20">
        <v>45092</v>
      </c>
      <c r="C6212" s="58">
        <v>16290.12</v>
      </c>
      <c r="D6212" s="3">
        <f t="shared" si="99"/>
        <v>-1.2672592805130778E-3</v>
      </c>
    </row>
    <row r="6213" spans="2:4" x14ac:dyDescent="0.2">
      <c r="B6213" s="20">
        <v>45093</v>
      </c>
      <c r="C6213" s="58">
        <v>16357.63</v>
      </c>
      <c r="D6213" s="3">
        <f t="shared" ref="D6213:D6276" si="100">C6213/C6212-1</f>
        <v>4.144229753985762E-3</v>
      </c>
    </row>
    <row r="6214" spans="2:4" x14ac:dyDescent="0.2">
      <c r="B6214" s="20">
        <v>45096</v>
      </c>
      <c r="C6214" s="58">
        <v>16201.2</v>
      </c>
      <c r="D6214" s="3">
        <f t="shared" si="100"/>
        <v>-9.5631213079155897E-3</v>
      </c>
    </row>
    <row r="6215" spans="2:4" x14ac:dyDescent="0.2">
      <c r="B6215" s="20">
        <v>45097</v>
      </c>
      <c r="C6215" s="58">
        <v>16111.32</v>
      </c>
      <c r="D6215" s="3">
        <f t="shared" si="100"/>
        <v>-5.547737204651515E-3</v>
      </c>
    </row>
    <row r="6216" spans="2:4" x14ac:dyDescent="0.2">
      <c r="B6216" s="20">
        <v>45098</v>
      </c>
      <c r="C6216" s="58">
        <v>16023.13</v>
      </c>
      <c r="D6216" s="3">
        <f t="shared" si="100"/>
        <v>-5.4737910984327121E-3</v>
      </c>
    </row>
    <row r="6217" spans="2:4" x14ac:dyDescent="0.2">
      <c r="B6217" s="20">
        <v>45099</v>
      </c>
      <c r="C6217" s="58">
        <v>15988.16</v>
      </c>
      <c r="D6217" s="3">
        <f t="shared" si="100"/>
        <v>-2.182469966854117E-3</v>
      </c>
    </row>
    <row r="6218" spans="2:4" x14ac:dyDescent="0.2">
      <c r="B6218" s="20">
        <v>45100</v>
      </c>
      <c r="C6218" s="58">
        <v>15829.94</v>
      </c>
      <c r="D6218" s="3">
        <f t="shared" si="100"/>
        <v>-9.8960730940895747E-3</v>
      </c>
    </row>
    <row r="6219" spans="2:4" x14ac:dyDescent="0.2">
      <c r="B6219" s="20">
        <v>45103</v>
      </c>
      <c r="C6219" s="58">
        <v>15813.06</v>
      </c>
      <c r="D6219" s="3">
        <f t="shared" si="100"/>
        <v>-1.0663337953271679E-3</v>
      </c>
    </row>
    <row r="6220" spans="2:4" x14ac:dyDescent="0.2">
      <c r="B6220" s="20">
        <v>45104</v>
      </c>
      <c r="C6220" s="58">
        <v>15846.86</v>
      </c>
      <c r="D6220" s="3">
        <f t="shared" si="100"/>
        <v>2.1374737084409734E-3</v>
      </c>
    </row>
    <row r="6221" spans="2:4" x14ac:dyDescent="0.2">
      <c r="B6221" s="20">
        <v>45105</v>
      </c>
      <c r="C6221" s="58">
        <v>15949</v>
      </c>
      <c r="D6221" s="3">
        <f t="shared" si="100"/>
        <v>6.4454409264673718E-3</v>
      </c>
    </row>
    <row r="6222" spans="2:4" x14ac:dyDescent="0.2">
      <c r="B6222" s="20">
        <v>45106</v>
      </c>
      <c r="C6222" s="58">
        <v>15946.72</v>
      </c>
      <c r="D6222" s="3">
        <f t="shared" si="100"/>
        <v>-1.4295567120203856E-4</v>
      </c>
    </row>
    <row r="6223" spans="2:4" x14ac:dyDescent="0.2">
      <c r="B6223" s="20">
        <v>45107</v>
      </c>
      <c r="C6223" s="58">
        <v>16147.9</v>
      </c>
      <c r="D6223" s="3">
        <f t="shared" si="100"/>
        <v>1.2615760482406424E-2</v>
      </c>
    </row>
    <row r="6224" spans="2:4" x14ac:dyDescent="0.2">
      <c r="B6224" s="20">
        <v>45110</v>
      </c>
      <c r="C6224" s="58">
        <v>16081.04</v>
      </c>
      <c r="D6224" s="3">
        <f t="shared" si="100"/>
        <v>-4.1404764706245434E-3</v>
      </c>
    </row>
    <row r="6225" spans="2:4" x14ac:dyDescent="0.2">
      <c r="B6225" s="20">
        <v>45111</v>
      </c>
      <c r="C6225" s="58">
        <v>16039.17</v>
      </c>
      <c r="D6225" s="3">
        <f t="shared" si="100"/>
        <v>-2.603687323705528E-3</v>
      </c>
    </row>
    <row r="6226" spans="2:4" x14ac:dyDescent="0.2">
      <c r="B6226" s="20">
        <v>45112</v>
      </c>
      <c r="C6226" s="58">
        <v>15937.58</v>
      </c>
      <c r="D6226" s="3">
        <f t="shared" si="100"/>
        <v>-6.3338688972059964E-3</v>
      </c>
    </row>
    <row r="6227" spans="2:4" x14ac:dyDescent="0.2">
      <c r="B6227" s="20">
        <v>45113</v>
      </c>
      <c r="C6227" s="58">
        <v>15528.54</v>
      </c>
      <c r="D6227" s="3">
        <f t="shared" si="100"/>
        <v>-2.566512607309257E-2</v>
      </c>
    </row>
    <row r="6228" spans="2:4" x14ac:dyDescent="0.2">
      <c r="B6228" s="20">
        <v>45114</v>
      </c>
      <c r="C6228" s="58">
        <v>15603.4</v>
      </c>
      <c r="D6228" s="3">
        <f t="shared" si="100"/>
        <v>4.820800925263935E-3</v>
      </c>
    </row>
    <row r="6229" spans="2:4" x14ac:dyDescent="0.2">
      <c r="B6229" s="20">
        <v>45117</v>
      </c>
      <c r="C6229" s="58">
        <v>15673.16</v>
      </c>
      <c r="D6229" s="3">
        <f t="shared" si="100"/>
        <v>4.4708204622070369E-3</v>
      </c>
    </row>
    <row r="6230" spans="2:4" x14ac:dyDescent="0.2">
      <c r="B6230" s="20">
        <v>45118</v>
      </c>
      <c r="C6230" s="58">
        <v>15790.34</v>
      </c>
      <c r="D6230" s="3">
        <f t="shared" si="100"/>
        <v>7.4764757075151955E-3</v>
      </c>
    </row>
    <row r="6231" spans="2:4" x14ac:dyDescent="0.2">
      <c r="B6231" s="20">
        <v>45119</v>
      </c>
      <c r="C6231" s="58">
        <v>16023</v>
      </c>
      <c r="D6231" s="3">
        <f t="shared" si="100"/>
        <v>1.4734324910040009E-2</v>
      </c>
    </row>
    <row r="6232" spans="2:4" x14ac:dyDescent="0.2">
      <c r="B6232" s="20">
        <v>45120</v>
      </c>
      <c r="C6232" s="58">
        <v>16141.03</v>
      </c>
      <c r="D6232" s="3">
        <f t="shared" si="100"/>
        <v>7.3662859639269662E-3</v>
      </c>
    </row>
    <row r="6233" spans="2:4" x14ac:dyDescent="0.2">
      <c r="B6233" s="20">
        <v>45121</v>
      </c>
      <c r="C6233" s="58">
        <v>16105.07</v>
      </c>
      <c r="D6233" s="3">
        <f t="shared" si="100"/>
        <v>-2.2278627819910524E-3</v>
      </c>
    </row>
    <row r="6234" spans="2:4" x14ac:dyDescent="0.2">
      <c r="B6234" s="20">
        <v>45124</v>
      </c>
      <c r="C6234" s="58">
        <v>16068.65</v>
      </c>
      <c r="D6234" s="3">
        <f t="shared" si="100"/>
        <v>-2.2613996710352247E-3</v>
      </c>
    </row>
    <row r="6235" spans="2:4" x14ac:dyDescent="0.2">
      <c r="B6235" s="20">
        <v>45125</v>
      </c>
      <c r="C6235" s="58">
        <v>16125.49</v>
      </c>
      <c r="D6235" s="3">
        <f t="shared" si="100"/>
        <v>3.5373226748980358E-3</v>
      </c>
    </row>
    <row r="6236" spans="2:4" x14ac:dyDescent="0.2">
      <c r="B6236" s="20">
        <v>45126</v>
      </c>
      <c r="C6236" s="58">
        <v>16108.93</v>
      </c>
      <c r="D6236" s="3">
        <f t="shared" si="100"/>
        <v>-1.0269455377789338E-3</v>
      </c>
    </row>
    <row r="6237" spans="2:4" x14ac:dyDescent="0.2">
      <c r="B6237" s="20">
        <v>45127</v>
      </c>
      <c r="C6237" s="58">
        <v>16204.22</v>
      </c>
      <c r="D6237" s="3">
        <f t="shared" si="100"/>
        <v>5.9153525404851415E-3</v>
      </c>
    </row>
    <row r="6238" spans="2:4" x14ac:dyDescent="0.2">
      <c r="B6238" s="20">
        <v>45128</v>
      </c>
      <c r="C6238" s="58">
        <v>16177.22</v>
      </c>
      <c r="D6238" s="3">
        <f t="shared" si="100"/>
        <v>-1.6662326233536362E-3</v>
      </c>
    </row>
    <row r="6239" spans="2:4" x14ac:dyDescent="0.2">
      <c r="B6239" s="20">
        <v>45131</v>
      </c>
      <c r="C6239" s="58">
        <v>16190.95</v>
      </c>
      <c r="D6239" s="3">
        <f t="shared" si="100"/>
        <v>8.4872431728078013E-4</v>
      </c>
    </row>
    <row r="6240" spans="2:4" x14ac:dyDescent="0.2">
      <c r="B6240" s="20">
        <v>45132</v>
      </c>
      <c r="C6240" s="58">
        <v>16211.59</v>
      </c>
      <c r="D6240" s="3">
        <f t="shared" si="100"/>
        <v>1.2747862231679008E-3</v>
      </c>
    </row>
    <row r="6241" spans="2:4" x14ac:dyDescent="0.2">
      <c r="B6241" s="20">
        <v>45133</v>
      </c>
      <c r="C6241" s="58">
        <v>16131.46</v>
      </c>
      <c r="D6241" s="3">
        <f t="shared" si="100"/>
        <v>-4.9427600870736166E-3</v>
      </c>
    </row>
    <row r="6242" spans="2:4" x14ac:dyDescent="0.2">
      <c r="B6242" s="20">
        <v>45134</v>
      </c>
      <c r="C6242" s="58">
        <v>16406.03</v>
      </c>
      <c r="D6242" s="3">
        <f t="shared" si="100"/>
        <v>1.7020778032490469E-2</v>
      </c>
    </row>
    <row r="6243" spans="2:4" x14ac:dyDescent="0.2">
      <c r="B6243" s="20">
        <v>45135</v>
      </c>
      <c r="C6243" s="58">
        <v>16469.75</v>
      </c>
      <c r="D6243" s="3">
        <f t="shared" si="100"/>
        <v>3.8839377960422361E-3</v>
      </c>
    </row>
    <row r="6244" spans="2:4" x14ac:dyDescent="0.2">
      <c r="B6244" s="20">
        <v>45138</v>
      </c>
      <c r="C6244" s="58">
        <v>16446.830000000002</v>
      </c>
      <c r="D6244" s="3">
        <f t="shared" si="100"/>
        <v>-1.3916422532217476E-3</v>
      </c>
    </row>
    <row r="6245" spans="2:4" x14ac:dyDescent="0.2">
      <c r="B6245" s="20">
        <v>45139</v>
      </c>
      <c r="C6245" s="58">
        <v>16240.4</v>
      </c>
      <c r="D6245" s="3">
        <f t="shared" si="100"/>
        <v>-1.2551354881153554E-2</v>
      </c>
    </row>
    <row r="6246" spans="2:4" x14ac:dyDescent="0.2">
      <c r="B6246" s="20">
        <v>45140</v>
      </c>
      <c r="C6246" s="58">
        <v>16020.02</v>
      </c>
      <c r="D6246" s="3">
        <f t="shared" si="100"/>
        <v>-1.3569862811260713E-2</v>
      </c>
    </row>
    <row r="6247" spans="2:4" x14ac:dyDescent="0.2">
      <c r="B6247" s="20">
        <v>45141</v>
      </c>
      <c r="C6247" s="58">
        <v>15893.38</v>
      </c>
      <c r="D6247" s="3">
        <f t="shared" si="100"/>
        <v>-7.9051087326983405E-3</v>
      </c>
    </row>
    <row r="6248" spans="2:4" x14ac:dyDescent="0.2">
      <c r="B6248" s="20">
        <v>45142</v>
      </c>
      <c r="C6248" s="58">
        <v>15951.86</v>
      </c>
      <c r="D6248" s="3">
        <f t="shared" si="100"/>
        <v>3.6795193973844231E-3</v>
      </c>
    </row>
    <row r="6249" spans="2:4" x14ac:dyDescent="0.2">
      <c r="B6249" s="20">
        <v>45145</v>
      </c>
      <c r="C6249" s="58">
        <v>15950.76</v>
      </c>
      <c r="D6249" s="3">
        <f t="shared" si="100"/>
        <v>-6.8957475805375701E-5</v>
      </c>
    </row>
    <row r="6250" spans="2:4" x14ac:dyDescent="0.2">
      <c r="B6250" s="20">
        <v>45146</v>
      </c>
      <c r="C6250" s="58">
        <v>15774.93</v>
      </c>
      <c r="D6250" s="3">
        <f t="shared" si="100"/>
        <v>-1.1023299203298143E-2</v>
      </c>
    </row>
    <row r="6251" spans="2:4" x14ac:dyDescent="0.2">
      <c r="B6251" s="20">
        <v>45147</v>
      </c>
      <c r="C6251" s="58">
        <v>15852.58</v>
      </c>
      <c r="D6251" s="3">
        <f t="shared" si="100"/>
        <v>4.9223673258771417E-3</v>
      </c>
    </row>
    <row r="6252" spans="2:4" x14ac:dyDescent="0.2">
      <c r="B6252" s="20">
        <v>45148</v>
      </c>
      <c r="C6252" s="58">
        <v>15996.52</v>
      </c>
      <c r="D6252" s="3">
        <f t="shared" si="100"/>
        <v>9.0799100209555395E-3</v>
      </c>
    </row>
    <row r="6253" spans="2:4" x14ac:dyDescent="0.2">
      <c r="B6253" s="20">
        <v>45149</v>
      </c>
      <c r="C6253" s="58">
        <v>15832.17</v>
      </c>
      <c r="D6253" s="3">
        <f t="shared" si="100"/>
        <v>-1.027410961884212E-2</v>
      </c>
    </row>
    <row r="6254" spans="2:4" x14ac:dyDescent="0.2">
      <c r="B6254" s="20">
        <v>45152</v>
      </c>
      <c r="C6254" s="58">
        <v>15904.25</v>
      </c>
      <c r="D6254" s="3">
        <f t="shared" si="100"/>
        <v>4.5527555603559478E-3</v>
      </c>
    </row>
    <row r="6255" spans="2:4" x14ac:dyDescent="0.2">
      <c r="B6255" s="20">
        <v>45153</v>
      </c>
      <c r="C6255" s="58">
        <v>15767.28</v>
      </c>
      <c r="D6255" s="3">
        <f t="shared" si="100"/>
        <v>-8.6121634154392446E-3</v>
      </c>
    </row>
    <row r="6256" spans="2:4" x14ac:dyDescent="0.2">
      <c r="B6256" s="20">
        <v>45154</v>
      </c>
      <c r="C6256" s="58">
        <v>15789.45</v>
      </c>
      <c r="D6256" s="3">
        <f t="shared" si="100"/>
        <v>1.4060763809611299E-3</v>
      </c>
    </row>
    <row r="6257" spans="2:4" x14ac:dyDescent="0.2">
      <c r="B6257" s="20">
        <v>45155</v>
      </c>
      <c r="C6257" s="58">
        <v>15676.9</v>
      </c>
      <c r="D6257" s="3">
        <f t="shared" si="100"/>
        <v>-7.1281773589327857E-3</v>
      </c>
    </row>
    <row r="6258" spans="2:4" x14ac:dyDescent="0.2">
      <c r="B6258" s="20">
        <v>45156</v>
      </c>
      <c r="C6258" s="58">
        <v>15574.26</v>
      </c>
      <c r="D6258" s="3">
        <f t="shared" si="100"/>
        <v>-6.547212778036382E-3</v>
      </c>
    </row>
    <row r="6259" spans="2:4" x14ac:dyDescent="0.2">
      <c r="B6259" s="20">
        <v>45159</v>
      </c>
      <c r="C6259" s="58">
        <v>15603.28</v>
      </c>
      <c r="D6259" s="3">
        <f t="shared" si="100"/>
        <v>1.8633309062516812E-3</v>
      </c>
    </row>
    <row r="6260" spans="2:4" x14ac:dyDescent="0.2">
      <c r="B6260" s="20">
        <v>45160</v>
      </c>
      <c r="C6260" s="58">
        <v>15705.62</v>
      </c>
      <c r="D6260" s="3">
        <f t="shared" si="100"/>
        <v>6.5588773642464293E-3</v>
      </c>
    </row>
    <row r="6261" spans="2:4" x14ac:dyDescent="0.2">
      <c r="B6261" s="20">
        <v>45161</v>
      </c>
      <c r="C6261" s="58">
        <v>15728.41</v>
      </c>
      <c r="D6261" s="3">
        <f t="shared" si="100"/>
        <v>1.4510729280345913E-3</v>
      </c>
    </row>
    <row r="6262" spans="2:4" x14ac:dyDescent="0.2">
      <c r="B6262" s="20">
        <v>45162</v>
      </c>
      <c r="C6262" s="58">
        <v>15621.49</v>
      </c>
      <c r="D6262" s="3">
        <f t="shared" si="100"/>
        <v>-6.79788993293029E-3</v>
      </c>
    </row>
    <row r="6263" spans="2:4" x14ac:dyDescent="0.2">
      <c r="B6263" s="20">
        <v>45163</v>
      </c>
      <c r="C6263" s="58">
        <v>15631.82</v>
      </c>
      <c r="D6263" s="3">
        <f t="shared" si="100"/>
        <v>6.6126854736636709E-4</v>
      </c>
    </row>
    <row r="6264" spans="2:4" x14ac:dyDescent="0.2">
      <c r="B6264" s="20">
        <v>45166</v>
      </c>
      <c r="C6264" s="58">
        <v>15792.61</v>
      </c>
      <c r="D6264" s="3">
        <f t="shared" si="100"/>
        <v>1.0286070336019693E-2</v>
      </c>
    </row>
    <row r="6265" spans="2:4" x14ac:dyDescent="0.2">
      <c r="B6265" s="20">
        <v>45167</v>
      </c>
      <c r="C6265" s="58">
        <v>15930.88</v>
      </c>
      <c r="D6265" s="3">
        <f t="shared" si="100"/>
        <v>8.7553608934811677E-3</v>
      </c>
    </row>
    <row r="6266" spans="2:4" x14ac:dyDescent="0.2">
      <c r="B6266" s="20">
        <v>45168</v>
      </c>
      <c r="C6266" s="58">
        <v>15891.93</v>
      </c>
      <c r="D6266" s="3">
        <f t="shared" si="100"/>
        <v>-2.4449371283945531E-3</v>
      </c>
    </row>
    <row r="6267" spans="2:4" x14ac:dyDescent="0.2">
      <c r="B6267" s="20">
        <v>45169</v>
      </c>
      <c r="C6267" s="58">
        <v>15947.08</v>
      </c>
      <c r="D6267" s="3">
        <f t="shared" si="100"/>
        <v>3.4703148075783119E-3</v>
      </c>
    </row>
    <row r="6268" spans="2:4" x14ac:dyDescent="0.2">
      <c r="B6268" s="20">
        <v>45170</v>
      </c>
      <c r="C6268" s="58">
        <v>15840.34</v>
      </c>
      <c r="D6268" s="3">
        <f t="shared" si="100"/>
        <v>-6.6933883820736728E-3</v>
      </c>
    </row>
    <row r="6269" spans="2:4" x14ac:dyDescent="0.2">
      <c r="B6269" s="20">
        <v>45173</v>
      </c>
      <c r="C6269" s="58">
        <v>15824.85</v>
      </c>
      <c r="D6269" s="3">
        <f t="shared" si="100"/>
        <v>-9.7788305049006929E-4</v>
      </c>
    </row>
    <row r="6270" spans="2:4" x14ac:dyDescent="0.2">
      <c r="B6270" s="20">
        <v>45174</v>
      </c>
      <c r="C6270" s="58">
        <v>15771.71</v>
      </c>
      <c r="D6270" s="3">
        <f t="shared" si="100"/>
        <v>-3.3580097125723851E-3</v>
      </c>
    </row>
    <row r="6271" spans="2:4" x14ac:dyDescent="0.2">
      <c r="B6271" s="20">
        <v>45175</v>
      </c>
      <c r="C6271" s="58">
        <v>15741.37</v>
      </c>
      <c r="D6271" s="3">
        <f t="shared" si="100"/>
        <v>-1.923697557208337E-3</v>
      </c>
    </row>
    <row r="6272" spans="2:4" x14ac:dyDescent="0.2">
      <c r="B6272" s="20">
        <v>45176</v>
      </c>
      <c r="C6272" s="58">
        <v>15718.66</v>
      </c>
      <c r="D6272" s="3">
        <f t="shared" si="100"/>
        <v>-1.4426952673115556E-3</v>
      </c>
    </row>
    <row r="6273" spans="2:4" x14ac:dyDescent="0.2">
      <c r="B6273" s="20">
        <v>45177</v>
      </c>
      <c r="C6273" s="58">
        <v>15744.75</v>
      </c>
      <c r="D6273" s="3">
        <f t="shared" si="100"/>
        <v>1.6598106963316983E-3</v>
      </c>
    </row>
    <row r="6274" spans="2:4" x14ac:dyDescent="0.2">
      <c r="B6274" s="20">
        <v>45180</v>
      </c>
      <c r="C6274" s="58">
        <v>15800.99</v>
      </c>
      <c r="D6274" s="3">
        <f t="shared" si="100"/>
        <v>3.5719843122310468E-3</v>
      </c>
    </row>
    <row r="6275" spans="2:4" x14ac:dyDescent="0.2">
      <c r="B6275" s="20">
        <v>45181</v>
      </c>
      <c r="C6275" s="58">
        <v>15715.53</v>
      </c>
      <c r="D6275" s="3">
        <f t="shared" si="100"/>
        <v>-5.40852187109786E-3</v>
      </c>
    </row>
    <row r="6276" spans="2:4" x14ac:dyDescent="0.2">
      <c r="B6276" s="20">
        <v>45182</v>
      </c>
      <c r="C6276" s="58">
        <v>15654.03</v>
      </c>
      <c r="D6276" s="3">
        <f t="shared" si="100"/>
        <v>-3.9133264993289618E-3</v>
      </c>
    </row>
    <row r="6277" spans="2:4" x14ac:dyDescent="0.2">
      <c r="B6277" s="20">
        <v>45183</v>
      </c>
      <c r="C6277" s="58">
        <v>15805.29</v>
      </c>
      <c r="D6277" s="3">
        <f t="shared" ref="D6277:D6340" si="101">C6277/C6276-1</f>
        <v>9.6626874996406098E-3</v>
      </c>
    </row>
    <row r="6278" spans="2:4" x14ac:dyDescent="0.2">
      <c r="B6278" s="20">
        <v>45184</v>
      </c>
      <c r="C6278" s="58">
        <v>15893.53</v>
      </c>
      <c r="D6278" s="3">
        <f t="shared" si="101"/>
        <v>5.5829409014322984E-3</v>
      </c>
    </row>
    <row r="6279" spans="2:4" x14ac:dyDescent="0.2">
      <c r="B6279" s="20">
        <v>45187</v>
      </c>
      <c r="C6279" s="58">
        <v>15727.12</v>
      </c>
      <c r="D6279" s="3">
        <f t="shared" si="101"/>
        <v>-1.0470298291191393E-2</v>
      </c>
    </row>
    <row r="6280" spans="2:4" x14ac:dyDescent="0.2">
      <c r="B6280" s="20">
        <v>45188</v>
      </c>
      <c r="C6280" s="58">
        <v>15664.48</v>
      </c>
      <c r="D6280" s="3">
        <f t="shared" si="101"/>
        <v>-3.9829288515634831E-3</v>
      </c>
    </row>
    <row r="6281" spans="2:4" x14ac:dyDescent="0.2">
      <c r="B6281" s="20">
        <v>45189</v>
      </c>
      <c r="C6281" s="58">
        <v>15781.59</v>
      </c>
      <c r="D6281" s="3">
        <f t="shared" si="101"/>
        <v>7.4761498626192413E-3</v>
      </c>
    </row>
    <row r="6282" spans="2:4" x14ac:dyDescent="0.2">
      <c r="B6282" s="20">
        <v>45190</v>
      </c>
      <c r="C6282" s="58">
        <v>15571.86</v>
      </c>
      <c r="D6282" s="3">
        <f t="shared" si="101"/>
        <v>-1.3289535465057623E-2</v>
      </c>
    </row>
    <row r="6283" spans="2:4" x14ac:dyDescent="0.2">
      <c r="B6283" s="20">
        <v>45191</v>
      </c>
      <c r="C6283" s="58">
        <v>15557.29</v>
      </c>
      <c r="D6283" s="3">
        <f t="shared" si="101"/>
        <v>-9.3566214954410309E-4</v>
      </c>
    </row>
    <row r="6284" spans="2:4" x14ac:dyDescent="0.2">
      <c r="B6284" s="20">
        <v>45194</v>
      </c>
      <c r="C6284" s="58">
        <v>15405.49</v>
      </c>
      <c r="D6284" s="3">
        <f t="shared" si="101"/>
        <v>-9.7574834691647183E-3</v>
      </c>
    </row>
    <row r="6285" spans="2:4" x14ac:dyDescent="0.2">
      <c r="B6285" s="20">
        <v>45195</v>
      </c>
      <c r="C6285" s="58">
        <v>15255.87</v>
      </c>
      <c r="D6285" s="3">
        <f t="shared" si="101"/>
        <v>-9.7121221071189145E-3</v>
      </c>
    </row>
    <row r="6286" spans="2:4" x14ac:dyDescent="0.2">
      <c r="B6286" s="20">
        <v>45196</v>
      </c>
      <c r="C6286" s="58">
        <v>15217.45</v>
      </c>
      <c r="D6286" s="3">
        <f t="shared" si="101"/>
        <v>-2.5183748943848894E-3</v>
      </c>
    </row>
    <row r="6287" spans="2:4" x14ac:dyDescent="0.2">
      <c r="B6287" s="20">
        <v>45197</v>
      </c>
      <c r="C6287" s="58">
        <v>15323.5</v>
      </c>
      <c r="D6287" s="3">
        <f t="shared" si="101"/>
        <v>6.9689731196751481E-3</v>
      </c>
    </row>
    <row r="6288" spans="2:4" x14ac:dyDescent="0.2">
      <c r="B6288" s="20">
        <v>45198</v>
      </c>
      <c r="C6288" s="58">
        <v>15386.58</v>
      </c>
      <c r="D6288" s="3">
        <f t="shared" si="101"/>
        <v>4.1165530068196787E-3</v>
      </c>
    </row>
    <row r="6289" spans="2:4" x14ac:dyDescent="0.2">
      <c r="B6289" s="20">
        <v>45201</v>
      </c>
      <c r="C6289" s="58">
        <v>15247.21</v>
      </c>
      <c r="D6289" s="3">
        <f t="shared" si="101"/>
        <v>-9.057893307024778E-3</v>
      </c>
    </row>
    <row r="6290" spans="2:4" x14ac:dyDescent="0.2">
      <c r="B6290" s="20">
        <v>45202</v>
      </c>
      <c r="C6290" s="58">
        <v>15085.21</v>
      </c>
      <c r="D6290" s="3">
        <f t="shared" si="101"/>
        <v>-1.0624894652857764E-2</v>
      </c>
    </row>
    <row r="6291" spans="2:4" x14ac:dyDescent="0.2">
      <c r="B6291" s="20">
        <v>45203</v>
      </c>
      <c r="C6291" s="58">
        <v>15099.92</v>
      </c>
      <c r="D6291" s="3">
        <f t="shared" si="101"/>
        <v>9.7512729355453409E-4</v>
      </c>
    </row>
    <row r="6292" spans="2:4" x14ac:dyDescent="0.2">
      <c r="B6292" s="20">
        <v>45204</v>
      </c>
      <c r="C6292" s="58">
        <v>15070.22</v>
      </c>
      <c r="D6292" s="3">
        <f t="shared" si="101"/>
        <v>-1.966897837869408E-3</v>
      </c>
    </row>
    <row r="6293" spans="2:4" x14ac:dyDescent="0.2">
      <c r="B6293" s="20">
        <v>45205</v>
      </c>
      <c r="C6293" s="58">
        <v>15229.77</v>
      </c>
      <c r="D6293" s="3">
        <f t="shared" si="101"/>
        <v>1.0587104899596689E-2</v>
      </c>
    </row>
    <row r="6294" spans="2:4" x14ac:dyDescent="0.2">
      <c r="B6294" s="20">
        <v>45208</v>
      </c>
      <c r="C6294" s="58">
        <v>15128.11</v>
      </c>
      <c r="D6294" s="3">
        <f t="shared" si="101"/>
        <v>-6.6750843906375756E-3</v>
      </c>
    </row>
    <row r="6295" spans="2:4" x14ac:dyDescent="0.2">
      <c r="B6295" s="20">
        <v>45209</v>
      </c>
      <c r="C6295" s="58">
        <v>15423.52</v>
      </c>
      <c r="D6295" s="3">
        <f t="shared" si="101"/>
        <v>1.9527224484750638E-2</v>
      </c>
    </row>
    <row r="6296" spans="2:4" x14ac:dyDescent="0.2">
      <c r="B6296" s="20">
        <v>45210</v>
      </c>
      <c r="C6296" s="58">
        <v>15460.01</v>
      </c>
      <c r="D6296" s="3">
        <f t="shared" si="101"/>
        <v>2.3658671950372856E-3</v>
      </c>
    </row>
    <row r="6297" spans="2:4" x14ac:dyDescent="0.2">
      <c r="B6297" s="20">
        <v>45211</v>
      </c>
      <c r="C6297" s="58">
        <v>15425.03</v>
      </c>
      <c r="D6297" s="3">
        <f t="shared" si="101"/>
        <v>-2.2626117318164107E-3</v>
      </c>
    </row>
    <row r="6298" spans="2:4" x14ac:dyDescent="0.2">
      <c r="B6298" s="20">
        <v>45212</v>
      </c>
      <c r="C6298" s="58">
        <v>15186.66</v>
      </c>
      <c r="D6298" s="3">
        <f t="shared" si="101"/>
        <v>-1.5453454547576295E-2</v>
      </c>
    </row>
    <row r="6299" spans="2:4" x14ac:dyDescent="0.2">
      <c r="B6299" s="20">
        <v>45215</v>
      </c>
      <c r="C6299" s="58">
        <v>15237.99</v>
      </c>
      <c r="D6299" s="3">
        <f t="shared" si="101"/>
        <v>3.3799400263125889E-3</v>
      </c>
    </row>
    <row r="6300" spans="2:4" x14ac:dyDescent="0.2">
      <c r="B6300" s="20">
        <v>45216</v>
      </c>
      <c r="C6300" s="58">
        <v>15251.69</v>
      </c>
      <c r="D6300" s="3">
        <f t="shared" si="101"/>
        <v>8.9906870919342907E-4</v>
      </c>
    </row>
    <row r="6301" spans="2:4" x14ac:dyDescent="0.2">
      <c r="B6301" s="20">
        <v>45217</v>
      </c>
      <c r="C6301" s="58">
        <v>15094.91</v>
      </c>
      <c r="D6301" s="3">
        <f t="shared" si="101"/>
        <v>-1.0279516565049551E-2</v>
      </c>
    </row>
    <row r="6302" spans="2:4" x14ac:dyDescent="0.2">
      <c r="B6302" s="20">
        <v>45218</v>
      </c>
      <c r="C6302" s="58">
        <v>15045.23</v>
      </c>
      <c r="D6302" s="3">
        <f t="shared" si="101"/>
        <v>-3.2911756347007159E-3</v>
      </c>
    </row>
    <row r="6303" spans="2:4" x14ac:dyDescent="0.2">
      <c r="B6303" s="20">
        <v>45219</v>
      </c>
      <c r="C6303" s="58">
        <v>14798.47</v>
      </c>
      <c r="D6303" s="3">
        <f t="shared" si="101"/>
        <v>-1.6401211546782646E-2</v>
      </c>
    </row>
    <row r="6304" spans="2:4" x14ac:dyDescent="0.2">
      <c r="B6304" s="20">
        <v>45222</v>
      </c>
      <c r="C6304" s="58">
        <v>14800.72</v>
      </c>
      <c r="D6304" s="3">
        <f t="shared" si="101"/>
        <v>1.5204274495950187E-4</v>
      </c>
    </row>
    <row r="6305" spans="2:4" x14ac:dyDescent="0.2">
      <c r="B6305" s="20">
        <v>45223</v>
      </c>
      <c r="C6305" s="58">
        <v>14879.94</v>
      </c>
      <c r="D6305" s="3">
        <f t="shared" si="101"/>
        <v>5.3524423136173116E-3</v>
      </c>
    </row>
    <row r="6306" spans="2:4" x14ac:dyDescent="0.2">
      <c r="B6306" s="20">
        <v>45224</v>
      </c>
      <c r="C6306" s="58">
        <v>14892.18</v>
      </c>
      <c r="D6306" s="3">
        <f t="shared" si="101"/>
        <v>8.22583962032164E-4</v>
      </c>
    </row>
    <row r="6307" spans="2:4" x14ac:dyDescent="0.2">
      <c r="B6307" s="20">
        <v>45225</v>
      </c>
      <c r="C6307" s="58">
        <v>14731.05</v>
      </c>
      <c r="D6307" s="3">
        <f t="shared" si="101"/>
        <v>-1.0819772524909066E-2</v>
      </c>
    </row>
    <row r="6308" spans="2:4" x14ac:dyDescent="0.2">
      <c r="B6308" s="20">
        <v>45226</v>
      </c>
      <c r="C6308" s="58">
        <v>14687.41</v>
      </c>
      <c r="D6308" s="3">
        <f t="shared" si="101"/>
        <v>-2.9624500629622519E-3</v>
      </c>
    </row>
    <row r="6309" spans="2:4" x14ac:dyDescent="0.2">
      <c r="B6309" s="20">
        <v>45229</v>
      </c>
      <c r="C6309" s="58">
        <v>14716.54</v>
      </c>
      <c r="D6309" s="3">
        <f t="shared" si="101"/>
        <v>1.9833313021153653E-3</v>
      </c>
    </row>
    <row r="6310" spans="2:4" x14ac:dyDescent="0.2">
      <c r="B6310" s="20">
        <v>45230</v>
      </c>
      <c r="C6310" s="58">
        <v>14810.34</v>
      </c>
      <c r="D6310" s="3">
        <f t="shared" si="101"/>
        <v>6.3737807935833057E-3</v>
      </c>
    </row>
    <row r="6311" spans="2:4" x14ac:dyDescent="0.2">
      <c r="B6311" s="20">
        <v>45231</v>
      </c>
      <c r="C6311" s="58">
        <v>14923.27</v>
      </c>
      <c r="D6311" s="3">
        <f t="shared" si="101"/>
        <v>7.6250781548568014E-3</v>
      </c>
    </row>
    <row r="6312" spans="2:4" x14ac:dyDescent="0.2">
      <c r="B6312" s="20">
        <v>45232</v>
      </c>
      <c r="C6312" s="58">
        <v>15143.6</v>
      </c>
      <c r="D6312" s="3">
        <f t="shared" si="101"/>
        <v>1.4764190422072332E-2</v>
      </c>
    </row>
    <row r="6313" spans="2:4" x14ac:dyDescent="0.2">
      <c r="B6313" s="20">
        <v>45233</v>
      </c>
      <c r="C6313" s="58">
        <v>15189.25</v>
      </c>
      <c r="D6313" s="3">
        <f t="shared" si="101"/>
        <v>3.0144747616154266E-3</v>
      </c>
    </row>
    <row r="6314" spans="2:4" x14ac:dyDescent="0.2">
      <c r="B6314" s="20">
        <v>45236</v>
      </c>
      <c r="C6314" s="58">
        <v>15135.97</v>
      </c>
      <c r="D6314" s="3">
        <f t="shared" si="101"/>
        <v>-3.507743963658605E-3</v>
      </c>
    </row>
    <row r="6315" spans="2:4" x14ac:dyDescent="0.2">
      <c r="B6315" s="20">
        <v>45237</v>
      </c>
      <c r="C6315" s="58">
        <v>15152.64</v>
      </c>
      <c r="D6315" s="3">
        <f t="shared" si="101"/>
        <v>1.1013499630350143E-3</v>
      </c>
    </row>
    <row r="6316" spans="2:4" x14ac:dyDescent="0.2">
      <c r="B6316" s="20">
        <v>45238</v>
      </c>
      <c r="C6316" s="58">
        <v>15229.6</v>
      </c>
      <c r="D6316" s="3">
        <f t="shared" si="101"/>
        <v>5.0789829363069305E-3</v>
      </c>
    </row>
    <row r="6317" spans="2:4" x14ac:dyDescent="0.2">
      <c r="B6317" s="20">
        <v>45239</v>
      </c>
      <c r="C6317" s="58">
        <v>15352.54</v>
      </c>
      <c r="D6317" s="3">
        <f t="shared" si="101"/>
        <v>8.0724378841203759E-3</v>
      </c>
    </row>
    <row r="6318" spans="2:4" x14ac:dyDescent="0.2">
      <c r="B6318" s="20">
        <v>45240</v>
      </c>
      <c r="C6318" s="58">
        <v>15234.39</v>
      </c>
      <c r="D6318" s="3">
        <f t="shared" si="101"/>
        <v>-7.6957949629182787E-3</v>
      </c>
    </row>
    <row r="6319" spans="2:4" x14ac:dyDescent="0.2">
      <c r="B6319" s="20">
        <v>45243</v>
      </c>
      <c r="C6319" s="58">
        <v>15345</v>
      </c>
      <c r="D6319" s="3">
        <f t="shared" si="101"/>
        <v>7.2605466973079125E-3</v>
      </c>
    </row>
    <row r="6320" spans="2:4" x14ac:dyDescent="0.2">
      <c r="B6320" s="20">
        <v>45244</v>
      </c>
      <c r="C6320" s="58">
        <v>15614.43</v>
      </c>
      <c r="D6320" s="3">
        <f t="shared" si="101"/>
        <v>1.7558162267839794E-2</v>
      </c>
    </row>
    <row r="6321" spans="2:4" x14ac:dyDescent="0.2">
      <c r="B6321" s="20">
        <v>45245</v>
      </c>
      <c r="C6321" s="58">
        <v>15748.17</v>
      </c>
      <c r="D6321" s="3">
        <f t="shared" si="101"/>
        <v>8.5651541554829791E-3</v>
      </c>
    </row>
    <row r="6322" spans="2:4" x14ac:dyDescent="0.2">
      <c r="B6322" s="20">
        <v>45246</v>
      </c>
      <c r="C6322" s="58">
        <v>15786.61</v>
      </c>
      <c r="D6322" s="3">
        <f t="shared" si="101"/>
        <v>2.4409185321214721E-3</v>
      </c>
    </row>
    <row r="6323" spans="2:4" x14ac:dyDescent="0.2">
      <c r="B6323" s="20">
        <v>45247</v>
      </c>
      <c r="C6323" s="58">
        <v>15919.16</v>
      </c>
      <c r="D6323" s="3">
        <f t="shared" si="101"/>
        <v>8.3963561524607044E-3</v>
      </c>
    </row>
    <row r="6324" spans="2:4" x14ac:dyDescent="0.2">
      <c r="B6324" s="20">
        <v>45250</v>
      </c>
      <c r="C6324" s="58">
        <v>15901.33</v>
      </c>
      <c r="D6324" s="3">
        <f t="shared" si="101"/>
        <v>-1.1200339716417318E-3</v>
      </c>
    </row>
    <row r="6325" spans="2:4" x14ac:dyDescent="0.2">
      <c r="B6325" s="20">
        <v>45251</v>
      </c>
      <c r="C6325" s="58">
        <v>15900.53</v>
      </c>
      <c r="D6325" s="3">
        <f t="shared" si="101"/>
        <v>-5.0310257066477071E-5</v>
      </c>
    </row>
    <row r="6326" spans="2:4" x14ac:dyDescent="0.2">
      <c r="B6326" s="20">
        <v>45252</v>
      </c>
      <c r="C6326" s="58">
        <v>15957.82</v>
      </c>
      <c r="D6326" s="3">
        <f t="shared" si="101"/>
        <v>3.6030245532694405E-3</v>
      </c>
    </row>
    <row r="6327" spans="2:4" x14ac:dyDescent="0.2">
      <c r="B6327" s="20">
        <v>45253</v>
      </c>
      <c r="C6327" s="58">
        <v>15994.73</v>
      </c>
      <c r="D6327" s="3">
        <f t="shared" si="101"/>
        <v>2.3129725739481355E-3</v>
      </c>
    </row>
    <row r="6328" spans="2:4" x14ac:dyDescent="0.2">
      <c r="B6328" s="20">
        <v>45254</v>
      </c>
      <c r="C6328" s="58">
        <v>16029.49</v>
      </c>
      <c r="D6328" s="3">
        <f t="shared" si="101"/>
        <v>2.1732158029550419E-3</v>
      </c>
    </row>
    <row r="6329" spans="2:4" x14ac:dyDescent="0.2">
      <c r="B6329" s="20">
        <v>45257</v>
      </c>
      <c r="C6329" s="58">
        <v>15966.37</v>
      </c>
      <c r="D6329" s="3">
        <f t="shared" si="101"/>
        <v>-3.9377422488175995E-3</v>
      </c>
    </row>
    <row r="6330" spans="2:4" x14ac:dyDescent="0.2">
      <c r="B6330" s="20">
        <v>45258</v>
      </c>
      <c r="C6330" s="58">
        <v>15992.67</v>
      </c>
      <c r="D6330" s="3">
        <f t="shared" si="101"/>
        <v>1.6472122342148232E-3</v>
      </c>
    </row>
    <row r="6331" spans="2:4" x14ac:dyDescent="0.2">
      <c r="B6331" s="20">
        <v>45259</v>
      </c>
      <c r="C6331" s="58">
        <v>16166.45</v>
      </c>
      <c r="D6331" s="3">
        <f t="shared" si="101"/>
        <v>1.0866228090744112E-2</v>
      </c>
    </row>
    <row r="6332" spans="2:4" x14ac:dyDescent="0.2">
      <c r="B6332" s="20">
        <v>45260</v>
      </c>
      <c r="C6332" s="58">
        <v>16215.43</v>
      </c>
      <c r="D6332" s="3">
        <f t="shared" si="101"/>
        <v>3.0297313262961367E-3</v>
      </c>
    </row>
    <row r="6333" spans="2:4" x14ac:dyDescent="0.2">
      <c r="B6333" s="20">
        <v>45261</v>
      </c>
      <c r="C6333" s="58">
        <v>16397.52</v>
      </c>
      <c r="D6333" s="3">
        <f t="shared" si="101"/>
        <v>1.1229427773423284E-2</v>
      </c>
    </row>
    <row r="6334" spans="2:4" x14ac:dyDescent="0.2">
      <c r="B6334" s="20">
        <v>45264</v>
      </c>
      <c r="C6334" s="58">
        <v>16404.759999999998</v>
      </c>
      <c r="D6334" s="3">
        <f t="shared" si="101"/>
        <v>4.4153018261283705E-4</v>
      </c>
    </row>
    <row r="6335" spans="2:4" x14ac:dyDescent="0.2">
      <c r="B6335" s="20">
        <v>45265</v>
      </c>
      <c r="C6335" s="58">
        <v>16533.11</v>
      </c>
      <c r="D6335" s="3">
        <f t="shared" si="101"/>
        <v>7.8239486588040918E-3</v>
      </c>
    </row>
    <row r="6336" spans="2:4" x14ac:dyDescent="0.2">
      <c r="B6336" s="20">
        <v>45266</v>
      </c>
      <c r="C6336" s="58">
        <v>16656.439999999999</v>
      </c>
      <c r="D6336" s="3">
        <f t="shared" si="101"/>
        <v>7.4595765708931339E-3</v>
      </c>
    </row>
    <row r="6337" spans="2:4" x14ac:dyDescent="0.2">
      <c r="B6337" s="20">
        <v>45267</v>
      </c>
      <c r="C6337" s="58">
        <v>16628.990000000002</v>
      </c>
      <c r="D6337" s="3">
        <f t="shared" si="101"/>
        <v>-1.6480112196842756E-3</v>
      </c>
    </row>
    <row r="6338" spans="2:4" x14ac:dyDescent="0.2">
      <c r="B6338" s="20">
        <v>45268</v>
      </c>
      <c r="C6338" s="58">
        <v>16759.22</v>
      </c>
      <c r="D6338" s="3">
        <f t="shared" si="101"/>
        <v>7.8315038977110341E-3</v>
      </c>
    </row>
    <row r="6339" spans="2:4" x14ac:dyDescent="0.2">
      <c r="B6339" s="20">
        <v>45271</v>
      </c>
      <c r="C6339" s="58">
        <v>16794.43</v>
      </c>
      <c r="D6339" s="3">
        <f t="shared" si="101"/>
        <v>2.1009330983183805E-3</v>
      </c>
    </row>
    <row r="6340" spans="2:4" x14ac:dyDescent="0.2">
      <c r="B6340" s="20">
        <v>45272</v>
      </c>
      <c r="C6340" s="58">
        <v>16791.740000000002</v>
      </c>
      <c r="D6340" s="3">
        <f t="shared" si="101"/>
        <v>-1.6017215231467485E-4</v>
      </c>
    </row>
    <row r="6341" spans="2:4" x14ac:dyDescent="0.2">
      <c r="B6341" s="20">
        <v>45273</v>
      </c>
      <c r="C6341" s="58">
        <v>16766.05</v>
      </c>
      <c r="D6341" s="3">
        <f t="shared" ref="D6341:D6404" si="102">C6341/C6340-1</f>
        <v>-1.5299188767812222E-3</v>
      </c>
    </row>
    <row r="6342" spans="2:4" x14ac:dyDescent="0.2">
      <c r="B6342" s="20">
        <v>45274</v>
      </c>
      <c r="C6342" s="58">
        <v>16752.23</v>
      </c>
      <c r="D6342" s="3">
        <f t="shared" si="102"/>
        <v>-8.2428478979845732E-4</v>
      </c>
    </row>
    <row r="6343" spans="2:4" x14ac:dyDescent="0.2">
      <c r="B6343" s="20">
        <v>45275</v>
      </c>
      <c r="C6343" s="58">
        <v>16751.439999999999</v>
      </c>
      <c r="D6343" s="3">
        <f t="shared" si="102"/>
        <v>-4.7157900769034811E-5</v>
      </c>
    </row>
    <row r="6344" spans="2:4" x14ac:dyDescent="0.2">
      <c r="B6344" s="20">
        <v>45278</v>
      </c>
      <c r="C6344" s="58">
        <v>16650.55</v>
      </c>
      <c r="D6344" s="3">
        <f t="shared" si="102"/>
        <v>-6.0227658040143961E-3</v>
      </c>
    </row>
    <row r="6345" spans="2:4" x14ac:dyDescent="0.2">
      <c r="B6345" s="20">
        <v>45279</v>
      </c>
      <c r="C6345" s="58">
        <v>16744.41</v>
      </c>
      <c r="D6345" s="3">
        <f t="shared" si="102"/>
        <v>5.637051028344553E-3</v>
      </c>
    </row>
    <row r="6346" spans="2:4" x14ac:dyDescent="0.2">
      <c r="B6346" s="20">
        <v>45280</v>
      </c>
      <c r="C6346" s="58">
        <v>16733.05</v>
      </c>
      <c r="D6346" s="3">
        <f t="shared" si="102"/>
        <v>-6.7843537037137747E-4</v>
      </c>
    </row>
    <row r="6347" spans="2:4" x14ac:dyDescent="0.2">
      <c r="B6347" s="20">
        <v>45281</v>
      </c>
      <c r="C6347" s="58">
        <v>16687.419999999998</v>
      </c>
      <c r="D6347" s="3">
        <f t="shared" si="102"/>
        <v>-2.7269386035421173E-3</v>
      </c>
    </row>
    <row r="6348" spans="2:4" x14ac:dyDescent="0.2">
      <c r="B6348" s="20">
        <v>45282</v>
      </c>
      <c r="C6348" s="58">
        <v>16706.18</v>
      </c>
      <c r="D6348" s="3">
        <f t="shared" si="102"/>
        <v>1.1242001459783602E-3</v>
      </c>
    </row>
    <row r="6349" spans="2:4" x14ac:dyDescent="0.2">
      <c r="B6349" s="20">
        <v>45287</v>
      </c>
      <c r="C6349" s="58">
        <v>16742.07</v>
      </c>
      <c r="D6349" s="3">
        <f t="shared" si="102"/>
        <v>2.1483067942520417E-3</v>
      </c>
    </row>
    <row r="6350" spans="2:4" x14ac:dyDescent="0.2">
      <c r="B6350" s="20">
        <v>45288</v>
      </c>
      <c r="C6350" s="58">
        <v>16701.55</v>
      </c>
      <c r="D6350" s="3">
        <f t="shared" si="102"/>
        <v>-2.420250303576621E-3</v>
      </c>
    </row>
    <row r="6351" spans="2:4" x14ac:dyDescent="0.2">
      <c r="B6351" s="20">
        <v>45289</v>
      </c>
      <c r="C6351" s="58">
        <v>16751.64</v>
      </c>
      <c r="D6351" s="3">
        <f t="shared" si="102"/>
        <v>2.999122835904533E-3</v>
      </c>
    </row>
    <row r="6352" spans="2:4" x14ac:dyDescent="0.2">
      <c r="B6352" s="20">
        <v>45293</v>
      </c>
      <c r="C6352" s="58">
        <v>16769.36</v>
      </c>
      <c r="D6352" s="3">
        <f t="shared" si="102"/>
        <v>1.0578068774163008E-3</v>
      </c>
    </row>
    <row r="6353" spans="2:4" x14ac:dyDescent="0.2">
      <c r="B6353" s="20">
        <v>45294</v>
      </c>
      <c r="C6353" s="58">
        <v>16538.39</v>
      </c>
      <c r="D6353" s="3">
        <f t="shared" si="102"/>
        <v>-1.3773334223846412E-2</v>
      </c>
    </row>
    <row r="6354" spans="2:4" x14ac:dyDescent="0.2">
      <c r="B6354" s="20">
        <v>45295</v>
      </c>
      <c r="C6354" s="58">
        <v>16617.29</v>
      </c>
      <c r="D6354" s="3">
        <f t="shared" si="102"/>
        <v>4.7707183105489825E-3</v>
      </c>
    </row>
    <row r="6355" spans="2:4" x14ac:dyDescent="0.2">
      <c r="B6355" s="20">
        <v>45296</v>
      </c>
      <c r="C6355" s="58">
        <v>16594.21</v>
      </c>
      <c r="D6355" s="3">
        <f t="shared" si="102"/>
        <v>-1.3889147989836204E-3</v>
      </c>
    </row>
    <row r="6356" spans="2:4" x14ac:dyDescent="0.2">
      <c r="B6356" s="20">
        <v>45299</v>
      </c>
      <c r="C6356" s="58">
        <v>16716.47</v>
      </c>
      <c r="D6356" s="3">
        <f t="shared" si="102"/>
        <v>7.3676300348135548E-3</v>
      </c>
    </row>
    <row r="6357" spans="2:4" x14ac:dyDescent="0.2">
      <c r="B6357" s="20">
        <v>45300</v>
      </c>
      <c r="C6357" s="58">
        <v>16688.36</v>
      </c>
      <c r="D6357" s="3">
        <f t="shared" si="102"/>
        <v>-1.6815751172347682E-3</v>
      </c>
    </row>
    <row r="6358" spans="2:4" x14ac:dyDescent="0.2">
      <c r="B6358" s="20">
        <v>45301</v>
      </c>
      <c r="C6358" s="58">
        <v>16689.810000000001</v>
      </c>
      <c r="D6358" s="3">
        <f t="shared" si="102"/>
        <v>8.6886908000627372E-5</v>
      </c>
    </row>
    <row r="6359" spans="2:4" x14ac:dyDescent="0.2">
      <c r="B6359" s="20">
        <v>45302</v>
      </c>
      <c r="C6359" s="58">
        <v>16547.03</v>
      </c>
      <c r="D6359" s="3">
        <f t="shared" si="102"/>
        <v>-8.5549206372033115E-3</v>
      </c>
    </row>
    <row r="6360" spans="2:4" x14ac:dyDescent="0.2">
      <c r="B6360" s="20">
        <v>45303</v>
      </c>
      <c r="C6360" s="58">
        <v>16704.560000000001</v>
      </c>
      <c r="D6360" s="3">
        <f t="shared" si="102"/>
        <v>9.5201374506483916E-3</v>
      </c>
    </row>
    <row r="6361" spans="2:4" x14ac:dyDescent="0.2">
      <c r="B6361" s="20">
        <v>45306</v>
      </c>
      <c r="C6361" s="58">
        <v>16622.22</v>
      </c>
      <c r="D6361" s="3">
        <f t="shared" si="102"/>
        <v>-4.9291929868251483E-3</v>
      </c>
    </row>
    <row r="6362" spans="2:4" x14ac:dyDescent="0.2">
      <c r="B6362" s="20">
        <v>45307</v>
      </c>
      <c r="C6362" s="58">
        <v>16571.68</v>
      </c>
      <c r="D6362" s="3">
        <f t="shared" si="102"/>
        <v>-3.0405084278755101E-3</v>
      </c>
    </row>
    <row r="6363" spans="2:4" x14ac:dyDescent="0.2">
      <c r="B6363" s="20">
        <v>45308</v>
      </c>
      <c r="C6363" s="58">
        <v>16431.689999999999</v>
      </c>
      <c r="D6363" s="3">
        <f t="shared" si="102"/>
        <v>-8.4475442441563908E-3</v>
      </c>
    </row>
    <row r="6364" spans="2:4" x14ac:dyDescent="0.2">
      <c r="B6364" s="20">
        <v>45309</v>
      </c>
      <c r="C6364" s="58">
        <v>16567.349999999999</v>
      </c>
      <c r="D6364" s="3">
        <f t="shared" si="102"/>
        <v>8.2559980135945565E-3</v>
      </c>
    </row>
    <row r="6365" spans="2:4" x14ac:dyDescent="0.2">
      <c r="B6365" s="20">
        <v>45310</v>
      </c>
      <c r="C6365" s="58">
        <v>16555.13</v>
      </c>
      <c r="D6365" s="3">
        <f t="shared" si="102"/>
        <v>-7.3759533057471405E-4</v>
      </c>
    </row>
    <row r="6366" spans="2:4" x14ac:dyDescent="0.2">
      <c r="B6366" s="20">
        <v>45313</v>
      </c>
      <c r="C6366" s="58">
        <v>16683.36</v>
      </c>
      <c r="D6366" s="3">
        <f t="shared" si="102"/>
        <v>7.7456353408278389E-3</v>
      </c>
    </row>
    <row r="6367" spans="2:4" x14ac:dyDescent="0.2">
      <c r="B6367" s="20">
        <v>45314</v>
      </c>
      <c r="C6367" s="58">
        <v>16627.09</v>
      </c>
      <c r="D6367" s="3">
        <f t="shared" si="102"/>
        <v>-3.3728217817035056E-3</v>
      </c>
    </row>
    <row r="6368" spans="2:4" x14ac:dyDescent="0.2">
      <c r="B6368" s="20">
        <v>45315</v>
      </c>
      <c r="C6368" s="58">
        <v>16889.919999999998</v>
      </c>
      <c r="D6368" s="3">
        <f t="shared" si="102"/>
        <v>1.5807336100303715E-2</v>
      </c>
    </row>
    <row r="6369" spans="2:4" x14ac:dyDescent="0.2">
      <c r="B6369" s="20">
        <v>45316</v>
      </c>
      <c r="C6369" s="58">
        <v>16906.919999999998</v>
      </c>
      <c r="D6369" s="3">
        <f t="shared" si="102"/>
        <v>1.0065174968265644E-3</v>
      </c>
    </row>
    <row r="6370" spans="2:4" x14ac:dyDescent="0.2">
      <c r="B6370" s="20">
        <v>45317</v>
      </c>
      <c r="C6370" s="58">
        <v>16961.39</v>
      </c>
      <c r="D6370" s="3">
        <f t="shared" si="102"/>
        <v>3.2217577181414825E-3</v>
      </c>
    </row>
    <row r="6371" spans="2:4" x14ac:dyDescent="0.2">
      <c r="B6371" s="20">
        <v>45320</v>
      </c>
      <c r="C6371" s="58">
        <v>16941.71</v>
      </c>
      <c r="D6371" s="3">
        <f t="shared" si="102"/>
        <v>-1.160282264602186E-3</v>
      </c>
    </row>
    <row r="6372" spans="2:4" x14ac:dyDescent="0.2">
      <c r="B6372" s="20">
        <v>45321</v>
      </c>
      <c r="C6372" s="58">
        <v>16972.34</v>
      </c>
      <c r="D6372" s="3">
        <f t="shared" si="102"/>
        <v>1.8079638950259103E-3</v>
      </c>
    </row>
    <row r="6373" spans="2:4" x14ac:dyDescent="0.2">
      <c r="B6373" s="20">
        <v>45322</v>
      </c>
      <c r="C6373" s="58">
        <v>16903.759999999998</v>
      </c>
      <c r="D6373" s="3">
        <f t="shared" si="102"/>
        <v>-4.0406920907783972E-3</v>
      </c>
    </row>
    <row r="6374" spans="2:4" x14ac:dyDescent="0.2">
      <c r="B6374" s="20">
        <v>45323</v>
      </c>
      <c r="C6374" s="58">
        <v>16859.04</v>
      </c>
      <c r="D6374" s="3">
        <f t="shared" si="102"/>
        <v>-2.6455652470218638E-3</v>
      </c>
    </row>
    <row r="6375" spans="2:4" x14ac:dyDescent="0.2">
      <c r="B6375" s="20">
        <v>45324</v>
      </c>
      <c r="C6375" s="58">
        <v>16918.21</v>
      </c>
      <c r="D6375" s="3">
        <f t="shared" si="102"/>
        <v>3.5096897569493191E-3</v>
      </c>
    </row>
    <row r="6376" spans="2:4" x14ac:dyDescent="0.2">
      <c r="B6376" s="20">
        <v>45327</v>
      </c>
      <c r="C6376" s="58">
        <v>16904.060000000001</v>
      </c>
      <c r="D6376" s="3">
        <f t="shared" si="102"/>
        <v>-8.3637689802873449E-4</v>
      </c>
    </row>
    <row r="6377" spans="2:4" x14ac:dyDescent="0.2">
      <c r="B6377" s="20">
        <v>45328</v>
      </c>
      <c r="C6377" s="58">
        <v>17033.240000000002</v>
      </c>
      <c r="D6377" s="3">
        <f t="shared" si="102"/>
        <v>7.6419511052374656E-3</v>
      </c>
    </row>
    <row r="6378" spans="2:4" x14ac:dyDescent="0.2">
      <c r="B6378" s="20">
        <v>45329</v>
      </c>
      <c r="C6378" s="58">
        <v>16921.96</v>
      </c>
      <c r="D6378" s="3">
        <f t="shared" si="102"/>
        <v>-6.5331082048983857E-3</v>
      </c>
    </row>
    <row r="6379" spans="2:4" x14ac:dyDescent="0.2">
      <c r="B6379" s="20">
        <v>45330</v>
      </c>
      <c r="C6379" s="58">
        <v>16963.830000000002</v>
      </c>
      <c r="D6379" s="3">
        <f t="shared" si="102"/>
        <v>2.4742996674145257E-3</v>
      </c>
    </row>
    <row r="6380" spans="2:4" x14ac:dyDescent="0.2">
      <c r="B6380" s="20">
        <v>45331</v>
      </c>
      <c r="C6380" s="58">
        <v>16926.5</v>
      </c>
      <c r="D6380" s="3">
        <f t="shared" si="102"/>
        <v>-2.2005643772663452E-3</v>
      </c>
    </row>
    <row r="6381" spans="2:4" x14ac:dyDescent="0.2">
      <c r="B6381" s="20">
        <v>45334</v>
      </c>
      <c r="C6381" s="58">
        <v>17037.349999999999</v>
      </c>
      <c r="D6381" s="3">
        <f t="shared" si="102"/>
        <v>6.5489026083358493E-3</v>
      </c>
    </row>
    <row r="6382" spans="2:4" x14ac:dyDescent="0.2">
      <c r="B6382" s="20">
        <v>45335</v>
      </c>
      <c r="C6382" s="58">
        <v>16880.830000000002</v>
      </c>
      <c r="D6382" s="3">
        <f t="shared" si="102"/>
        <v>-9.1868747193664113E-3</v>
      </c>
    </row>
    <row r="6383" spans="2:4" x14ac:dyDescent="0.2">
      <c r="B6383" s="20">
        <v>45336</v>
      </c>
      <c r="C6383" s="58">
        <v>16945.48</v>
      </c>
      <c r="D6383" s="3">
        <f t="shared" si="102"/>
        <v>3.8297879902824405E-3</v>
      </c>
    </row>
    <row r="6384" spans="2:4" x14ac:dyDescent="0.2">
      <c r="B6384" s="20">
        <v>45337</v>
      </c>
      <c r="C6384" s="58">
        <v>17046.689999999999</v>
      </c>
      <c r="D6384" s="3">
        <f t="shared" si="102"/>
        <v>5.9726841612040005E-3</v>
      </c>
    </row>
    <row r="6385" spans="2:4" x14ac:dyDescent="0.2">
      <c r="B6385" s="20">
        <v>45338</v>
      </c>
      <c r="C6385" s="58">
        <v>17117.439999999999</v>
      </c>
      <c r="D6385" s="3">
        <f t="shared" si="102"/>
        <v>4.1503658481500949E-3</v>
      </c>
    </row>
    <row r="6386" spans="2:4" x14ac:dyDescent="0.2">
      <c r="B6386" s="20">
        <v>45341</v>
      </c>
      <c r="C6386" s="58">
        <v>17092.259999999998</v>
      </c>
      <c r="D6386" s="3">
        <f t="shared" si="102"/>
        <v>-1.471014357287137E-3</v>
      </c>
    </row>
    <row r="6387" spans="2:4" x14ac:dyDescent="0.2">
      <c r="B6387" s="20">
        <v>45342</v>
      </c>
      <c r="C6387" s="58">
        <v>17068.43</v>
      </c>
      <c r="D6387" s="3">
        <f t="shared" si="102"/>
        <v>-1.3941983096441568E-3</v>
      </c>
    </row>
    <row r="6388" spans="2:4" x14ac:dyDescent="0.2">
      <c r="B6388" s="20">
        <v>45343</v>
      </c>
      <c r="C6388" s="58">
        <v>17118.12</v>
      </c>
      <c r="D6388" s="3">
        <f t="shared" si="102"/>
        <v>2.9112226490659587E-3</v>
      </c>
    </row>
    <row r="6389" spans="2:4" x14ac:dyDescent="0.2">
      <c r="B6389" s="20">
        <v>45344</v>
      </c>
      <c r="C6389" s="58">
        <v>17370.45</v>
      </c>
      <c r="D6389" s="3">
        <f t="shared" si="102"/>
        <v>1.4740520571184357E-2</v>
      </c>
    </row>
    <row r="6390" spans="2:4" x14ac:dyDescent="0.2">
      <c r="B6390" s="20">
        <v>45345</v>
      </c>
      <c r="C6390" s="58">
        <v>17419.330000000002</v>
      </c>
      <c r="D6390" s="3">
        <f t="shared" si="102"/>
        <v>2.8139743069408585E-3</v>
      </c>
    </row>
    <row r="6391" spans="2:4" x14ac:dyDescent="0.2">
      <c r="B6391" s="20">
        <v>45348</v>
      </c>
      <c r="C6391" s="58">
        <v>17423.23</v>
      </c>
      <c r="D6391" s="3">
        <f t="shared" si="102"/>
        <v>2.2388920813809499E-4</v>
      </c>
    </row>
    <row r="6392" spans="2:4" x14ac:dyDescent="0.2">
      <c r="B6392" s="20">
        <v>45349</v>
      </c>
      <c r="C6392" s="58">
        <v>17556.490000000002</v>
      </c>
      <c r="D6392" s="3">
        <f t="shared" si="102"/>
        <v>7.6484096232445342E-3</v>
      </c>
    </row>
    <row r="6393" spans="2:4" x14ac:dyDescent="0.2">
      <c r="B6393" s="20">
        <v>45350</v>
      </c>
      <c r="C6393" s="58">
        <v>17601.22</v>
      </c>
      <c r="D6393" s="3">
        <f t="shared" si="102"/>
        <v>2.5477757797829348E-3</v>
      </c>
    </row>
    <row r="6394" spans="2:4" x14ac:dyDescent="0.2">
      <c r="B6394" s="20">
        <v>45351</v>
      </c>
      <c r="C6394" s="58">
        <v>17678.189999999999</v>
      </c>
      <c r="D6394" s="3">
        <f t="shared" si="102"/>
        <v>4.3729923266682125E-3</v>
      </c>
    </row>
    <row r="6395" spans="2:4" x14ac:dyDescent="0.2">
      <c r="B6395" s="20">
        <v>45352</v>
      </c>
      <c r="C6395" s="58">
        <v>17735.07</v>
      </c>
      <c r="D6395" s="3">
        <f t="shared" si="102"/>
        <v>3.2175239659717469E-3</v>
      </c>
    </row>
    <row r="6396" spans="2:4" x14ac:dyDescent="0.2">
      <c r="B6396" s="20">
        <v>45355</v>
      </c>
      <c r="C6396" s="58">
        <v>17716.169999999998</v>
      </c>
      <c r="D6396" s="3">
        <f t="shared" si="102"/>
        <v>-1.0656851086576768E-3</v>
      </c>
    </row>
    <row r="6397" spans="2:4" x14ac:dyDescent="0.2">
      <c r="B6397" s="20">
        <v>45356</v>
      </c>
      <c r="C6397" s="58">
        <v>17698.400000000001</v>
      </c>
      <c r="D6397" s="3">
        <f t="shared" si="102"/>
        <v>-1.0030384671176895E-3</v>
      </c>
    </row>
    <row r="6398" spans="2:4" x14ac:dyDescent="0.2">
      <c r="B6398" s="20">
        <v>45357</v>
      </c>
      <c r="C6398" s="58">
        <v>17716.71</v>
      </c>
      <c r="D6398" s="3">
        <f t="shared" si="102"/>
        <v>1.0345567960943214E-3</v>
      </c>
    </row>
    <row r="6399" spans="2:4" x14ac:dyDescent="0.2">
      <c r="B6399" s="20">
        <v>45358</v>
      </c>
      <c r="C6399" s="58">
        <v>17842.849999999999</v>
      </c>
      <c r="D6399" s="3">
        <f t="shared" si="102"/>
        <v>7.1198320681435945E-3</v>
      </c>
    </row>
    <row r="6400" spans="2:4" x14ac:dyDescent="0.2">
      <c r="B6400" s="20">
        <v>45359</v>
      </c>
      <c r="C6400" s="58">
        <v>17814.509999999998</v>
      </c>
      <c r="D6400" s="3">
        <f t="shared" si="102"/>
        <v>-1.5883112843519953E-3</v>
      </c>
    </row>
    <row r="6401" spans="2:4" x14ac:dyDescent="0.2">
      <c r="B6401" s="20">
        <v>45362</v>
      </c>
      <c r="C6401" s="58">
        <v>17746.27</v>
      </c>
      <c r="D6401" s="3">
        <f t="shared" si="102"/>
        <v>-3.8305852925507589E-3</v>
      </c>
    </row>
    <row r="6402" spans="2:4" x14ac:dyDescent="0.2">
      <c r="B6402" s="20">
        <v>45363</v>
      </c>
      <c r="C6402" s="58">
        <v>17965.11</v>
      </c>
      <c r="D6402" s="3">
        <f t="shared" si="102"/>
        <v>1.2331605458499206E-2</v>
      </c>
    </row>
    <row r="6403" spans="2:4" x14ac:dyDescent="0.2">
      <c r="B6403" s="20">
        <v>45364</v>
      </c>
      <c r="C6403" s="58">
        <v>17961.38</v>
      </c>
      <c r="D6403" s="3">
        <f t="shared" si="102"/>
        <v>-2.0762466803703195E-4</v>
      </c>
    </row>
    <row r="6404" spans="2:4" x14ac:dyDescent="0.2">
      <c r="B6404" s="20">
        <v>45365</v>
      </c>
      <c r="C6404" s="58">
        <v>17942.04</v>
      </c>
      <c r="D6404" s="3">
        <f t="shared" si="102"/>
        <v>-1.0767546814332007E-3</v>
      </c>
    </row>
    <row r="6405" spans="2:4" x14ac:dyDescent="0.2">
      <c r="B6405" s="20">
        <v>45366</v>
      </c>
      <c r="C6405" s="58">
        <v>17936.650000000001</v>
      </c>
      <c r="D6405" s="3">
        <f t="shared" ref="D6405:D6468" si="103">C6405/C6404-1</f>
        <v>-3.0041177034489941E-4</v>
      </c>
    </row>
    <row r="6406" spans="2:4" x14ac:dyDescent="0.2">
      <c r="B6406" s="20">
        <v>45369</v>
      </c>
      <c r="C6406" s="58">
        <v>17932.68</v>
      </c>
      <c r="D6406" s="3">
        <f t="shared" si="103"/>
        <v>-2.2133453013806204E-4</v>
      </c>
    </row>
    <row r="6407" spans="2:4" x14ac:dyDescent="0.2">
      <c r="B6407" s="20">
        <v>45370</v>
      </c>
      <c r="C6407" s="58">
        <v>17987.490000000002</v>
      </c>
      <c r="D6407" s="3">
        <f t="shared" si="103"/>
        <v>3.0564310521350446E-3</v>
      </c>
    </row>
    <row r="6408" spans="2:4" x14ac:dyDescent="0.2">
      <c r="B6408" s="20">
        <v>45371</v>
      </c>
      <c r="C6408" s="58">
        <v>18015.13</v>
      </c>
      <c r="D6408" s="3">
        <f t="shared" si="103"/>
        <v>1.5366235088942748E-3</v>
      </c>
    </row>
    <row r="6409" spans="2:4" x14ac:dyDescent="0.2">
      <c r="B6409" s="20">
        <v>45372</v>
      </c>
      <c r="C6409" s="58">
        <v>18179.25</v>
      </c>
      <c r="D6409" s="3">
        <f t="shared" si="103"/>
        <v>9.1101202156187444E-3</v>
      </c>
    </row>
    <row r="6410" spans="2:4" x14ac:dyDescent="0.2">
      <c r="B6410" s="20">
        <v>45373</v>
      </c>
      <c r="C6410" s="58">
        <v>18205.939999999999</v>
      </c>
      <c r="D6410" s="3">
        <f t="shared" si="103"/>
        <v>1.4681573772294954E-3</v>
      </c>
    </row>
    <row r="6411" spans="2:4" x14ac:dyDescent="0.2">
      <c r="B6411" s="20">
        <v>45376</v>
      </c>
      <c r="C6411" s="58">
        <v>18261.310000000001</v>
      </c>
      <c r="D6411" s="3">
        <f t="shared" si="103"/>
        <v>3.0413150872738992E-3</v>
      </c>
    </row>
    <row r="6412" spans="2:4" x14ac:dyDescent="0.2">
      <c r="B6412" s="20">
        <v>45377</v>
      </c>
      <c r="C6412" s="58">
        <v>18384.349999999999</v>
      </c>
      <c r="D6412" s="3">
        <f t="shared" si="103"/>
        <v>6.7377422539782739E-3</v>
      </c>
    </row>
    <row r="6413" spans="2:4" x14ac:dyDescent="0.2">
      <c r="B6413" s="20">
        <v>45378</v>
      </c>
      <c r="C6413" s="58">
        <v>18477.09</v>
      </c>
      <c r="D6413" s="3">
        <f t="shared" si="103"/>
        <v>5.0445079646548319E-3</v>
      </c>
    </row>
    <row r="6414" spans="2:4" x14ac:dyDescent="0.2">
      <c r="B6414" s="20">
        <v>45379</v>
      </c>
      <c r="C6414" s="58">
        <v>18492.490000000002</v>
      </c>
      <c r="D6414" s="3">
        <f t="shared" si="103"/>
        <v>8.3346457694366549E-4</v>
      </c>
    </row>
    <row r="6415" spans="2:4" x14ac:dyDescent="0.2">
      <c r="B6415" s="20">
        <v>45384</v>
      </c>
      <c r="C6415" s="58">
        <v>18283.13</v>
      </c>
      <c r="D6415" s="3">
        <f t="shared" si="103"/>
        <v>-1.1321352613953062E-2</v>
      </c>
    </row>
    <row r="6416" spans="2:4" x14ac:dyDescent="0.2">
      <c r="B6416" s="20">
        <v>45385</v>
      </c>
      <c r="C6416" s="58">
        <v>18367.72</v>
      </c>
      <c r="D6416" s="3">
        <f t="shared" si="103"/>
        <v>4.6266695035259708E-3</v>
      </c>
    </row>
    <row r="6417" spans="2:4" x14ac:dyDescent="0.2">
      <c r="B6417" s="20">
        <v>45386</v>
      </c>
      <c r="C6417" s="58">
        <v>18403.13</v>
      </c>
      <c r="D6417" s="3">
        <f t="shared" si="103"/>
        <v>1.9278386212333576E-3</v>
      </c>
    </row>
    <row r="6418" spans="2:4" x14ac:dyDescent="0.2">
      <c r="B6418" s="20">
        <v>45387</v>
      </c>
      <c r="C6418" s="58">
        <v>18175.04</v>
      </c>
      <c r="D6418" s="3">
        <f t="shared" si="103"/>
        <v>-1.2394087310147794E-2</v>
      </c>
    </row>
    <row r="6419" spans="2:4" x14ac:dyDescent="0.2">
      <c r="B6419" s="20">
        <v>45390</v>
      </c>
      <c r="C6419" s="58">
        <v>18318.97</v>
      </c>
      <c r="D6419" s="3">
        <f t="shared" si="103"/>
        <v>7.9191022413156453E-3</v>
      </c>
    </row>
    <row r="6420" spans="2:4" x14ac:dyDescent="0.2">
      <c r="B6420" s="20">
        <v>45391</v>
      </c>
      <c r="C6420" s="58">
        <v>18076.689999999999</v>
      </c>
      <c r="D6420" s="3">
        <f t="shared" si="103"/>
        <v>-1.3225634410668374E-2</v>
      </c>
    </row>
    <row r="6421" spans="2:4" x14ac:dyDescent="0.2">
      <c r="B6421" s="20">
        <v>45392</v>
      </c>
      <c r="C6421" s="58">
        <v>18097.3</v>
      </c>
      <c r="D6421" s="3">
        <f t="shared" si="103"/>
        <v>1.1401423601333782E-3</v>
      </c>
    </row>
    <row r="6422" spans="2:4" x14ac:dyDescent="0.2">
      <c r="B6422" s="20">
        <v>45393</v>
      </c>
      <c r="C6422" s="58">
        <v>17954.48</v>
      </c>
      <c r="D6422" s="3">
        <f t="shared" si="103"/>
        <v>-7.8917849623977299E-3</v>
      </c>
    </row>
    <row r="6423" spans="2:4" x14ac:dyDescent="0.2">
      <c r="B6423" s="20">
        <v>45394</v>
      </c>
      <c r="C6423" s="58">
        <v>17930.32</v>
      </c>
      <c r="D6423" s="3">
        <f t="shared" si="103"/>
        <v>-1.345625158734709E-3</v>
      </c>
    </row>
    <row r="6424" spans="2:4" x14ac:dyDescent="0.2">
      <c r="B6424" s="20">
        <v>45397</v>
      </c>
      <c r="C6424" s="58">
        <v>18026.580000000002</v>
      </c>
      <c r="D6424" s="3">
        <f t="shared" si="103"/>
        <v>5.3685600703168301E-3</v>
      </c>
    </row>
    <row r="6425" spans="2:4" x14ac:dyDescent="0.2">
      <c r="B6425" s="20">
        <v>45398</v>
      </c>
      <c r="C6425" s="58">
        <v>17766.23</v>
      </c>
      <c r="D6425" s="3">
        <f t="shared" si="103"/>
        <v>-1.4442562038944784E-2</v>
      </c>
    </row>
    <row r="6426" spans="2:4" x14ac:dyDescent="0.2">
      <c r="B6426" s="20">
        <v>45399</v>
      </c>
      <c r="C6426" s="58">
        <v>17770.02</v>
      </c>
      <c r="D6426" s="3">
        <f t="shared" si="103"/>
        <v>2.1332606861457215E-4</v>
      </c>
    </row>
    <row r="6427" spans="2:4" x14ac:dyDescent="0.2">
      <c r="B6427" s="20">
        <v>45400</v>
      </c>
      <c r="C6427" s="58">
        <v>17837.400000000001</v>
      </c>
      <c r="D6427" s="3">
        <f t="shared" si="103"/>
        <v>3.7917796378394986E-3</v>
      </c>
    </row>
    <row r="6428" spans="2:4" x14ac:dyDescent="0.2">
      <c r="B6428" s="20">
        <v>45401</v>
      </c>
      <c r="C6428" s="58">
        <v>17737.36</v>
      </c>
      <c r="D6428" s="3">
        <f t="shared" si="103"/>
        <v>-5.6084406920291485E-3</v>
      </c>
    </row>
    <row r="6429" spans="2:4" x14ac:dyDescent="0.2">
      <c r="B6429" s="20">
        <v>45404</v>
      </c>
      <c r="C6429" s="58">
        <v>17860.8</v>
      </c>
      <c r="D6429" s="3">
        <f t="shared" si="103"/>
        <v>6.9593220186092708E-3</v>
      </c>
    </row>
    <row r="6430" spans="2:4" x14ac:dyDescent="0.2">
      <c r="B6430" s="20">
        <v>45405</v>
      </c>
      <c r="C6430" s="58">
        <v>18137.650000000001</v>
      </c>
      <c r="D6430" s="3">
        <f t="shared" si="103"/>
        <v>1.5500425512855021E-2</v>
      </c>
    </row>
    <row r="6431" spans="2:4" x14ac:dyDescent="0.2">
      <c r="B6431" s="20">
        <v>45406</v>
      </c>
      <c r="C6431" s="58">
        <v>18088.7</v>
      </c>
      <c r="D6431" s="3">
        <f t="shared" si="103"/>
        <v>-2.6988060746568898E-3</v>
      </c>
    </row>
    <row r="6432" spans="2:4" x14ac:dyDescent="0.2">
      <c r="B6432" s="20">
        <v>45407</v>
      </c>
      <c r="C6432" s="58">
        <v>17917.28</v>
      </c>
      <c r="D6432" s="3">
        <f t="shared" si="103"/>
        <v>-9.4766345840221478E-3</v>
      </c>
    </row>
    <row r="6433" spans="2:4" x14ac:dyDescent="0.2">
      <c r="B6433" s="20">
        <v>45408</v>
      </c>
      <c r="C6433" s="58">
        <v>18161.009999999998</v>
      </c>
      <c r="D6433" s="3">
        <f t="shared" si="103"/>
        <v>1.3603069215863073E-2</v>
      </c>
    </row>
    <row r="6434" spans="2:4" x14ac:dyDescent="0.2">
      <c r="B6434" s="20">
        <v>45411</v>
      </c>
      <c r="C6434" s="58">
        <v>18118.32</v>
      </c>
      <c r="D6434" s="3">
        <f t="shared" si="103"/>
        <v>-2.3506401901655094E-3</v>
      </c>
    </row>
    <row r="6435" spans="2:4" x14ac:dyDescent="0.2">
      <c r="B6435" s="20">
        <v>45412</v>
      </c>
      <c r="C6435" s="58">
        <v>17932.169999999998</v>
      </c>
      <c r="D6435" s="3">
        <f t="shared" si="103"/>
        <v>-1.0274131376419082E-2</v>
      </c>
    </row>
    <row r="6436" spans="2:4" x14ac:dyDescent="0.2">
      <c r="B6436" s="20">
        <v>45414</v>
      </c>
      <c r="C6436" s="58">
        <v>17896.5</v>
      </c>
      <c r="D6436" s="3">
        <f t="shared" si="103"/>
        <v>-1.9891624939981645E-3</v>
      </c>
    </row>
    <row r="6437" spans="2:4" x14ac:dyDescent="0.2">
      <c r="B6437" s="20">
        <v>45415</v>
      </c>
      <c r="C6437" s="58">
        <v>17993.689999999999</v>
      </c>
      <c r="D6437" s="3">
        <f t="shared" si="103"/>
        <v>5.430670801553239E-3</v>
      </c>
    </row>
    <row r="6438" spans="2:4" x14ac:dyDescent="0.2">
      <c r="B6438" s="20">
        <v>45418</v>
      </c>
      <c r="C6438" s="58">
        <v>18175.21</v>
      </c>
      <c r="D6438" s="3">
        <f t="shared" si="103"/>
        <v>1.0087980842172994E-2</v>
      </c>
    </row>
    <row r="6439" spans="2:4" x14ac:dyDescent="0.2">
      <c r="B6439" s="20">
        <v>45419</v>
      </c>
      <c r="C6439" s="58">
        <v>18430.05</v>
      </c>
      <c r="D6439" s="3">
        <f t="shared" si="103"/>
        <v>1.4021296040045872E-2</v>
      </c>
    </row>
    <row r="6440" spans="2:4" x14ac:dyDescent="0.2">
      <c r="B6440" s="20">
        <v>45420</v>
      </c>
      <c r="C6440" s="58">
        <v>18498.38</v>
      </c>
      <c r="D6440" s="3">
        <f t="shared" si="103"/>
        <v>3.707531992588331E-3</v>
      </c>
    </row>
    <row r="6441" spans="2:4" x14ac:dyDescent="0.2">
      <c r="B6441" s="20">
        <v>45421</v>
      </c>
      <c r="C6441" s="58">
        <v>18686.599999999999</v>
      </c>
      <c r="D6441" s="3">
        <f t="shared" si="103"/>
        <v>1.0174945049242101E-2</v>
      </c>
    </row>
    <row r="6442" spans="2:4" x14ac:dyDescent="0.2">
      <c r="B6442" s="20">
        <v>45422</v>
      </c>
      <c r="C6442" s="58">
        <v>18772.849999999999</v>
      </c>
      <c r="D6442" s="3">
        <f t="shared" si="103"/>
        <v>4.6156069054830162E-3</v>
      </c>
    </row>
    <row r="6443" spans="2:4" x14ac:dyDescent="0.2">
      <c r="B6443" s="20">
        <v>45425</v>
      </c>
      <c r="C6443" s="58">
        <v>18742.22</v>
      </c>
      <c r="D6443" s="3">
        <f t="shared" si="103"/>
        <v>-1.6316116093186839E-3</v>
      </c>
    </row>
    <row r="6444" spans="2:4" x14ac:dyDescent="0.2">
      <c r="B6444" s="20">
        <v>45426</v>
      </c>
      <c r="C6444" s="58">
        <v>18716.419999999998</v>
      </c>
      <c r="D6444" s="3">
        <f t="shared" si="103"/>
        <v>-1.3765711852706808E-3</v>
      </c>
    </row>
    <row r="6445" spans="2:4" x14ac:dyDescent="0.2">
      <c r="B6445" s="20">
        <v>45427</v>
      </c>
      <c r="C6445" s="58">
        <v>18869.36</v>
      </c>
      <c r="D6445" s="3">
        <f t="shared" si="103"/>
        <v>8.1714344944172623E-3</v>
      </c>
    </row>
    <row r="6446" spans="2:4" x14ac:dyDescent="0.2">
      <c r="B6446" s="20">
        <v>45428</v>
      </c>
      <c r="C6446" s="58">
        <v>18738.810000000001</v>
      </c>
      <c r="D6446" s="3">
        <f t="shared" si="103"/>
        <v>-6.9186236311140625E-3</v>
      </c>
    </row>
    <row r="6447" spans="2:4" x14ac:dyDescent="0.2">
      <c r="B6447" s="20">
        <v>45429</v>
      </c>
      <c r="C6447" s="58">
        <v>18704.419999999998</v>
      </c>
      <c r="D6447" s="3">
        <f t="shared" si="103"/>
        <v>-1.8352285977606408E-3</v>
      </c>
    </row>
    <row r="6448" spans="2:4" x14ac:dyDescent="0.2">
      <c r="B6448" s="20">
        <v>45432</v>
      </c>
      <c r="C6448" s="58">
        <v>18768.96</v>
      </c>
      <c r="D6448" s="3">
        <f t="shared" si="103"/>
        <v>3.450521320629063E-3</v>
      </c>
    </row>
    <row r="6449" spans="2:4" x14ac:dyDescent="0.2">
      <c r="B6449" s="20">
        <v>45433</v>
      </c>
      <c r="C6449" s="58">
        <v>18726.759999999998</v>
      </c>
      <c r="D6449" s="3">
        <f t="shared" si="103"/>
        <v>-2.2483930915725425E-3</v>
      </c>
    </row>
    <row r="6450" spans="2:4" x14ac:dyDescent="0.2">
      <c r="B6450" s="20">
        <v>45434</v>
      </c>
      <c r="C6450" s="58">
        <v>18680.2</v>
      </c>
      <c r="D6450" s="3">
        <f t="shared" si="103"/>
        <v>-2.4862816632453821E-3</v>
      </c>
    </row>
    <row r="6451" spans="2:4" x14ac:dyDescent="0.2">
      <c r="B6451" s="20">
        <v>45435</v>
      </c>
      <c r="C6451" s="58">
        <v>18691.32</v>
      </c>
      <c r="D6451" s="3">
        <f t="shared" si="103"/>
        <v>5.9528270575248676E-4</v>
      </c>
    </row>
    <row r="6452" spans="2:4" x14ac:dyDescent="0.2">
      <c r="B6452" s="20">
        <v>45436</v>
      </c>
      <c r="C6452" s="58">
        <v>18693.37</v>
      </c>
      <c r="D6452" s="3">
        <f t="shared" si="103"/>
        <v>1.0967657714910928E-4</v>
      </c>
    </row>
    <row r="6453" spans="2:4" x14ac:dyDescent="0.2">
      <c r="B6453" s="20">
        <v>45439</v>
      </c>
      <c r="C6453" s="58">
        <v>18774.71</v>
      </c>
      <c r="D6453" s="3">
        <f t="shared" si="103"/>
        <v>4.3512753452159547E-3</v>
      </c>
    </row>
    <row r="6454" spans="2:4" x14ac:dyDescent="0.2">
      <c r="B6454" s="20">
        <v>45440</v>
      </c>
      <c r="C6454" s="58">
        <v>18677.87</v>
      </c>
      <c r="D6454" s="3">
        <f t="shared" si="103"/>
        <v>-5.1580024405171176E-3</v>
      </c>
    </row>
    <row r="6455" spans="2:4" x14ac:dyDescent="0.2">
      <c r="B6455" s="20">
        <v>45441</v>
      </c>
      <c r="C6455" s="58">
        <v>18473.29</v>
      </c>
      <c r="D6455" s="3">
        <f t="shared" si="103"/>
        <v>-1.0953069059801646E-2</v>
      </c>
    </row>
    <row r="6456" spans="2:4" x14ac:dyDescent="0.2">
      <c r="B6456" s="20">
        <v>45442</v>
      </c>
      <c r="C6456" s="58">
        <v>18496.79</v>
      </c>
      <c r="D6456" s="3">
        <f t="shared" si="103"/>
        <v>1.2721069176091504E-3</v>
      </c>
    </row>
    <row r="6457" spans="2:4" x14ac:dyDescent="0.2">
      <c r="B6457" s="20">
        <v>45443</v>
      </c>
      <c r="C6457" s="58">
        <v>18497.939999999999</v>
      </c>
      <c r="D6457" s="3">
        <f t="shared" si="103"/>
        <v>6.2172950008987371E-5</v>
      </c>
    </row>
    <row r="6458" spans="2:4" x14ac:dyDescent="0.2">
      <c r="B6458" s="20">
        <v>45446</v>
      </c>
      <c r="C6458" s="58">
        <v>18608.16</v>
      </c>
      <c r="D6458" s="3">
        <f t="shared" si="103"/>
        <v>5.9585013250125218E-3</v>
      </c>
    </row>
    <row r="6459" spans="2:4" x14ac:dyDescent="0.2">
      <c r="B6459" s="20">
        <v>45447</v>
      </c>
      <c r="C6459" s="58">
        <v>18405.64</v>
      </c>
      <c r="D6459" s="3">
        <f t="shared" si="103"/>
        <v>-1.0883397391251992E-2</v>
      </c>
    </row>
    <row r="6460" spans="2:4" x14ac:dyDescent="0.2">
      <c r="B6460" s="20">
        <v>45448</v>
      </c>
      <c r="C6460" s="58">
        <v>18575.939999999999</v>
      </c>
      <c r="D6460" s="3">
        <f t="shared" si="103"/>
        <v>9.2525986599758525E-3</v>
      </c>
    </row>
    <row r="6461" spans="2:4" x14ac:dyDescent="0.2">
      <c r="B6461" s="20">
        <v>45449</v>
      </c>
      <c r="C6461" s="58">
        <v>18652.669999999998</v>
      </c>
      <c r="D6461" s="3">
        <f t="shared" si="103"/>
        <v>4.1306119636475014E-3</v>
      </c>
    </row>
    <row r="6462" spans="2:4" x14ac:dyDescent="0.2">
      <c r="B6462" s="20">
        <v>45450</v>
      </c>
      <c r="C6462" s="58">
        <v>18557.27</v>
      </c>
      <c r="D6462" s="3">
        <f t="shared" si="103"/>
        <v>-5.1145492843650553E-3</v>
      </c>
    </row>
    <row r="6463" spans="2:4" x14ac:dyDescent="0.2">
      <c r="B6463" s="20">
        <v>45453</v>
      </c>
      <c r="C6463" s="58">
        <v>18494.89</v>
      </c>
      <c r="D6463" s="3">
        <f t="shared" si="103"/>
        <v>-3.3614858219986887E-3</v>
      </c>
    </row>
    <row r="6464" spans="2:4" x14ac:dyDescent="0.2">
      <c r="B6464" s="20">
        <v>45454</v>
      </c>
      <c r="C6464" s="58">
        <v>18369.939999999999</v>
      </c>
      <c r="D6464" s="3">
        <f t="shared" si="103"/>
        <v>-6.7559201487545906E-3</v>
      </c>
    </row>
    <row r="6465" spans="2:4" x14ac:dyDescent="0.2">
      <c r="B6465" s="20">
        <v>45455</v>
      </c>
      <c r="C6465" s="58">
        <v>18630.86</v>
      </c>
      <c r="D6465" s="3">
        <f t="shared" si="103"/>
        <v>1.4203639206225027E-2</v>
      </c>
    </row>
    <row r="6466" spans="2:4" x14ac:dyDescent="0.2">
      <c r="B6466" s="20">
        <v>45456</v>
      </c>
      <c r="C6466" s="58">
        <v>18265.68</v>
      </c>
      <c r="D6466" s="3">
        <f t="shared" si="103"/>
        <v>-1.9600812844925097E-2</v>
      </c>
    </row>
    <row r="6467" spans="2:4" x14ac:dyDescent="0.2">
      <c r="B6467" s="20">
        <v>45457</v>
      </c>
      <c r="C6467" s="58">
        <v>18002.02</v>
      </c>
      <c r="D6467" s="3">
        <f t="shared" si="103"/>
        <v>-1.4434721291515018E-2</v>
      </c>
    </row>
    <row r="6468" spans="2:4" x14ac:dyDescent="0.2">
      <c r="B6468" s="20">
        <v>45460</v>
      </c>
      <c r="C6468" s="58">
        <v>18068.21</v>
      </c>
      <c r="D6468" s="3">
        <f t="shared" si="103"/>
        <v>3.6768096024779595E-3</v>
      </c>
    </row>
    <row r="6469" spans="2:4" x14ac:dyDescent="0.2">
      <c r="B6469" s="20">
        <v>45461</v>
      </c>
      <c r="C6469" s="58">
        <v>18131.97</v>
      </c>
      <c r="D6469" s="3">
        <f t="shared" ref="D6469:D6532" si="104">C6469/C6468-1</f>
        <v>3.5288498417940239E-3</v>
      </c>
    </row>
    <row r="6470" spans="2:4" x14ac:dyDescent="0.2">
      <c r="B6470" s="20">
        <v>45462</v>
      </c>
      <c r="C6470" s="58">
        <v>18067.91</v>
      </c>
      <c r="D6470" s="3">
        <f t="shared" si="104"/>
        <v>-3.5329862116472155E-3</v>
      </c>
    </row>
    <row r="6471" spans="2:4" x14ac:dyDescent="0.2">
      <c r="B6471" s="20">
        <v>45463</v>
      </c>
      <c r="C6471" s="58">
        <v>18254.18</v>
      </c>
      <c r="D6471" s="3">
        <f t="shared" si="104"/>
        <v>1.0309438114314284E-2</v>
      </c>
    </row>
    <row r="6472" spans="2:4" x14ac:dyDescent="0.2">
      <c r="B6472" s="20">
        <v>45464</v>
      </c>
      <c r="C6472" s="58">
        <v>18163.52</v>
      </c>
      <c r="D6472" s="3">
        <f t="shared" si="104"/>
        <v>-4.9665336925569514E-3</v>
      </c>
    </row>
    <row r="6473" spans="2:4" x14ac:dyDescent="0.2">
      <c r="B6473" s="20">
        <v>45467</v>
      </c>
      <c r="C6473" s="58">
        <v>18325.580000000002</v>
      </c>
      <c r="D6473" s="3">
        <f t="shared" si="104"/>
        <v>8.9222793819700996E-3</v>
      </c>
    </row>
    <row r="6474" spans="2:4" x14ac:dyDescent="0.2">
      <c r="B6474" s="20">
        <v>45468</v>
      </c>
      <c r="C6474" s="58">
        <v>18177.62</v>
      </c>
      <c r="D6474" s="3">
        <f t="shared" si="104"/>
        <v>-8.0739600056316529E-3</v>
      </c>
    </row>
    <row r="6475" spans="2:4" x14ac:dyDescent="0.2">
      <c r="B6475" s="20">
        <v>45469</v>
      </c>
      <c r="C6475" s="58">
        <v>18155.240000000002</v>
      </c>
      <c r="D6475" s="3">
        <f t="shared" si="104"/>
        <v>-1.2311842804502149E-3</v>
      </c>
    </row>
    <row r="6476" spans="2:4" x14ac:dyDescent="0.2">
      <c r="B6476" s="20">
        <v>45470</v>
      </c>
      <c r="C6476" s="58">
        <v>18210.55</v>
      </c>
      <c r="D6476" s="3">
        <f t="shared" si="104"/>
        <v>3.0465033786388762E-3</v>
      </c>
    </row>
    <row r="6477" spans="2:4" x14ac:dyDescent="0.2">
      <c r="B6477" s="20">
        <v>45471</v>
      </c>
      <c r="C6477" s="58">
        <v>18235.45</v>
      </c>
      <c r="D6477" s="3">
        <f t="shared" si="104"/>
        <v>1.3673392621311731E-3</v>
      </c>
    </row>
    <row r="6478" spans="2:4" x14ac:dyDescent="0.2">
      <c r="B6478" s="20">
        <v>45474</v>
      </c>
      <c r="C6478" s="58">
        <v>18290.66</v>
      </c>
      <c r="D6478" s="3">
        <f t="shared" si="104"/>
        <v>3.0276192800287038E-3</v>
      </c>
    </row>
    <row r="6479" spans="2:4" x14ac:dyDescent="0.2">
      <c r="B6479" s="20">
        <v>45475</v>
      </c>
      <c r="C6479" s="58">
        <v>18164.060000000001</v>
      </c>
      <c r="D6479" s="3">
        <f t="shared" si="104"/>
        <v>-6.9215654328492748E-3</v>
      </c>
    </row>
    <row r="6480" spans="2:4" x14ac:dyDescent="0.2">
      <c r="B6480" s="20">
        <v>45476</v>
      </c>
      <c r="C6480" s="58">
        <v>18374.53</v>
      </c>
      <c r="D6480" s="3">
        <f t="shared" si="104"/>
        <v>1.1587167186190683E-2</v>
      </c>
    </row>
    <row r="6481" spans="2:4" x14ac:dyDescent="0.2">
      <c r="B6481" s="20">
        <v>45477</v>
      </c>
      <c r="C6481" s="58">
        <v>18450.48</v>
      </c>
      <c r="D6481" s="3">
        <f t="shared" si="104"/>
        <v>4.1334390593936732E-3</v>
      </c>
    </row>
    <row r="6482" spans="2:4" x14ac:dyDescent="0.2">
      <c r="B6482" s="20">
        <v>45478</v>
      </c>
      <c r="C6482" s="58">
        <v>18475.45</v>
      </c>
      <c r="D6482" s="3">
        <f t="shared" si="104"/>
        <v>1.3533523247091228E-3</v>
      </c>
    </row>
    <row r="6483" spans="2:4" x14ac:dyDescent="0.2">
      <c r="B6483" s="20">
        <v>45481</v>
      </c>
      <c r="C6483" s="58">
        <v>18472.05</v>
      </c>
      <c r="D6483" s="3">
        <f t="shared" si="104"/>
        <v>-1.8402799390548896E-4</v>
      </c>
    </row>
    <row r="6484" spans="2:4" x14ac:dyDescent="0.2">
      <c r="B6484" s="20">
        <v>45482</v>
      </c>
      <c r="C6484" s="58">
        <v>18236.189999999999</v>
      </c>
      <c r="D6484" s="3">
        <f t="shared" si="104"/>
        <v>-1.276847994673036E-2</v>
      </c>
    </row>
    <row r="6485" spans="2:4" x14ac:dyDescent="0.2">
      <c r="B6485" s="20">
        <v>45483</v>
      </c>
      <c r="C6485" s="58">
        <v>18407.22</v>
      </c>
      <c r="D6485" s="3">
        <f t="shared" si="104"/>
        <v>9.3786037544028034E-3</v>
      </c>
    </row>
    <row r="6486" spans="2:4" x14ac:dyDescent="0.2">
      <c r="B6486" s="20">
        <v>45484</v>
      </c>
      <c r="C6486" s="58">
        <v>18534.560000000001</v>
      </c>
      <c r="D6486" s="3">
        <f t="shared" si="104"/>
        <v>6.9179376353409872E-3</v>
      </c>
    </row>
    <row r="6487" spans="2:4" x14ac:dyDescent="0.2">
      <c r="B6487" s="20">
        <v>45485</v>
      </c>
      <c r="C6487" s="58">
        <v>18748.18</v>
      </c>
      <c r="D6487" s="3">
        <f t="shared" si="104"/>
        <v>1.1525496154211279E-2</v>
      </c>
    </row>
    <row r="6488" spans="2:4" x14ac:dyDescent="0.2">
      <c r="B6488" s="20">
        <v>45488</v>
      </c>
      <c r="C6488" s="58">
        <v>18590.89</v>
      </c>
      <c r="D6488" s="3">
        <f t="shared" si="104"/>
        <v>-8.3896143518997768E-3</v>
      </c>
    </row>
    <row r="6489" spans="2:4" x14ac:dyDescent="0.2">
      <c r="B6489" s="20">
        <v>45489</v>
      </c>
      <c r="C6489" s="58">
        <v>18518.03</v>
      </c>
      <c r="D6489" s="3">
        <f t="shared" si="104"/>
        <v>-3.9191238289291164E-3</v>
      </c>
    </row>
    <row r="6490" spans="2:4" x14ac:dyDescent="0.2">
      <c r="B6490" s="20">
        <v>45490</v>
      </c>
      <c r="C6490" s="58">
        <v>18437.3</v>
      </c>
      <c r="D6490" s="3">
        <f t="shared" si="104"/>
        <v>-4.3595350045333436E-3</v>
      </c>
    </row>
    <row r="6491" spans="2:4" x14ac:dyDescent="0.2">
      <c r="B6491" s="20">
        <v>45491</v>
      </c>
      <c r="C6491" s="58">
        <v>18354.759999999998</v>
      </c>
      <c r="D6491" s="3">
        <f t="shared" si="104"/>
        <v>-4.4767943245486164E-3</v>
      </c>
    </row>
    <row r="6492" spans="2:4" x14ac:dyDescent="0.2">
      <c r="B6492" s="20">
        <v>45492</v>
      </c>
      <c r="C6492" s="58">
        <v>18171.93</v>
      </c>
      <c r="D6492" s="3">
        <f t="shared" si="104"/>
        <v>-9.9609038745261946E-3</v>
      </c>
    </row>
    <row r="6493" spans="2:4" x14ac:dyDescent="0.2">
      <c r="B6493" s="20">
        <v>45495</v>
      </c>
      <c r="C6493" s="58">
        <v>18407.07</v>
      </c>
      <c r="D6493" s="3">
        <f t="shared" si="104"/>
        <v>1.2939737276117524E-2</v>
      </c>
    </row>
    <row r="6494" spans="2:4" x14ac:dyDescent="0.2">
      <c r="B6494" s="20">
        <v>45496</v>
      </c>
      <c r="C6494" s="58">
        <v>18557.7</v>
      </c>
      <c r="D6494" s="3">
        <f t="shared" si="104"/>
        <v>8.1832687114244962E-3</v>
      </c>
    </row>
    <row r="6495" spans="2:4" x14ac:dyDescent="0.2">
      <c r="B6495" s="20">
        <v>45497</v>
      </c>
      <c r="C6495" s="58">
        <v>18387.46</v>
      </c>
      <c r="D6495" s="3">
        <f t="shared" si="104"/>
        <v>-9.1735506016371593E-3</v>
      </c>
    </row>
    <row r="6496" spans="2:4" x14ac:dyDescent="0.2">
      <c r="B6496" s="20">
        <v>45498</v>
      </c>
      <c r="C6496" s="58">
        <v>18298.72</v>
      </c>
      <c r="D6496" s="3">
        <f t="shared" si="104"/>
        <v>-4.8261151893734811E-3</v>
      </c>
    </row>
    <row r="6497" spans="2:4" x14ac:dyDescent="0.2">
      <c r="B6497" s="20">
        <v>45499</v>
      </c>
      <c r="C6497" s="58">
        <v>18417.55</v>
      </c>
      <c r="D6497" s="3">
        <f t="shared" si="104"/>
        <v>6.4938968408718711E-3</v>
      </c>
    </row>
    <row r="6498" spans="2:4" x14ac:dyDescent="0.2">
      <c r="B6498" s="20">
        <v>45502</v>
      </c>
      <c r="C6498" s="58">
        <v>18320.669999999998</v>
      </c>
      <c r="D6498" s="3">
        <f t="shared" si="104"/>
        <v>-5.2602001894932471E-3</v>
      </c>
    </row>
    <row r="6499" spans="2:4" x14ac:dyDescent="0.2">
      <c r="B6499" s="20">
        <v>45503</v>
      </c>
      <c r="C6499" s="58">
        <v>18411.18</v>
      </c>
      <c r="D6499" s="3">
        <f t="shared" si="104"/>
        <v>4.940321505709333E-3</v>
      </c>
    </row>
    <row r="6500" spans="2:4" x14ac:dyDescent="0.2">
      <c r="B6500" s="20">
        <v>45504</v>
      </c>
      <c r="C6500" s="58">
        <v>18508.650000000001</v>
      </c>
      <c r="D6500" s="3">
        <f t="shared" si="104"/>
        <v>5.2940658882265623E-3</v>
      </c>
    </row>
    <row r="6501" spans="2:4" x14ac:dyDescent="0.2">
      <c r="B6501" s="20">
        <v>45505</v>
      </c>
      <c r="C6501" s="58">
        <v>18083.05</v>
      </c>
      <c r="D6501" s="3">
        <f t="shared" si="104"/>
        <v>-2.2994653851037383E-2</v>
      </c>
    </row>
    <row r="6502" spans="2:4" x14ac:dyDescent="0.2">
      <c r="B6502" s="20">
        <v>45506</v>
      </c>
      <c r="C6502" s="58">
        <v>17661.22</v>
      </c>
      <c r="D6502" s="3">
        <f t="shared" si="104"/>
        <v>-2.3327370106259626E-2</v>
      </c>
    </row>
    <row r="6503" spans="2:4" x14ac:dyDescent="0.2">
      <c r="B6503" s="20">
        <v>45509</v>
      </c>
      <c r="C6503" s="58">
        <v>17339</v>
      </c>
      <c r="D6503" s="3">
        <f t="shared" si="104"/>
        <v>-1.8244492736062434E-2</v>
      </c>
    </row>
    <row r="6504" spans="2:4" x14ac:dyDescent="0.2">
      <c r="B6504" s="20">
        <v>45510</v>
      </c>
      <c r="C6504" s="58">
        <v>17354.32</v>
      </c>
      <c r="D6504" s="3">
        <f t="shared" si="104"/>
        <v>8.8355729857547693E-4</v>
      </c>
    </row>
    <row r="6505" spans="2:4" x14ac:dyDescent="0.2">
      <c r="B6505" s="20">
        <v>45511</v>
      </c>
      <c r="C6505" s="58">
        <v>17615.150000000001</v>
      </c>
      <c r="D6505" s="3">
        <f t="shared" si="104"/>
        <v>1.5029687132656511E-2</v>
      </c>
    </row>
    <row r="6506" spans="2:4" x14ac:dyDescent="0.2">
      <c r="B6506" s="20">
        <v>45512</v>
      </c>
      <c r="C6506" s="58">
        <v>17680.400000000001</v>
      </c>
      <c r="D6506" s="3">
        <f t="shared" si="104"/>
        <v>3.7041978070013748E-3</v>
      </c>
    </row>
    <row r="6507" spans="2:4" x14ac:dyDescent="0.2">
      <c r="B6507" s="20">
        <v>45513</v>
      </c>
      <c r="C6507" s="58">
        <v>17722.88</v>
      </c>
      <c r="D6507" s="3">
        <f t="shared" si="104"/>
        <v>2.402660573290083E-3</v>
      </c>
    </row>
    <row r="6508" spans="2:4" x14ac:dyDescent="0.2">
      <c r="B6508" s="20">
        <v>45516</v>
      </c>
      <c r="C6508" s="58">
        <v>17726.47</v>
      </c>
      <c r="D6508" s="3">
        <f t="shared" si="104"/>
        <v>2.0256301458898562E-4</v>
      </c>
    </row>
    <row r="6509" spans="2:4" x14ac:dyDescent="0.2">
      <c r="B6509" s="20">
        <v>45517</v>
      </c>
      <c r="C6509" s="58">
        <v>17812.05</v>
      </c>
      <c r="D6509" s="3">
        <f t="shared" si="104"/>
        <v>4.8278083566553054E-3</v>
      </c>
    </row>
    <row r="6510" spans="2:4" x14ac:dyDescent="0.2">
      <c r="B6510" s="20">
        <v>45518</v>
      </c>
      <c r="C6510" s="58">
        <v>17885.599999999999</v>
      </c>
      <c r="D6510" s="3">
        <f t="shared" si="104"/>
        <v>4.1292271243342782E-3</v>
      </c>
    </row>
    <row r="6511" spans="2:4" x14ac:dyDescent="0.2">
      <c r="B6511" s="20">
        <v>45519</v>
      </c>
      <c r="C6511" s="58">
        <v>18183.240000000002</v>
      </c>
      <c r="D6511" s="3">
        <f t="shared" si="104"/>
        <v>1.6641320391823866E-2</v>
      </c>
    </row>
    <row r="6512" spans="2:4" x14ac:dyDescent="0.2">
      <c r="B6512" s="20">
        <v>45520</v>
      </c>
      <c r="C6512" s="58">
        <v>18322.400000000001</v>
      </c>
      <c r="D6512" s="3">
        <f t="shared" si="104"/>
        <v>7.6532015196411063E-3</v>
      </c>
    </row>
    <row r="6513" spans="2:4" x14ac:dyDescent="0.2">
      <c r="B6513" s="20">
        <v>45523</v>
      </c>
      <c r="C6513" s="58">
        <v>18421.689999999999</v>
      </c>
      <c r="D6513" s="3">
        <f t="shared" si="104"/>
        <v>5.4190499061257391E-3</v>
      </c>
    </row>
    <row r="6514" spans="2:4" x14ac:dyDescent="0.2">
      <c r="B6514" s="20">
        <v>45524</v>
      </c>
      <c r="C6514" s="58">
        <v>18357.52</v>
      </c>
      <c r="D6514" s="3">
        <f t="shared" si="104"/>
        <v>-3.4833937602900544E-3</v>
      </c>
    </row>
    <row r="6515" spans="2:4" x14ac:dyDescent="0.2">
      <c r="B6515" s="20">
        <v>45525</v>
      </c>
      <c r="C6515" s="58">
        <v>18448.95</v>
      </c>
      <c r="D6515" s="3">
        <f t="shared" si="104"/>
        <v>4.9805202445647456E-3</v>
      </c>
    </row>
    <row r="6516" spans="2:4" x14ac:dyDescent="0.2">
      <c r="B6516" s="20">
        <v>45526</v>
      </c>
      <c r="C6516" s="58">
        <v>18493.39</v>
      </c>
      <c r="D6516" s="3">
        <f t="shared" si="104"/>
        <v>2.4088091734217887E-3</v>
      </c>
    </row>
    <row r="6517" spans="2:4" x14ac:dyDescent="0.2">
      <c r="B6517" s="20">
        <v>45527</v>
      </c>
      <c r="C6517" s="58">
        <v>18633.099999999999</v>
      </c>
      <c r="D6517" s="3">
        <f t="shared" si="104"/>
        <v>7.5545911268837251E-3</v>
      </c>
    </row>
    <row r="6518" spans="2:4" x14ac:dyDescent="0.2">
      <c r="B6518" s="20">
        <v>45530</v>
      </c>
      <c r="C6518" s="58">
        <v>18617.02</v>
      </c>
      <c r="D6518" s="3">
        <f t="shared" si="104"/>
        <v>-8.6298039510324109E-4</v>
      </c>
    </row>
    <row r="6519" spans="2:4" x14ac:dyDescent="0.2">
      <c r="B6519" s="20">
        <v>45531</v>
      </c>
      <c r="C6519" s="58">
        <v>18681.810000000001</v>
      </c>
      <c r="D6519" s="3">
        <f t="shared" si="104"/>
        <v>3.4801488100673073E-3</v>
      </c>
    </row>
    <row r="6520" spans="2:4" x14ac:dyDescent="0.2">
      <c r="B6520" s="20">
        <v>45532</v>
      </c>
      <c r="C6520" s="58">
        <v>18782.29</v>
      </c>
      <c r="D6520" s="3">
        <f t="shared" si="104"/>
        <v>5.3784938397296589E-3</v>
      </c>
    </row>
    <row r="6521" spans="2:4" x14ac:dyDescent="0.2">
      <c r="B6521" s="20">
        <v>45533</v>
      </c>
      <c r="C6521" s="58">
        <v>18912.57</v>
      </c>
      <c r="D6521" s="3">
        <f t="shared" si="104"/>
        <v>6.9363213963791193E-3</v>
      </c>
    </row>
    <row r="6522" spans="2:4" x14ac:dyDescent="0.2">
      <c r="B6522" s="20">
        <v>45534</v>
      </c>
      <c r="C6522" s="58">
        <v>18906.919999999998</v>
      </c>
      <c r="D6522" s="3">
        <f t="shared" si="104"/>
        <v>-2.987431110632599E-4</v>
      </c>
    </row>
    <row r="6523" spans="2:4" x14ac:dyDescent="0.2">
      <c r="B6523" s="20">
        <v>45537</v>
      </c>
      <c r="C6523" s="58">
        <v>18930.849999999999</v>
      </c>
      <c r="D6523" s="3">
        <f t="shared" si="104"/>
        <v>1.265674155282781E-3</v>
      </c>
    </row>
    <row r="6524" spans="2:4" x14ac:dyDescent="0.2">
      <c r="B6524" s="20">
        <v>45538</v>
      </c>
      <c r="C6524" s="58">
        <v>18747.11</v>
      </c>
      <c r="D6524" s="3">
        <f t="shared" si="104"/>
        <v>-9.7058505032788789E-3</v>
      </c>
    </row>
    <row r="6525" spans="2:4" x14ac:dyDescent="0.2">
      <c r="B6525" s="20">
        <v>45539</v>
      </c>
      <c r="C6525" s="58">
        <v>18591.849999999999</v>
      </c>
      <c r="D6525" s="3">
        <f t="shared" si="104"/>
        <v>-8.2818098362895665E-3</v>
      </c>
    </row>
    <row r="6526" spans="2:4" x14ac:dyDescent="0.2">
      <c r="B6526" s="20">
        <v>45540</v>
      </c>
      <c r="C6526" s="58">
        <v>18576.5</v>
      </c>
      <c r="D6526" s="3">
        <f t="shared" si="104"/>
        <v>-8.2563058544460333E-4</v>
      </c>
    </row>
    <row r="6527" spans="2:4" x14ac:dyDescent="0.2">
      <c r="B6527" s="20">
        <v>45541</v>
      </c>
      <c r="C6527" s="58">
        <v>18301.900000000001</v>
      </c>
      <c r="D6527" s="3">
        <f t="shared" si="104"/>
        <v>-1.4782117191074695E-2</v>
      </c>
    </row>
    <row r="6528" spans="2:4" x14ac:dyDescent="0.2">
      <c r="B6528" s="20">
        <v>45544</v>
      </c>
      <c r="C6528" s="58">
        <v>18443.560000000001</v>
      </c>
      <c r="D6528" s="3">
        <f t="shared" si="104"/>
        <v>7.7401799813134886E-3</v>
      </c>
    </row>
    <row r="6529" spans="2:4" x14ac:dyDescent="0.2">
      <c r="B6529" s="20">
        <v>45545</v>
      </c>
      <c r="C6529" s="58">
        <v>18265.919999999998</v>
      </c>
      <c r="D6529" s="3">
        <f t="shared" si="104"/>
        <v>-9.6315461873957009E-3</v>
      </c>
    </row>
    <row r="6530" spans="2:4" x14ac:dyDescent="0.2">
      <c r="B6530" s="20">
        <v>45546</v>
      </c>
      <c r="C6530" s="58">
        <v>18330.27</v>
      </c>
      <c r="D6530" s="3">
        <f t="shared" si="104"/>
        <v>3.5229542229464617E-3</v>
      </c>
    </row>
    <row r="6531" spans="2:4" x14ac:dyDescent="0.2">
      <c r="B6531" s="20">
        <v>45547</v>
      </c>
      <c r="C6531" s="58">
        <v>18518.39</v>
      </c>
      <c r="D6531" s="3">
        <f t="shared" si="104"/>
        <v>1.0262805730630209E-2</v>
      </c>
    </row>
    <row r="6532" spans="2:4" x14ac:dyDescent="0.2">
      <c r="B6532" s="20">
        <v>45548</v>
      </c>
      <c r="C6532" s="58">
        <v>18699.400000000001</v>
      </c>
      <c r="D6532" s="3">
        <f t="shared" si="104"/>
        <v>9.7746078357785482E-3</v>
      </c>
    </row>
    <row r="6533" spans="2:4" x14ac:dyDescent="0.2">
      <c r="B6533" s="20">
        <v>45551</v>
      </c>
      <c r="C6533" s="58">
        <v>18633.11</v>
      </c>
      <c r="D6533" s="3">
        <f t="shared" ref="D6533:D6596" si="105">C6533/C6532-1</f>
        <v>-3.545033530487629E-3</v>
      </c>
    </row>
    <row r="6534" spans="2:4" x14ac:dyDescent="0.2">
      <c r="B6534" s="20">
        <v>45552</v>
      </c>
      <c r="C6534" s="58">
        <v>18726.080000000002</v>
      </c>
      <c r="D6534" s="3">
        <f t="shared" si="105"/>
        <v>4.9895052409394403E-3</v>
      </c>
    </row>
    <row r="6535" spans="2:4" x14ac:dyDescent="0.2">
      <c r="B6535" s="20">
        <v>45553</v>
      </c>
      <c r="C6535" s="58">
        <v>18711.490000000002</v>
      </c>
      <c r="D6535" s="3">
        <f t="shared" si="105"/>
        <v>-7.7912729199058894E-4</v>
      </c>
    </row>
    <row r="6536" spans="2:4" x14ac:dyDescent="0.2">
      <c r="B6536" s="20">
        <v>45554</v>
      </c>
      <c r="C6536" s="58">
        <v>19002.38</v>
      </c>
      <c r="D6536" s="3">
        <f t="shared" si="105"/>
        <v>1.5546062873667443E-2</v>
      </c>
    </row>
    <row r="6537" spans="2:4" x14ac:dyDescent="0.2">
      <c r="B6537" s="20">
        <v>45555</v>
      </c>
      <c r="C6537" s="58">
        <v>18720.009999999998</v>
      </c>
      <c r="D6537" s="3">
        <f t="shared" si="105"/>
        <v>-1.4859717572220044E-2</v>
      </c>
    </row>
    <row r="6538" spans="2:4" x14ac:dyDescent="0.2">
      <c r="B6538" s="20">
        <v>45558</v>
      </c>
      <c r="C6538" s="58">
        <v>18846.79</v>
      </c>
      <c r="D6538" s="3">
        <f t="shared" si="105"/>
        <v>6.7724322796838266E-3</v>
      </c>
    </row>
    <row r="6539" spans="2:4" x14ac:dyDescent="0.2">
      <c r="B6539" s="20">
        <v>45559</v>
      </c>
      <c r="C6539" s="58">
        <v>18996.63</v>
      </c>
      <c r="D6539" s="3">
        <f t="shared" si="105"/>
        <v>7.9504255101265908E-3</v>
      </c>
    </row>
    <row r="6540" spans="2:4" x14ac:dyDescent="0.2">
      <c r="B6540" s="20">
        <v>45560</v>
      </c>
      <c r="C6540" s="58">
        <v>18918.5</v>
      </c>
      <c r="D6540" s="3">
        <f t="shared" si="105"/>
        <v>-4.1128347501636631E-3</v>
      </c>
    </row>
    <row r="6541" spans="2:4" x14ac:dyDescent="0.2">
      <c r="B6541" s="20">
        <v>45561</v>
      </c>
      <c r="C6541" s="58">
        <v>19238.36</v>
      </c>
      <c r="D6541" s="3">
        <f t="shared" si="105"/>
        <v>1.6907260089330522E-2</v>
      </c>
    </row>
    <row r="6542" spans="2:4" x14ac:dyDescent="0.2">
      <c r="B6542" s="20">
        <v>45562</v>
      </c>
      <c r="C6542" s="58">
        <v>19473.63</v>
      </c>
      <c r="D6542" s="3">
        <f t="shared" si="105"/>
        <v>1.2229212885090046E-2</v>
      </c>
    </row>
    <row r="6543" spans="2:4" x14ac:dyDescent="0.2">
      <c r="B6543" s="20">
        <v>45565</v>
      </c>
      <c r="C6543" s="58">
        <v>19324.93</v>
      </c>
      <c r="D6543" s="3">
        <f t="shared" si="105"/>
        <v>-7.6359672028276648E-3</v>
      </c>
    </row>
    <row r="6544" spans="2:4" x14ac:dyDescent="0.2">
      <c r="B6544" s="20">
        <v>45566</v>
      </c>
      <c r="C6544" s="58">
        <v>19213.14</v>
      </c>
      <c r="D6544" s="3">
        <f t="shared" si="105"/>
        <v>-5.7847557533197147E-3</v>
      </c>
    </row>
    <row r="6545" spans="2:4" x14ac:dyDescent="0.2">
      <c r="B6545" s="20">
        <v>45567</v>
      </c>
      <c r="C6545" s="58">
        <v>19164.75</v>
      </c>
      <c r="D6545" s="3">
        <f t="shared" si="105"/>
        <v>-2.5185888407620594E-3</v>
      </c>
    </row>
    <row r="6546" spans="2:4" x14ac:dyDescent="0.2">
      <c r="B6546" s="20">
        <v>45568</v>
      </c>
      <c r="C6546" s="58">
        <v>19015.41</v>
      </c>
      <c r="D6546" s="3">
        <f t="shared" si="105"/>
        <v>-7.7924314170547682E-3</v>
      </c>
    </row>
    <row r="6547" spans="2:4" x14ac:dyDescent="0.2">
      <c r="B6547" s="20">
        <v>45569</v>
      </c>
      <c r="C6547" s="58">
        <v>19120.93</v>
      </c>
      <c r="D6547" s="3">
        <f t="shared" si="105"/>
        <v>5.5491835306207271E-3</v>
      </c>
    </row>
    <row r="6548" spans="2:4" x14ac:dyDescent="0.2">
      <c r="B6548" s="20">
        <v>45572</v>
      </c>
      <c r="C6548" s="58">
        <v>19104.099999999999</v>
      </c>
      <c r="D6548" s="3">
        <f t="shared" si="105"/>
        <v>-8.8018731306493958E-4</v>
      </c>
    </row>
    <row r="6549" spans="2:4" x14ac:dyDescent="0.2">
      <c r="B6549" s="20">
        <v>45573</v>
      </c>
      <c r="C6549" s="58">
        <v>19066.47</v>
      </c>
      <c r="D6549" s="3">
        <f t="shared" si="105"/>
        <v>-1.9697342455282651E-3</v>
      </c>
    </row>
    <row r="6550" spans="2:4" x14ac:dyDescent="0.2">
      <c r="B6550" s="20">
        <v>45574</v>
      </c>
      <c r="C6550" s="58">
        <v>19254.93</v>
      </c>
      <c r="D6550" s="3">
        <f t="shared" si="105"/>
        <v>9.8843676884079468E-3</v>
      </c>
    </row>
    <row r="6551" spans="2:4" x14ac:dyDescent="0.2">
      <c r="B6551" s="20">
        <v>45575</v>
      </c>
      <c r="C6551" s="58">
        <v>19210.900000000001</v>
      </c>
      <c r="D6551" s="3">
        <f t="shared" si="105"/>
        <v>-2.2866870977977793E-3</v>
      </c>
    </row>
    <row r="6552" spans="2:4" x14ac:dyDescent="0.2">
      <c r="B6552" s="20">
        <v>45576</v>
      </c>
      <c r="C6552" s="58">
        <v>19373.830000000002</v>
      </c>
      <c r="D6552" s="3">
        <f t="shared" si="105"/>
        <v>8.4811226959695674E-3</v>
      </c>
    </row>
    <row r="6553" spans="2:4" x14ac:dyDescent="0.2">
      <c r="B6553" s="20">
        <v>45579</v>
      </c>
      <c r="C6553" s="58">
        <v>19508.29</v>
      </c>
      <c r="D6553" s="3">
        <f t="shared" si="105"/>
        <v>6.9402900717101534E-3</v>
      </c>
    </row>
    <row r="6554" spans="2:4" x14ac:dyDescent="0.2">
      <c r="B6554" s="20">
        <v>45580</v>
      </c>
      <c r="C6554" s="58">
        <v>19486.189999999999</v>
      </c>
      <c r="D6554" s="3">
        <f t="shared" si="105"/>
        <v>-1.1328517261124382E-3</v>
      </c>
    </row>
    <row r="6555" spans="2:4" x14ac:dyDescent="0.2">
      <c r="B6555" s="20">
        <v>45581</v>
      </c>
      <c r="C6555" s="58">
        <v>19432.810000000001</v>
      </c>
      <c r="D6555" s="3">
        <f t="shared" si="105"/>
        <v>-2.7393759375228255E-3</v>
      </c>
    </row>
    <row r="6556" spans="2:4" x14ac:dyDescent="0.2">
      <c r="B6556" s="20">
        <v>45582</v>
      </c>
      <c r="C6556" s="58">
        <v>19583.39</v>
      </c>
      <c r="D6556" s="3">
        <f t="shared" si="105"/>
        <v>7.7487506953444196E-3</v>
      </c>
    </row>
    <row r="6557" spans="2:4" x14ac:dyDescent="0.2">
      <c r="B6557" s="20">
        <v>45583</v>
      </c>
      <c r="C6557" s="58">
        <v>19657.37</v>
      </c>
      <c r="D6557" s="3">
        <f t="shared" si="105"/>
        <v>3.7776911964679805E-3</v>
      </c>
    </row>
    <row r="6558" spans="2:4" x14ac:dyDescent="0.2">
      <c r="B6558" s="20">
        <v>45586</v>
      </c>
      <c r="C6558" s="58">
        <v>19461.189999999999</v>
      </c>
      <c r="D6558" s="3">
        <f t="shared" si="105"/>
        <v>-9.9799718884062694E-3</v>
      </c>
    </row>
    <row r="6559" spans="2:4" x14ac:dyDescent="0.2">
      <c r="B6559" s="20">
        <v>45587</v>
      </c>
      <c r="C6559" s="58">
        <v>19421.91</v>
      </c>
      <c r="D6559" s="3">
        <f t="shared" si="105"/>
        <v>-2.0183760602511258E-3</v>
      </c>
    </row>
    <row r="6560" spans="2:4" x14ac:dyDescent="0.2">
      <c r="B6560" s="20">
        <v>45588</v>
      </c>
      <c r="C6560" s="58">
        <v>19377.62</v>
      </c>
      <c r="D6560" s="3">
        <f t="shared" si="105"/>
        <v>-2.280414233203687E-3</v>
      </c>
    </row>
    <row r="6561" spans="2:4" x14ac:dyDescent="0.2">
      <c r="B6561" s="20">
        <v>45589</v>
      </c>
      <c r="C6561" s="58">
        <v>19443</v>
      </c>
      <c r="D6561" s="3">
        <f t="shared" si="105"/>
        <v>3.3739953616596097E-3</v>
      </c>
    </row>
    <row r="6562" spans="2:4" x14ac:dyDescent="0.2">
      <c r="B6562" s="20">
        <v>45590</v>
      </c>
      <c r="C6562" s="58">
        <v>19463.59</v>
      </c>
      <c r="D6562" s="3">
        <f t="shared" si="105"/>
        <v>1.0589929537623277E-3</v>
      </c>
    </row>
    <row r="6563" spans="2:4" x14ac:dyDescent="0.2">
      <c r="B6563" s="20">
        <v>45593</v>
      </c>
      <c r="C6563" s="58">
        <v>19531.62</v>
      </c>
      <c r="D6563" s="3">
        <f t="shared" si="105"/>
        <v>3.4952441969851034E-3</v>
      </c>
    </row>
    <row r="6564" spans="2:4" x14ac:dyDescent="0.2">
      <c r="B6564" s="20">
        <v>45594</v>
      </c>
      <c r="C6564" s="58">
        <v>19478.07</v>
      </c>
      <c r="D6564" s="3">
        <f t="shared" si="105"/>
        <v>-2.7417080610824263E-3</v>
      </c>
    </row>
    <row r="6565" spans="2:4" x14ac:dyDescent="0.2">
      <c r="B6565" s="20">
        <v>45595</v>
      </c>
      <c r="C6565" s="58">
        <v>19257.34</v>
      </c>
      <c r="D6565" s="3">
        <f t="shared" si="105"/>
        <v>-1.1332231581465679E-2</v>
      </c>
    </row>
    <row r="6566" spans="2:4" x14ac:dyDescent="0.2">
      <c r="B6566" s="20">
        <v>45596</v>
      </c>
      <c r="C6566" s="58">
        <v>19077.54</v>
      </c>
      <c r="D6566" s="3">
        <f t="shared" si="105"/>
        <v>-9.3366996688015735E-3</v>
      </c>
    </row>
    <row r="6567" spans="2:4" x14ac:dyDescent="0.2">
      <c r="B6567" s="20">
        <v>45597</v>
      </c>
      <c r="C6567" s="58">
        <v>19254.97</v>
      </c>
      <c r="D6567" s="3">
        <f t="shared" si="105"/>
        <v>9.3004653639829904E-3</v>
      </c>
    </row>
    <row r="6568" spans="2:4" x14ac:dyDescent="0.2">
      <c r="B6568" s="20">
        <v>45600</v>
      </c>
      <c r="C6568" s="58">
        <v>19147.849999999999</v>
      </c>
      <c r="D6568" s="3">
        <f t="shared" si="105"/>
        <v>-5.5632389975160956E-3</v>
      </c>
    </row>
    <row r="6569" spans="2:4" x14ac:dyDescent="0.2">
      <c r="B6569" s="20">
        <v>45601</v>
      </c>
      <c r="C6569" s="58">
        <v>19256.27</v>
      </c>
      <c r="D6569" s="3">
        <f t="shared" si="105"/>
        <v>5.6622545089919374E-3</v>
      </c>
    </row>
    <row r="6570" spans="2:4" x14ac:dyDescent="0.2">
      <c r="B6570" s="20">
        <v>45602</v>
      </c>
      <c r="C6570" s="58">
        <v>19039.310000000001</v>
      </c>
      <c r="D6570" s="3">
        <f t="shared" si="105"/>
        <v>-1.1266979534458099E-2</v>
      </c>
    </row>
    <row r="6571" spans="2:4" x14ac:dyDescent="0.2">
      <c r="B6571" s="20">
        <v>45603</v>
      </c>
      <c r="C6571" s="58">
        <v>19362.52</v>
      </c>
      <c r="D6571" s="3">
        <f t="shared" si="105"/>
        <v>1.6975930325206168E-2</v>
      </c>
    </row>
    <row r="6572" spans="2:4" x14ac:dyDescent="0.2">
      <c r="B6572" s="20">
        <v>45604</v>
      </c>
      <c r="C6572" s="58">
        <v>19215.48</v>
      </c>
      <c r="D6572" s="3">
        <f t="shared" si="105"/>
        <v>-7.5940528402295149E-3</v>
      </c>
    </row>
    <row r="6573" spans="2:4" x14ac:dyDescent="0.2">
      <c r="B6573" s="20">
        <v>45607</v>
      </c>
      <c r="C6573" s="58">
        <v>19448.599999999999</v>
      </c>
      <c r="D6573" s="3">
        <f t="shared" si="105"/>
        <v>1.2131885334115911E-2</v>
      </c>
    </row>
    <row r="6574" spans="2:4" x14ac:dyDescent="0.2">
      <c r="B6574" s="20">
        <v>45608</v>
      </c>
      <c r="C6574" s="58">
        <v>19033.64</v>
      </c>
      <c r="D6574" s="3">
        <f t="shared" si="105"/>
        <v>-2.1336240140678475E-2</v>
      </c>
    </row>
    <row r="6575" spans="2:4" x14ac:dyDescent="0.2">
      <c r="B6575" s="20">
        <v>45609</v>
      </c>
      <c r="C6575" s="58">
        <v>19003.11</v>
      </c>
      <c r="D6575" s="3">
        <f t="shared" si="105"/>
        <v>-1.6040021771978052E-3</v>
      </c>
    </row>
    <row r="6576" spans="2:4" x14ac:dyDescent="0.2">
      <c r="B6576" s="20">
        <v>45610</v>
      </c>
      <c r="C6576" s="58">
        <v>19263.7</v>
      </c>
      <c r="D6576" s="3">
        <f t="shared" si="105"/>
        <v>1.3713018553278999E-2</v>
      </c>
    </row>
    <row r="6577" spans="2:4" x14ac:dyDescent="0.2">
      <c r="B6577" s="20">
        <v>45611</v>
      </c>
      <c r="C6577" s="58">
        <v>19210.810000000001</v>
      </c>
      <c r="D6577" s="3">
        <f t="shared" si="105"/>
        <v>-2.745578471425536E-3</v>
      </c>
    </row>
    <row r="6578" spans="2:4" x14ac:dyDescent="0.2">
      <c r="B6578" s="20">
        <v>45614</v>
      </c>
      <c r="C6578" s="58">
        <v>19189.189999999999</v>
      </c>
      <c r="D6578" s="3">
        <f t="shared" si="105"/>
        <v>-1.1254080384951459E-3</v>
      </c>
    </row>
    <row r="6579" spans="2:4" x14ac:dyDescent="0.2">
      <c r="B6579" s="20">
        <v>45615</v>
      </c>
      <c r="C6579" s="58">
        <v>19060.310000000001</v>
      </c>
      <c r="D6579" s="3">
        <f t="shared" si="105"/>
        <v>-6.7162814063541632E-3</v>
      </c>
    </row>
    <row r="6580" spans="2:4" x14ac:dyDescent="0.2">
      <c r="B6580" s="20">
        <v>45616</v>
      </c>
      <c r="C6580" s="58">
        <v>19004.78</v>
      </c>
      <c r="D6580" s="3">
        <f t="shared" si="105"/>
        <v>-2.9133838851520544E-3</v>
      </c>
    </row>
    <row r="6581" spans="2:4" x14ac:dyDescent="0.2">
      <c r="B6581" s="20">
        <v>45617</v>
      </c>
      <c r="C6581" s="58">
        <v>19146.169999999998</v>
      </c>
      <c r="D6581" s="3">
        <f t="shared" si="105"/>
        <v>7.4397072736438474E-3</v>
      </c>
    </row>
    <row r="6582" spans="2:4" x14ac:dyDescent="0.2">
      <c r="B6582" s="20">
        <v>45618</v>
      </c>
      <c r="C6582" s="58">
        <v>19322.59</v>
      </c>
      <c r="D6582" s="3">
        <f t="shared" si="105"/>
        <v>9.2143755121782966E-3</v>
      </c>
    </row>
    <row r="6583" spans="2:4" x14ac:dyDescent="0.2">
      <c r="B6583" s="20">
        <v>45621</v>
      </c>
      <c r="C6583" s="58">
        <v>19405.2</v>
      </c>
      <c r="D6583" s="3">
        <f t="shared" si="105"/>
        <v>4.2753067782321796E-3</v>
      </c>
    </row>
    <row r="6584" spans="2:4" x14ac:dyDescent="0.2">
      <c r="B6584" s="20">
        <v>45622</v>
      </c>
      <c r="C6584" s="58">
        <v>19295.98</v>
      </c>
      <c r="D6584" s="3">
        <f t="shared" si="105"/>
        <v>-5.6283882670624674E-3</v>
      </c>
    </row>
    <row r="6585" spans="2:4" x14ac:dyDescent="0.2">
      <c r="B6585" s="20">
        <v>45623</v>
      </c>
      <c r="C6585" s="58">
        <v>19261.75</v>
      </c>
      <c r="D6585" s="3">
        <f t="shared" si="105"/>
        <v>-1.7739446247352353E-3</v>
      </c>
    </row>
    <row r="6586" spans="2:4" x14ac:dyDescent="0.2">
      <c r="B6586" s="20">
        <v>45624</v>
      </c>
      <c r="C6586" s="58">
        <v>19425.73</v>
      </c>
      <c r="D6586" s="3">
        <f t="shared" si="105"/>
        <v>8.513245162043992E-3</v>
      </c>
    </row>
    <row r="6587" spans="2:4" x14ac:dyDescent="0.2">
      <c r="B6587" s="20">
        <v>45625</v>
      </c>
      <c r="C6587" s="58">
        <v>19626.45</v>
      </c>
      <c r="D6587" s="3">
        <f t="shared" si="105"/>
        <v>1.033268762615358E-2</v>
      </c>
    </row>
    <row r="6588" spans="2:4" x14ac:dyDescent="0.2">
      <c r="B6588" s="20">
        <v>45628</v>
      </c>
      <c r="C6588" s="58">
        <v>19933.62</v>
      </c>
      <c r="D6588" s="3">
        <f t="shared" si="105"/>
        <v>1.565081815611058E-2</v>
      </c>
    </row>
    <row r="6589" spans="2:4" x14ac:dyDescent="0.2">
      <c r="B6589" s="20">
        <v>45629</v>
      </c>
      <c r="C6589" s="58">
        <v>20016.75</v>
      </c>
      <c r="D6589" s="3">
        <f t="shared" si="105"/>
        <v>4.170341362983887E-3</v>
      </c>
    </row>
    <row r="6590" spans="2:4" x14ac:dyDescent="0.2">
      <c r="B6590" s="20">
        <v>45630</v>
      </c>
      <c r="C6590" s="58">
        <v>20232.14</v>
      </c>
      <c r="D6590" s="3">
        <f t="shared" si="105"/>
        <v>1.0760488091223541E-2</v>
      </c>
    </row>
    <row r="6591" spans="2:4" x14ac:dyDescent="0.2">
      <c r="B6591" s="20">
        <v>45631</v>
      </c>
      <c r="C6591" s="58">
        <v>20358.8</v>
      </c>
      <c r="D6591" s="3">
        <f t="shared" si="105"/>
        <v>6.2603362768347548E-3</v>
      </c>
    </row>
    <row r="6592" spans="2:4" x14ac:dyDescent="0.2">
      <c r="B6592" s="20">
        <v>45632</v>
      </c>
      <c r="C6592" s="58">
        <v>20384.61</v>
      </c>
      <c r="D6592" s="3">
        <f t="shared" si="105"/>
        <v>1.2677564492995508E-3</v>
      </c>
    </row>
    <row r="6593" spans="2:4" x14ac:dyDescent="0.2">
      <c r="B6593" s="20">
        <v>45635</v>
      </c>
      <c r="C6593" s="58">
        <v>20345.96</v>
      </c>
      <c r="D6593" s="3">
        <f t="shared" si="105"/>
        <v>-1.8960382366893791E-3</v>
      </c>
    </row>
    <row r="6594" spans="2:4" x14ac:dyDescent="0.2">
      <c r="B6594" s="20">
        <v>45636</v>
      </c>
      <c r="C6594" s="58">
        <v>20329.16</v>
      </c>
      <c r="D6594" s="3">
        <f t="shared" si="105"/>
        <v>-8.2571675163023439E-4</v>
      </c>
    </row>
    <row r="6595" spans="2:4" x14ac:dyDescent="0.2">
      <c r="B6595" s="20">
        <v>45637</v>
      </c>
      <c r="C6595" s="58">
        <v>20399.16</v>
      </c>
      <c r="D6595" s="3">
        <f t="shared" si="105"/>
        <v>3.4433296801246183E-3</v>
      </c>
    </row>
    <row r="6596" spans="2:4" x14ac:dyDescent="0.2">
      <c r="B6596" s="20">
        <v>45638</v>
      </c>
      <c r="C6596" s="58">
        <v>20426.27</v>
      </c>
      <c r="D6596" s="3">
        <f t="shared" si="105"/>
        <v>1.3289762911805614E-3</v>
      </c>
    </row>
    <row r="6597" spans="2:4" x14ac:dyDescent="0.2">
      <c r="B6597" s="20">
        <v>45639</v>
      </c>
      <c r="C6597" s="58">
        <v>20405.919999999998</v>
      </c>
      <c r="D6597" s="3">
        <f t="shared" ref="D6597:D6660" si="106">C6597/C6596-1</f>
        <v>-9.9626608284342222E-4</v>
      </c>
    </row>
    <row r="6598" spans="2:4" x14ac:dyDescent="0.2">
      <c r="B6598" s="20">
        <v>45642</v>
      </c>
      <c r="C6598" s="58">
        <v>20313.810000000001</v>
      </c>
      <c r="D6598" s="3">
        <f t="shared" si="106"/>
        <v>-4.5138861663672758E-3</v>
      </c>
    </row>
    <row r="6599" spans="2:4" x14ac:dyDescent="0.2">
      <c r="B6599" s="20">
        <v>45643</v>
      </c>
      <c r="C6599" s="58">
        <v>20246.37</v>
      </c>
      <c r="D6599" s="3">
        <f t="shared" si="106"/>
        <v>-3.3199089683324523E-3</v>
      </c>
    </row>
    <row r="6600" spans="2:4" x14ac:dyDescent="0.2">
      <c r="B6600" s="20">
        <v>45644</v>
      </c>
      <c r="C6600" s="58">
        <v>20242.57</v>
      </c>
      <c r="D6600" s="3">
        <f t="shared" si="106"/>
        <v>-1.8768796579338165E-4</v>
      </c>
    </row>
    <row r="6601" spans="2:4" x14ac:dyDescent="0.2">
      <c r="B6601" s="20">
        <v>45645</v>
      </c>
      <c r="C6601" s="58">
        <v>19969.86</v>
      </c>
      <c r="D6601" s="3">
        <f t="shared" si="106"/>
        <v>-1.3472103591589346E-2</v>
      </c>
    </row>
    <row r="6602" spans="2:4" x14ac:dyDescent="0.2">
      <c r="B6602" s="20">
        <v>45646</v>
      </c>
      <c r="C6602" s="58">
        <v>19884.75</v>
      </c>
      <c r="D6602" s="3">
        <f t="shared" si="106"/>
        <v>-4.261922717535338E-3</v>
      </c>
    </row>
    <row r="6603" spans="2:4" x14ac:dyDescent="0.2">
      <c r="B6603" s="20">
        <v>45649</v>
      </c>
      <c r="C6603" s="58">
        <v>19848.77</v>
      </c>
      <c r="D6603" s="3">
        <f t="shared" si="106"/>
        <v>-1.8094268220620879E-3</v>
      </c>
    </row>
    <row r="6604" spans="2:4" x14ac:dyDescent="0.2">
      <c r="B6604" s="20">
        <v>45653</v>
      </c>
      <c r="C6604" s="58">
        <v>19984.32</v>
      </c>
      <c r="D6604" s="3">
        <f t="shared" si="106"/>
        <v>6.829138531002199E-3</v>
      </c>
    </row>
    <row r="6605" spans="2:4" x14ac:dyDescent="0.2">
      <c r="B6605" s="20">
        <v>45656</v>
      </c>
      <c r="C6605" s="58">
        <v>19909.14</v>
      </c>
      <c r="D6605" s="3">
        <f t="shared" si="106"/>
        <v>-3.7619493683047622E-3</v>
      </c>
    </row>
    <row r="6606" spans="2:4" x14ac:dyDescent="0.2">
      <c r="B6606" s="20">
        <v>45659</v>
      </c>
      <c r="C6606" s="58">
        <v>20024.66</v>
      </c>
      <c r="D6606" s="3">
        <f t="shared" si="106"/>
        <v>5.8023601220345E-3</v>
      </c>
    </row>
    <row r="6607" spans="2:4" x14ac:dyDescent="0.2">
      <c r="B6607" s="20">
        <v>45660</v>
      </c>
      <c r="C6607" s="58">
        <v>19906.080000000002</v>
      </c>
      <c r="D6607" s="3">
        <f t="shared" si="106"/>
        <v>-5.9216985456930216E-3</v>
      </c>
    </row>
    <row r="6608" spans="2:4" x14ac:dyDescent="0.2">
      <c r="B6608" s="20">
        <v>45663</v>
      </c>
      <c r="C6608" s="58">
        <v>20216.189999999999</v>
      </c>
      <c r="D6608" s="3">
        <f t="shared" si="106"/>
        <v>1.5578657375032945E-2</v>
      </c>
    </row>
    <row r="6609" spans="2:4" x14ac:dyDescent="0.2">
      <c r="B6609" s="20">
        <v>45664</v>
      </c>
      <c r="C6609" s="58">
        <v>20340.57</v>
      </c>
      <c r="D6609" s="3">
        <f t="shared" si="106"/>
        <v>6.1524946095183886E-3</v>
      </c>
    </row>
    <row r="6610" spans="2:4" x14ac:dyDescent="0.2">
      <c r="B6610" s="20">
        <v>45665</v>
      </c>
      <c r="C6610" s="58">
        <v>20329.939999999999</v>
      </c>
      <c r="D6610" s="3">
        <f t="shared" si="106"/>
        <v>-5.226008907321944E-4</v>
      </c>
    </row>
    <row r="6611" spans="2:4" x14ac:dyDescent="0.2">
      <c r="B6611" s="20">
        <v>45666</v>
      </c>
      <c r="C6611" s="58">
        <v>20317.099999999999</v>
      </c>
      <c r="D6611" s="3">
        <f t="shared" si="106"/>
        <v>-6.3158081135505917E-4</v>
      </c>
    </row>
    <row r="6612" spans="2:4" x14ac:dyDescent="0.2">
      <c r="B6612" s="20">
        <v>45667</v>
      </c>
      <c r="C6612" s="58">
        <v>20214.79</v>
      </c>
      <c r="D6612" s="3">
        <f t="shared" si="106"/>
        <v>-5.0356596167758783E-3</v>
      </c>
    </row>
    <row r="6613" spans="2:4" x14ac:dyDescent="0.2">
      <c r="B6613" s="20">
        <v>45670</v>
      </c>
      <c r="C6613" s="58">
        <v>20132.849999999999</v>
      </c>
      <c r="D6613" s="3">
        <f t="shared" si="106"/>
        <v>-4.0534677827472887E-3</v>
      </c>
    </row>
    <row r="6614" spans="2:4" x14ac:dyDescent="0.2">
      <c r="B6614" s="20">
        <v>45671</v>
      </c>
      <c r="C6614" s="58">
        <v>20271.330000000002</v>
      </c>
      <c r="D6614" s="3">
        <f t="shared" si="106"/>
        <v>6.8783108203758214E-3</v>
      </c>
    </row>
    <row r="6615" spans="2:4" x14ac:dyDescent="0.2">
      <c r="B6615" s="20">
        <v>45672</v>
      </c>
      <c r="C6615" s="58">
        <v>20574.68</v>
      </c>
      <c r="D6615" s="3">
        <f t="shared" si="106"/>
        <v>1.496448432342623E-2</v>
      </c>
    </row>
    <row r="6616" spans="2:4" x14ac:dyDescent="0.2">
      <c r="B6616" s="20">
        <v>45673</v>
      </c>
      <c r="C6616" s="58">
        <v>20655.39</v>
      </c>
      <c r="D6616" s="3">
        <f t="shared" si="106"/>
        <v>3.9227827601693299E-3</v>
      </c>
    </row>
    <row r="6617" spans="2:4" x14ac:dyDescent="0.2">
      <c r="B6617" s="20">
        <v>45674</v>
      </c>
      <c r="C6617" s="58">
        <v>20903.39</v>
      </c>
      <c r="D6617" s="3">
        <f t="shared" si="106"/>
        <v>1.2006551316629643E-2</v>
      </c>
    </row>
    <row r="6618" spans="2:4" x14ac:dyDescent="0.2">
      <c r="B6618" s="20">
        <v>45677</v>
      </c>
      <c r="C6618" s="58">
        <v>20990.31</v>
      </c>
      <c r="D6618" s="3">
        <f t="shared" si="106"/>
        <v>4.1581772143179929E-3</v>
      </c>
    </row>
    <row r="6619" spans="2:4" x14ac:dyDescent="0.2">
      <c r="B6619" s="20">
        <v>45678</v>
      </c>
      <c r="C6619" s="58">
        <v>21042</v>
      </c>
      <c r="D6619" s="3">
        <f t="shared" si="106"/>
        <v>2.4625648692182533E-3</v>
      </c>
    </row>
    <row r="6620" spans="2:4" x14ac:dyDescent="0.2">
      <c r="B6620" s="20">
        <v>45679</v>
      </c>
      <c r="C6620" s="58">
        <v>21254.27</v>
      </c>
      <c r="D6620" s="3">
        <f t="shared" si="106"/>
        <v>1.0087919399296652E-2</v>
      </c>
    </row>
    <row r="6621" spans="2:4" x14ac:dyDescent="0.2">
      <c r="B6621" s="20">
        <v>45680</v>
      </c>
      <c r="C6621" s="58">
        <v>21411.53</v>
      </c>
      <c r="D6621" s="3">
        <f t="shared" si="106"/>
        <v>7.3989838277201958E-3</v>
      </c>
    </row>
    <row r="6622" spans="2:4" x14ac:dyDescent="0.2">
      <c r="B6622" s="20">
        <v>45681</v>
      </c>
      <c r="C6622" s="58">
        <v>21394.93</v>
      </c>
      <c r="D6622" s="3">
        <f t="shared" si="106"/>
        <v>-7.7528322357156565E-4</v>
      </c>
    </row>
    <row r="6623" spans="2:4" x14ac:dyDescent="0.2">
      <c r="B6623" s="20">
        <v>45684</v>
      </c>
      <c r="C6623" s="58">
        <v>21282.18</v>
      </c>
      <c r="D6623" s="3">
        <f t="shared" si="106"/>
        <v>-5.2699401213278652E-3</v>
      </c>
    </row>
    <row r="6624" spans="2:4" x14ac:dyDescent="0.2">
      <c r="B6624" s="20">
        <v>45685</v>
      </c>
      <c r="C6624" s="58">
        <v>21430.58</v>
      </c>
      <c r="D6624" s="3">
        <f t="shared" si="106"/>
        <v>6.9729698743268287E-3</v>
      </c>
    </row>
    <row r="6625" spans="2:4" x14ac:dyDescent="0.2">
      <c r="B6625" s="20">
        <v>45686</v>
      </c>
      <c r="C6625" s="58">
        <v>21637.53</v>
      </c>
      <c r="D6625" s="3">
        <f t="shared" si="106"/>
        <v>9.6567615062213008E-3</v>
      </c>
    </row>
    <row r="6626" spans="2:4" x14ac:dyDescent="0.2">
      <c r="B6626" s="20">
        <v>45687</v>
      </c>
      <c r="C6626" s="58">
        <v>21727.200000000001</v>
      </c>
      <c r="D6626" s="3">
        <f t="shared" si="106"/>
        <v>4.1441883616106789E-3</v>
      </c>
    </row>
    <row r="6627" spans="2:4" x14ac:dyDescent="0.2">
      <c r="B6627" s="20">
        <v>45688</v>
      </c>
      <c r="C6627" s="58">
        <v>21732.05</v>
      </c>
      <c r="D6627" s="3">
        <f t="shared" si="106"/>
        <v>2.2322250451045633E-4</v>
      </c>
    </row>
    <row r="6628" spans="2:4" x14ac:dyDescent="0.2">
      <c r="B6628" s="20">
        <v>45691</v>
      </c>
      <c r="C6628" s="58">
        <v>21428.240000000002</v>
      </c>
      <c r="D6628" s="3">
        <f t="shared" si="106"/>
        <v>-1.3979813225167281E-2</v>
      </c>
    </row>
    <row r="6629" spans="2:4" x14ac:dyDescent="0.2">
      <c r="B6629" s="20">
        <v>45692</v>
      </c>
      <c r="C6629" s="58">
        <v>21505.7</v>
      </c>
      <c r="D6629" s="3">
        <f t="shared" si="106"/>
        <v>3.6148559097712862E-3</v>
      </c>
    </row>
    <row r="6630" spans="2:4" x14ac:dyDescent="0.2">
      <c r="B6630" s="20">
        <v>45693</v>
      </c>
      <c r="C6630" s="58">
        <v>21585.93</v>
      </c>
      <c r="D6630" s="3">
        <f t="shared" si="106"/>
        <v>3.7306388538851376E-3</v>
      </c>
    </row>
    <row r="6631" spans="2:4" x14ac:dyDescent="0.2">
      <c r="B6631" s="20">
        <v>45694</v>
      </c>
      <c r="C6631" s="58">
        <v>21902.42</v>
      </c>
      <c r="D6631" s="3">
        <f t="shared" si="106"/>
        <v>1.4661865391020878E-2</v>
      </c>
    </row>
    <row r="6632" spans="2:4" x14ac:dyDescent="0.2">
      <c r="B6632" s="20">
        <v>45695</v>
      </c>
      <c r="C6632" s="58">
        <v>21787</v>
      </c>
      <c r="D6632" s="3">
        <f t="shared" si="106"/>
        <v>-5.2697373166982198E-3</v>
      </c>
    </row>
    <row r="6633" spans="2:4" x14ac:dyDescent="0.2">
      <c r="B6633" s="20">
        <v>45698</v>
      </c>
      <c r="C6633" s="58">
        <v>21911.74</v>
      </c>
      <c r="D6633" s="3">
        <f t="shared" si="106"/>
        <v>5.7254325974205322E-3</v>
      </c>
    </row>
    <row r="6634" spans="2:4" x14ac:dyDescent="0.2">
      <c r="B6634" s="20">
        <v>45699</v>
      </c>
      <c r="C6634" s="58">
        <v>22037.83</v>
      </c>
      <c r="D6634" s="3">
        <f t="shared" si="106"/>
        <v>5.754449441258469E-3</v>
      </c>
    </row>
    <row r="6635" spans="2:4" x14ac:dyDescent="0.2">
      <c r="B6635" s="20">
        <v>45700</v>
      </c>
      <c r="C6635" s="58">
        <v>22148.03</v>
      </c>
      <c r="D6635" s="3">
        <f t="shared" si="106"/>
        <v>5.0004923352251485E-3</v>
      </c>
    </row>
    <row r="6636" spans="2:4" x14ac:dyDescent="0.2">
      <c r="B6636" s="20">
        <v>45701</v>
      </c>
      <c r="C6636" s="58">
        <v>22612.02</v>
      </c>
      <c r="D6636" s="3">
        <f t="shared" si="106"/>
        <v>2.0949493024887689E-2</v>
      </c>
    </row>
    <row r="6637" spans="2:4" x14ac:dyDescent="0.2">
      <c r="B6637" s="20">
        <v>45702</v>
      </c>
      <c r="C6637" s="58">
        <v>22513.42</v>
      </c>
      <c r="D6637" s="3">
        <f t="shared" si="106"/>
        <v>-4.3605126830774665E-3</v>
      </c>
    </row>
    <row r="6638" spans="2:4" x14ac:dyDescent="0.2">
      <c r="B6638" s="20">
        <v>45705</v>
      </c>
      <c r="C6638" s="58">
        <v>22798.09</v>
      </c>
      <c r="D6638" s="3">
        <f t="shared" si="106"/>
        <v>1.264445828310401E-2</v>
      </c>
    </row>
    <row r="6639" spans="2:4" x14ac:dyDescent="0.2">
      <c r="B6639" s="20">
        <v>45706</v>
      </c>
      <c r="C6639" s="58">
        <v>22844.5</v>
      </c>
      <c r="D6639" s="3">
        <f t="shared" si="106"/>
        <v>2.0356968500432338E-3</v>
      </c>
    </row>
    <row r="6640" spans="2:4" x14ac:dyDescent="0.2">
      <c r="B6640" s="20">
        <v>45707</v>
      </c>
      <c r="C6640" s="58">
        <v>22433.63</v>
      </c>
      <c r="D6640" s="3">
        <f t="shared" si="106"/>
        <v>-1.7985510735625598E-2</v>
      </c>
    </row>
    <row r="6641" spans="2:4" x14ac:dyDescent="0.2">
      <c r="B6641" s="20">
        <v>45708</v>
      </c>
      <c r="C6641" s="58">
        <v>22314.65</v>
      </c>
      <c r="D6641" s="3">
        <f t="shared" si="106"/>
        <v>-5.3036445729023329E-3</v>
      </c>
    </row>
    <row r="6642" spans="2:4" x14ac:dyDescent="0.2">
      <c r="B6642" s="20">
        <v>45709</v>
      </c>
      <c r="C6642" s="58">
        <v>22287.56</v>
      </c>
      <c r="D6642" s="3">
        <f t="shared" si="106"/>
        <v>-1.2140006677228143E-3</v>
      </c>
    </row>
    <row r="6643" spans="2:4" x14ac:dyDescent="0.2">
      <c r="B6643" s="20">
        <v>45712</v>
      </c>
      <c r="C6643" s="58">
        <v>22425.93</v>
      </c>
      <c r="D6643" s="3">
        <f t="shared" si="106"/>
        <v>6.2083960738634758E-3</v>
      </c>
    </row>
    <row r="6644" spans="2:4" x14ac:dyDescent="0.2">
      <c r="B6644" s="20">
        <v>45713</v>
      </c>
      <c r="C6644" s="58">
        <v>22410.27</v>
      </c>
      <c r="D6644" s="3">
        <f t="shared" si="106"/>
        <v>-6.9829879964844466E-4</v>
      </c>
    </row>
    <row r="6645" spans="2:4" x14ac:dyDescent="0.2">
      <c r="B6645" s="20">
        <v>45714</v>
      </c>
      <c r="C6645" s="58">
        <v>22794.11</v>
      </c>
      <c r="D6645" s="3">
        <f t="shared" si="106"/>
        <v>1.7127861467086225E-2</v>
      </c>
    </row>
    <row r="6646" spans="2:4" x14ac:dyDescent="0.2">
      <c r="B6646" s="20">
        <v>45715</v>
      </c>
      <c r="C6646" s="58">
        <v>22550.89</v>
      </c>
      <c r="D6646" s="3">
        <f t="shared" si="106"/>
        <v>-1.0670300353907258E-2</v>
      </c>
    </row>
    <row r="6647" spans="2:4" x14ac:dyDescent="0.2">
      <c r="B6647" s="20">
        <v>45716</v>
      </c>
      <c r="C6647" s="58">
        <v>22551.43</v>
      </c>
      <c r="D6647" s="3">
        <f t="shared" si="106"/>
        <v>2.3945839831673865E-5</v>
      </c>
    </row>
    <row r="6648" spans="2:4" x14ac:dyDescent="0.2">
      <c r="B6648" s="20">
        <v>45719</v>
      </c>
      <c r="C6648" s="58">
        <v>23147.02</v>
      </c>
      <c r="D6648" s="3">
        <f t="shared" si="106"/>
        <v>2.6410298593038339E-2</v>
      </c>
    </row>
    <row r="6649" spans="2:4" x14ac:dyDescent="0.2">
      <c r="B6649" s="20">
        <v>45720</v>
      </c>
      <c r="C6649" s="58">
        <v>22326.81</v>
      </c>
      <c r="D6649" s="3">
        <f t="shared" si="106"/>
        <v>-3.5434798950361612E-2</v>
      </c>
    </row>
    <row r="6650" spans="2:4" x14ac:dyDescent="0.2">
      <c r="B6650" s="20">
        <v>45721</v>
      </c>
      <c r="C6650" s="58">
        <v>23081.03</v>
      </c>
      <c r="D6650" s="3">
        <f t="shared" si="106"/>
        <v>3.3780911827529181E-2</v>
      </c>
    </row>
    <row r="6651" spans="2:4" x14ac:dyDescent="0.2">
      <c r="B6651" s="20">
        <v>45722</v>
      </c>
      <c r="C6651" s="58">
        <v>23419.48</v>
      </c>
      <c r="D6651" s="3">
        <f t="shared" si="106"/>
        <v>1.4663557042298381E-2</v>
      </c>
    </row>
    <row r="6652" spans="2:4" x14ac:dyDescent="0.2">
      <c r="B6652" s="20">
        <v>45723</v>
      </c>
      <c r="C6652" s="58">
        <v>23008.94</v>
      </c>
      <c r="D6652" s="3">
        <f t="shared" si="106"/>
        <v>-1.7529851217875092E-2</v>
      </c>
    </row>
    <row r="6653" spans="2:4" x14ac:dyDescent="0.2">
      <c r="B6653" s="20">
        <v>45726</v>
      </c>
      <c r="C6653" s="58">
        <v>22620.95</v>
      </c>
      <c r="D6653" s="3">
        <f t="shared" si="106"/>
        <v>-1.6862576024797238E-2</v>
      </c>
    </row>
    <row r="6654" spans="2:4" x14ac:dyDescent="0.2">
      <c r="B6654" s="20">
        <v>45727</v>
      </c>
      <c r="C6654" s="58">
        <v>22328.77</v>
      </c>
      <c r="D6654" s="3">
        <f t="shared" si="106"/>
        <v>-1.2916345246331451E-2</v>
      </c>
    </row>
    <row r="6655" spans="2:4" x14ac:dyDescent="0.2">
      <c r="B6655" s="20">
        <v>45728</v>
      </c>
      <c r="C6655" s="58">
        <v>22676.41</v>
      </c>
      <c r="D6655" s="3">
        <f t="shared" si="106"/>
        <v>1.5569151368391543E-2</v>
      </c>
    </row>
    <row r="6656" spans="2:4" x14ac:dyDescent="0.2">
      <c r="B6656" s="20">
        <v>45729</v>
      </c>
      <c r="C6656" s="58">
        <v>22567.14</v>
      </c>
      <c r="D6656" s="3">
        <f t="shared" si="106"/>
        <v>-4.8186639772345163E-3</v>
      </c>
    </row>
    <row r="6657" spans="2:4" x14ac:dyDescent="0.2">
      <c r="B6657" s="20">
        <v>45730</v>
      </c>
      <c r="C6657" s="58">
        <v>22986.82</v>
      </c>
      <c r="D6657" s="3">
        <f t="shared" si="106"/>
        <v>1.8596951142235918E-2</v>
      </c>
    </row>
    <row r="6658" spans="2:4" x14ac:dyDescent="0.2">
      <c r="B6658" s="20">
        <v>45733</v>
      </c>
      <c r="C6658" s="58">
        <v>23154.57</v>
      </c>
      <c r="D6658" s="3">
        <f t="shared" si="106"/>
        <v>7.2976601374179495E-3</v>
      </c>
    </row>
    <row r="6659" spans="2:4" x14ac:dyDescent="0.2">
      <c r="B6659" s="20">
        <v>45734</v>
      </c>
      <c r="C6659" s="58">
        <v>23380.7</v>
      </c>
      <c r="D6659" s="3">
        <f t="shared" si="106"/>
        <v>9.7661066476293357E-3</v>
      </c>
    </row>
    <row r="6660" spans="2:4" x14ac:dyDescent="0.2">
      <c r="B6660" s="20">
        <v>45735</v>
      </c>
      <c r="C6660" s="58">
        <v>23288.06</v>
      </c>
      <c r="D6660" s="3">
        <f t="shared" si="106"/>
        <v>-3.9622423622902581E-3</v>
      </c>
    </row>
    <row r="6661" spans="2:4" x14ac:dyDescent="0.2">
      <c r="B6661" s="20">
        <v>45736</v>
      </c>
      <c r="C6661" s="58">
        <v>22999.15</v>
      </c>
      <c r="D6661" s="3">
        <f t="shared" ref="D6661:D6724" si="107">C6661/C6660-1</f>
        <v>-1.2405928188092941E-2</v>
      </c>
    </row>
    <row r="6662" spans="2:4" x14ac:dyDescent="0.2">
      <c r="B6662" s="20">
        <v>45737</v>
      </c>
      <c r="C6662" s="58">
        <v>22891.68</v>
      </c>
      <c r="D6662" s="3">
        <f t="shared" si="107"/>
        <v>-4.6727813853990607E-3</v>
      </c>
    </row>
    <row r="6663" spans="2:4" x14ac:dyDescent="0.2">
      <c r="B6663" s="20">
        <v>45740</v>
      </c>
      <c r="C6663" s="58">
        <v>22852.66</v>
      </c>
      <c r="D6663" s="3">
        <f t="shared" si="107"/>
        <v>-1.7045494258176586E-3</v>
      </c>
    </row>
    <row r="6664" spans="2:4" x14ac:dyDescent="0.2">
      <c r="B6664" s="20">
        <v>45741</v>
      </c>
      <c r="C6664" s="58">
        <v>23109.79</v>
      </c>
      <c r="D6664" s="3">
        <f t="shared" si="107"/>
        <v>1.1251644228724489E-2</v>
      </c>
    </row>
    <row r="6665" spans="2:4" x14ac:dyDescent="0.2">
      <c r="B6665" s="20">
        <v>45742</v>
      </c>
      <c r="C6665" s="58">
        <v>22839.03</v>
      </c>
      <c r="D6665" s="3">
        <f t="shared" si="107"/>
        <v>-1.1716246664292607E-2</v>
      </c>
    </row>
    <row r="6666" spans="2:4" x14ac:dyDescent="0.2">
      <c r="B6666" s="20">
        <v>45743</v>
      </c>
      <c r="C6666" s="58">
        <v>22678.74</v>
      </c>
      <c r="D6666" s="3">
        <f t="shared" si="107"/>
        <v>-7.018249023710621E-3</v>
      </c>
    </row>
    <row r="6667" spans="2:4" x14ac:dyDescent="0.2">
      <c r="B6667" s="20">
        <v>45744</v>
      </c>
      <c r="C6667" s="58">
        <v>22461.52</v>
      </c>
      <c r="D6667" s="3">
        <f t="shared" si="107"/>
        <v>-9.5781335294642389E-3</v>
      </c>
    </row>
    <row r="6668" spans="2:4" x14ac:dyDescent="0.2">
      <c r="B6668" s="20">
        <v>45747</v>
      </c>
      <c r="C6668" s="58">
        <v>22163.49</v>
      </c>
      <c r="D6668" s="3">
        <f t="shared" si="107"/>
        <v>-1.32684698097012E-2</v>
      </c>
    </row>
    <row r="6669" spans="2:4" x14ac:dyDescent="0.2">
      <c r="B6669" s="20">
        <v>45748</v>
      </c>
      <c r="C6669" s="58">
        <v>22539.98</v>
      </c>
      <c r="D6669" s="3">
        <f t="shared" si="107"/>
        <v>1.6986945648000296E-2</v>
      </c>
    </row>
    <row r="6670" spans="2:4" x14ac:dyDescent="0.2">
      <c r="B6670" s="20">
        <v>45749</v>
      </c>
      <c r="C6670" s="58">
        <v>22390.84</v>
      </c>
      <c r="D6670" s="3">
        <f t="shared" si="107"/>
        <v>-6.6166873262532011E-3</v>
      </c>
    </row>
    <row r="6671" spans="2:4" x14ac:dyDescent="0.2">
      <c r="B6671" s="20">
        <v>45750</v>
      </c>
      <c r="C6671" s="58">
        <v>21717.39</v>
      </c>
      <c r="D6671" s="3">
        <f t="shared" si="107"/>
        <v>-3.0077031500381435E-2</v>
      </c>
    </row>
    <row r="6672" spans="2:4" x14ac:dyDescent="0.2">
      <c r="B6672" s="20">
        <v>45751</v>
      </c>
      <c r="C6672" s="58">
        <v>20641.72</v>
      </c>
      <c r="D6672" s="3">
        <f t="shared" si="107"/>
        <v>-4.9530353325146215E-2</v>
      </c>
    </row>
    <row r="6673" spans="2:4" x14ac:dyDescent="0.2">
      <c r="B6673" s="20">
        <v>45754</v>
      </c>
      <c r="C6673" s="58">
        <v>19789.62</v>
      </c>
      <c r="D6673" s="3">
        <f t="shared" si="107"/>
        <v>-4.128047468912488E-2</v>
      </c>
    </row>
    <row r="6674" spans="2:4" x14ac:dyDescent="0.2">
      <c r="B6674" s="20">
        <v>45755</v>
      </c>
      <c r="C6674" s="58">
        <v>20280.259999999998</v>
      </c>
      <c r="D6674" s="3">
        <f t="shared" si="107"/>
        <v>2.4792795414970037E-2</v>
      </c>
    </row>
    <row r="6675" spans="2:4" x14ac:dyDescent="0.2">
      <c r="B6675" s="20">
        <v>45756</v>
      </c>
      <c r="C6675" s="58">
        <v>19670.88</v>
      </c>
      <c r="D6675" s="3">
        <f t="shared" si="107"/>
        <v>-3.0047938241422822E-2</v>
      </c>
    </row>
    <row r="6676" spans="2:4" x14ac:dyDescent="0.2">
      <c r="B6676" s="20">
        <v>45757</v>
      </c>
      <c r="C6676" s="58">
        <v>20562.73</v>
      </c>
      <c r="D6676" s="3">
        <f t="shared" si="107"/>
        <v>4.5338591867776001E-2</v>
      </c>
    </row>
    <row r="6677" spans="2:4" x14ac:dyDescent="0.2">
      <c r="B6677" s="20">
        <v>45758</v>
      </c>
      <c r="C6677" s="58">
        <v>20374.099999999999</v>
      </c>
      <c r="D6677" s="3">
        <f t="shared" si="107"/>
        <v>-9.1733928325665737E-3</v>
      </c>
    </row>
    <row r="6678" spans="2:4" x14ac:dyDescent="0.2">
      <c r="B6678" s="20">
        <v>45761</v>
      </c>
      <c r="C6678" s="58">
        <v>20954.830000000002</v>
      </c>
      <c r="D6678" s="3">
        <f t="shared" si="107"/>
        <v>2.8503344933027863E-2</v>
      </c>
    </row>
    <row r="6679" spans="2:4" x14ac:dyDescent="0.2">
      <c r="B6679" s="20">
        <v>45762</v>
      </c>
      <c r="C6679" s="58">
        <v>21253.7</v>
      </c>
      <c r="D6679" s="3">
        <f t="shared" si="107"/>
        <v>1.4262582898548981E-2</v>
      </c>
    </row>
    <row r="6680" spans="2:4" x14ac:dyDescent="0.2">
      <c r="B6680" s="20">
        <v>45763</v>
      </c>
      <c r="C6680" s="58">
        <v>21311.02</v>
      </c>
      <c r="D6680" s="3">
        <f t="shared" si="107"/>
        <v>2.6969421794793558E-3</v>
      </c>
    </row>
    <row r="6681" spans="2:4" x14ac:dyDescent="0.2">
      <c r="B6681" s="20">
        <v>45764</v>
      </c>
      <c r="C6681" s="58">
        <v>21205.86</v>
      </c>
      <c r="D6681" s="3">
        <f t="shared" si="107"/>
        <v>-4.9345362164738837E-3</v>
      </c>
    </row>
    <row r="6682" spans="2:4" x14ac:dyDescent="0.2">
      <c r="B6682" s="20">
        <v>45769</v>
      </c>
      <c r="C6682" s="58">
        <v>21293.53</v>
      </c>
      <c r="D6682" s="3">
        <f t="shared" si="107"/>
        <v>4.1342345936452585E-3</v>
      </c>
    </row>
    <row r="6683" spans="2:4" x14ac:dyDescent="0.2">
      <c r="B6683" s="20">
        <v>45770</v>
      </c>
      <c r="C6683" s="58">
        <v>21961.97</v>
      </c>
      <c r="D6683" s="3">
        <f t="shared" si="107"/>
        <v>3.139169503600403E-2</v>
      </c>
    </row>
    <row r="6684" spans="2:4" x14ac:dyDescent="0.2">
      <c r="B6684" s="20">
        <v>45771</v>
      </c>
      <c r="C6684" s="58">
        <v>22064.51</v>
      </c>
      <c r="D6684" s="3">
        <f t="shared" si="107"/>
        <v>4.6689800596211306E-3</v>
      </c>
    </row>
    <row r="6685" spans="2:4" x14ac:dyDescent="0.2">
      <c r="B6685" s="20">
        <v>45772</v>
      </c>
      <c r="C6685" s="58">
        <v>22242.45</v>
      </c>
      <c r="D6685" s="3">
        <f t="shared" si="107"/>
        <v>8.0645344038912103E-3</v>
      </c>
    </row>
    <row r="6686" spans="2:4" x14ac:dyDescent="0.2">
      <c r="B6686" s="20">
        <v>45775</v>
      </c>
      <c r="C6686" s="58">
        <v>22271.67</v>
      </c>
      <c r="D6686" s="3">
        <f t="shared" si="107"/>
        <v>1.3137042007511646E-3</v>
      </c>
    </row>
    <row r="6687" spans="2:4" x14ac:dyDescent="0.2">
      <c r="B6687" s="20">
        <v>45776</v>
      </c>
      <c r="C6687" s="58">
        <v>22425.83</v>
      </c>
      <c r="D6687" s="3">
        <f t="shared" si="107"/>
        <v>6.9217979612665737E-3</v>
      </c>
    </row>
    <row r="6688" spans="2:4" x14ac:dyDescent="0.2">
      <c r="B6688" s="20">
        <v>45777</v>
      </c>
      <c r="C6688" s="58">
        <v>22496.98</v>
      </c>
      <c r="D6688" s="3">
        <f t="shared" si="107"/>
        <v>3.1726807881802266E-3</v>
      </c>
    </row>
    <row r="6689" spans="2:4" x14ac:dyDescent="0.2">
      <c r="B6689" s="20">
        <v>45779</v>
      </c>
      <c r="C6689" s="58">
        <v>23086.65</v>
      </c>
      <c r="D6689" s="3">
        <f t="shared" si="107"/>
        <v>2.6211073664109685E-2</v>
      </c>
    </row>
    <row r="6690" spans="2:4" x14ac:dyDescent="0.2">
      <c r="B6690" s="20">
        <v>45782</v>
      </c>
      <c r="C6690" s="58">
        <v>23344.54</v>
      </c>
      <c r="D6690" s="3">
        <f t="shared" si="107"/>
        <v>1.1170524957063943E-2</v>
      </c>
    </row>
    <row r="6691" spans="2:4" x14ac:dyDescent="0.2">
      <c r="B6691" s="20">
        <v>45783</v>
      </c>
      <c r="C6691" s="58">
        <v>23249.65</v>
      </c>
      <c r="D6691" s="3">
        <f t="shared" si="107"/>
        <v>-4.0647620385751981E-3</v>
      </c>
    </row>
    <row r="6692" spans="2:4" x14ac:dyDescent="0.2">
      <c r="B6692" s="20">
        <v>45784</v>
      </c>
      <c r="C6692" s="58">
        <v>23115.96</v>
      </c>
      <c r="D6692" s="3">
        <f t="shared" si="107"/>
        <v>-5.7501940889433945E-3</v>
      </c>
    </row>
    <row r="6693" spans="2:4" x14ac:dyDescent="0.2">
      <c r="B6693" s="20">
        <v>45785</v>
      </c>
      <c r="C6693" s="58">
        <v>23352.69</v>
      </c>
      <c r="D6693" s="3">
        <f t="shared" si="107"/>
        <v>1.0240976364382037E-2</v>
      </c>
    </row>
    <row r="6694" spans="2:4" x14ac:dyDescent="0.2">
      <c r="B6694" s="20">
        <v>45786</v>
      </c>
      <c r="C6694" s="58">
        <v>23499.32</v>
      </c>
      <c r="D6694" s="3">
        <f t="shared" si="107"/>
        <v>6.2789340328672782E-3</v>
      </c>
    </row>
    <row r="6695" spans="2:4" x14ac:dyDescent="0.2">
      <c r="B6695" s="20">
        <v>45789</v>
      </c>
      <c r="C6695" s="58">
        <v>23566.54</v>
      </c>
      <c r="D6695" s="3">
        <f t="shared" si="107"/>
        <v>2.8605083040700308E-3</v>
      </c>
    </row>
    <row r="6696" spans="2:4" x14ac:dyDescent="0.2">
      <c r="B6696" s="20">
        <v>45790</v>
      </c>
      <c r="C6696" s="58">
        <v>23638.560000000001</v>
      </c>
      <c r="D6696" s="3">
        <f t="shared" si="107"/>
        <v>3.0560277410260905E-3</v>
      </c>
    </row>
    <row r="6697" spans="2:4" x14ac:dyDescent="0.2">
      <c r="B6697" s="20">
        <v>45791</v>
      </c>
      <c r="C6697" s="58">
        <v>23527.01</v>
      </c>
      <c r="D6697" s="3">
        <f t="shared" si="107"/>
        <v>-4.7189845743565995E-3</v>
      </c>
    </row>
    <row r="6698" spans="2:4" x14ac:dyDescent="0.2">
      <c r="B6698" s="20">
        <v>45792</v>
      </c>
      <c r="C6698" s="58">
        <v>23695.59</v>
      </c>
      <c r="D6698" s="3">
        <f t="shared" si="107"/>
        <v>7.1653814063070698E-3</v>
      </c>
    </row>
    <row r="6699" spans="2:4" x14ac:dyDescent="0.2">
      <c r="B6699" s="20">
        <v>45793</v>
      </c>
      <c r="C6699" s="58">
        <v>23767.43</v>
      </c>
      <c r="D6699" s="3">
        <f t="shared" si="107"/>
        <v>3.0317877714798325E-3</v>
      </c>
    </row>
    <row r="6700" spans="2:4" x14ac:dyDescent="0.2">
      <c r="B6700" s="20">
        <v>45796</v>
      </c>
      <c r="C6700" s="58">
        <v>23934.98</v>
      </c>
      <c r="D6700" s="3">
        <f t="shared" si="107"/>
        <v>7.0495632047722356E-3</v>
      </c>
    </row>
    <row r="6701" spans="2:4" x14ac:dyDescent="0.2">
      <c r="B6701" s="20">
        <v>45797</v>
      </c>
      <c r="C6701" s="58">
        <v>24036.11</v>
      </c>
      <c r="D6701" s="3">
        <f t="shared" si="107"/>
        <v>4.2251967622284337E-3</v>
      </c>
    </row>
    <row r="6702" spans="2:4" x14ac:dyDescent="0.2">
      <c r="B6702" s="20">
        <v>45798</v>
      </c>
      <c r="C6702" s="58">
        <v>24122.400000000001</v>
      </c>
      <c r="D6702" s="3">
        <f t="shared" si="107"/>
        <v>3.5900151896459676E-3</v>
      </c>
    </row>
    <row r="6703" spans="2:4" x14ac:dyDescent="0.2">
      <c r="B6703" s="20">
        <v>45799</v>
      </c>
      <c r="C6703" s="58">
        <v>23999.17</v>
      </c>
      <c r="D6703" s="3">
        <f t="shared" si="107"/>
        <v>-5.1085298311943639E-3</v>
      </c>
    </row>
    <row r="6704" spans="2:4" x14ac:dyDescent="0.2">
      <c r="B6704" s="20">
        <v>45800</v>
      </c>
      <c r="C6704" s="58">
        <v>23629.58</v>
      </c>
      <c r="D6704" s="3">
        <f t="shared" si="107"/>
        <v>-1.5400115920675472E-2</v>
      </c>
    </row>
    <row r="6705" spans="2:4" x14ac:dyDescent="0.2">
      <c r="B6705" s="20">
        <v>45803</v>
      </c>
      <c r="C6705" s="58">
        <v>24027.65</v>
      </c>
      <c r="D6705" s="3">
        <f t="shared" si="107"/>
        <v>1.6846257952955579E-2</v>
      </c>
    </row>
    <row r="6706" spans="2:4" x14ac:dyDescent="0.2">
      <c r="B6706" s="20">
        <v>45804</v>
      </c>
      <c r="C6706" s="58">
        <v>24226.49</v>
      </c>
      <c r="D6706" s="3">
        <f t="shared" si="107"/>
        <v>8.2754659735762015E-3</v>
      </c>
    </row>
    <row r="6707" spans="2:4" x14ac:dyDescent="0.2">
      <c r="B6707" s="20">
        <v>45805</v>
      </c>
      <c r="C6707" s="58">
        <v>24038.19</v>
      </c>
      <c r="D6707" s="3">
        <f t="shared" si="107"/>
        <v>-7.7724837564171478E-3</v>
      </c>
    </row>
    <row r="6708" spans="2:4" x14ac:dyDescent="0.2">
      <c r="B6708" s="20">
        <v>45806</v>
      </c>
      <c r="C6708" s="58">
        <v>23933.23</v>
      </c>
      <c r="D6708" s="3">
        <f t="shared" si="107"/>
        <v>-4.3663853226885152E-3</v>
      </c>
    </row>
    <row r="6709" spans="2:4" x14ac:dyDescent="0.2">
      <c r="B6709" s="20">
        <v>45807</v>
      </c>
      <c r="C6709" s="58">
        <v>23997.48</v>
      </c>
      <c r="D6709" s="3">
        <f t="shared" si="107"/>
        <v>2.6845519806562024E-3</v>
      </c>
    </row>
    <row r="6710" spans="2:4" x14ac:dyDescent="0.2">
      <c r="B6710" s="20">
        <v>45810</v>
      </c>
      <c r="C6710" s="58">
        <v>23930.67</v>
      </c>
      <c r="D6710" s="3">
        <f t="shared" si="107"/>
        <v>-2.7840423244440693E-3</v>
      </c>
    </row>
    <row r="6711" spans="2:4" x14ac:dyDescent="0.2">
      <c r="B6711" s="20">
        <v>45811</v>
      </c>
      <c r="C6711" s="58">
        <v>24091.62</v>
      </c>
      <c r="D6711" s="3">
        <f t="shared" si="107"/>
        <v>6.7256788046470284E-3</v>
      </c>
    </row>
    <row r="6712" spans="2:4" x14ac:dyDescent="0.2">
      <c r="B6712" s="20">
        <v>45812</v>
      </c>
      <c r="C6712" s="58">
        <v>24276.48</v>
      </c>
      <c r="D6712" s="3">
        <f t="shared" si="107"/>
        <v>7.6732075302532454E-3</v>
      </c>
    </row>
    <row r="6713" spans="2:4" x14ac:dyDescent="0.2">
      <c r="B6713" s="20">
        <v>45813</v>
      </c>
      <c r="C6713" s="58">
        <v>24323.58</v>
      </c>
      <c r="D6713" s="3">
        <f t="shared" si="107"/>
        <v>1.9401494780133532E-3</v>
      </c>
    </row>
    <row r="6714" spans="2:4" x14ac:dyDescent="0.2">
      <c r="B6714" s="20">
        <v>45814</v>
      </c>
      <c r="C6714" s="58">
        <v>24304.46</v>
      </c>
      <c r="D6714" s="3">
        <f t="shared" si="107"/>
        <v>-7.8606849814055746E-4</v>
      </c>
    </row>
    <row r="6715" spans="2:4" x14ac:dyDescent="0.2">
      <c r="B6715" s="20">
        <v>45817</v>
      </c>
      <c r="C6715" s="58">
        <v>24174.32</v>
      </c>
      <c r="D6715" s="3">
        <f t="shared" si="107"/>
        <v>-5.3545727821148192E-3</v>
      </c>
    </row>
    <row r="6716" spans="2:4" x14ac:dyDescent="0.2">
      <c r="B6716" s="20">
        <v>45818</v>
      </c>
      <c r="C6716" s="58">
        <v>23987.56</v>
      </c>
      <c r="D6716" s="3">
        <f t="shared" si="107"/>
        <v>-7.7255533971585244E-3</v>
      </c>
    </row>
    <row r="6717" spans="2:4" x14ac:dyDescent="0.2">
      <c r="B6717" s="20">
        <v>45819</v>
      </c>
      <c r="C6717" s="58">
        <v>23948.9</v>
      </c>
      <c r="D6717" s="3">
        <f t="shared" si="107"/>
        <v>-1.6116687149505537E-3</v>
      </c>
    </row>
    <row r="6718" spans="2:4" x14ac:dyDescent="0.2">
      <c r="B6718" s="20">
        <v>45820</v>
      </c>
      <c r="C6718" s="58">
        <v>23771.45</v>
      </c>
      <c r="D6718" s="3">
        <f t="shared" si="107"/>
        <v>-7.4095261160220804E-3</v>
      </c>
    </row>
    <row r="6719" spans="2:4" x14ac:dyDescent="0.2">
      <c r="B6719" s="20">
        <v>45821</v>
      </c>
      <c r="C6719" s="58">
        <v>23516.23</v>
      </c>
      <c r="D6719" s="3">
        <f t="shared" si="107"/>
        <v>-1.0736408590977908E-2</v>
      </c>
    </row>
    <row r="6720" spans="2:4" x14ac:dyDescent="0.2">
      <c r="B6720" s="20">
        <v>45824</v>
      </c>
      <c r="C6720" s="58">
        <v>23699.119999999999</v>
      </c>
      <c r="D6720" s="3">
        <f t="shared" si="107"/>
        <v>7.7771819717700197E-3</v>
      </c>
    </row>
    <row r="6721" spans="2:4" x14ac:dyDescent="0.2">
      <c r="B6721" s="20">
        <v>45825</v>
      </c>
      <c r="C6721" s="58">
        <v>23434.65</v>
      </c>
      <c r="D6721" s="3">
        <f t="shared" si="107"/>
        <v>-1.1159486090622672E-2</v>
      </c>
    </row>
    <row r="6722" spans="2:4" x14ac:dyDescent="0.2">
      <c r="B6722" s="20">
        <v>45826</v>
      </c>
      <c r="C6722" s="58">
        <v>23317.81</v>
      </c>
      <c r="D6722" s="3">
        <f t="shared" si="107"/>
        <v>-4.9857796041331559E-3</v>
      </c>
    </row>
    <row r="6723" spans="2:4" x14ac:dyDescent="0.2">
      <c r="B6723" s="20">
        <v>45827</v>
      </c>
      <c r="C6723" s="58">
        <v>23057.38</v>
      </c>
      <c r="D6723" s="3">
        <f t="shared" si="107"/>
        <v>-1.116871610155501E-2</v>
      </c>
    </row>
    <row r="6724" spans="2:4" x14ac:dyDescent="0.2">
      <c r="B6724" s="20">
        <v>45828</v>
      </c>
      <c r="C6724" s="58">
        <v>23350.55</v>
      </c>
      <c r="D6724" s="3">
        <f t="shared" si="107"/>
        <v>1.2714801074536597E-2</v>
      </c>
    </row>
    <row r="6725" spans="2:4" x14ac:dyDescent="0.2">
      <c r="B6725" s="20">
        <v>45831</v>
      </c>
      <c r="C6725" s="58">
        <v>23269.01</v>
      </c>
      <c r="D6725" s="3">
        <f t="shared" ref="D6725:D6788" si="108">C6725/C6724-1</f>
        <v>-3.4919948352394314E-3</v>
      </c>
    </row>
    <row r="6726" spans="2:4" x14ac:dyDescent="0.2">
      <c r="B6726" s="20">
        <v>45832</v>
      </c>
      <c r="C6726" s="58">
        <v>23641.58</v>
      </c>
      <c r="D6726" s="3">
        <f t="shared" si="108"/>
        <v>1.6011424637318195E-2</v>
      </c>
    </row>
    <row r="6727" spans="2:4" x14ac:dyDescent="0.2">
      <c r="B6727" s="20">
        <v>45833</v>
      </c>
      <c r="C6727" s="58">
        <v>23498.33</v>
      </c>
      <c r="D6727" s="3">
        <f t="shared" si="108"/>
        <v>-6.0592396954857186E-3</v>
      </c>
    </row>
    <row r="6728" spans="2:4" x14ac:dyDescent="0.2">
      <c r="B6728" s="20">
        <v>45834</v>
      </c>
      <c r="C6728" s="58">
        <v>23649.3</v>
      </c>
      <c r="D6728" s="3">
        <f t="shared" si="108"/>
        <v>6.4247118837805761E-3</v>
      </c>
    </row>
    <row r="6729" spans="2:4" x14ac:dyDescent="0.2">
      <c r="B6729" s="20">
        <v>45835</v>
      </c>
      <c r="C6729" s="58">
        <v>24033.22</v>
      </c>
      <c r="D6729" s="3">
        <f t="shared" si="108"/>
        <v>1.6233884301015244E-2</v>
      </c>
    </row>
    <row r="6730" spans="2:4" x14ac:dyDescent="0.2">
      <c r="B6730" s="20">
        <v>45838</v>
      </c>
      <c r="C6730" s="58">
        <v>23909.61</v>
      </c>
      <c r="D6730" s="3">
        <f t="shared" si="108"/>
        <v>-5.1432974857301694E-3</v>
      </c>
    </row>
    <row r="6731" spans="2:4" x14ac:dyDescent="0.2">
      <c r="B6731" s="20">
        <v>45839</v>
      </c>
      <c r="C6731" s="58">
        <v>23673.29</v>
      </c>
      <c r="D6731" s="3">
        <f t="shared" si="108"/>
        <v>-9.8838918744387216E-3</v>
      </c>
    </row>
    <row r="6732" spans="2:4" x14ac:dyDescent="0.2">
      <c r="B6732" s="20">
        <v>45840</v>
      </c>
      <c r="C6732" s="58">
        <v>23790.11</v>
      </c>
      <c r="D6732" s="3">
        <f t="shared" si="108"/>
        <v>4.9346753239620789E-3</v>
      </c>
    </row>
    <row r="6733" spans="2:4" x14ac:dyDescent="0.2">
      <c r="B6733" s="20">
        <v>45841</v>
      </c>
      <c r="C6733" s="58">
        <v>23934.13</v>
      </c>
      <c r="D6733" s="3">
        <f t="shared" si="108"/>
        <v>6.0537761279793045E-3</v>
      </c>
    </row>
    <row r="6734" spans="2:4" x14ac:dyDescent="0.2">
      <c r="B6734" s="20">
        <v>45842</v>
      </c>
      <c r="C6734" s="58">
        <v>23787.45</v>
      </c>
      <c r="D6734" s="3">
        <f t="shared" si="108"/>
        <v>-6.128486809422351E-3</v>
      </c>
    </row>
    <row r="6735" spans="2:4" x14ac:dyDescent="0.2">
      <c r="B6735" s="20">
        <v>45845</v>
      </c>
      <c r="C6735" s="58">
        <v>24073.67</v>
      </c>
      <c r="D6735" s="3">
        <f t="shared" si="108"/>
        <v>1.2032395233620985E-2</v>
      </c>
    </row>
    <row r="6736" spans="2:4" x14ac:dyDescent="0.2">
      <c r="B6736" s="20">
        <v>45846</v>
      </c>
      <c r="C6736" s="58">
        <v>24206.91</v>
      </c>
      <c r="D6736" s="3">
        <f t="shared" si="108"/>
        <v>5.5346775128179981E-3</v>
      </c>
    </row>
    <row r="6737" spans="2:4" x14ac:dyDescent="0.2">
      <c r="B6737" s="20">
        <v>45847</v>
      </c>
      <c r="C6737" s="58">
        <v>24549.56</v>
      </c>
      <c r="D6737" s="3">
        <f t="shared" si="108"/>
        <v>1.415504911614085E-2</v>
      </c>
    </row>
    <row r="6738" spans="2:4" x14ac:dyDescent="0.2">
      <c r="B6738" s="20">
        <v>45848</v>
      </c>
      <c r="C6738" s="58">
        <v>24456.81</v>
      </c>
      <c r="D6738" s="3">
        <f t="shared" si="108"/>
        <v>-3.7780717862153645E-3</v>
      </c>
    </row>
    <row r="6739" spans="2:4" x14ac:dyDescent="0.2">
      <c r="B6739" s="20">
        <v>45849</v>
      </c>
      <c r="C6739" s="58">
        <v>24255.31</v>
      </c>
      <c r="D6739" s="3">
        <f t="shared" si="108"/>
        <v>-8.2390140005994539E-3</v>
      </c>
    </row>
    <row r="6740" spans="2:4" x14ac:dyDescent="0.2">
      <c r="B6740" s="20">
        <v>45852</v>
      </c>
      <c r="C6740" s="58">
        <v>24160.639999999999</v>
      </c>
      <c r="D6740" s="3">
        <f t="shared" si="108"/>
        <v>-3.903062875716734E-3</v>
      </c>
    </row>
    <row r="6741" spans="2:4" x14ac:dyDescent="0.2">
      <c r="B6741" s="20">
        <v>45853</v>
      </c>
      <c r="C6741" s="58">
        <v>24060.29</v>
      </c>
      <c r="D6741" s="3">
        <f t="shared" si="108"/>
        <v>-4.1534495774945279E-3</v>
      </c>
    </row>
    <row r="6742" spans="2:4" x14ac:dyDescent="0.2">
      <c r="B6742" s="20">
        <v>45854</v>
      </c>
      <c r="C6742" s="58">
        <v>24009.38</v>
      </c>
      <c r="D6742" s="3">
        <f t="shared" si="108"/>
        <v>-2.1159345959670395E-3</v>
      </c>
    </row>
    <row r="6743" spans="2:4" x14ac:dyDescent="0.2">
      <c r="B6743" s="20">
        <v>45855</v>
      </c>
      <c r="C6743" s="58">
        <v>24370.93</v>
      </c>
      <c r="D6743" s="3">
        <f t="shared" si="108"/>
        <v>1.5058697892240458E-2</v>
      </c>
    </row>
    <row r="6744" spans="2:4" x14ac:dyDescent="0.2">
      <c r="B6744" s="20">
        <v>45856</v>
      </c>
      <c r="C6744" s="58">
        <v>24289.51</v>
      </c>
      <c r="D6744" s="3">
        <f t="shared" si="108"/>
        <v>-3.3408655311882862E-3</v>
      </c>
    </row>
    <row r="6745" spans="2:4" x14ac:dyDescent="0.2">
      <c r="B6745" s="20">
        <v>45859</v>
      </c>
      <c r="C6745" s="58">
        <v>24307.8</v>
      </c>
      <c r="D6745" s="3">
        <f t="shared" si="108"/>
        <v>7.529999575948132E-4</v>
      </c>
    </row>
    <row r="6746" spans="2:4" x14ac:dyDescent="0.2">
      <c r="B6746" s="20">
        <v>45860</v>
      </c>
      <c r="C6746" s="58">
        <v>24041.9</v>
      </c>
      <c r="D6746" s="3">
        <f t="shared" si="108"/>
        <v>-1.0938875587259922E-2</v>
      </c>
    </row>
    <row r="6747" spans="2:4" x14ac:dyDescent="0.2">
      <c r="B6747" s="20">
        <v>45861</v>
      </c>
      <c r="C6747" s="58">
        <v>24240.82</v>
      </c>
      <c r="D6747" s="3">
        <f t="shared" si="108"/>
        <v>8.2738885029884912E-3</v>
      </c>
    </row>
    <row r="6748" spans="2:4" x14ac:dyDescent="0.2">
      <c r="B6748" s="20">
        <v>45862</v>
      </c>
      <c r="C6748" s="58">
        <v>24295.93</v>
      </c>
      <c r="D6748" s="3">
        <f t="shared" si="108"/>
        <v>2.2734379447559849E-3</v>
      </c>
    </row>
    <row r="6749" spans="2:4" x14ac:dyDescent="0.2">
      <c r="B6749" s="20">
        <v>45863</v>
      </c>
      <c r="C6749" s="58">
        <v>24217.5</v>
      </c>
      <c r="D6749" s="3">
        <f t="shared" si="108"/>
        <v>-3.2281126921258618E-3</v>
      </c>
    </row>
    <row r="6750" spans="2:4" x14ac:dyDescent="0.2">
      <c r="B6750" s="20">
        <v>45866</v>
      </c>
      <c r="C6750" s="58">
        <v>23970.36</v>
      </c>
      <c r="D6750" s="3">
        <f t="shared" si="108"/>
        <v>-1.0205017033137143E-2</v>
      </c>
    </row>
    <row r="6751" spans="2:4" x14ac:dyDescent="0.2">
      <c r="B6751" s="20">
        <v>45867</v>
      </c>
      <c r="C6751" s="58">
        <v>24217.37</v>
      </c>
      <c r="D6751" s="3">
        <f t="shared" si="108"/>
        <v>1.0304809773403312E-2</v>
      </c>
    </row>
    <row r="6752" spans="2:4" x14ac:dyDescent="0.2">
      <c r="B6752" s="20">
        <v>45868</v>
      </c>
      <c r="C6752" s="58">
        <v>24262.22</v>
      </c>
      <c r="D6752" s="3">
        <f t="shared" si="108"/>
        <v>1.8519764945574835E-3</v>
      </c>
    </row>
    <row r="6753" spans="2:4" x14ac:dyDescent="0.2">
      <c r="B6753" s="20">
        <v>45869</v>
      </c>
      <c r="C6753" s="58">
        <v>24065.47</v>
      </c>
      <c r="D6753" s="3">
        <f t="shared" si="108"/>
        <v>-8.1093156355849239E-3</v>
      </c>
    </row>
    <row r="6754" spans="2:4" x14ac:dyDescent="0.2">
      <c r="B6754" s="20">
        <v>45870</v>
      </c>
      <c r="C6754" s="58">
        <v>23425.97</v>
      </c>
      <c r="D6754" s="3">
        <f t="shared" si="108"/>
        <v>-2.657334346680118E-2</v>
      </c>
    </row>
    <row r="6755" spans="2:4" x14ac:dyDescent="0.2">
      <c r="B6755" s="20">
        <v>45873</v>
      </c>
      <c r="C6755" s="58">
        <v>23757.69</v>
      </c>
      <c r="D6755" s="3">
        <f t="shared" si="108"/>
        <v>1.4160352805027809E-2</v>
      </c>
    </row>
    <row r="6756" spans="2:4" x14ac:dyDescent="0.2">
      <c r="B6756" s="20">
        <v>45874</v>
      </c>
      <c r="C6756" s="58">
        <v>23846.07</v>
      </c>
      <c r="D6756" s="3">
        <f t="shared" si="108"/>
        <v>3.7200586420649273E-3</v>
      </c>
    </row>
    <row r="6757" spans="2:4" x14ac:dyDescent="0.2">
      <c r="B6757" s="20">
        <v>45875</v>
      </c>
      <c r="C6757" s="58">
        <v>23924.36</v>
      </c>
      <c r="D6757" s="3">
        <f t="shared" si="108"/>
        <v>3.2831405762039356E-3</v>
      </c>
    </row>
    <row r="6758" spans="2:4" x14ac:dyDescent="0.2">
      <c r="B6758" s="20">
        <v>45876</v>
      </c>
      <c r="C6758" s="58">
        <v>24192.5</v>
      </c>
      <c r="D6758" s="3">
        <f t="shared" si="108"/>
        <v>1.1207823323173605E-2</v>
      </c>
    </row>
    <row r="6759" spans="2:4" x14ac:dyDescent="0.2">
      <c r="B6759" s="20">
        <v>45877</v>
      </c>
      <c r="C6759" s="58">
        <v>24162.86</v>
      </c>
      <c r="D6759" s="3">
        <f t="shared" si="108"/>
        <v>-1.2251730908339198E-3</v>
      </c>
    </row>
    <row r="6760" spans="2:4" x14ac:dyDescent="0.2">
      <c r="B6760" s="20">
        <v>45880</v>
      </c>
      <c r="C6760" s="58">
        <v>24081.34</v>
      </c>
      <c r="D6760" s="3">
        <f t="shared" si="108"/>
        <v>-3.3737728066959294E-3</v>
      </c>
    </row>
    <row r="6761" spans="2:4" x14ac:dyDescent="0.2">
      <c r="B6761" s="20">
        <v>45881</v>
      </c>
      <c r="C6761" s="58">
        <v>24024.78</v>
      </c>
      <c r="D6761" s="3">
        <f t="shared" si="108"/>
        <v>-2.3487065088571013E-3</v>
      </c>
    </row>
    <row r="6762" spans="2:4" x14ac:dyDescent="0.2">
      <c r="B6762" s="20">
        <v>45882</v>
      </c>
      <c r="C6762" s="58">
        <v>24185.59</v>
      </c>
      <c r="D6762" s="3">
        <f t="shared" si="108"/>
        <v>6.693505622111795E-3</v>
      </c>
    </row>
    <row r="6763" spans="2:4" x14ac:dyDescent="0.2">
      <c r="B6763" s="20">
        <v>45883</v>
      </c>
      <c r="C6763" s="58">
        <v>24377.5</v>
      </c>
      <c r="D6763" s="3">
        <f t="shared" si="108"/>
        <v>7.9348901556670626E-3</v>
      </c>
    </row>
    <row r="6764" spans="2:4" x14ac:dyDescent="0.2">
      <c r="B6764" s="20">
        <v>45884</v>
      </c>
      <c r="C6764" s="58">
        <v>24359.3</v>
      </c>
      <c r="D6764" s="3">
        <f t="shared" si="108"/>
        <v>-7.4659009332378456E-4</v>
      </c>
    </row>
    <row r="6765" spans="2:4" x14ac:dyDescent="0.2">
      <c r="B6765" s="20">
        <v>45887</v>
      </c>
      <c r="C6765" s="58">
        <v>24314.77</v>
      </c>
      <c r="D6765" s="3">
        <f t="shared" si="108"/>
        <v>-1.8280492460784892E-3</v>
      </c>
    </row>
    <row r="6766" spans="2:4" x14ac:dyDescent="0.2">
      <c r="B6766" s="20">
        <v>45888</v>
      </c>
      <c r="C6766" s="58">
        <v>24423.07</v>
      </c>
      <c r="D6766" s="3">
        <f t="shared" si="108"/>
        <v>4.4540828475860827E-3</v>
      </c>
    </row>
    <row r="6767" spans="2:4" x14ac:dyDescent="0.2">
      <c r="B6767" s="20">
        <v>45889</v>
      </c>
      <c r="C6767" s="58">
        <v>24276.97</v>
      </c>
      <c r="D6767" s="3">
        <f t="shared" si="108"/>
        <v>-5.9820489397933718E-3</v>
      </c>
    </row>
    <row r="6768" spans="2:4" x14ac:dyDescent="0.2">
      <c r="B6768" s="20">
        <v>45890</v>
      </c>
      <c r="C6768" s="58">
        <v>24293.34</v>
      </c>
      <c r="D6768" s="3">
        <f t="shared" si="108"/>
        <v>6.743016117745082E-4</v>
      </c>
    </row>
    <row r="6769" spans="2:4" x14ac:dyDescent="0.2">
      <c r="B6769" s="20">
        <v>45891</v>
      </c>
      <c r="C6769" s="58">
        <v>24363.09</v>
      </c>
      <c r="D6769" s="3">
        <f t="shared" si="108"/>
        <v>2.8711572801434215E-3</v>
      </c>
    </row>
    <row r="6770" spans="2:4" x14ac:dyDescent="0.2">
      <c r="B6770" s="20">
        <v>45894</v>
      </c>
      <c r="C6770" s="58">
        <v>24273.119999999999</v>
      </c>
      <c r="D6770" s="3">
        <f t="shared" si="108"/>
        <v>-3.692881321704311E-3</v>
      </c>
    </row>
    <row r="6771" spans="2:4" x14ac:dyDescent="0.2">
      <c r="B6771" s="20">
        <v>45895</v>
      </c>
      <c r="C6771" s="58">
        <v>24152.87</v>
      </c>
      <c r="D6771" s="3">
        <f t="shared" si="108"/>
        <v>-4.9540396949382393E-3</v>
      </c>
    </row>
    <row r="6772" spans="2:4" x14ac:dyDescent="0.2">
      <c r="B6772" s="20">
        <v>45896</v>
      </c>
      <c r="C6772" s="58">
        <v>24046.21</v>
      </c>
      <c r="D6772" s="3">
        <f t="shared" si="108"/>
        <v>-4.4160383424413086E-3</v>
      </c>
    </row>
    <row r="6773" spans="2:4" x14ac:dyDescent="0.2">
      <c r="B6773" s="20">
        <v>45897</v>
      </c>
      <c r="C6773" s="58">
        <v>24039.919999999998</v>
      </c>
      <c r="D6773" s="3">
        <f t="shared" si="108"/>
        <v>-2.6157968345119631E-4</v>
      </c>
    </row>
    <row r="6774" spans="2:4" x14ac:dyDescent="0.2">
      <c r="B6774" s="20">
        <v>45898</v>
      </c>
      <c r="C6774" s="58">
        <v>23902.21</v>
      </c>
      <c r="D6774" s="3">
        <f t="shared" si="108"/>
        <v>-5.7283884472161262E-3</v>
      </c>
    </row>
    <row r="6775" spans="2:4" x14ac:dyDescent="0.2">
      <c r="B6775" s="20">
        <v>45901</v>
      </c>
      <c r="C6775" s="58">
        <v>24037.33</v>
      </c>
      <c r="D6775" s="3">
        <f t="shared" si="108"/>
        <v>5.6530337571296663E-3</v>
      </c>
    </row>
    <row r="6776" spans="2:4" x14ac:dyDescent="0.2">
      <c r="B6776" s="20">
        <v>45902</v>
      </c>
      <c r="C6776" s="58">
        <v>23487.33</v>
      </c>
      <c r="D6776" s="3">
        <f t="shared" si="108"/>
        <v>-2.2881077058059307E-2</v>
      </c>
    </row>
    <row r="6777" spans="2:4" x14ac:dyDescent="0.2">
      <c r="B6777" s="20">
        <v>45903</v>
      </c>
      <c r="C6777" s="58">
        <v>23594.799999999999</v>
      </c>
      <c r="D6777" s="3">
        <f t="shared" si="108"/>
        <v>4.5756584507476994E-3</v>
      </c>
    </row>
    <row r="6778" spans="2:4" x14ac:dyDescent="0.2">
      <c r="B6778" s="20">
        <v>45904</v>
      </c>
      <c r="C6778" s="58">
        <v>23770.33</v>
      </c>
      <c r="D6778" s="3">
        <f t="shared" si="108"/>
        <v>7.4393510434502819E-3</v>
      </c>
    </row>
    <row r="6779" spans="2:4" x14ac:dyDescent="0.2">
      <c r="B6779" s="20">
        <v>45905</v>
      </c>
      <c r="C6779" s="58">
        <v>23596.98</v>
      </c>
      <c r="D6779" s="3">
        <f t="shared" si="108"/>
        <v>-7.2927048131011807E-3</v>
      </c>
    </row>
    <row r="6780" spans="2:4" x14ac:dyDescent="0.2">
      <c r="B6780" s="20">
        <v>45908</v>
      </c>
      <c r="C6780" s="58">
        <v>23807.13</v>
      </c>
      <c r="D6780" s="3">
        <f t="shared" si="108"/>
        <v>8.9058006575417625E-3</v>
      </c>
    </row>
    <row r="6781" spans="2:4" x14ac:dyDescent="0.2">
      <c r="B6781" s="20">
        <v>45909</v>
      </c>
      <c r="C6781" s="58">
        <v>23718.45</v>
      </c>
      <c r="D6781" s="3">
        <f t="shared" si="108"/>
        <v>-3.7249345049151783E-3</v>
      </c>
    </row>
    <row r="6782" spans="2:4" x14ac:dyDescent="0.2">
      <c r="B6782" s="20">
        <v>45910</v>
      </c>
      <c r="C6782" s="58">
        <v>23632.95</v>
      </c>
      <c r="D6782" s="3">
        <f t="shared" si="108"/>
        <v>-3.6047886771690685E-3</v>
      </c>
    </row>
    <row r="6783" spans="2:4" x14ac:dyDescent="0.2">
      <c r="B6783" s="20">
        <v>45911</v>
      </c>
      <c r="C6783" s="58">
        <v>23703.65</v>
      </c>
      <c r="D6783" s="3">
        <f t="shared" si="108"/>
        <v>2.9915859001945488E-3</v>
      </c>
    </row>
    <row r="6784" spans="2:4" x14ac:dyDescent="0.2">
      <c r="B6784" s="20">
        <v>45912</v>
      </c>
      <c r="C6784" s="58">
        <v>23698.15</v>
      </c>
      <c r="D6784" s="3">
        <f t="shared" si="108"/>
        <v>-2.3203177569697253E-4</v>
      </c>
    </row>
    <row r="6785" spans="2:4" x14ac:dyDescent="0.2">
      <c r="B6785" s="20">
        <v>45915</v>
      </c>
      <c r="C6785" s="58">
        <v>23748.86</v>
      </c>
      <c r="D6785" s="3">
        <f t="shared" si="108"/>
        <v>2.1398294803602891E-3</v>
      </c>
    </row>
    <row r="6786" spans="2:4" x14ac:dyDescent="0.2">
      <c r="B6786" s="20">
        <v>45916</v>
      </c>
      <c r="C6786" s="58">
        <v>23329.24</v>
      </c>
      <c r="D6786" s="3">
        <f t="shared" si="108"/>
        <v>-1.7669058641130553E-2</v>
      </c>
    </row>
    <row r="6787" spans="2:4" x14ac:dyDescent="0.2">
      <c r="B6787" s="20">
        <v>45917</v>
      </c>
      <c r="C6787" s="58">
        <v>23359.18</v>
      </c>
      <c r="D6787" s="3">
        <f t="shared" si="108"/>
        <v>1.2833679965571498E-3</v>
      </c>
    </row>
    <row r="6788" spans="2:4" x14ac:dyDescent="0.2">
      <c r="B6788" s="20">
        <v>45918</v>
      </c>
      <c r="C6788" s="58">
        <v>23674.53</v>
      </c>
      <c r="D6788" s="3">
        <f t="shared" si="108"/>
        <v>1.3500045806402294E-2</v>
      </c>
    </row>
    <row r="6789" spans="2:4" x14ac:dyDescent="0.2">
      <c r="B6789" s="20">
        <v>45919</v>
      </c>
      <c r="C6789" s="58">
        <v>23639.41</v>
      </c>
      <c r="D6789" s="3">
        <f t="shared" ref="D6789:D6852" si="109">C6789/C6788-1</f>
        <v>-1.4834507802266028E-3</v>
      </c>
    </row>
    <row r="6790" spans="2:4" x14ac:dyDescent="0.2">
      <c r="B6790" s="20">
        <v>45922</v>
      </c>
      <c r="C6790" s="58">
        <v>23527.05</v>
      </c>
      <c r="D6790" s="3">
        <f t="shared" si="109"/>
        <v>-4.7530797088422005E-3</v>
      </c>
    </row>
    <row r="6791" spans="2:4" x14ac:dyDescent="0.2">
      <c r="B6791" s="20">
        <v>45923</v>
      </c>
      <c r="C6791" s="58">
        <v>23611.33</v>
      </c>
      <c r="D6791" s="3">
        <f t="shared" si="109"/>
        <v>3.582259569304469E-3</v>
      </c>
    </row>
    <row r="6792" spans="2:4" x14ac:dyDescent="0.2">
      <c r="B6792" s="20">
        <v>45924</v>
      </c>
      <c r="C6792" s="58">
        <v>23666.81</v>
      </c>
      <c r="D6792" s="3">
        <f t="shared" si="109"/>
        <v>2.3497193931896199E-3</v>
      </c>
    </row>
    <row r="6793" spans="2:4" x14ac:dyDescent="0.2">
      <c r="B6793" s="20">
        <v>45925</v>
      </c>
      <c r="C6793" s="58">
        <v>23534.83</v>
      </c>
      <c r="D6793" s="3">
        <f t="shared" si="109"/>
        <v>-5.5765859446202937E-3</v>
      </c>
    </row>
    <row r="6794" spans="2:4" x14ac:dyDescent="0.2">
      <c r="B6794" s="20">
        <v>45926</v>
      </c>
      <c r="C6794" s="58">
        <v>23739.47</v>
      </c>
      <c r="D6794" s="3">
        <f t="shared" si="109"/>
        <v>8.6951977133464808E-3</v>
      </c>
    </row>
    <row r="6795" spans="2:4" x14ac:dyDescent="0.2">
      <c r="B6795" s="20">
        <v>45929</v>
      </c>
      <c r="C6795" s="58">
        <v>23745.06</v>
      </c>
      <c r="D6795" s="3">
        <f t="shared" si="109"/>
        <v>2.3547282226599187E-4</v>
      </c>
    </row>
    <row r="6796" spans="2:4" x14ac:dyDescent="0.2">
      <c r="B6796" s="20">
        <v>45930</v>
      </c>
      <c r="C6796" s="58">
        <v>23880.720000000001</v>
      </c>
      <c r="D6796" s="3">
        <f t="shared" si="109"/>
        <v>5.7131883431753572E-3</v>
      </c>
    </row>
    <row r="6797" spans="2:4" x14ac:dyDescent="0.2">
      <c r="B6797" s="20">
        <v>45931</v>
      </c>
      <c r="C6797" s="58">
        <v>24113.62</v>
      </c>
      <c r="D6797" s="3">
        <f t="shared" si="109"/>
        <v>9.7526372739178413E-3</v>
      </c>
    </row>
    <row r="6798" spans="2:4" x14ac:dyDescent="0.2">
      <c r="B6798" s="20">
        <v>45932</v>
      </c>
      <c r="C6798" s="58">
        <v>24422.560000000001</v>
      </c>
      <c r="D6798" s="3">
        <f t="shared" si="109"/>
        <v>1.2811846582968522E-2</v>
      </c>
    </row>
    <row r="6799" spans="2:4" x14ac:dyDescent="0.2">
      <c r="B6799" s="20">
        <v>45933</v>
      </c>
      <c r="C6799" s="58">
        <v>24378.799999999999</v>
      </c>
      <c r="D6799" s="3">
        <f t="shared" si="109"/>
        <v>-1.7917859552807336E-3</v>
      </c>
    </row>
    <row r="6800" spans="2:4" x14ac:dyDescent="0.2">
      <c r="B6800" s="20">
        <v>45936</v>
      </c>
      <c r="C6800" s="58">
        <v>24378.29</v>
      </c>
      <c r="D6800" s="3">
        <f t="shared" si="109"/>
        <v>-2.0919815577391532E-5</v>
      </c>
    </row>
    <row r="6801" spans="2:4" x14ac:dyDescent="0.2">
      <c r="B6801" s="20">
        <v>45937</v>
      </c>
      <c r="C6801" s="58">
        <v>24385.78</v>
      </c>
      <c r="D6801" s="3">
        <f t="shared" si="109"/>
        <v>3.0724058168130064E-4</v>
      </c>
    </row>
    <row r="6802" spans="2:4" x14ac:dyDescent="0.2">
      <c r="B6802" s="20">
        <v>45938</v>
      </c>
      <c r="C6802" s="58">
        <v>24597.13</v>
      </c>
      <c r="D6802" s="3">
        <f t="shared" si="109"/>
        <v>8.666936222667454E-3</v>
      </c>
    </row>
    <row r="6803" spans="2:4" x14ac:dyDescent="0.2">
      <c r="B6803" s="20">
        <v>45939</v>
      </c>
      <c r="C6803" s="58">
        <v>24611.25</v>
      </c>
      <c r="D6803" s="3">
        <f t="shared" si="109"/>
        <v>5.7405071242055961E-4</v>
      </c>
    </row>
    <row r="6804" spans="2:4" x14ac:dyDescent="0.2">
      <c r="B6804" s="20">
        <v>45940</v>
      </c>
      <c r="C6804" s="58">
        <v>24241.46</v>
      </c>
      <c r="D6804" s="3">
        <f t="shared" si="109"/>
        <v>-1.502524252120474E-2</v>
      </c>
    </row>
    <row r="6805" spans="2:4" x14ac:dyDescent="0.2">
      <c r="B6805" s="20">
        <v>45943</v>
      </c>
      <c r="C6805" s="58">
        <v>24387.93</v>
      </c>
      <c r="D6805" s="3">
        <f t="shared" si="109"/>
        <v>6.0421278256344024E-3</v>
      </c>
    </row>
    <row r="6806" spans="2:4" x14ac:dyDescent="0.2">
      <c r="B6806" s="20">
        <v>45944</v>
      </c>
      <c r="C6806" s="58">
        <v>24236.94</v>
      </c>
      <c r="D6806" s="3">
        <f t="shared" si="109"/>
        <v>-6.191177356995925E-3</v>
      </c>
    </row>
    <row r="6807" spans="2:4" x14ac:dyDescent="0.2">
      <c r="B6807" s="20">
        <v>45945</v>
      </c>
      <c r="C6807" s="58">
        <v>24181.37</v>
      </c>
      <c r="D6807" s="3">
        <f t="shared" si="109"/>
        <v>-2.2927811844234425E-3</v>
      </c>
    </row>
    <row r="6808" spans="2:4" x14ac:dyDescent="0.2">
      <c r="B6808" s="20">
        <v>45946</v>
      </c>
      <c r="C6808" s="58">
        <v>24272.19</v>
      </c>
      <c r="D6808" s="3">
        <f t="shared" si="109"/>
        <v>3.7557838947916977E-3</v>
      </c>
    </row>
    <row r="6809" spans="2:4" x14ac:dyDescent="0.2">
      <c r="B6809" s="20">
        <v>45947</v>
      </c>
      <c r="C6809" s="58">
        <v>23830.99</v>
      </c>
      <c r="D6809" s="3">
        <f t="shared" si="109"/>
        <v>-1.81771813750633E-2</v>
      </c>
    </row>
    <row r="6810" spans="2:4" x14ac:dyDescent="0.2">
      <c r="B6810" s="20">
        <v>45950</v>
      </c>
      <c r="C6810" s="58">
        <v>24258.799999999999</v>
      </c>
      <c r="D6810" s="3">
        <f t="shared" si="109"/>
        <v>1.795183498461439E-2</v>
      </c>
    </row>
    <row r="6811" spans="2:4" x14ac:dyDescent="0.2">
      <c r="B6811" s="20">
        <v>45951</v>
      </c>
      <c r="C6811" s="58">
        <v>24330.03</v>
      </c>
      <c r="D6811" s="3">
        <f t="shared" si="109"/>
        <v>2.9362540603821152E-3</v>
      </c>
    </row>
    <row r="6812" spans="2:4" x14ac:dyDescent="0.2">
      <c r="B6812" s="20">
        <v>45952</v>
      </c>
      <c r="C6812" s="58">
        <v>24151.13</v>
      </c>
      <c r="D6812" s="3">
        <f t="shared" si="109"/>
        <v>-7.3530529966464586E-3</v>
      </c>
    </row>
    <row r="6813" spans="2:4" x14ac:dyDescent="0.2">
      <c r="B6813" s="20">
        <v>45953</v>
      </c>
      <c r="C6813" s="58">
        <v>24207.79</v>
      </c>
      <c r="D6813" s="3">
        <f t="shared" si="109"/>
        <v>2.3460599980207331E-3</v>
      </c>
    </row>
    <row r="6814" spans="2:4" x14ac:dyDescent="0.2">
      <c r="B6814" s="20">
        <v>45954</v>
      </c>
      <c r="C6814" s="58">
        <v>24239.89</v>
      </c>
      <c r="D6814" s="3">
        <f t="shared" si="109"/>
        <v>1.3260194342399334E-3</v>
      </c>
    </row>
    <row r="6815" spans="2:4" x14ac:dyDescent="0.2">
      <c r="B6815" s="20">
        <v>45957</v>
      </c>
      <c r="C6815" s="58">
        <v>24308.78</v>
      </c>
      <c r="D6815" s="3">
        <f t="shared" si="109"/>
        <v>2.84200959657821E-3</v>
      </c>
    </row>
    <row r="6816" spans="2:4" x14ac:dyDescent="0.2">
      <c r="B6816" s="20">
        <v>45958</v>
      </c>
      <c r="C6816" s="58">
        <v>24278.63</v>
      </c>
      <c r="D6816" s="3">
        <f t="shared" si="109"/>
        <v>-1.240292602096793E-3</v>
      </c>
    </row>
    <row r="6817" spans="2:4" x14ac:dyDescent="0.2">
      <c r="B6817" s="20">
        <v>45959</v>
      </c>
      <c r="C6817" s="58">
        <v>24124.21</v>
      </c>
      <c r="D6817" s="3">
        <f t="shared" si="109"/>
        <v>-6.3603259327236206E-3</v>
      </c>
    </row>
    <row r="6818" spans="2:4" x14ac:dyDescent="0.2">
      <c r="B6818" s="20">
        <v>45960</v>
      </c>
      <c r="C6818" s="58">
        <v>24118.89</v>
      </c>
      <c r="D6818" s="3">
        <f t="shared" si="109"/>
        <v>-2.2052535606342794E-4</v>
      </c>
    </row>
    <row r="6819" spans="2:4" x14ac:dyDescent="0.2">
      <c r="B6819" s="20">
        <v>45961</v>
      </c>
      <c r="C6819" s="58">
        <v>23958.3</v>
      </c>
      <c r="D6819" s="3">
        <f t="shared" si="109"/>
        <v>-6.6582666117719347E-3</v>
      </c>
    </row>
    <row r="6820" spans="2:4" x14ac:dyDescent="0.2">
      <c r="B6820" s="20">
        <v>45964</v>
      </c>
      <c r="C6820" s="58">
        <v>24132.41</v>
      </c>
      <c r="D6820" s="3">
        <f t="shared" si="109"/>
        <v>7.2672101109010345E-3</v>
      </c>
    </row>
    <row r="6821" spans="2:4" x14ac:dyDescent="0.2">
      <c r="B6821" s="20">
        <v>45965</v>
      </c>
      <c r="C6821" s="58">
        <v>23949.11</v>
      </c>
      <c r="D6821" s="3">
        <f t="shared" si="109"/>
        <v>-7.5955944723299362E-3</v>
      </c>
    </row>
    <row r="6822" spans="2:4" x14ac:dyDescent="0.2">
      <c r="B6822" s="20">
        <v>45966</v>
      </c>
      <c r="C6822" s="58">
        <v>24049.74</v>
      </c>
      <c r="D6822" s="3">
        <f t="shared" si="109"/>
        <v>4.2018262891607705E-3</v>
      </c>
    </row>
    <row r="6823" spans="2:4" x14ac:dyDescent="0.2">
      <c r="B6823" s="20">
        <v>45967</v>
      </c>
      <c r="C6823" s="58">
        <v>23734.02</v>
      </c>
      <c r="D6823" s="3">
        <f t="shared" si="109"/>
        <v>-1.3127792649733516E-2</v>
      </c>
    </row>
    <row r="6824" spans="2:4" x14ac:dyDescent="0.2">
      <c r="B6824" s="20">
        <v>45968</v>
      </c>
      <c r="C6824" s="58">
        <v>23569.96</v>
      </c>
      <c r="D6824" s="3">
        <f t="shared" si="109"/>
        <v>-6.9124404546723195E-3</v>
      </c>
    </row>
    <row r="6825" spans="2:4" x14ac:dyDescent="0.2">
      <c r="B6825" s="20">
        <v>45971</v>
      </c>
      <c r="C6825" s="58">
        <v>23959.99</v>
      </c>
      <c r="D6825" s="3">
        <f t="shared" si="109"/>
        <v>1.6547758248210975E-2</v>
      </c>
    </row>
    <row r="6826" spans="2:4" x14ac:dyDescent="0.2">
      <c r="B6826" s="20">
        <v>45972</v>
      </c>
      <c r="C6826" s="58">
        <v>24088.06</v>
      </c>
      <c r="D6826" s="3">
        <f t="shared" si="109"/>
        <v>5.3451608285313146E-3</v>
      </c>
    </row>
    <row r="6827" spans="2:4" x14ac:dyDescent="0.2">
      <c r="B6827" s="20">
        <v>45973</v>
      </c>
      <c r="C6827" s="58">
        <v>24381.46</v>
      </c>
      <c r="D6827" s="3">
        <f t="shared" si="109"/>
        <v>1.2180308418361596E-2</v>
      </c>
    </row>
    <row r="6828" spans="2:4" x14ac:dyDescent="0.2">
      <c r="B6828" s="20">
        <v>45974</v>
      </c>
      <c r="C6828" s="58">
        <v>24041.62</v>
      </c>
      <c r="D6828" s="3">
        <f t="shared" si="109"/>
        <v>-1.3938459796911218E-2</v>
      </c>
    </row>
    <row r="6829" spans="2:4" x14ac:dyDescent="0.2">
      <c r="B6829" s="20">
        <v>45975</v>
      </c>
      <c r="C6829" s="58">
        <v>23876.55</v>
      </c>
      <c r="D6829" s="3">
        <f t="shared" si="109"/>
        <v>-6.8660098612323139E-3</v>
      </c>
    </row>
    <row r="6830" spans="2:4" x14ac:dyDescent="0.2">
      <c r="B6830" s="20">
        <v>45978</v>
      </c>
      <c r="C6830" s="58">
        <v>23590.52</v>
      </c>
      <c r="D6830" s="3">
        <f t="shared" si="109"/>
        <v>-1.1979536407060398E-2</v>
      </c>
    </row>
    <row r="6831" spans="2:4" x14ac:dyDescent="0.2">
      <c r="B6831" s="20">
        <v>45979</v>
      </c>
      <c r="C6831" s="58">
        <v>23180.53</v>
      </c>
      <c r="D6831" s="3">
        <f t="shared" si="109"/>
        <v>-1.7379438859338459E-2</v>
      </c>
    </row>
    <row r="6832" spans="2:4" x14ac:dyDescent="0.2">
      <c r="B6832" s="20">
        <v>45980</v>
      </c>
      <c r="C6832" s="58">
        <v>23162.92</v>
      </c>
      <c r="D6832" s="3">
        <f t="shared" si="109"/>
        <v>-7.5968927371383721E-4</v>
      </c>
    </row>
    <row r="6833" spans="2:4" x14ac:dyDescent="0.2">
      <c r="B6833" s="20">
        <v>45981</v>
      </c>
      <c r="C6833" s="58">
        <v>23278.85</v>
      </c>
      <c r="D6833" s="3">
        <f t="shared" si="109"/>
        <v>5.0049821007023265E-3</v>
      </c>
    </row>
    <row r="6834" spans="2:4" x14ac:dyDescent="0.2">
      <c r="B6834" s="20">
        <v>45982</v>
      </c>
      <c r="C6834" s="58">
        <v>23091.87</v>
      </c>
      <c r="D6834" s="3">
        <f t="shared" si="109"/>
        <v>-8.0321837204156976E-3</v>
      </c>
    </row>
    <row r="6835" spans="2:4" x14ac:dyDescent="0.2">
      <c r="B6835" s="20">
        <v>45985</v>
      </c>
      <c r="C6835" s="58">
        <v>23239.18</v>
      </c>
      <c r="D6835" s="3">
        <f t="shared" si="109"/>
        <v>6.3793014597779418E-3</v>
      </c>
    </row>
    <row r="6836" spans="2:4" x14ac:dyDescent="0.2">
      <c r="B6836" s="20">
        <v>45986</v>
      </c>
      <c r="C6836" s="58">
        <v>23464.63</v>
      </c>
      <c r="D6836" s="3">
        <f t="shared" si="109"/>
        <v>9.7012889439300753E-3</v>
      </c>
    </row>
    <row r="6837" spans="2:4" x14ac:dyDescent="0.2">
      <c r="B6837" s="20">
        <v>45987</v>
      </c>
      <c r="C6837" s="58">
        <v>23726.22</v>
      </c>
      <c r="D6837" s="3">
        <f t="shared" si="109"/>
        <v>1.1148268692069641E-2</v>
      </c>
    </row>
    <row r="6838" spans="2:4" x14ac:dyDescent="0.2">
      <c r="B6838" s="20">
        <v>45988</v>
      </c>
      <c r="C6838" s="58">
        <v>23767.96</v>
      </c>
      <c r="D6838" s="3">
        <f t="shared" si="109"/>
        <v>1.7592351415436358E-3</v>
      </c>
    </row>
    <row r="6839" spans="2:4" x14ac:dyDescent="0.2">
      <c r="B6839" s="20">
        <v>45989</v>
      </c>
      <c r="C6839" s="58">
        <v>23836.79</v>
      </c>
      <c r="D6839" s="3">
        <f t="shared" si="109"/>
        <v>2.8959153414933603E-3</v>
      </c>
    </row>
    <row r="6840" spans="2:4" x14ac:dyDescent="0.2">
      <c r="B6840" s="20">
        <v>45992</v>
      </c>
      <c r="C6840" s="58">
        <v>23589.439999999999</v>
      </c>
      <c r="D6840" s="3">
        <f t="shared" si="109"/>
        <v>-1.0376816677077794E-2</v>
      </c>
    </row>
    <row r="6841" spans="2:4" x14ac:dyDescent="0.2">
      <c r="B6841" s="20">
        <v>45993</v>
      </c>
      <c r="C6841" s="58">
        <v>23710.86</v>
      </c>
      <c r="D6841" s="3">
        <f t="shared" si="109"/>
        <v>5.1472184163763313E-3</v>
      </c>
    </row>
    <row r="6842" spans="2:4" x14ac:dyDescent="0.2">
      <c r="B6842" s="20">
        <v>45994</v>
      </c>
      <c r="C6842" s="58">
        <v>23693.71</v>
      </c>
      <c r="D6842" s="3">
        <f t="shared" si="109"/>
        <v>-7.2329725703756953E-4</v>
      </c>
    </row>
    <row r="6843" spans="2:4" x14ac:dyDescent="0.2">
      <c r="B6843" s="20">
        <v>45995</v>
      </c>
      <c r="C6843" s="58">
        <v>23882.03</v>
      </c>
      <c r="D6843" s="3">
        <f t="shared" si="109"/>
        <v>7.9481009938924263E-3</v>
      </c>
    </row>
    <row r="6844" spans="2:4" x14ac:dyDescent="0.2">
      <c r="B6844" s="20">
        <v>45996</v>
      </c>
      <c r="C6844" s="58">
        <v>24028.14</v>
      </c>
      <c r="D6844" s="3">
        <f t="shared" si="109"/>
        <v>6.1179891324145697E-3</v>
      </c>
    </row>
    <row r="6845" spans="2:4" x14ac:dyDescent="0.2">
      <c r="B6845" s="20">
        <v>45999</v>
      </c>
      <c r="C6845" s="58">
        <v>24046.01</v>
      </c>
      <c r="D6845" s="3">
        <f t="shared" si="109"/>
        <v>7.4371133179673699E-4</v>
      </c>
    </row>
    <row r="6846" spans="2:4" x14ac:dyDescent="0.2">
      <c r="B6846" s="20">
        <v>46000</v>
      </c>
      <c r="C6846" s="58">
        <v>24162.65</v>
      </c>
      <c r="D6846" s="3">
        <f t="shared" si="109"/>
        <v>4.8507008023370712E-3</v>
      </c>
    </row>
    <row r="6847" spans="2:4" x14ac:dyDescent="0.2">
      <c r="B6847" s="20">
        <v>46001</v>
      </c>
      <c r="C6847" s="58">
        <v>24130.14</v>
      </c>
      <c r="D6847" s="3">
        <f t="shared" si="109"/>
        <v>-1.3454650048733141E-3</v>
      </c>
    </row>
    <row r="6848" spans="2:4" x14ac:dyDescent="0.2">
      <c r="B6848" s="20">
        <v>46002</v>
      </c>
      <c r="C6848" s="58">
        <v>24294.61</v>
      </c>
      <c r="D6848" s="3">
        <f t="shared" si="109"/>
        <v>6.8159571390800089E-3</v>
      </c>
    </row>
    <row r="6849" spans="2:4" x14ac:dyDescent="0.2">
      <c r="B6849" s="20">
        <v>46003</v>
      </c>
      <c r="C6849" s="58">
        <v>24186.49</v>
      </c>
      <c r="D6849" s="3">
        <f t="shared" si="109"/>
        <v>-4.4503698557004645E-3</v>
      </c>
    </row>
    <row r="6850" spans="2:4" x14ac:dyDescent="0.2">
      <c r="B6850" s="20">
        <v>46006</v>
      </c>
      <c r="C6850" s="58">
        <v>24229.91</v>
      </c>
      <c r="D6850" s="3">
        <f t="shared" si="109"/>
        <v>1.795217081932865E-3</v>
      </c>
    </row>
    <row r="6851" spans="2:4" x14ac:dyDescent="0.2">
      <c r="B6851" s="20">
        <v>46007</v>
      </c>
      <c r="C6851" s="58">
        <v>24076.87</v>
      </c>
      <c r="D6851" s="3">
        <f t="shared" si="109"/>
        <v>-6.3161604809923722E-3</v>
      </c>
    </row>
    <row r="6852" spans="2:4" x14ac:dyDescent="0.2">
      <c r="B6852" s="20">
        <v>46008</v>
      </c>
      <c r="C6852" s="58">
        <v>23960.59</v>
      </c>
      <c r="D6852" s="3">
        <f t="shared" si="109"/>
        <v>-4.8295314133439682E-3</v>
      </c>
    </row>
    <row r="6853" spans="2:4" x14ac:dyDescent="0.2">
      <c r="B6853" s="20">
        <v>46009</v>
      </c>
      <c r="C6853" s="58">
        <v>24199.5</v>
      </c>
      <c r="D6853" s="3">
        <f t="shared" ref="D6853:D6916" si="110">C6853/C6852-1</f>
        <v>9.970956474777859E-3</v>
      </c>
    </row>
    <row r="6854" spans="2:4" x14ac:dyDescent="0.2">
      <c r="B6854" s="20">
        <v>46010</v>
      </c>
      <c r="C6854" s="58">
        <v>24288.400000000001</v>
      </c>
      <c r="D6854" s="3">
        <f t="shared" si="110"/>
        <v>3.6736296204467056E-3</v>
      </c>
    </row>
    <row r="6855" spans="2:4" x14ac:dyDescent="0.2">
      <c r="B6855" s="20">
        <v>46013</v>
      </c>
      <c r="C6855" s="58">
        <v>24283.97</v>
      </c>
      <c r="D6855" s="3">
        <f t="shared" si="110"/>
        <v>-1.8239159434130237E-4</v>
      </c>
    </row>
    <row r="6856" spans="2:4" x14ac:dyDescent="0.2">
      <c r="B6856" s="20">
        <v>46014</v>
      </c>
      <c r="C6856" s="58">
        <v>24340.06</v>
      </c>
      <c r="D6856" s="3">
        <f t="shared" si="110"/>
        <v>2.3097541299879065E-3</v>
      </c>
    </row>
    <row r="6857" spans="2:4" x14ac:dyDescent="0.2">
      <c r="B6857" s="20">
        <v>46020</v>
      </c>
      <c r="C6857" s="58">
        <v>24351.119999999999</v>
      </c>
      <c r="D6857" s="3">
        <f t="shared" si="110"/>
        <v>4.5439493575605283E-4</v>
      </c>
    </row>
    <row r="6858" spans="2:4" x14ac:dyDescent="0.2">
      <c r="B6858" s="20">
        <v>46021</v>
      </c>
      <c r="C6858" s="58">
        <v>24490.41</v>
      </c>
      <c r="D6858" s="3">
        <f t="shared" si="110"/>
        <v>5.7200654425750841E-3</v>
      </c>
    </row>
    <row r="6859" spans="2:4" x14ac:dyDescent="0.2">
      <c r="B6859" s="20">
        <v>46024</v>
      </c>
      <c r="C6859" s="58">
        <v>24539.34</v>
      </c>
      <c r="D6859" s="3">
        <f t="shared" si="110"/>
        <v>1.9979249020329881E-3</v>
      </c>
    </row>
    <row r="6860" spans="2:4" x14ac:dyDescent="0.2">
      <c r="B6860" s="20">
        <v>46027</v>
      </c>
      <c r="C6860" s="58">
        <v>24868.69</v>
      </c>
      <c r="D6860" s="3">
        <f t="shared" si="110"/>
        <v>1.3421306359502783E-2</v>
      </c>
    </row>
    <row r="6861" spans="2:4" x14ac:dyDescent="0.2">
      <c r="B6861" s="20">
        <v>46028</v>
      </c>
      <c r="C6861" s="58">
        <v>24892.2</v>
      </c>
      <c r="D6861" s="3">
        <f t="shared" si="110"/>
        <v>9.4536543742362866E-4</v>
      </c>
    </row>
    <row r="6862" spans="2:4" x14ac:dyDescent="0.2">
      <c r="B6862" s="20">
        <v>46029</v>
      </c>
      <c r="C6862" s="58">
        <v>25122.26</v>
      </c>
      <c r="D6862" s="3">
        <f t="shared" si="110"/>
        <v>9.2422525931816768E-3</v>
      </c>
    </row>
    <row r="6863" spans="2:4" x14ac:dyDescent="0.2">
      <c r="B6863" s="20">
        <v>46030</v>
      </c>
      <c r="C6863" s="58">
        <v>25127.46</v>
      </c>
      <c r="D6863" s="3">
        <f t="shared" si="110"/>
        <v>2.0698774712157864E-4</v>
      </c>
    </row>
    <row r="6864" spans="2:4" x14ac:dyDescent="0.2">
      <c r="B6864" s="20">
        <v>46031</v>
      </c>
      <c r="C6864" s="58">
        <v>25261.64</v>
      </c>
      <c r="D6864" s="3">
        <f t="shared" si="110"/>
        <v>5.3399746731266351E-3</v>
      </c>
    </row>
    <row r="6865" spans="2:4" x14ac:dyDescent="0.2">
      <c r="B6865" s="20">
        <v>46034</v>
      </c>
      <c r="C6865" s="58">
        <v>25405.34</v>
      </c>
      <c r="D6865" s="3">
        <f t="shared" si="110"/>
        <v>5.6884667820458201E-3</v>
      </c>
    </row>
    <row r="6866" spans="2:4" x14ac:dyDescent="0.2">
      <c r="B6866" s="20">
        <v>46035</v>
      </c>
      <c r="C6866" s="58">
        <v>25420.66</v>
      </c>
      <c r="D6866" s="3">
        <f t="shared" si="110"/>
        <v>6.0302282905877469E-4</v>
      </c>
    </row>
    <row r="6867" spans="2:4" x14ac:dyDescent="0.2">
      <c r="B6867" s="20">
        <v>46036</v>
      </c>
      <c r="C6867" s="58">
        <v>25286.240000000002</v>
      </c>
      <c r="D6867" s="3">
        <f t="shared" si="110"/>
        <v>-5.2878249423893298E-3</v>
      </c>
    </row>
    <row r="6868" spans="2:4" x14ac:dyDescent="0.2">
      <c r="B6868" s="20">
        <v>46037</v>
      </c>
      <c r="C6868" s="58">
        <v>25352.39</v>
      </c>
      <c r="D6868" s="3">
        <f t="shared" si="110"/>
        <v>2.6160473047791566E-3</v>
      </c>
    </row>
    <row r="6869" spans="2:4" x14ac:dyDescent="0.2">
      <c r="B6869" s="20">
        <v>46038</v>
      </c>
      <c r="C6869" s="58">
        <v>25297.13</v>
      </c>
      <c r="D6869" s="3">
        <f t="shared" si="110"/>
        <v>-2.1796761567646206E-3</v>
      </c>
    </row>
    <row r="6870" spans="2:4" x14ac:dyDescent="0.2">
      <c r="B6870" s="20">
        <v>46041</v>
      </c>
      <c r="C6870" s="58">
        <v>24959.06</v>
      </c>
      <c r="D6870" s="3">
        <f t="shared" si="110"/>
        <v>-1.3363966584351683E-2</v>
      </c>
    </row>
    <row r="6871" spans="2:4" x14ac:dyDescent="0.2">
      <c r="B6871" s="20">
        <v>46042</v>
      </c>
      <c r="C6871" s="58">
        <v>24703.119999999999</v>
      </c>
      <c r="D6871" s="3">
        <f t="shared" si="110"/>
        <v>-1.0254392593310846E-2</v>
      </c>
    </row>
    <row r="6872" spans="2:4" x14ac:dyDescent="0.2">
      <c r="B6872" s="20">
        <v>46043</v>
      </c>
      <c r="C6872" s="58">
        <v>24560.98</v>
      </c>
      <c r="D6872" s="3">
        <f t="shared" si="110"/>
        <v>-5.7539290583537017E-3</v>
      </c>
    </row>
    <row r="6873" spans="2:4" x14ac:dyDescent="0.2">
      <c r="B6873" s="20">
        <v>46044</v>
      </c>
      <c r="C6873" s="58">
        <v>24856.47</v>
      </c>
      <c r="D6873" s="3">
        <f t="shared" si="110"/>
        <v>1.2030871732316983E-2</v>
      </c>
    </row>
    <row r="6874" spans="2:4" x14ac:dyDescent="0.2">
      <c r="B6874" s="20">
        <v>46045</v>
      </c>
      <c r="C6874" s="58">
        <v>24900.71</v>
      </c>
      <c r="D6874" s="3">
        <f t="shared" si="110"/>
        <v>1.779818292782398E-3</v>
      </c>
    </row>
    <row r="6875" spans="2:4" x14ac:dyDescent="0.2">
      <c r="B6875" s="20">
        <v>46048</v>
      </c>
      <c r="C6875" s="58">
        <v>24933.08</v>
      </c>
      <c r="D6875" s="3">
        <f t="shared" si="110"/>
        <v>1.2999629327838935E-3</v>
      </c>
    </row>
    <row r="6876" spans="2:4" x14ac:dyDescent="0.2">
      <c r="B6876" s="20">
        <v>46049</v>
      </c>
      <c r="C6876" s="58">
        <v>24894.44</v>
      </c>
      <c r="D6876" s="3">
        <f t="shared" si="110"/>
        <v>-1.5497483664274059E-3</v>
      </c>
    </row>
    <row r="6877" spans="2:4" x14ac:dyDescent="0.2">
      <c r="B6877" s="20">
        <v>46050</v>
      </c>
      <c r="C6877" s="58">
        <v>24822.79</v>
      </c>
      <c r="D6877" s="3">
        <f t="shared" si="110"/>
        <v>-2.8781527120110839E-3</v>
      </c>
    </row>
    <row r="6878" spans="2:4" x14ac:dyDescent="0.2">
      <c r="B6878" s="20">
        <v>46051</v>
      </c>
      <c r="C6878" s="58">
        <v>24309.46</v>
      </c>
      <c r="D6878" s="3">
        <f t="shared" si="110"/>
        <v>-2.0679786599330785E-2</v>
      </c>
    </row>
    <row r="6879" spans="2:4" x14ac:dyDescent="0.2">
      <c r="B6879" s="20">
        <v>46052</v>
      </c>
      <c r="C6879" s="58">
        <v>24538.81</v>
      </c>
      <c r="D6879" s="3">
        <f t="shared" si="110"/>
        <v>9.434598711777209E-3</v>
      </c>
    </row>
    <row r="6880" spans="2:4" x14ac:dyDescent="0.2">
      <c r="B6880" s="20">
        <v>46055</v>
      </c>
      <c r="C6880" s="58">
        <v>24797.52</v>
      </c>
      <c r="D6880" s="3">
        <f t="shared" si="110"/>
        <v>1.0542891036688484E-2</v>
      </c>
    </row>
    <row r="6881" spans="2:4" x14ac:dyDescent="0.2">
      <c r="B6881" s="20">
        <v>46056</v>
      </c>
      <c r="C6881" s="58">
        <v>24780.79</v>
      </c>
      <c r="D6881" s="3">
        <f t="shared" si="110"/>
        <v>-6.7466424061757291E-4</v>
      </c>
    </row>
    <row r="6882" spans="2:4" x14ac:dyDescent="0.2">
      <c r="B6882" s="20">
        <v>46057</v>
      </c>
      <c r="C6882" s="58">
        <v>24603.040000000001</v>
      </c>
      <c r="D6882" s="3">
        <f t="shared" si="110"/>
        <v>-7.1728948108595869E-3</v>
      </c>
    </row>
    <row r="6883" spans="2:4" x14ac:dyDescent="0.2">
      <c r="B6883" s="20">
        <v>46058</v>
      </c>
      <c r="C6883" s="58">
        <v>24491.06</v>
      </c>
      <c r="D6883" s="3">
        <f t="shared" si="110"/>
        <v>-4.5514700622362181E-3</v>
      </c>
    </row>
    <row r="6884" spans="2:4" x14ac:dyDescent="0.2">
      <c r="B6884" s="20">
        <v>46059</v>
      </c>
      <c r="C6884" s="58">
        <v>24721.46</v>
      </c>
      <c r="D6884" s="3">
        <f t="shared" si="110"/>
        <v>9.4075144154641688E-3</v>
      </c>
    </row>
    <row r="6885" spans="2:4" x14ac:dyDescent="0.2">
      <c r="B6885" s="20">
        <v>46062</v>
      </c>
      <c r="C6885" s="58">
        <v>25014.87</v>
      </c>
      <c r="D6885" s="3">
        <f t="shared" si="110"/>
        <v>1.1868635590292831E-2</v>
      </c>
    </row>
    <row r="6886" spans="2:4" x14ac:dyDescent="0.2">
      <c r="B6886" s="20">
        <v>46063</v>
      </c>
      <c r="C6886" s="58">
        <v>24987.85</v>
      </c>
      <c r="D6886" s="3">
        <f t="shared" si="110"/>
        <v>-1.0801575223057247E-3</v>
      </c>
    </row>
    <row r="6887" spans="2:4" x14ac:dyDescent="0.2">
      <c r="B6887" s="20">
        <v>46064</v>
      </c>
      <c r="C6887" s="58">
        <v>24856.15</v>
      </c>
      <c r="D6887" s="3">
        <f t="shared" si="110"/>
        <v>-5.2705614928854061E-3</v>
      </c>
    </row>
    <row r="6888" spans="2:4" x14ac:dyDescent="0.2">
      <c r="B6888" s="20">
        <v>46065</v>
      </c>
      <c r="C6888" s="58">
        <v>24852.69</v>
      </c>
      <c r="D6888" s="3">
        <f t="shared" si="110"/>
        <v>-1.3920096233743795E-4</v>
      </c>
    </row>
    <row r="6889" spans="2:4" x14ac:dyDescent="0.2">
      <c r="B6889" s="20">
        <v>46066</v>
      </c>
      <c r="C6889" s="58">
        <v>24914.880000000001</v>
      </c>
      <c r="D6889" s="3">
        <f t="shared" si="110"/>
        <v>2.5023448165975015E-3</v>
      </c>
    </row>
    <row r="6890" spans="2:4" x14ac:dyDescent="0.2">
      <c r="B6890" s="20">
        <v>46069</v>
      </c>
      <c r="C6890" s="58">
        <v>24800.91</v>
      </c>
      <c r="D6890" s="3">
        <f t="shared" si="110"/>
        <v>-4.5743748314260868E-3</v>
      </c>
    </row>
    <row r="6891" spans="2:4" x14ac:dyDescent="0.2">
      <c r="B6891" s="20">
        <v>46070</v>
      </c>
      <c r="C6891" s="58">
        <v>24998.400000000001</v>
      </c>
      <c r="D6891" s="3">
        <f t="shared" si="110"/>
        <v>7.9630142603639431E-3</v>
      </c>
    </row>
    <row r="6892" spans="2:4" x14ac:dyDescent="0.2">
      <c r="B6892" s="20">
        <v>46071</v>
      </c>
      <c r="C6892" s="58">
        <v>25278.21</v>
      </c>
      <c r="D6892" s="3">
        <f t="shared" si="110"/>
        <v>1.1193116359446975E-2</v>
      </c>
    </row>
    <row r="6893" spans="2:4" x14ac:dyDescent="0.2">
      <c r="B6893" s="20">
        <v>46072</v>
      </c>
      <c r="C6893" s="58">
        <v>25043.57</v>
      </c>
      <c r="D6893" s="3">
        <f t="shared" si="110"/>
        <v>-9.2823028212836167E-3</v>
      </c>
    </row>
    <row r="6894" spans="2:4" x14ac:dyDescent="0.2">
      <c r="B6894" s="20">
        <v>46073</v>
      </c>
      <c r="C6894" s="58">
        <v>25260.69</v>
      </c>
      <c r="D6894" s="3">
        <f t="shared" si="110"/>
        <v>8.6696904634602223E-3</v>
      </c>
    </row>
    <row r="6895" spans="2:4" x14ac:dyDescent="0.2">
      <c r="B6895" s="20">
        <v>46076</v>
      </c>
      <c r="C6895" s="58">
        <v>24991.97</v>
      </c>
      <c r="D6895" s="3">
        <f t="shared" si="110"/>
        <v>-1.0637872520505076E-2</v>
      </c>
    </row>
    <row r="6896" spans="2:4" x14ac:dyDescent="0.2">
      <c r="B6896" s="20">
        <v>46077</v>
      </c>
      <c r="C6896" s="58">
        <v>24986.25</v>
      </c>
      <c r="D6896" s="3">
        <f t="shared" si="110"/>
        <v>-2.2887351417277824E-4</v>
      </c>
    </row>
    <row r="6897" spans="2:4" x14ac:dyDescent="0.2">
      <c r="B6897" s="20">
        <v>46078</v>
      </c>
      <c r="C6897" s="58">
        <v>25175.94</v>
      </c>
      <c r="D6897" s="3">
        <f t="shared" si="110"/>
        <v>7.5917754765120193E-3</v>
      </c>
    </row>
    <row r="6898" spans="2:4" x14ac:dyDescent="0.2">
      <c r="B6898" s="20">
        <v>46079</v>
      </c>
      <c r="C6898" s="58">
        <v>25289.02</v>
      </c>
      <c r="D6898" s="3">
        <f t="shared" si="110"/>
        <v>4.4915899863124942E-3</v>
      </c>
    </row>
    <row r="6899" spans="2:4" x14ac:dyDescent="0.2">
      <c r="B6899" s="20">
        <v>46080</v>
      </c>
      <c r="C6899" s="58">
        <v>25284.26</v>
      </c>
      <c r="D6899" s="3">
        <f t="shared" si="110"/>
        <v>-1.8822398020967857E-4</v>
      </c>
    </row>
    <row r="6900" spans="2:4" x14ac:dyDescent="0.2">
      <c r="B6900" s="20">
        <v>46083</v>
      </c>
      <c r="C6900" s="58">
        <v>24638</v>
      </c>
      <c r="D6900" s="3">
        <f t="shared" si="110"/>
        <v>-2.5559775132829587E-2</v>
      </c>
    </row>
    <row r="6901" spans="2:4" x14ac:dyDescent="0.2">
      <c r="B6901" s="20">
        <v>46084</v>
      </c>
      <c r="C6901" s="58">
        <v>23790.65</v>
      </c>
      <c r="D6901" s="3">
        <f t="shared" si="110"/>
        <v>-3.4391996103579792E-2</v>
      </c>
    </row>
    <row r="6902" spans="2:4" x14ac:dyDescent="0.2">
      <c r="B6902" s="20">
        <v>46085</v>
      </c>
      <c r="C6902" s="58">
        <v>24205.360000000001</v>
      </c>
      <c r="D6902" s="3">
        <f t="shared" si="110"/>
        <v>1.7431638059489662E-2</v>
      </c>
    </row>
    <row r="6903" spans="2:4" x14ac:dyDescent="0.2">
      <c r="B6903" s="20">
        <v>46086</v>
      </c>
      <c r="C6903" s="58">
        <v>23815.75</v>
      </c>
      <c r="D6903" s="3">
        <f t="shared" si="110"/>
        <v>-1.6096021707588726E-2</v>
      </c>
    </row>
    <row r="6904" spans="2:4" x14ac:dyDescent="0.2">
      <c r="B6904" s="20">
        <v>46087</v>
      </c>
      <c r="C6904" s="58">
        <v>23591.03</v>
      </c>
      <c r="D6904" s="3">
        <f t="shared" si="110"/>
        <v>-9.4357725454794483E-3</v>
      </c>
    </row>
    <row r="6905" spans="2:4" x14ac:dyDescent="0.2">
      <c r="B6905" s="20">
        <v>46090</v>
      </c>
      <c r="C6905" s="58">
        <v>23409.37</v>
      </c>
      <c r="D6905" s="3">
        <f t="shared" si="110"/>
        <v>-7.700384425775364E-3</v>
      </c>
    </row>
    <row r="6906" spans="2:4" x14ac:dyDescent="0.2">
      <c r="B6906" s="20">
        <v>46091</v>
      </c>
      <c r="C6906" s="58">
        <v>23968.63</v>
      </c>
      <c r="D6906" s="3">
        <f t="shared" si="110"/>
        <v>2.38904336169663E-2</v>
      </c>
    </row>
    <row r="6907" spans="2:4" x14ac:dyDescent="0.2">
      <c r="B6907" s="20">
        <v>46092</v>
      </c>
      <c r="C6907" s="58">
        <v>23640.03</v>
      </c>
      <c r="D6907" s="3">
        <f t="shared" si="110"/>
        <v>-1.3709586238345839E-2</v>
      </c>
    </row>
    <row r="6908" spans="2:4" x14ac:dyDescent="0.2">
      <c r="B6908" s="20">
        <v>46093</v>
      </c>
      <c r="C6908" s="58">
        <v>23589.65</v>
      </c>
      <c r="D6908" s="3">
        <f t="shared" si="110"/>
        <v>-2.1311309672618073E-3</v>
      </c>
    </row>
    <row r="6909" spans="2:4" x14ac:dyDescent="0.2">
      <c r="B6909" s="20">
        <v>46094</v>
      </c>
      <c r="C6909" s="58">
        <v>23447.29</v>
      </c>
      <c r="D6909" s="3">
        <f t="shared" si="110"/>
        <v>-6.0348500295680507E-3</v>
      </c>
    </row>
    <row r="6910" spans="2:4" x14ac:dyDescent="0.2">
      <c r="B6910" s="20">
        <v>46097</v>
      </c>
      <c r="C6910" s="58">
        <v>23564.01</v>
      </c>
      <c r="D6910" s="3">
        <f t="shared" si="110"/>
        <v>4.9779740004067818E-3</v>
      </c>
    </row>
    <row r="6911" spans="2:4" x14ac:dyDescent="0.2">
      <c r="B6911" s="20">
        <v>46098</v>
      </c>
      <c r="C6911" s="58">
        <v>23730.92</v>
      </c>
      <c r="D6911" s="3">
        <f t="shared" si="110"/>
        <v>7.0832595980054869E-3</v>
      </c>
    </row>
    <row r="6912" spans="2:4" x14ac:dyDescent="0.2">
      <c r="B6912" s="20">
        <v>46099</v>
      </c>
      <c r="C6912" s="58">
        <v>23502.25</v>
      </c>
      <c r="D6912" s="3">
        <f t="shared" si="110"/>
        <v>-9.6359517456550137E-3</v>
      </c>
    </row>
    <row r="6913" spans="2:4" x14ac:dyDescent="0.2">
      <c r="B6913" s="20">
        <v>46100</v>
      </c>
      <c r="C6913" s="58">
        <v>22839.56</v>
      </c>
      <c r="D6913" s="3">
        <f t="shared" si="110"/>
        <v>-2.8196874767309477E-2</v>
      </c>
    </row>
    <row r="6914" spans="2:4" x14ac:dyDescent="0.2">
      <c r="B6914" s="20">
        <v>46101</v>
      </c>
      <c r="C6914" s="58">
        <v>22380.19</v>
      </c>
      <c r="D6914" s="3">
        <f t="shared" si="110"/>
        <v>-2.0112909355521902E-2</v>
      </c>
    </row>
    <row r="6915" spans="2:4" x14ac:dyDescent="0.2">
      <c r="B6915" s="20">
        <v>46104</v>
      </c>
      <c r="C6915" s="58">
        <v>22653.86</v>
      </c>
      <c r="D6915" s="3">
        <f t="shared" si="110"/>
        <v>1.2228225050815222E-2</v>
      </c>
    </row>
    <row r="6916" spans="2:4" x14ac:dyDescent="0.2">
      <c r="B6916" s="20">
        <v>46105</v>
      </c>
      <c r="C6916" s="58">
        <v>22636.91</v>
      </c>
      <c r="D6916" s="3">
        <f t="shared" si="110"/>
        <v>-7.4821686017312317E-4</v>
      </c>
    </row>
    <row r="6917" spans="2:4" x14ac:dyDescent="0.2">
      <c r="B6917" s="20">
        <v>46106</v>
      </c>
      <c r="C6917" s="58">
        <v>22957.08</v>
      </c>
      <c r="D6917" s="3">
        <f t="shared" ref="D6917:D6980" si="111">C6917/C6916-1</f>
        <v>1.4143714844473187E-2</v>
      </c>
    </row>
    <row r="6918" spans="2:4" x14ac:dyDescent="0.2">
      <c r="B6918" s="20">
        <v>46107</v>
      </c>
      <c r="C6918" s="58">
        <v>22612.97</v>
      </c>
      <c r="D6918" s="3">
        <f t="shared" si="111"/>
        <v>-1.4989275639584854E-2</v>
      </c>
    </row>
    <row r="6919" spans="2:4" x14ac:dyDescent="0.2">
      <c r="B6919" s="20">
        <v>46108</v>
      </c>
      <c r="C6919" s="58">
        <v>22300.75</v>
      </c>
      <c r="D6919" s="3">
        <f t="shared" si="111"/>
        <v>-1.3807120426905461E-2</v>
      </c>
    </row>
    <row r="6920" spans="2:4" x14ac:dyDescent="0.2">
      <c r="B6920" s="20">
        <v>46111</v>
      </c>
      <c r="C6920" s="58">
        <v>22562.880000000001</v>
      </c>
      <c r="D6920" s="3">
        <f t="shared" si="111"/>
        <v>1.1754313195744492E-2</v>
      </c>
    </row>
    <row r="6921" spans="2:4" x14ac:dyDescent="0.2">
      <c r="B6921" s="20">
        <v>46112</v>
      </c>
      <c r="C6921" s="58">
        <v>22680.04</v>
      </c>
      <c r="D6921" s="3">
        <f t="shared" si="111"/>
        <v>5.1925995263015778E-3</v>
      </c>
    </row>
    <row r="6922" spans="2:4" x14ac:dyDescent="0.2">
      <c r="B6922" s="20">
        <v>46113</v>
      </c>
      <c r="C6922" s="58">
        <v>23298.89</v>
      </c>
      <c r="D6922" s="3">
        <f t="shared" si="111"/>
        <v>2.7286107079176114E-2</v>
      </c>
    </row>
    <row r="6923" spans="2:4" x14ac:dyDescent="0.2">
      <c r="B6923" s="20">
        <v>46114</v>
      </c>
      <c r="C6923" s="58">
        <v>23168.080000000002</v>
      </c>
      <c r="D6923" s="3">
        <f t="shared" si="111"/>
        <v>-5.6144305587089161E-3</v>
      </c>
    </row>
    <row r="6924" spans="2:4" x14ac:dyDescent="0.2">
      <c r="B6924" s="20">
        <v>46119</v>
      </c>
      <c r="C6924" s="58">
        <v>22921.59</v>
      </c>
      <c r="D6924" s="3">
        <f t="shared" si="111"/>
        <v>-1.0639207046937105E-2</v>
      </c>
    </row>
    <row r="6925" spans="2:4" x14ac:dyDescent="0.2">
      <c r="B6925" s="20">
        <v>46120</v>
      </c>
      <c r="C6925" s="58">
        <v>24080.63</v>
      </c>
      <c r="D6925" s="3">
        <f t="shared" si="111"/>
        <v>5.0565427616496184E-2</v>
      </c>
    </row>
    <row r="6926" spans="2:4" x14ac:dyDescent="0.2">
      <c r="B6926" s="20">
        <v>46121</v>
      </c>
      <c r="C6926" s="58">
        <v>23806.99</v>
      </c>
      <c r="D6926" s="3">
        <f t="shared" si="111"/>
        <v>-1.1363490074802862E-2</v>
      </c>
    </row>
    <row r="6927" spans="2:4" x14ac:dyDescent="0.2">
      <c r="B6927" s="20">
        <v>46122</v>
      </c>
      <c r="C6927" s="58">
        <v>23803.95</v>
      </c>
      <c r="D6927" s="3">
        <f t="shared" si="111"/>
        <v>-1.2769358915176721E-4</v>
      </c>
    </row>
    <row r="6928" spans="2:4" x14ac:dyDescent="0.2">
      <c r="B6928" s="20">
        <v>46125</v>
      </c>
      <c r="C6928" s="58">
        <v>23742.44</v>
      </c>
      <c r="D6928" s="3">
        <f t="shared" si="111"/>
        <v>-2.5840249202339072E-3</v>
      </c>
    </row>
    <row r="6929" spans="2:4" x14ac:dyDescent="0.2">
      <c r="B6929" s="20">
        <v>46126</v>
      </c>
      <c r="C6929" s="58">
        <v>24044.22</v>
      </c>
      <c r="D6929" s="3">
        <f t="shared" si="111"/>
        <v>1.2710572291643185E-2</v>
      </c>
    </row>
    <row r="6930" spans="2:4" x14ac:dyDescent="0.2">
      <c r="B6930" s="20">
        <v>46127</v>
      </c>
      <c r="C6930" s="58">
        <v>24066.7</v>
      </c>
      <c r="D6930" s="3">
        <f t="shared" si="111"/>
        <v>9.3494403228722156E-4</v>
      </c>
    </row>
    <row r="6931" spans="2:4" x14ac:dyDescent="0.2">
      <c r="B6931" s="20">
        <v>46128</v>
      </c>
      <c r="C6931" s="58">
        <v>24154.47</v>
      </c>
      <c r="D6931" s="3">
        <f t="shared" si="111"/>
        <v>3.6469478574130409E-3</v>
      </c>
    </row>
    <row r="6932" spans="2:4" x14ac:dyDescent="0.2">
      <c r="B6932" s="20">
        <v>46129</v>
      </c>
      <c r="C6932" s="58">
        <v>24702.240000000002</v>
      </c>
      <c r="D6932" s="3">
        <f t="shared" si="111"/>
        <v>2.2677790073638571E-2</v>
      </c>
    </row>
    <row r="6933" spans="2:4" x14ac:dyDescent="0.2">
      <c r="B6933" s="20">
        <v>46132</v>
      </c>
      <c r="C6933" s="58">
        <v>24417.8</v>
      </c>
      <c r="D6933" s="3">
        <f t="shared" si="111"/>
        <v>-1.15147452214861E-2</v>
      </c>
    </row>
    <row r="6934" spans="2:4" x14ac:dyDescent="0.2">
      <c r="B6934" s="20">
        <v>46133</v>
      </c>
      <c r="C6934" s="58">
        <v>24270.87</v>
      </c>
      <c r="D6934" s="3">
        <f t="shared" si="111"/>
        <v>-6.0173316187371872E-3</v>
      </c>
    </row>
    <row r="6935" spans="2:4" x14ac:dyDescent="0.2">
      <c r="B6935" s="20">
        <v>46134</v>
      </c>
      <c r="C6935" s="58">
        <v>24194.9</v>
      </c>
      <c r="D6935" s="3">
        <f t="shared" si="111"/>
        <v>-3.1300896918815546E-3</v>
      </c>
    </row>
    <row r="6936" spans="2:4" x14ac:dyDescent="0.2">
      <c r="B6936" s="20">
        <v>46135</v>
      </c>
      <c r="C6936" s="58">
        <v>24155.45</v>
      </c>
      <c r="D6936" s="3">
        <f t="shared" si="111"/>
        <v>-1.6305089089023728E-3</v>
      </c>
    </row>
    <row r="6937" spans="2:4" x14ac:dyDescent="0.2">
      <c r="B6937" s="20">
        <v>46136</v>
      </c>
      <c r="C6937" s="58">
        <v>24128.98</v>
      </c>
      <c r="D6937" s="3">
        <f t="shared" si="111"/>
        <v>-1.0958189559706621E-3</v>
      </c>
    </row>
    <row r="6938" spans="2:4" x14ac:dyDescent="0.2">
      <c r="B6938" s="20">
        <v>46139</v>
      </c>
      <c r="C6938" s="58">
        <v>24083.53</v>
      </c>
      <c r="D6938" s="3">
        <f t="shared" si="111"/>
        <v>-1.8836270741656724E-3</v>
      </c>
    </row>
    <row r="6939" spans="2:4" x14ac:dyDescent="0.2">
      <c r="B6939" s="20">
        <v>46140</v>
      </c>
      <c r="C6939" s="58">
        <v>24018.26</v>
      </c>
      <c r="D6939" s="3">
        <f t="shared" si="111"/>
        <v>-2.7101508790446927E-3</v>
      </c>
    </row>
    <row r="6940" spans="2:4" x14ac:dyDescent="0.2">
      <c r="B6940" s="20">
        <v>46141</v>
      </c>
      <c r="C6940" s="58">
        <v>23954.560000000001</v>
      </c>
      <c r="D6940" s="3">
        <f t="shared" si="111"/>
        <v>-2.652148823436673E-3</v>
      </c>
    </row>
    <row r="6941" spans="2:4" x14ac:dyDescent="0.2">
      <c r="B6941" s="20">
        <v>46142</v>
      </c>
      <c r="C6941" s="58">
        <v>24292.38</v>
      </c>
      <c r="D6941" s="3">
        <f t="shared" si="111"/>
        <v>1.4102534131288591E-2</v>
      </c>
    </row>
    <row r="6942" spans="2:4" x14ac:dyDescent="0.2">
      <c r="B6942" s="20">
        <v>46146</v>
      </c>
      <c r="C6942" s="58">
        <v>23991.27</v>
      </c>
      <c r="D6942" s="3">
        <f t="shared" si="111"/>
        <v>-1.2395244928656624E-2</v>
      </c>
    </row>
    <row r="6943" spans="2:4" x14ac:dyDescent="0.2">
      <c r="B6943" s="20">
        <v>46147</v>
      </c>
      <c r="C6943" s="58">
        <v>24401.7</v>
      </c>
      <c r="D6943" s="3">
        <f t="shared" si="111"/>
        <v>1.7107472843246763E-2</v>
      </c>
    </row>
    <row r="6944" spans="2:4" x14ac:dyDescent="0.2">
      <c r="B6944" s="20">
        <v>46148</v>
      </c>
      <c r="C6944" s="58">
        <v>24918.69</v>
      </c>
      <c r="D6944" s="3">
        <f t="shared" si="111"/>
        <v>2.1186638635832589E-2</v>
      </c>
    </row>
    <row r="6945" spans="2:4" x14ac:dyDescent="0.2">
      <c r="B6945" s="20">
        <v>46149</v>
      </c>
      <c r="C6945" s="58">
        <v>24663.61</v>
      </c>
      <c r="D6945" s="3">
        <f t="shared" si="111"/>
        <v>-1.0236493170387329E-2</v>
      </c>
    </row>
    <row r="6946" spans="2:4" x14ac:dyDescent="0.2">
      <c r="B6946" s="20">
        <v>46150</v>
      </c>
      <c r="C6946" s="58">
        <v>24338.63</v>
      </c>
      <c r="D6946" s="3">
        <f t="shared" si="111"/>
        <v>-1.317649768221274E-2</v>
      </c>
    </row>
    <row r="6947" spans="2:4" x14ac:dyDescent="0.2">
      <c r="B6947" s="20">
        <v>46153</v>
      </c>
      <c r="C6947" s="58">
        <v>24350.28</v>
      </c>
      <c r="D6947" s="3">
        <f t="shared" si="111"/>
        <v>4.7866293213694178E-4</v>
      </c>
    </row>
    <row r="6948" spans="2:4" x14ac:dyDescent="0.2">
      <c r="B6948" s="20">
        <v>46154</v>
      </c>
      <c r="C6948" s="58">
        <v>23954.93</v>
      </c>
      <c r="D6948" s="3">
        <f t="shared" si="111"/>
        <v>-1.6235952933600695E-2</v>
      </c>
    </row>
    <row r="6949" spans="2:4" x14ac:dyDescent="0.2">
      <c r="B6949" s="20">
        <v>46155</v>
      </c>
      <c r="C6949" s="58">
        <v>24136.81</v>
      </c>
      <c r="D6949" s="3">
        <f t="shared" si="111"/>
        <v>7.5925915876189354E-3</v>
      </c>
    </row>
    <row r="6950" spans="2:4" x14ac:dyDescent="0.2">
      <c r="B6950" s="20">
        <v>46156</v>
      </c>
      <c r="C6950" s="58">
        <v>24456.26</v>
      </c>
      <c r="D6950" s="3">
        <f t="shared" si="111"/>
        <v>1.3234971812762231E-2</v>
      </c>
    </row>
    <row r="6951" spans="2:4" x14ac:dyDescent="0.2">
      <c r="B6951" s="20">
        <v>46157</v>
      </c>
      <c r="C6951" s="58">
        <v>23950.57</v>
      </c>
      <c r="D6951" s="3">
        <f t="shared" si="111"/>
        <v>-2.0677323515533419E-2</v>
      </c>
    </row>
    <row r="6952" spans="2:4" x14ac:dyDescent="0.2">
      <c r="B6952" s="20">
        <v>46160</v>
      </c>
      <c r="C6952" s="58">
        <v>24307.919999999998</v>
      </c>
      <c r="D6952" s="3">
        <f t="shared" si="111"/>
        <v>1.4920312961236304E-2</v>
      </c>
    </row>
    <row r="6953" spans="2:4" x14ac:dyDescent="0.2">
      <c r="B6953" s="20">
        <v>46161</v>
      </c>
      <c r="C6953" s="58">
        <v>24400.65</v>
      </c>
      <c r="D6953" s="3">
        <f t="shared" si="111"/>
        <v>3.8148060385259086E-3</v>
      </c>
    </row>
    <row r="6954" spans="2:4" x14ac:dyDescent="0.2">
      <c r="B6954" s="20">
        <v>46162</v>
      </c>
      <c r="C6954" s="58">
        <v>24737.24</v>
      </c>
      <c r="D6954" s="3">
        <f t="shared" si="111"/>
        <v>1.3794304659916934E-2</v>
      </c>
    </row>
    <row r="6955" spans="2:4" x14ac:dyDescent="0.2">
      <c r="B6955" s="20">
        <v>46163</v>
      </c>
      <c r="C6955" s="58">
        <v>24606.77</v>
      </c>
      <c r="D6955" s="3">
        <f t="shared" si="111"/>
        <v>-5.2742343123162172E-3</v>
      </c>
    </row>
    <row r="6956" spans="2:4" x14ac:dyDescent="0.2">
      <c r="B6956" s="20">
        <v>46164</v>
      </c>
      <c r="C6956" s="58">
        <v>24888.560000000001</v>
      </c>
      <c r="D6956" s="3">
        <f t="shared" si="111"/>
        <v>1.1451726496407355E-2</v>
      </c>
    </row>
    <row r="6957" spans="2:4" x14ac:dyDescent="0.2">
      <c r="B6957" s="20">
        <v>46167</v>
      </c>
      <c r="C6957" s="58">
        <v>25389.1</v>
      </c>
      <c r="D6957" s="3">
        <f t="shared" si="111"/>
        <v>2.0111247898632945E-2</v>
      </c>
    </row>
    <row r="6958" spans="2:4" x14ac:dyDescent="0.2">
      <c r="B6958" s="20">
        <v>46168</v>
      </c>
      <c r="C6958" s="58">
        <v>25184.89</v>
      </c>
      <c r="D6958" s="3">
        <f t="shared" si="111"/>
        <v>-8.0432153955830588E-3</v>
      </c>
    </row>
    <row r="6959" spans="2:4" x14ac:dyDescent="0.2">
      <c r="B6959" s="20">
        <v>46169</v>
      </c>
      <c r="C6959" s="58">
        <v>25177.8</v>
      </c>
      <c r="D6959" s="3">
        <f t="shared" si="111"/>
        <v>-2.8151800543896321E-4</v>
      </c>
    </row>
    <row r="6960" spans="2:4" x14ac:dyDescent="0.2">
      <c r="B6960" s="20">
        <v>46170</v>
      </c>
      <c r="C6960" s="58">
        <v>25092.25</v>
      </c>
      <c r="D6960" s="3">
        <f t="shared" si="111"/>
        <v>-3.3978346003225024E-3</v>
      </c>
    </row>
    <row r="6961" spans="2:4" x14ac:dyDescent="0.2">
      <c r="B6961" s="20">
        <v>46171</v>
      </c>
      <c r="C6961" s="58">
        <v>25104.7</v>
      </c>
      <c r="D6961" s="3">
        <f t="shared" si="111"/>
        <v>4.9616913588867995E-4</v>
      </c>
    </row>
    <row r="6962" spans="2:4" x14ac:dyDescent="0.2">
      <c r="B6962" s="20">
        <v>46174</v>
      </c>
      <c r="C6962" s="58">
        <v>25003.040000000001</v>
      </c>
      <c r="D6962" s="3">
        <f t="shared" si="111"/>
        <v>-4.0494409413376342E-3</v>
      </c>
    </row>
    <row r="6963" spans="2:4" x14ac:dyDescent="0.2">
      <c r="B6963" s="20">
        <v>46175</v>
      </c>
      <c r="C6963" s="58">
        <v>25124.17</v>
      </c>
      <c r="D6963" s="3">
        <f t="shared" si="111"/>
        <v>4.8446108953150713E-3</v>
      </c>
    </row>
    <row r="6964" spans="2:4" x14ac:dyDescent="0.2">
      <c r="B6964" s="20">
        <v>46176</v>
      </c>
      <c r="C6964" s="58">
        <v>24795.94</v>
      </c>
      <c r="D6964" s="3">
        <f t="shared" si="111"/>
        <v>-1.3064312174292714E-2</v>
      </c>
    </row>
    <row r="6965" spans="2:4" x14ac:dyDescent="0.2">
      <c r="B6965" s="20">
        <v>46177</v>
      </c>
      <c r="C6965" s="58">
        <v>24944.95</v>
      </c>
      <c r="D6965" s="3">
        <f t="shared" si="111"/>
        <v>6.0094515473099186E-3</v>
      </c>
    </row>
    <row r="6966" spans="2:4" x14ac:dyDescent="0.2">
      <c r="B6966" s="20">
        <v>46178</v>
      </c>
      <c r="C6966" s="58">
        <v>24759.05</v>
      </c>
      <c r="D6966" s="3">
        <f t="shared" si="111"/>
        <v>-7.4524102072764942E-3</v>
      </c>
    </row>
    <row r="6967" spans="2:4" x14ac:dyDescent="0.2">
      <c r="B6967" s="20">
        <v>46181</v>
      </c>
      <c r="C6967" s="58">
        <v>24616.22</v>
      </c>
      <c r="D6967" s="3">
        <f t="shared" si="111"/>
        <v>-5.7687996914258521E-3</v>
      </c>
    </row>
    <row r="6968" spans="2:4" x14ac:dyDescent="0.2">
      <c r="B6968" s="20">
        <v>46182</v>
      </c>
      <c r="C6968" s="58">
        <v>24433.06</v>
      </c>
      <c r="D6968" s="3">
        <f t="shared" si="111"/>
        <v>-7.4406224838744484E-3</v>
      </c>
    </row>
    <row r="6969" spans="2:4" x14ac:dyDescent="0.2">
      <c r="B6969" s="20">
        <v>46183</v>
      </c>
      <c r="C6969" s="58">
        <v>24195.31</v>
      </c>
      <c r="D6969" s="3">
        <f t="shared" si="111"/>
        <v>-9.7306682011994994E-3</v>
      </c>
    </row>
    <row r="6970" spans="2:4" x14ac:dyDescent="0.2">
      <c r="B6970" s="20">
        <v>46184</v>
      </c>
      <c r="C6970" s="58">
        <v>24209.71</v>
      </c>
      <c r="D6970" s="3">
        <f t="shared" si="111"/>
        <v>5.9515666465936867E-4</v>
      </c>
    </row>
    <row r="6971" spans="2:4" x14ac:dyDescent="0.2">
      <c r="B6971" s="20">
        <v>46185</v>
      </c>
      <c r="C6971" s="58">
        <v>24635.3</v>
      </c>
      <c r="D6971" s="3">
        <f t="shared" si="111"/>
        <v>1.7579310119782532E-2</v>
      </c>
    </row>
    <row r="6972" spans="2:4" x14ac:dyDescent="0.2">
      <c r="B6972" s="20">
        <v>46188</v>
      </c>
      <c r="C6972" s="58">
        <v>24894.01</v>
      </c>
      <c r="D6972" s="3">
        <f t="shared" si="111"/>
        <v>1.0501597301433296E-2</v>
      </c>
    </row>
    <row r="6973" spans="2:4" x14ac:dyDescent="0.2">
      <c r="B6973" s="20">
        <v>46189</v>
      </c>
      <c r="C6973" s="58">
        <v>24910.41</v>
      </c>
      <c r="D6973" s="3">
        <f t="shared" si="111"/>
        <v>6.5879301888283059E-4</v>
      </c>
    </row>
    <row r="6974" spans="2:4" x14ac:dyDescent="0.2">
      <c r="B6974" s="20">
        <v>46190</v>
      </c>
      <c r="C6974" s="58">
        <v>24934.67</v>
      </c>
      <c r="D6974" s="3">
        <f t="shared" si="111"/>
        <v>9.7389003231973525E-4</v>
      </c>
    </row>
    <row r="6975" spans="2:4" x14ac:dyDescent="0.2">
      <c r="B6975" s="20">
        <v>46191</v>
      </c>
      <c r="C6975" s="58">
        <v>25026.799999999999</v>
      </c>
      <c r="D6975" s="3">
        <f t="shared" si="111"/>
        <v>3.6948553961211328E-3</v>
      </c>
    </row>
    <row r="6976" spans="2:4" x14ac:dyDescent="0.2">
      <c r="B6976" s="20">
        <v>46192</v>
      </c>
      <c r="C6976" s="58">
        <v>24985.82</v>
      </c>
      <c r="D6976" s="3">
        <f t="shared" si="111"/>
        <v>-1.6374446593251379E-3</v>
      </c>
    </row>
    <row r="6977" spans="2:4" x14ac:dyDescent="0.2">
      <c r="B6977" s="20">
        <v>46195</v>
      </c>
      <c r="C6977" s="58">
        <v>25139.69</v>
      </c>
      <c r="D6977" s="3">
        <f t="shared" si="111"/>
        <v>6.1582929837804556E-3</v>
      </c>
    </row>
    <row r="6978" spans="2:4" x14ac:dyDescent="0.2">
      <c r="B6978" s="20">
        <v>46196</v>
      </c>
      <c r="C6978" s="58">
        <v>24893.58</v>
      </c>
      <c r="D6978" s="3">
        <f t="shared" si="111"/>
        <v>-9.7896990774347659E-3</v>
      </c>
    </row>
    <row r="6979" spans="2:4" x14ac:dyDescent="0.2">
      <c r="B6979" s="20">
        <v>46197</v>
      </c>
      <c r="C6979" s="58">
        <v>24740.36</v>
      </c>
      <c r="D6979" s="3">
        <f t="shared" si="111"/>
        <v>-6.1550006065821394E-3</v>
      </c>
    </row>
    <row r="6980" spans="2:4" x14ac:dyDescent="0.2">
      <c r="B6980" s="20">
        <v>46198</v>
      </c>
      <c r="C6980" s="58">
        <v>24994.83</v>
      </c>
      <c r="D6980" s="3">
        <f t="shared" si="111"/>
        <v>1.0285622359577751E-2</v>
      </c>
    </row>
    <row r="6981" spans="2:4" x14ac:dyDescent="0.2">
      <c r="B6981" s="20">
        <v>46199</v>
      </c>
      <c r="C6981" s="58">
        <v>24671.22</v>
      </c>
      <c r="D6981" s="3">
        <f t="shared" ref="D6981:D6983" si="112">C6981/C6980-1</f>
        <v>-1.294707745561785E-2</v>
      </c>
    </row>
    <row r="6982" spans="2:4" x14ac:dyDescent="0.2">
      <c r="B6982" s="20">
        <v>46202</v>
      </c>
      <c r="C6982" s="58">
        <v>24626.89</v>
      </c>
      <c r="D6982" s="3">
        <f t="shared" si="112"/>
        <v>-1.7968304769687693E-3</v>
      </c>
    </row>
    <row r="6983" spans="2:4" x14ac:dyDescent="0.2">
      <c r="B6983" s="20">
        <v>46203</v>
      </c>
      <c r="C6983" s="58">
        <v>24930.18</v>
      </c>
      <c r="D6983" s="3">
        <f t="shared" si="112"/>
        <v>1.231539995508979E-2</v>
      </c>
    </row>
  </sheetData>
  <autoFilter ref="B2:D2" xr:uid="{FEB2DEB8-ACCC-994D-B03B-664A2DF9F1F8}">
    <sortState xmlns:xlrd2="http://schemas.microsoft.com/office/spreadsheetml/2017/richdata2" ref="B3:D6983">
      <sortCondition ref="B2:B6983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7845-6C09-344B-A22C-ACBD547D7BED}">
  <dimension ref="A1:U7448"/>
  <sheetViews>
    <sheetView showGridLines="0" zoomScale="135" workbookViewId="0">
      <selection activeCell="I4" sqref="I4"/>
    </sheetView>
  </sheetViews>
  <sheetFormatPr baseColWidth="10" defaultRowHeight="15" x14ac:dyDescent="0.2"/>
  <cols>
    <col min="1" max="1" width="2" bestFit="1" customWidth="1"/>
    <col min="2" max="2" width="10.5" bestFit="1" customWidth="1"/>
    <col min="3" max="3" width="8.5" bestFit="1" customWidth="1"/>
    <col min="4" max="4" width="7.83203125" customWidth="1"/>
    <col min="5" max="6" width="8.5" bestFit="1" customWidth="1"/>
    <col min="7" max="7" width="11.5" bestFit="1" customWidth="1"/>
    <col min="9" max="9" width="7.6640625" bestFit="1" customWidth="1"/>
    <col min="10" max="10" width="19.5" bestFit="1" customWidth="1"/>
    <col min="12" max="12" width="11.6640625" customWidth="1"/>
    <col min="13" max="14" width="17.6640625" customWidth="1"/>
  </cols>
  <sheetData>
    <row r="1" spans="1:21" x14ac:dyDescent="0.2">
      <c r="A1" t="s">
        <v>0</v>
      </c>
      <c r="B1" t="s">
        <v>179</v>
      </c>
    </row>
    <row r="3" spans="1:21" x14ac:dyDescent="0.2">
      <c r="B3" s="62" t="s">
        <v>6</v>
      </c>
      <c r="C3" s="63" t="s">
        <v>15</v>
      </c>
      <c r="D3" s="63" t="s">
        <v>8</v>
      </c>
      <c r="E3" s="63" t="s">
        <v>2</v>
      </c>
      <c r="F3" s="63" t="s">
        <v>3</v>
      </c>
      <c r="G3" s="63" t="s">
        <v>9</v>
      </c>
      <c r="I3" s="65" t="s">
        <v>1</v>
      </c>
      <c r="J3" s="65" t="s">
        <v>16</v>
      </c>
      <c r="L3" s="9" t="s">
        <v>17</v>
      </c>
      <c r="M3" s="9" t="s">
        <v>11</v>
      </c>
      <c r="N3" s="11">
        <f>AVERAGE(J12:J31)</f>
        <v>1.6721805517622507E-2</v>
      </c>
      <c r="P3" s="89" t="s">
        <v>51</v>
      </c>
      <c r="Q3" s="90"/>
      <c r="R3" s="90"/>
      <c r="S3" s="90"/>
    </row>
    <row r="4" spans="1:21" x14ac:dyDescent="0.2">
      <c r="B4" s="64">
        <v>36162</v>
      </c>
      <c r="C4" s="7">
        <v>3.8629999999999998E-2</v>
      </c>
      <c r="D4" s="7">
        <v>3.8629999999999998E-2</v>
      </c>
      <c r="E4" s="7">
        <v>3.8629999999999998E-2</v>
      </c>
      <c r="F4" s="7">
        <v>3.8629999999999998E-2</v>
      </c>
      <c r="G4" s="52">
        <v>0</v>
      </c>
      <c r="I4" s="15">
        <v>1999</v>
      </c>
      <c r="J4" s="7">
        <f t="shared" ref="J4:J31" si="0">AVERAGEIFS($C$4:$C$7448,$B$4:$B$7448,"&gt;="&amp;DATE(I4,1,1),$B$4:$B$7448,"&lt;="&amp;DATE(I4,12,31))</f>
        <v>4.518511904761905E-2</v>
      </c>
      <c r="P4" s="91" t="s">
        <v>52</v>
      </c>
      <c r="Q4" s="91"/>
      <c r="R4" s="91"/>
      <c r="S4" s="35">
        <f>C7448</f>
        <v>3.0376E-2</v>
      </c>
    </row>
    <row r="5" spans="1:21" x14ac:dyDescent="0.2">
      <c r="B5" s="64">
        <v>36163</v>
      </c>
      <c r="C5" s="7">
        <v>3.8629999999999998E-2</v>
      </c>
      <c r="D5" s="7">
        <v>3.8629999999999998E-2</v>
      </c>
      <c r="E5" s="7">
        <v>3.8629999999999998E-2</v>
      </c>
      <c r="F5" s="7">
        <v>3.8629999999999998E-2</v>
      </c>
      <c r="G5" s="52">
        <v>0</v>
      </c>
      <c r="H5" s="5"/>
      <c r="I5" s="1">
        <f>I4+1</f>
        <v>2000</v>
      </c>
      <c r="J5" s="7">
        <f t="shared" si="0"/>
        <v>5.2646360759493672E-2</v>
      </c>
      <c r="L5" s="9" t="s">
        <v>17</v>
      </c>
      <c r="M5" s="9" t="s">
        <v>18</v>
      </c>
      <c r="N5" s="11">
        <f>AVERAGE(J17:J31)</f>
        <v>1.1005388158863446E-2</v>
      </c>
      <c r="P5" s="91" t="s">
        <v>53</v>
      </c>
      <c r="Q5" s="91"/>
      <c r="R5" s="91"/>
      <c r="S5" s="35">
        <f>'[1]Risk Free Rate Calculation'!$G$57</f>
        <v>2.0999999999999999E-3</v>
      </c>
      <c r="U5" t="s">
        <v>178</v>
      </c>
    </row>
    <row r="6" spans="1:21" x14ac:dyDescent="0.2">
      <c r="B6" s="64">
        <v>36164</v>
      </c>
      <c r="C6" s="7">
        <v>3.7479999999999999E-2</v>
      </c>
      <c r="D6" s="7">
        <v>3.7479999999999999E-2</v>
      </c>
      <c r="E6" s="7">
        <v>3.7479999999999999E-2</v>
      </c>
      <c r="F6" s="7">
        <v>3.7479999999999999E-2</v>
      </c>
      <c r="G6" s="52">
        <v>-2.98E-2</v>
      </c>
      <c r="H6" s="5"/>
      <c r="I6" s="1">
        <f>I5+1</f>
        <v>2001</v>
      </c>
      <c r="J6" s="7">
        <f t="shared" si="0"/>
        <v>4.8165078369905988E-2</v>
      </c>
      <c r="P6" s="91" t="s">
        <v>51</v>
      </c>
      <c r="Q6" s="91"/>
      <c r="R6" s="91"/>
      <c r="S6" s="35">
        <f>S4-S5</f>
        <v>2.8275999999999999E-2</v>
      </c>
    </row>
    <row r="7" spans="1:21" x14ac:dyDescent="0.2">
      <c r="B7" s="64">
        <v>36165</v>
      </c>
      <c r="C7" s="7">
        <v>3.7909999999999999E-2</v>
      </c>
      <c r="D7" s="7">
        <v>3.7909999999999999E-2</v>
      </c>
      <c r="E7" s="7">
        <v>3.7909999999999999E-2</v>
      </c>
      <c r="F7" s="7">
        <v>3.7909999999999999E-2</v>
      </c>
      <c r="G7" s="52">
        <v>1.15E-2</v>
      </c>
      <c r="H7" s="5"/>
      <c r="I7" s="1">
        <f t="shared" ref="I7:I31" si="1">I6+1</f>
        <v>2002</v>
      </c>
      <c r="J7" s="7">
        <f t="shared" si="0"/>
        <v>4.7922653846153837E-2</v>
      </c>
      <c r="L7" s="9" t="s">
        <v>17</v>
      </c>
      <c r="M7" s="9" t="s">
        <v>19</v>
      </c>
      <c r="N7" s="11">
        <f>AVERAGE(J22:J31)</f>
        <v>1.1405122256326044E-2</v>
      </c>
    </row>
    <row r="8" spans="1:21" x14ac:dyDescent="0.2">
      <c r="B8" s="64">
        <v>36166</v>
      </c>
      <c r="C8" s="7">
        <v>3.7679999999999998E-2</v>
      </c>
      <c r="D8" s="7">
        <v>3.7679999999999998E-2</v>
      </c>
      <c r="E8" s="7">
        <v>3.7679999999999998E-2</v>
      </c>
      <c r="F8" s="7">
        <v>3.7679999999999998E-2</v>
      </c>
      <c r="G8" s="52">
        <v>-6.1000000000000004E-3</v>
      </c>
      <c r="H8" s="5"/>
      <c r="I8" s="1">
        <f t="shared" si="1"/>
        <v>2003</v>
      </c>
      <c r="J8" s="7">
        <f t="shared" si="0"/>
        <v>4.0877704280155684E-2</v>
      </c>
    </row>
    <row r="9" spans="1:21" x14ac:dyDescent="0.2">
      <c r="B9" s="64">
        <v>36167</v>
      </c>
      <c r="C9" s="7">
        <v>3.7109999999999997E-2</v>
      </c>
      <c r="D9" s="7">
        <v>3.7109999999999997E-2</v>
      </c>
      <c r="E9" s="7">
        <v>3.7109999999999997E-2</v>
      </c>
      <c r="F9" s="7">
        <v>3.7109999999999997E-2</v>
      </c>
      <c r="G9" s="52">
        <v>-1.5100000000000001E-2</v>
      </c>
      <c r="H9" s="5"/>
      <c r="I9" s="1">
        <f t="shared" si="1"/>
        <v>2004</v>
      </c>
      <c r="J9" s="7">
        <f t="shared" si="0"/>
        <v>4.0620965250965237E-2</v>
      </c>
      <c r="L9" s="9" t="s">
        <v>17</v>
      </c>
      <c r="M9" s="9" t="s">
        <v>12</v>
      </c>
      <c r="N9" s="11">
        <f>AVERAGE(J25:J31)</f>
        <v>1.5395512392460694E-2</v>
      </c>
    </row>
    <row r="10" spans="1:21" x14ac:dyDescent="0.2">
      <c r="B10" s="64">
        <v>36168</v>
      </c>
      <c r="C10" s="7">
        <v>3.7139999999999999E-2</v>
      </c>
      <c r="D10" s="7">
        <v>3.7139999999999999E-2</v>
      </c>
      <c r="E10" s="7">
        <v>3.7139999999999999E-2</v>
      </c>
      <c r="F10" s="7">
        <v>3.7139999999999999E-2</v>
      </c>
      <c r="G10" s="52">
        <v>8.0000000000000004E-4</v>
      </c>
      <c r="H10" s="5"/>
      <c r="I10" s="1">
        <f t="shared" si="1"/>
        <v>2005</v>
      </c>
      <c r="J10" s="7">
        <f t="shared" si="0"/>
        <v>3.3802393822393834E-2</v>
      </c>
    </row>
    <row r="11" spans="1:21" x14ac:dyDescent="0.2">
      <c r="B11" s="64">
        <v>36171</v>
      </c>
      <c r="C11" s="7">
        <v>3.7240000000000002E-2</v>
      </c>
      <c r="D11" s="7">
        <v>3.7240000000000002E-2</v>
      </c>
      <c r="E11" s="7">
        <v>3.7240000000000002E-2</v>
      </c>
      <c r="F11" s="7">
        <v>3.7240000000000002E-2</v>
      </c>
      <c r="G11" s="52">
        <v>2.7000000000000001E-3</v>
      </c>
      <c r="H11" s="5"/>
      <c r="I11" s="1">
        <f t="shared" si="1"/>
        <v>2006</v>
      </c>
      <c r="J11" s="7">
        <f t="shared" si="0"/>
        <v>3.7722235294117626E-2</v>
      </c>
      <c r="L11" s="9" t="s">
        <v>17</v>
      </c>
      <c r="M11" s="9" t="s">
        <v>13</v>
      </c>
      <c r="N11" s="11">
        <f>AVERAGE(J27:J31)</f>
        <v>2.3117103552178084E-2</v>
      </c>
    </row>
    <row r="12" spans="1:21" x14ac:dyDescent="0.2">
      <c r="B12" s="64">
        <v>36172</v>
      </c>
      <c r="C12" s="7">
        <v>3.805E-2</v>
      </c>
      <c r="D12" s="7">
        <v>3.805E-2</v>
      </c>
      <c r="E12" s="7">
        <v>3.805E-2</v>
      </c>
      <c r="F12" s="7">
        <v>3.805E-2</v>
      </c>
      <c r="G12" s="52">
        <v>2.18E-2</v>
      </c>
      <c r="H12" s="5"/>
      <c r="I12" s="1">
        <f t="shared" si="1"/>
        <v>2007</v>
      </c>
      <c r="J12" s="7">
        <f t="shared" si="0"/>
        <v>4.2301666666666696E-2</v>
      </c>
    </row>
    <row r="13" spans="1:21" x14ac:dyDescent="0.2">
      <c r="B13" s="64">
        <v>36173</v>
      </c>
      <c r="C13" s="7">
        <v>3.6720000000000003E-2</v>
      </c>
      <c r="D13" s="7">
        <v>3.6720000000000003E-2</v>
      </c>
      <c r="E13" s="7">
        <v>3.6720000000000003E-2</v>
      </c>
      <c r="F13" s="7">
        <v>3.6720000000000003E-2</v>
      </c>
      <c r="G13" s="52">
        <v>-3.5000000000000003E-2</v>
      </c>
      <c r="H13" s="5"/>
      <c r="I13" s="1">
        <f t="shared" si="1"/>
        <v>2008</v>
      </c>
      <c r="J13" s="7">
        <f t="shared" si="0"/>
        <v>4.0154881889763787E-2</v>
      </c>
      <c r="L13" s="9" t="s">
        <v>17</v>
      </c>
      <c r="M13" s="9" t="s">
        <v>14</v>
      </c>
      <c r="N13" s="11">
        <f>J31</f>
        <v>2.9300651785714279E-2</v>
      </c>
    </row>
    <row r="14" spans="1:21" x14ac:dyDescent="0.2">
      <c r="B14" s="64">
        <v>36174</v>
      </c>
      <c r="C14" s="7">
        <v>3.712E-2</v>
      </c>
      <c r="D14" s="7">
        <v>3.712E-2</v>
      </c>
      <c r="E14" s="7">
        <v>3.712E-2</v>
      </c>
      <c r="F14" s="7">
        <v>3.712E-2</v>
      </c>
      <c r="G14" s="52">
        <v>1.09E-2</v>
      </c>
      <c r="H14" s="5"/>
      <c r="I14" s="1">
        <f t="shared" si="1"/>
        <v>2009</v>
      </c>
      <c r="J14" s="7">
        <f t="shared" si="0"/>
        <v>3.2687244094488199E-2</v>
      </c>
    </row>
    <row r="15" spans="1:21" ht="32" x14ac:dyDescent="0.2">
      <c r="B15" s="64">
        <v>36175</v>
      </c>
      <c r="C15" s="7">
        <v>3.6769999999999997E-2</v>
      </c>
      <c r="D15" s="7">
        <v>3.6769999999999997E-2</v>
      </c>
      <c r="E15" s="7">
        <v>3.6769999999999997E-2</v>
      </c>
      <c r="F15" s="7">
        <v>3.6769999999999997E-2</v>
      </c>
      <c r="G15" s="52">
        <v>-9.4000000000000004E-3</v>
      </c>
      <c r="H15" s="5"/>
      <c r="I15" s="1">
        <f t="shared" si="1"/>
        <v>2010</v>
      </c>
      <c r="J15" s="7">
        <f t="shared" si="0"/>
        <v>2.7734296874999998E-2</v>
      </c>
      <c r="L15" s="9" t="s">
        <v>55</v>
      </c>
      <c r="M15" s="36" t="s">
        <v>54</v>
      </c>
      <c r="N15" s="11">
        <f>S6</f>
        <v>2.8275999999999999E-2</v>
      </c>
    </row>
    <row r="16" spans="1:21" x14ac:dyDescent="0.2">
      <c r="B16" s="64">
        <v>36176</v>
      </c>
      <c r="C16" s="7">
        <v>3.6830000000000002E-2</v>
      </c>
      <c r="D16" s="7">
        <v>3.6830000000000002E-2</v>
      </c>
      <c r="E16" s="7">
        <v>3.6830000000000002E-2</v>
      </c>
      <c r="F16" s="7">
        <v>3.6830000000000002E-2</v>
      </c>
      <c r="G16" s="52">
        <v>1.6000000000000001E-3</v>
      </c>
      <c r="H16" s="5"/>
      <c r="I16" s="1">
        <f t="shared" si="1"/>
        <v>2011</v>
      </c>
      <c r="J16" s="7">
        <f t="shared" si="0"/>
        <v>2.6477198443579774E-2</v>
      </c>
    </row>
    <row r="17" spans="2:10" x14ac:dyDescent="0.2">
      <c r="B17" s="64">
        <v>36177</v>
      </c>
      <c r="C17" s="7">
        <v>3.6949999999999997E-2</v>
      </c>
      <c r="D17" s="7">
        <v>3.6949999999999997E-2</v>
      </c>
      <c r="E17" s="7">
        <v>3.6949999999999997E-2</v>
      </c>
      <c r="F17" s="7">
        <v>3.6949999999999997E-2</v>
      </c>
      <c r="G17" s="52">
        <v>3.3E-3</v>
      </c>
      <c r="H17" s="5"/>
      <c r="I17" s="1">
        <f t="shared" si="1"/>
        <v>2012</v>
      </c>
      <c r="J17" s="7">
        <f t="shared" si="0"/>
        <v>1.5667559055118113E-2</v>
      </c>
    </row>
    <row r="18" spans="2:10" x14ac:dyDescent="0.2">
      <c r="B18" s="64">
        <v>36178</v>
      </c>
      <c r="C18" s="7">
        <v>3.6629999999999996E-2</v>
      </c>
      <c r="D18" s="7">
        <v>3.6629999999999996E-2</v>
      </c>
      <c r="E18" s="7">
        <v>3.6629999999999996E-2</v>
      </c>
      <c r="F18" s="7">
        <v>3.6629999999999996E-2</v>
      </c>
      <c r="G18" s="52">
        <v>-8.6999999999999994E-3</v>
      </c>
      <c r="H18" s="5"/>
      <c r="I18" s="1">
        <f t="shared" si="1"/>
        <v>2013</v>
      </c>
      <c r="J18" s="7">
        <f t="shared" si="0"/>
        <v>1.6396446886446876E-2</v>
      </c>
    </row>
    <row r="19" spans="2:10" x14ac:dyDescent="0.2">
      <c r="B19" s="64">
        <v>36179</v>
      </c>
      <c r="C19" s="7">
        <v>3.6569999999999998E-2</v>
      </c>
      <c r="D19" s="7">
        <v>3.6569999999999998E-2</v>
      </c>
      <c r="E19" s="7">
        <v>3.6569999999999998E-2</v>
      </c>
      <c r="F19" s="7">
        <v>3.6569999999999998E-2</v>
      </c>
      <c r="G19" s="52">
        <v>-1.6000000000000001E-3</v>
      </c>
      <c r="H19" s="5"/>
      <c r="I19" s="1">
        <f t="shared" si="1"/>
        <v>2014</v>
      </c>
      <c r="J19" s="7">
        <f t="shared" si="0"/>
        <v>1.2252214022140219E-2</v>
      </c>
    </row>
    <row r="20" spans="2:10" x14ac:dyDescent="0.2">
      <c r="B20" s="64">
        <v>36180</v>
      </c>
      <c r="C20" s="7">
        <v>3.678E-2</v>
      </c>
      <c r="D20" s="7">
        <v>3.678E-2</v>
      </c>
      <c r="E20" s="7">
        <v>3.678E-2</v>
      </c>
      <c r="F20" s="7">
        <v>3.678E-2</v>
      </c>
      <c r="G20" s="52">
        <v>5.7000000000000002E-3</v>
      </c>
      <c r="H20" s="5"/>
      <c r="I20" s="1">
        <f t="shared" si="1"/>
        <v>2015</v>
      </c>
      <c r="J20" s="7">
        <f t="shared" si="0"/>
        <v>5.3540034722222218E-3</v>
      </c>
    </row>
    <row r="21" spans="2:10" x14ac:dyDescent="0.2">
      <c r="B21" s="64">
        <v>36181</v>
      </c>
      <c r="C21" s="7">
        <v>3.6729999999999999E-2</v>
      </c>
      <c r="D21" s="7">
        <v>3.6729999999999999E-2</v>
      </c>
      <c r="E21" s="7">
        <v>3.6729999999999999E-2</v>
      </c>
      <c r="F21" s="7">
        <v>3.6729999999999999E-2</v>
      </c>
      <c r="G21" s="52">
        <v>-1.4E-3</v>
      </c>
      <c r="H21" s="5"/>
      <c r="I21" s="1">
        <f t="shared" si="1"/>
        <v>2016</v>
      </c>
      <c r="J21" s="7">
        <f t="shared" si="0"/>
        <v>1.3593763837638382E-3</v>
      </c>
    </row>
    <row r="22" spans="2:10" x14ac:dyDescent="0.2">
      <c r="B22" s="64">
        <v>36182</v>
      </c>
      <c r="C22" s="7">
        <v>3.6479999999999999E-2</v>
      </c>
      <c r="D22" s="7">
        <v>3.6479999999999999E-2</v>
      </c>
      <c r="E22" s="7">
        <v>3.6479999999999999E-2</v>
      </c>
      <c r="F22" s="7">
        <v>3.6479999999999999E-2</v>
      </c>
      <c r="G22" s="52">
        <v>-6.7999999999999996E-3</v>
      </c>
      <c r="H22" s="5"/>
      <c r="I22" s="1">
        <f t="shared" si="1"/>
        <v>2017</v>
      </c>
      <c r="J22" s="7">
        <f t="shared" si="0"/>
        <v>3.7648736462093831E-3</v>
      </c>
    </row>
    <row r="23" spans="2:10" x14ac:dyDescent="0.2">
      <c r="B23" s="64">
        <v>36185</v>
      </c>
      <c r="C23" s="7">
        <v>3.6290000000000003E-2</v>
      </c>
      <c r="D23" s="7">
        <v>3.6290000000000003E-2</v>
      </c>
      <c r="E23" s="7">
        <v>3.6290000000000003E-2</v>
      </c>
      <c r="F23" s="7">
        <v>3.6290000000000003E-2</v>
      </c>
      <c r="G23" s="52">
        <v>-5.1999999999999998E-3</v>
      </c>
      <c r="H23" s="5"/>
      <c r="I23" s="1">
        <f t="shared" si="1"/>
        <v>2018</v>
      </c>
      <c r="J23" s="7">
        <f t="shared" si="0"/>
        <v>4.6069708029197092E-3</v>
      </c>
    </row>
    <row r="24" spans="2:10" x14ac:dyDescent="0.2">
      <c r="B24" s="64">
        <v>36187</v>
      </c>
      <c r="C24" s="7">
        <v>3.662E-2</v>
      </c>
      <c r="D24" s="7">
        <v>3.662E-2</v>
      </c>
      <c r="E24" s="7">
        <v>3.662E-2</v>
      </c>
      <c r="F24" s="7">
        <v>3.662E-2</v>
      </c>
      <c r="G24" s="52">
        <v>9.1000000000000004E-3</v>
      </c>
      <c r="H24" s="5"/>
      <c r="I24" s="1">
        <f t="shared" si="1"/>
        <v>2019</v>
      </c>
      <c r="J24" s="7">
        <f t="shared" si="0"/>
        <v>-2.0892086330935255E-3</v>
      </c>
    </row>
    <row r="25" spans="2:10" x14ac:dyDescent="0.2">
      <c r="B25" s="64">
        <v>36188</v>
      </c>
      <c r="C25" s="7">
        <v>3.6450000000000003E-2</v>
      </c>
      <c r="D25" s="7">
        <v>3.6450000000000003E-2</v>
      </c>
      <c r="E25" s="7">
        <v>3.6450000000000003E-2</v>
      </c>
      <c r="F25" s="7">
        <v>3.6450000000000003E-2</v>
      </c>
      <c r="G25" s="52">
        <v>-4.5999999999999999E-3</v>
      </c>
      <c r="H25" s="5"/>
      <c r="I25" s="1">
        <f t="shared" si="1"/>
        <v>2020</v>
      </c>
      <c r="J25" s="7">
        <f t="shared" si="0"/>
        <v>-4.7673872180451146E-3</v>
      </c>
    </row>
    <row r="26" spans="2:10" x14ac:dyDescent="0.2">
      <c r="B26" s="64">
        <v>36189</v>
      </c>
      <c r="C26" s="7">
        <v>3.637E-2</v>
      </c>
      <c r="D26" s="7">
        <v>3.637E-2</v>
      </c>
      <c r="E26" s="7">
        <v>3.637E-2</v>
      </c>
      <c r="F26" s="7">
        <v>3.637E-2</v>
      </c>
      <c r="G26" s="52">
        <v>-2.2000000000000001E-3</v>
      </c>
      <c r="H26" s="5"/>
      <c r="I26" s="1">
        <f t="shared" si="1"/>
        <v>2021</v>
      </c>
      <c r="J26" s="7">
        <f t="shared" si="0"/>
        <v>-3.0495437956204372E-3</v>
      </c>
    </row>
    <row r="27" spans="2:10" x14ac:dyDescent="0.2">
      <c r="B27" s="64">
        <v>36190</v>
      </c>
      <c r="C27" s="7">
        <v>3.635E-2</v>
      </c>
      <c r="D27" s="7">
        <v>3.635E-2</v>
      </c>
      <c r="E27" s="7">
        <v>3.635E-2</v>
      </c>
      <c r="F27" s="7">
        <v>3.635E-2</v>
      </c>
      <c r="G27" s="52">
        <v>-5.0000000000000001E-4</v>
      </c>
      <c r="H27" s="5"/>
      <c r="I27" s="1">
        <f t="shared" si="1"/>
        <v>2022</v>
      </c>
      <c r="J27" s="7">
        <f t="shared" si="0"/>
        <v>1.2038801498127341E-2</v>
      </c>
    </row>
    <row r="28" spans="2:10" x14ac:dyDescent="0.2">
      <c r="B28" s="64">
        <v>36191</v>
      </c>
      <c r="C28" s="7">
        <v>3.635E-2</v>
      </c>
      <c r="D28" s="7">
        <v>3.635E-2</v>
      </c>
      <c r="E28" s="7">
        <v>3.635E-2</v>
      </c>
      <c r="F28" s="7">
        <v>3.635E-2</v>
      </c>
      <c r="G28" s="52">
        <v>0</v>
      </c>
      <c r="H28" s="5"/>
      <c r="I28" s="1">
        <f t="shared" si="1"/>
        <v>2023</v>
      </c>
      <c r="J28" s="7">
        <f t="shared" si="0"/>
        <v>2.448792387543252E-2</v>
      </c>
    </row>
    <row r="29" spans="2:10" x14ac:dyDescent="0.2">
      <c r="B29" s="64">
        <v>36192</v>
      </c>
      <c r="C29" s="7">
        <v>3.6929999999999998E-2</v>
      </c>
      <c r="D29" s="7">
        <v>3.6929999999999998E-2</v>
      </c>
      <c r="E29" s="7">
        <v>3.6929999999999998E-2</v>
      </c>
      <c r="F29" s="7">
        <v>3.6929999999999998E-2</v>
      </c>
      <c r="G29" s="52">
        <v>1.6E-2</v>
      </c>
      <c r="H29" s="5"/>
      <c r="I29" s="1">
        <f t="shared" si="1"/>
        <v>2024</v>
      </c>
      <c r="J29" s="7">
        <f t="shared" si="0"/>
        <v>2.3398288461538467E-2</v>
      </c>
    </row>
    <row r="30" spans="2:10" x14ac:dyDescent="0.2">
      <c r="B30" s="64">
        <v>36193</v>
      </c>
      <c r="C30" s="7">
        <v>3.7100000000000001E-2</v>
      </c>
      <c r="D30" s="7">
        <v>3.7100000000000001E-2</v>
      </c>
      <c r="E30" s="7">
        <v>3.7100000000000001E-2</v>
      </c>
      <c r="F30" s="7">
        <v>3.7100000000000001E-2</v>
      </c>
      <c r="G30" s="52">
        <v>4.5999999999999999E-3</v>
      </c>
      <c r="H30" s="5"/>
      <c r="I30" s="1">
        <f t="shared" si="1"/>
        <v>2025</v>
      </c>
      <c r="J30" s="7">
        <f t="shared" si="0"/>
        <v>2.635985214007781E-2</v>
      </c>
    </row>
    <row r="31" spans="2:10" x14ac:dyDescent="0.2">
      <c r="B31" s="64">
        <v>36194</v>
      </c>
      <c r="C31" s="7">
        <v>3.7499999999999999E-2</v>
      </c>
      <c r="D31" s="7">
        <v>3.7499999999999999E-2</v>
      </c>
      <c r="E31" s="7">
        <v>3.7499999999999999E-2</v>
      </c>
      <c r="F31" s="7">
        <v>3.7499999999999999E-2</v>
      </c>
      <c r="G31" s="52">
        <v>1.0800000000000001E-2</v>
      </c>
      <c r="H31" s="5"/>
      <c r="I31" s="1">
        <f t="shared" si="1"/>
        <v>2026</v>
      </c>
      <c r="J31" s="7">
        <f t="shared" si="0"/>
        <v>2.9300651785714279E-2</v>
      </c>
    </row>
    <row r="32" spans="2:10" x14ac:dyDescent="0.2">
      <c r="B32" s="64">
        <v>36195</v>
      </c>
      <c r="C32" s="7">
        <v>3.8220000000000004E-2</v>
      </c>
      <c r="D32" s="7">
        <v>3.8220000000000004E-2</v>
      </c>
      <c r="E32" s="7">
        <v>3.8220000000000004E-2</v>
      </c>
      <c r="F32" s="7">
        <v>3.8220000000000004E-2</v>
      </c>
      <c r="G32" s="52">
        <v>1.9199999999999998E-2</v>
      </c>
      <c r="H32" s="5"/>
      <c r="J32" s="5"/>
    </row>
    <row r="33" spans="2:10" x14ac:dyDescent="0.2">
      <c r="B33" s="64">
        <v>36196</v>
      </c>
      <c r="C33" s="7">
        <v>3.7759999999999995E-2</v>
      </c>
      <c r="D33" s="7">
        <v>3.7759999999999995E-2</v>
      </c>
      <c r="E33" s="7">
        <v>3.7759999999999995E-2</v>
      </c>
      <c r="F33" s="7">
        <v>3.7759999999999995E-2</v>
      </c>
      <c r="G33" s="52">
        <v>-1.2E-2</v>
      </c>
      <c r="H33" s="5"/>
      <c r="I33" t="s">
        <v>180</v>
      </c>
    </row>
    <row r="34" spans="2:10" x14ac:dyDescent="0.2">
      <c r="B34" s="64">
        <v>36197</v>
      </c>
      <c r="C34" s="7">
        <v>3.7810000000000003E-2</v>
      </c>
      <c r="D34" s="7">
        <v>3.7810000000000003E-2</v>
      </c>
      <c r="E34" s="7">
        <v>3.7810000000000003E-2</v>
      </c>
      <c r="F34" s="7">
        <v>3.7810000000000003E-2</v>
      </c>
      <c r="G34" s="52">
        <v>1.2999999999999999E-3</v>
      </c>
      <c r="H34" s="5"/>
    </row>
    <row r="35" spans="2:10" x14ac:dyDescent="0.2">
      <c r="B35" s="64">
        <v>36199</v>
      </c>
      <c r="C35" s="7">
        <v>3.8550000000000001E-2</v>
      </c>
      <c r="D35" s="7">
        <v>3.8550000000000001E-2</v>
      </c>
      <c r="E35" s="7">
        <v>3.8550000000000001E-2</v>
      </c>
      <c r="F35" s="7">
        <v>3.8550000000000001E-2</v>
      </c>
      <c r="G35" s="52">
        <v>1.9599999999999999E-2</v>
      </c>
      <c r="H35" s="5"/>
      <c r="I35" s="88"/>
      <c r="J35" s="88"/>
    </row>
    <row r="36" spans="2:10" x14ac:dyDescent="0.2">
      <c r="B36" s="64">
        <v>36200</v>
      </c>
      <c r="C36" s="7">
        <v>3.7870000000000001E-2</v>
      </c>
      <c r="D36" s="7">
        <v>3.7870000000000001E-2</v>
      </c>
      <c r="E36" s="7">
        <v>3.7870000000000001E-2</v>
      </c>
      <c r="F36" s="7">
        <v>3.7870000000000001E-2</v>
      </c>
      <c r="G36" s="52">
        <v>-1.7600000000000001E-2</v>
      </c>
      <c r="H36" s="5"/>
    </row>
    <row r="37" spans="2:10" x14ac:dyDescent="0.2">
      <c r="B37" s="64">
        <v>36201</v>
      </c>
      <c r="C37" s="7">
        <v>3.7900000000000003E-2</v>
      </c>
      <c r="D37" s="7">
        <v>3.7900000000000003E-2</v>
      </c>
      <c r="E37" s="7">
        <v>3.7900000000000003E-2</v>
      </c>
      <c r="F37" s="7">
        <v>3.7900000000000003E-2</v>
      </c>
      <c r="G37" s="52">
        <v>8.0000000000000004E-4</v>
      </c>
      <c r="H37" s="5"/>
    </row>
    <row r="38" spans="2:10" x14ac:dyDescent="0.2">
      <c r="B38" s="64">
        <v>36202</v>
      </c>
      <c r="C38" s="7">
        <v>3.805E-2</v>
      </c>
      <c r="D38" s="7">
        <v>3.805E-2</v>
      </c>
      <c r="E38" s="7">
        <v>3.805E-2</v>
      </c>
      <c r="F38" s="7">
        <v>3.805E-2</v>
      </c>
      <c r="G38" s="52">
        <v>4.0000000000000001E-3</v>
      </c>
      <c r="H38" s="5"/>
    </row>
    <row r="39" spans="2:10" x14ac:dyDescent="0.2">
      <c r="B39" s="64">
        <v>36203</v>
      </c>
      <c r="C39" s="7">
        <v>3.841E-2</v>
      </c>
      <c r="D39" s="7">
        <v>3.841E-2</v>
      </c>
      <c r="E39" s="7">
        <v>3.841E-2</v>
      </c>
      <c r="F39" s="7">
        <v>3.841E-2</v>
      </c>
      <c r="G39" s="52">
        <v>9.4999999999999998E-3</v>
      </c>
      <c r="H39" s="5"/>
    </row>
    <row r="40" spans="2:10" x14ac:dyDescent="0.2">
      <c r="B40" s="64">
        <v>36204</v>
      </c>
      <c r="C40" s="7">
        <v>3.8650000000000004E-2</v>
      </c>
      <c r="D40" s="7">
        <v>3.8650000000000004E-2</v>
      </c>
      <c r="E40" s="7">
        <v>3.8650000000000004E-2</v>
      </c>
      <c r="F40" s="7">
        <v>3.8650000000000004E-2</v>
      </c>
      <c r="G40" s="52">
        <v>6.1999999999999998E-3</v>
      </c>
      <c r="H40" s="5"/>
    </row>
    <row r="41" spans="2:10" x14ac:dyDescent="0.2">
      <c r="B41" s="64">
        <v>36206</v>
      </c>
      <c r="C41" s="7">
        <v>3.9260000000000003E-2</v>
      </c>
      <c r="D41" s="7">
        <v>3.9260000000000003E-2</v>
      </c>
      <c r="E41" s="7">
        <v>3.9260000000000003E-2</v>
      </c>
      <c r="F41" s="7">
        <v>3.9260000000000003E-2</v>
      </c>
      <c r="G41" s="52">
        <v>1.5800000000000002E-2</v>
      </c>
      <c r="H41" s="5"/>
    </row>
    <row r="42" spans="2:10" x14ac:dyDescent="0.2">
      <c r="B42" s="64">
        <v>36207</v>
      </c>
      <c r="C42" s="7">
        <v>3.8800000000000001E-2</v>
      </c>
      <c r="D42" s="7">
        <v>3.8800000000000001E-2</v>
      </c>
      <c r="E42" s="7">
        <v>3.8800000000000001E-2</v>
      </c>
      <c r="F42" s="7">
        <v>3.8800000000000001E-2</v>
      </c>
      <c r="G42" s="52">
        <v>-1.17E-2</v>
      </c>
      <c r="H42" s="5"/>
    </row>
    <row r="43" spans="2:10" x14ac:dyDescent="0.2">
      <c r="B43" s="64">
        <v>36208</v>
      </c>
      <c r="C43" s="7">
        <v>3.8929999999999999E-2</v>
      </c>
      <c r="D43" s="7">
        <v>3.8929999999999999E-2</v>
      </c>
      <c r="E43" s="7">
        <v>3.8929999999999999E-2</v>
      </c>
      <c r="F43" s="7">
        <v>3.8929999999999999E-2</v>
      </c>
      <c r="G43" s="52">
        <v>3.3999999999999998E-3</v>
      </c>
      <c r="H43" s="5"/>
    </row>
    <row r="44" spans="2:10" x14ac:dyDescent="0.2">
      <c r="B44" s="64">
        <v>36209</v>
      </c>
      <c r="C44" s="7">
        <v>3.884E-2</v>
      </c>
      <c r="D44" s="7">
        <v>3.884E-2</v>
      </c>
      <c r="E44" s="7">
        <v>3.884E-2</v>
      </c>
      <c r="F44" s="7">
        <v>3.884E-2</v>
      </c>
      <c r="G44" s="52">
        <v>-2.3E-3</v>
      </c>
      <c r="H44" s="5"/>
    </row>
    <row r="45" spans="2:10" x14ac:dyDescent="0.2">
      <c r="B45" s="64">
        <v>36210</v>
      </c>
      <c r="C45" s="7">
        <v>3.9019999999999999E-2</v>
      </c>
      <c r="D45" s="7">
        <v>3.9019999999999999E-2</v>
      </c>
      <c r="E45" s="7">
        <v>3.9019999999999999E-2</v>
      </c>
      <c r="F45" s="7">
        <v>3.9019999999999999E-2</v>
      </c>
      <c r="G45" s="52">
        <v>4.5999999999999999E-3</v>
      </c>
      <c r="H45" s="5"/>
    </row>
    <row r="46" spans="2:10" x14ac:dyDescent="0.2">
      <c r="B46" s="64">
        <v>36211</v>
      </c>
      <c r="C46" s="7">
        <v>3.8989999999999997E-2</v>
      </c>
      <c r="D46" s="7">
        <v>3.8989999999999997E-2</v>
      </c>
      <c r="E46" s="7">
        <v>3.8989999999999997E-2</v>
      </c>
      <c r="F46" s="7">
        <v>3.8989999999999997E-2</v>
      </c>
      <c r="G46" s="52">
        <v>-8.0000000000000004E-4</v>
      </c>
      <c r="H46" s="5"/>
    </row>
    <row r="47" spans="2:10" x14ac:dyDescent="0.2">
      <c r="B47" s="64">
        <v>36213</v>
      </c>
      <c r="C47" s="7">
        <v>3.8789999999999998E-2</v>
      </c>
      <c r="D47" s="7">
        <v>3.8789999999999998E-2</v>
      </c>
      <c r="E47" s="7">
        <v>3.8789999999999998E-2</v>
      </c>
      <c r="F47" s="7">
        <v>3.8789999999999998E-2</v>
      </c>
      <c r="G47" s="52">
        <v>-5.1000000000000004E-3</v>
      </c>
      <c r="H47" s="5"/>
    </row>
    <row r="48" spans="2:10" x14ac:dyDescent="0.2">
      <c r="B48" s="64">
        <v>36214</v>
      </c>
      <c r="C48" s="7">
        <v>3.85E-2</v>
      </c>
      <c r="D48" s="7">
        <v>3.85E-2</v>
      </c>
      <c r="E48" s="7">
        <v>3.85E-2</v>
      </c>
      <c r="F48" s="7">
        <v>3.85E-2</v>
      </c>
      <c r="G48" s="52">
        <v>-7.4999999999999997E-3</v>
      </c>
      <c r="H48" s="5"/>
    </row>
    <row r="49" spans="2:8" x14ac:dyDescent="0.2">
      <c r="B49" s="64">
        <v>36215</v>
      </c>
      <c r="C49" s="7">
        <v>3.8620000000000002E-2</v>
      </c>
      <c r="D49" s="7">
        <v>3.8620000000000002E-2</v>
      </c>
      <c r="E49" s="7">
        <v>3.8620000000000002E-2</v>
      </c>
      <c r="F49" s="7">
        <v>3.8620000000000002E-2</v>
      </c>
      <c r="G49" s="52">
        <v>3.0999999999999999E-3</v>
      </c>
      <c r="H49" s="5"/>
    </row>
    <row r="50" spans="2:8" x14ac:dyDescent="0.2">
      <c r="B50" s="64">
        <v>36216</v>
      </c>
      <c r="C50" s="7">
        <v>3.9079999999999997E-2</v>
      </c>
      <c r="D50" s="7">
        <v>3.9079999999999997E-2</v>
      </c>
      <c r="E50" s="7">
        <v>3.9079999999999997E-2</v>
      </c>
      <c r="F50" s="7">
        <v>3.9079999999999997E-2</v>
      </c>
      <c r="G50" s="52">
        <v>1.1900000000000001E-2</v>
      </c>
      <c r="H50" s="5"/>
    </row>
    <row r="51" spans="2:8" x14ac:dyDescent="0.2">
      <c r="B51" s="64">
        <v>36217</v>
      </c>
      <c r="C51" s="7">
        <v>3.9969999999999999E-2</v>
      </c>
      <c r="D51" s="7">
        <v>3.9969999999999999E-2</v>
      </c>
      <c r="E51" s="7">
        <v>3.9969999999999999E-2</v>
      </c>
      <c r="F51" s="7">
        <v>3.9969999999999999E-2</v>
      </c>
      <c r="G51" s="52">
        <v>2.2800000000000001E-2</v>
      </c>
      <c r="H51" s="5"/>
    </row>
    <row r="52" spans="2:8" x14ac:dyDescent="0.2">
      <c r="B52" s="64">
        <v>36218</v>
      </c>
      <c r="C52" s="7">
        <v>4.0090000000000001E-2</v>
      </c>
      <c r="D52" s="7">
        <v>4.0090000000000001E-2</v>
      </c>
      <c r="E52" s="7">
        <v>4.0090000000000001E-2</v>
      </c>
      <c r="F52" s="7">
        <v>4.0090000000000001E-2</v>
      </c>
      <c r="G52" s="52">
        <v>3.0000000000000001E-3</v>
      </c>
      <c r="H52" s="5"/>
    </row>
    <row r="53" spans="2:8" x14ac:dyDescent="0.2">
      <c r="B53" s="64">
        <v>36219</v>
      </c>
      <c r="C53" s="7">
        <v>4.0010000000000004E-2</v>
      </c>
      <c r="D53" s="7">
        <v>4.0010000000000004E-2</v>
      </c>
      <c r="E53" s="7">
        <v>4.0010000000000004E-2</v>
      </c>
      <c r="F53" s="7">
        <v>4.0010000000000004E-2</v>
      </c>
      <c r="G53" s="52">
        <v>-2E-3</v>
      </c>
      <c r="H53" s="5"/>
    </row>
    <row r="54" spans="2:8" x14ac:dyDescent="0.2">
      <c r="B54" s="64">
        <v>36220</v>
      </c>
      <c r="C54" s="7">
        <v>4.0910000000000002E-2</v>
      </c>
      <c r="D54" s="7">
        <v>4.0910000000000002E-2</v>
      </c>
      <c r="E54" s="7">
        <v>4.0910000000000002E-2</v>
      </c>
      <c r="F54" s="7">
        <v>4.0910000000000002E-2</v>
      </c>
      <c r="G54" s="52">
        <v>2.2499999999999999E-2</v>
      </c>
      <c r="H54" s="5"/>
    </row>
    <row r="55" spans="2:8" x14ac:dyDescent="0.2">
      <c r="B55" s="64">
        <v>36221</v>
      </c>
      <c r="C55" s="7">
        <v>4.0839999999999994E-2</v>
      </c>
      <c r="D55" s="7">
        <v>4.0839999999999994E-2</v>
      </c>
      <c r="E55" s="7">
        <v>4.0839999999999994E-2</v>
      </c>
      <c r="F55" s="7">
        <v>4.0839999999999994E-2</v>
      </c>
      <c r="G55" s="52">
        <v>-1.6999999999999999E-3</v>
      </c>
      <c r="H55" s="5"/>
    </row>
    <row r="56" spans="2:8" x14ac:dyDescent="0.2">
      <c r="B56" s="64">
        <v>36222</v>
      </c>
      <c r="C56" s="7">
        <v>4.1029999999999997E-2</v>
      </c>
      <c r="D56" s="7">
        <v>4.1029999999999997E-2</v>
      </c>
      <c r="E56" s="7">
        <v>4.1029999999999997E-2</v>
      </c>
      <c r="F56" s="7">
        <v>4.1029999999999997E-2</v>
      </c>
      <c r="G56" s="52">
        <v>4.7000000000000002E-3</v>
      </c>
      <c r="H56" s="5"/>
    </row>
    <row r="57" spans="2:8" x14ac:dyDescent="0.2">
      <c r="B57" s="64">
        <v>36223</v>
      </c>
      <c r="C57" s="7">
        <v>4.1660000000000003E-2</v>
      </c>
      <c r="D57" s="7">
        <v>4.1660000000000003E-2</v>
      </c>
      <c r="E57" s="7">
        <v>4.1660000000000003E-2</v>
      </c>
      <c r="F57" s="7">
        <v>4.1660000000000003E-2</v>
      </c>
      <c r="G57" s="52">
        <v>1.54E-2</v>
      </c>
      <c r="H57" s="5"/>
    </row>
    <row r="58" spans="2:8" x14ac:dyDescent="0.2">
      <c r="B58" s="64">
        <v>36224</v>
      </c>
      <c r="C58" s="7">
        <v>4.1529999999999997E-2</v>
      </c>
      <c r="D58" s="7">
        <v>4.1529999999999997E-2</v>
      </c>
      <c r="E58" s="7">
        <v>4.1529999999999997E-2</v>
      </c>
      <c r="F58" s="7">
        <v>4.1529999999999997E-2</v>
      </c>
      <c r="G58" s="52">
        <v>-3.0999999999999999E-3</v>
      </c>
      <c r="H58" s="5"/>
    </row>
    <row r="59" spans="2:8" x14ac:dyDescent="0.2">
      <c r="B59" s="64">
        <v>36225</v>
      </c>
      <c r="C59" s="7">
        <v>4.0069999999999995E-2</v>
      </c>
      <c r="D59" s="7">
        <v>4.0069999999999995E-2</v>
      </c>
      <c r="E59" s="7">
        <v>4.0069999999999995E-2</v>
      </c>
      <c r="F59" s="7">
        <v>4.0069999999999995E-2</v>
      </c>
      <c r="G59" s="52">
        <v>-3.5200000000000002E-2</v>
      </c>
      <c r="H59" s="5"/>
    </row>
    <row r="60" spans="2:8" x14ac:dyDescent="0.2">
      <c r="B60" s="64">
        <v>36226</v>
      </c>
      <c r="C60" s="7">
        <v>4.0069999999999995E-2</v>
      </c>
      <c r="D60" s="7">
        <v>4.0069999999999995E-2</v>
      </c>
      <c r="E60" s="7">
        <v>4.0069999999999995E-2</v>
      </c>
      <c r="F60" s="7">
        <v>4.0069999999999995E-2</v>
      </c>
      <c r="G60" s="52">
        <v>0</v>
      </c>
      <c r="H60" s="5"/>
    </row>
    <row r="61" spans="2:8" x14ac:dyDescent="0.2">
      <c r="B61" s="64">
        <v>36227</v>
      </c>
      <c r="C61" s="7">
        <v>4.0379999999999999E-2</v>
      </c>
      <c r="D61" s="7">
        <v>4.0379999999999999E-2</v>
      </c>
      <c r="E61" s="7">
        <v>4.0379999999999999E-2</v>
      </c>
      <c r="F61" s="7">
        <v>4.0379999999999999E-2</v>
      </c>
      <c r="G61" s="52">
        <v>7.7000000000000002E-3</v>
      </c>
      <c r="H61" s="5"/>
    </row>
    <row r="62" spans="2:8" x14ac:dyDescent="0.2">
      <c r="B62" s="64">
        <v>36228</v>
      </c>
      <c r="C62" s="7">
        <v>4.0979999999999996E-2</v>
      </c>
      <c r="D62" s="7">
        <v>4.0979999999999996E-2</v>
      </c>
      <c r="E62" s="7">
        <v>4.0979999999999996E-2</v>
      </c>
      <c r="F62" s="7">
        <v>4.0979999999999996E-2</v>
      </c>
      <c r="G62" s="52">
        <v>1.49E-2</v>
      </c>
      <c r="H62" s="5"/>
    </row>
    <row r="63" spans="2:8" x14ac:dyDescent="0.2">
      <c r="B63" s="64">
        <v>36229</v>
      </c>
      <c r="C63" s="7">
        <v>4.0660000000000002E-2</v>
      </c>
      <c r="D63" s="7">
        <v>4.0660000000000002E-2</v>
      </c>
      <c r="E63" s="7">
        <v>4.0660000000000002E-2</v>
      </c>
      <c r="F63" s="7">
        <v>4.0660000000000002E-2</v>
      </c>
      <c r="G63" s="52">
        <v>-7.7999999999999996E-3</v>
      </c>
      <c r="H63" s="5"/>
    </row>
    <row r="64" spans="2:8" x14ac:dyDescent="0.2">
      <c r="B64" s="64">
        <v>36230</v>
      </c>
      <c r="C64" s="7">
        <v>4.079E-2</v>
      </c>
      <c r="D64" s="7">
        <v>4.079E-2</v>
      </c>
      <c r="E64" s="7">
        <v>4.079E-2</v>
      </c>
      <c r="F64" s="7">
        <v>4.079E-2</v>
      </c>
      <c r="G64" s="52">
        <v>3.2000000000000002E-3</v>
      </c>
      <c r="H64" s="5"/>
    </row>
    <row r="65" spans="2:8" x14ac:dyDescent="0.2">
      <c r="B65" s="64">
        <v>36231</v>
      </c>
      <c r="C65" s="7">
        <v>4.0229999999999995E-2</v>
      </c>
      <c r="D65" s="7">
        <v>4.0229999999999995E-2</v>
      </c>
      <c r="E65" s="7">
        <v>4.0229999999999995E-2</v>
      </c>
      <c r="F65" s="7">
        <v>4.0229999999999995E-2</v>
      </c>
      <c r="G65" s="52">
        <v>-1.37E-2</v>
      </c>
      <c r="H65" s="5"/>
    </row>
    <row r="66" spans="2:8" x14ac:dyDescent="0.2">
      <c r="B66" s="64">
        <v>36232</v>
      </c>
      <c r="C66" s="7">
        <v>4.0160000000000001E-2</v>
      </c>
      <c r="D66" s="7">
        <v>4.0160000000000001E-2</v>
      </c>
      <c r="E66" s="7">
        <v>4.0160000000000001E-2</v>
      </c>
      <c r="F66" s="7">
        <v>4.0160000000000001E-2</v>
      </c>
      <c r="G66" s="52">
        <v>-1.6999999999999999E-3</v>
      </c>
      <c r="H66" s="5"/>
    </row>
    <row r="67" spans="2:8" x14ac:dyDescent="0.2">
      <c r="B67" s="64">
        <v>36233</v>
      </c>
      <c r="C67" s="7">
        <v>4.0369999999999996E-2</v>
      </c>
      <c r="D67" s="7">
        <v>4.0369999999999996E-2</v>
      </c>
      <c r="E67" s="7">
        <v>4.0369999999999996E-2</v>
      </c>
      <c r="F67" s="7">
        <v>4.0369999999999996E-2</v>
      </c>
      <c r="G67" s="52">
        <v>5.1999999999999998E-3</v>
      </c>
      <c r="H67" s="5"/>
    </row>
    <row r="68" spans="2:8" x14ac:dyDescent="0.2">
      <c r="B68" s="64">
        <v>36234</v>
      </c>
      <c r="C68" s="7">
        <v>4.0060000000000005E-2</v>
      </c>
      <c r="D68" s="7">
        <v>4.0060000000000005E-2</v>
      </c>
      <c r="E68" s="7">
        <v>4.0060000000000005E-2</v>
      </c>
      <c r="F68" s="7">
        <v>4.0060000000000005E-2</v>
      </c>
      <c r="G68" s="52">
        <v>-7.7000000000000002E-3</v>
      </c>
      <c r="H68" s="5"/>
    </row>
    <row r="69" spans="2:8" x14ac:dyDescent="0.2">
      <c r="B69" s="64">
        <v>36235</v>
      </c>
      <c r="C69" s="7">
        <v>4.0079999999999998E-2</v>
      </c>
      <c r="D69" s="7">
        <v>4.0079999999999998E-2</v>
      </c>
      <c r="E69" s="7">
        <v>4.0079999999999998E-2</v>
      </c>
      <c r="F69" s="7">
        <v>4.0079999999999998E-2</v>
      </c>
      <c r="G69" s="52">
        <v>5.0000000000000001E-4</v>
      </c>
      <c r="H69" s="5"/>
    </row>
    <row r="70" spans="2:8" x14ac:dyDescent="0.2">
      <c r="B70" s="64">
        <v>36236</v>
      </c>
      <c r="C70" s="7">
        <v>3.9359999999999999E-2</v>
      </c>
      <c r="D70" s="7">
        <v>3.9359999999999999E-2</v>
      </c>
      <c r="E70" s="7">
        <v>3.9359999999999999E-2</v>
      </c>
      <c r="F70" s="7">
        <v>3.9359999999999999E-2</v>
      </c>
      <c r="G70" s="52">
        <v>-1.7999999999999999E-2</v>
      </c>
      <c r="H70" s="5"/>
    </row>
    <row r="71" spans="2:8" x14ac:dyDescent="0.2">
      <c r="B71" s="64">
        <v>36237</v>
      </c>
      <c r="C71" s="7">
        <v>3.9209999999999995E-2</v>
      </c>
      <c r="D71" s="7">
        <v>3.9209999999999995E-2</v>
      </c>
      <c r="E71" s="7">
        <v>3.9209999999999995E-2</v>
      </c>
      <c r="F71" s="7">
        <v>3.9209999999999995E-2</v>
      </c>
      <c r="G71" s="52">
        <v>-3.8E-3</v>
      </c>
      <c r="H71" s="5"/>
    </row>
    <row r="72" spans="2:8" x14ac:dyDescent="0.2">
      <c r="B72" s="64">
        <v>36238</v>
      </c>
      <c r="C72" s="7">
        <v>3.9149999999999997E-2</v>
      </c>
      <c r="D72" s="7">
        <v>3.9149999999999997E-2</v>
      </c>
      <c r="E72" s="7">
        <v>3.9149999999999997E-2</v>
      </c>
      <c r="F72" s="7">
        <v>3.9149999999999997E-2</v>
      </c>
      <c r="G72" s="52">
        <v>-1.5E-3</v>
      </c>
      <c r="H72" s="5"/>
    </row>
    <row r="73" spans="2:8" x14ac:dyDescent="0.2">
      <c r="B73" s="64">
        <v>36239</v>
      </c>
      <c r="C73" s="7">
        <v>3.9060000000000004E-2</v>
      </c>
      <c r="D73" s="7">
        <v>3.9060000000000004E-2</v>
      </c>
      <c r="E73" s="7">
        <v>3.9060000000000004E-2</v>
      </c>
      <c r="F73" s="7">
        <v>3.9060000000000004E-2</v>
      </c>
      <c r="G73" s="52">
        <v>-2.3E-3</v>
      </c>
      <c r="H73" s="5"/>
    </row>
    <row r="74" spans="2:8" x14ac:dyDescent="0.2">
      <c r="B74" s="64">
        <v>36240</v>
      </c>
      <c r="C74" s="7">
        <v>3.916E-2</v>
      </c>
      <c r="D74" s="7">
        <v>3.916E-2</v>
      </c>
      <c r="E74" s="7">
        <v>3.916E-2</v>
      </c>
      <c r="F74" s="7">
        <v>3.916E-2</v>
      </c>
      <c r="G74" s="52">
        <v>2.5999999999999999E-3</v>
      </c>
      <c r="H74" s="5"/>
    </row>
    <row r="75" spans="2:8" x14ac:dyDescent="0.2">
      <c r="B75" s="64">
        <v>36241</v>
      </c>
      <c r="C75" s="7">
        <v>3.968E-2</v>
      </c>
      <c r="D75" s="7">
        <v>3.968E-2</v>
      </c>
      <c r="E75" s="7">
        <v>3.968E-2</v>
      </c>
      <c r="F75" s="7">
        <v>3.968E-2</v>
      </c>
      <c r="G75" s="52">
        <v>1.3299999999999999E-2</v>
      </c>
      <c r="H75" s="5"/>
    </row>
    <row r="76" spans="2:8" x14ac:dyDescent="0.2">
      <c r="B76" s="64">
        <v>36242</v>
      </c>
      <c r="C76" s="7">
        <v>3.9960000000000002E-2</v>
      </c>
      <c r="D76" s="7">
        <v>3.9960000000000002E-2</v>
      </c>
      <c r="E76" s="7">
        <v>3.9960000000000002E-2</v>
      </c>
      <c r="F76" s="7">
        <v>3.9960000000000002E-2</v>
      </c>
      <c r="G76" s="52">
        <v>7.1000000000000004E-3</v>
      </c>
      <c r="H76" s="5"/>
    </row>
    <row r="77" spans="2:8" x14ac:dyDescent="0.2">
      <c r="B77" s="64">
        <v>36243</v>
      </c>
      <c r="C77" s="7">
        <v>3.9949999999999999E-2</v>
      </c>
      <c r="D77" s="7">
        <v>3.9949999999999999E-2</v>
      </c>
      <c r="E77" s="7">
        <v>3.9949999999999999E-2</v>
      </c>
      <c r="F77" s="7">
        <v>3.9949999999999999E-2</v>
      </c>
      <c r="G77" s="52">
        <v>-2.9999999999999997E-4</v>
      </c>
      <c r="H77" s="5"/>
    </row>
    <row r="78" spans="2:8" x14ac:dyDescent="0.2">
      <c r="B78" s="64">
        <v>36244</v>
      </c>
      <c r="C78" s="7">
        <v>3.968E-2</v>
      </c>
      <c r="D78" s="7">
        <v>3.968E-2</v>
      </c>
      <c r="E78" s="7">
        <v>3.968E-2</v>
      </c>
      <c r="F78" s="7">
        <v>3.968E-2</v>
      </c>
      <c r="G78" s="52">
        <v>-6.7999999999999996E-3</v>
      </c>
      <c r="H78" s="5"/>
    </row>
    <row r="79" spans="2:8" x14ac:dyDescent="0.2">
      <c r="B79" s="64">
        <v>36245</v>
      </c>
      <c r="C79" s="7">
        <v>4.0399999999999998E-2</v>
      </c>
      <c r="D79" s="7">
        <v>4.0399999999999998E-2</v>
      </c>
      <c r="E79" s="7">
        <v>4.0399999999999998E-2</v>
      </c>
      <c r="F79" s="7">
        <v>4.0399999999999998E-2</v>
      </c>
      <c r="G79" s="52">
        <v>1.8100000000000002E-2</v>
      </c>
      <c r="H79" s="5"/>
    </row>
    <row r="80" spans="2:8" x14ac:dyDescent="0.2">
      <c r="B80" s="64">
        <v>36246</v>
      </c>
      <c r="C80" s="7">
        <v>4.0320000000000002E-2</v>
      </c>
      <c r="D80" s="7">
        <v>4.0320000000000002E-2</v>
      </c>
      <c r="E80" s="7">
        <v>4.0320000000000002E-2</v>
      </c>
      <c r="F80" s="7">
        <v>4.0320000000000002E-2</v>
      </c>
      <c r="G80" s="52">
        <v>-2E-3</v>
      </c>
      <c r="H80" s="5"/>
    </row>
    <row r="81" spans="2:8" x14ac:dyDescent="0.2">
      <c r="B81" s="64">
        <v>36247</v>
      </c>
      <c r="C81" s="7">
        <v>4.0320000000000002E-2</v>
      </c>
      <c r="D81" s="7">
        <v>4.0320000000000002E-2</v>
      </c>
      <c r="E81" s="7">
        <v>4.0320000000000002E-2</v>
      </c>
      <c r="F81" s="7">
        <v>4.0320000000000002E-2</v>
      </c>
      <c r="G81" s="52">
        <v>0</v>
      </c>
      <c r="H81" s="5"/>
    </row>
    <row r="82" spans="2:8" x14ac:dyDescent="0.2">
      <c r="B82" s="64">
        <v>36248</v>
      </c>
      <c r="C82" s="7">
        <v>4.061E-2</v>
      </c>
      <c r="D82" s="7">
        <v>4.061E-2</v>
      </c>
      <c r="E82" s="7">
        <v>4.061E-2</v>
      </c>
      <c r="F82" s="7">
        <v>4.061E-2</v>
      </c>
      <c r="G82" s="52">
        <v>7.1999999999999998E-3</v>
      </c>
      <c r="H82" s="5"/>
    </row>
    <row r="83" spans="2:8" x14ac:dyDescent="0.2">
      <c r="B83" s="64">
        <v>36249</v>
      </c>
      <c r="C83" s="7">
        <v>4.045E-2</v>
      </c>
      <c r="D83" s="7">
        <v>4.045E-2</v>
      </c>
      <c r="E83" s="7">
        <v>4.045E-2</v>
      </c>
      <c r="F83" s="7">
        <v>4.045E-2</v>
      </c>
      <c r="G83" s="52">
        <v>-3.8999999999999998E-3</v>
      </c>
      <c r="H83" s="5"/>
    </row>
    <row r="84" spans="2:8" x14ac:dyDescent="0.2">
      <c r="B84" s="64">
        <v>36250</v>
      </c>
      <c r="C84" s="7">
        <v>3.9940000000000003E-2</v>
      </c>
      <c r="D84" s="7">
        <v>3.9940000000000003E-2</v>
      </c>
      <c r="E84" s="7">
        <v>3.9940000000000003E-2</v>
      </c>
      <c r="F84" s="7">
        <v>3.9940000000000003E-2</v>
      </c>
      <c r="G84" s="52">
        <v>-1.26E-2</v>
      </c>
      <c r="H84" s="5"/>
    </row>
    <row r="85" spans="2:8" x14ac:dyDescent="0.2">
      <c r="B85" s="64">
        <v>36251</v>
      </c>
      <c r="C85" s="7">
        <v>3.993E-2</v>
      </c>
      <c r="D85" s="7">
        <v>3.993E-2</v>
      </c>
      <c r="E85" s="7">
        <v>3.993E-2</v>
      </c>
      <c r="F85" s="7">
        <v>3.993E-2</v>
      </c>
      <c r="G85" s="52">
        <v>-2.9999999999999997E-4</v>
      </c>
      <c r="H85" s="5"/>
    </row>
    <row r="86" spans="2:8" x14ac:dyDescent="0.2">
      <c r="B86" s="64">
        <v>36252</v>
      </c>
      <c r="C86" s="7">
        <v>4.018E-2</v>
      </c>
      <c r="D86" s="7">
        <v>4.018E-2</v>
      </c>
      <c r="E86" s="7">
        <v>4.018E-2</v>
      </c>
      <c r="F86" s="7">
        <v>4.018E-2</v>
      </c>
      <c r="G86" s="52">
        <v>6.3E-3</v>
      </c>
      <c r="H86" s="5"/>
    </row>
    <row r="87" spans="2:8" x14ac:dyDescent="0.2">
      <c r="B87" s="64">
        <v>36255</v>
      </c>
      <c r="C87" s="7">
        <v>4.0490000000000005E-2</v>
      </c>
      <c r="D87" s="7">
        <v>4.0490000000000005E-2</v>
      </c>
      <c r="E87" s="7">
        <v>4.0490000000000005E-2</v>
      </c>
      <c r="F87" s="7">
        <v>4.0490000000000005E-2</v>
      </c>
      <c r="G87" s="52">
        <v>7.7000000000000002E-3</v>
      </c>
      <c r="H87" s="5"/>
    </row>
    <row r="88" spans="2:8" x14ac:dyDescent="0.2">
      <c r="B88" s="64">
        <v>36256</v>
      </c>
      <c r="C88" s="7">
        <v>3.9480000000000001E-2</v>
      </c>
      <c r="D88" s="7">
        <v>3.9480000000000001E-2</v>
      </c>
      <c r="E88" s="7">
        <v>3.9480000000000001E-2</v>
      </c>
      <c r="F88" s="7">
        <v>3.9480000000000001E-2</v>
      </c>
      <c r="G88" s="52">
        <v>-2.4899999999999999E-2</v>
      </c>
      <c r="H88" s="5"/>
    </row>
    <row r="89" spans="2:8" x14ac:dyDescent="0.2">
      <c r="B89" s="64">
        <v>36257</v>
      </c>
      <c r="C89" s="7">
        <v>3.8969999999999998E-2</v>
      </c>
      <c r="D89" s="7">
        <v>3.8969999999999998E-2</v>
      </c>
      <c r="E89" s="7">
        <v>3.8969999999999998E-2</v>
      </c>
      <c r="F89" s="7">
        <v>3.8969999999999998E-2</v>
      </c>
      <c r="G89" s="52">
        <v>-1.29E-2</v>
      </c>
      <c r="H89" s="5"/>
    </row>
    <row r="90" spans="2:8" x14ac:dyDescent="0.2">
      <c r="B90" s="64">
        <v>36258</v>
      </c>
      <c r="C90" s="7">
        <v>3.9060000000000004E-2</v>
      </c>
      <c r="D90" s="7">
        <v>3.9060000000000004E-2</v>
      </c>
      <c r="E90" s="7">
        <v>3.9060000000000004E-2</v>
      </c>
      <c r="F90" s="7">
        <v>3.9060000000000004E-2</v>
      </c>
      <c r="G90" s="52">
        <v>2.3E-3</v>
      </c>
      <c r="H90" s="5"/>
    </row>
    <row r="91" spans="2:8" x14ac:dyDescent="0.2">
      <c r="B91" s="64">
        <v>36259</v>
      </c>
      <c r="C91" s="7">
        <v>3.8440000000000002E-2</v>
      </c>
      <c r="D91" s="7">
        <v>3.8440000000000002E-2</v>
      </c>
      <c r="E91" s="7">
        <v>3.8440000000000002E-2</v>
      </c>
      <c r="F91" s="7">
        <v>3.8440000000000002E-2</v>
      </c>
      <c r="G91" s="52">
        <v>-1.5900000000000001E-2</v>
      </c>
      <c r="H91" s="5"/>
    </row>
    <row r="92" spans="2:8" x14ac:dyDescent="0.2">
      <c r="B92" s="64">
        <v>36260</v>
      </c>
      <c r="C92" s="7">
        <v>3.8420000000000003E-2</v>
      </c>
      <c r="D92" s="7">
        <v>3.8420000000000003E-2</v>
      </c>
      <c r="E92" s="7">
        <v>3.8420000000000003E-2</v>
      </c>
      <c r="F92" s="7">
        <v>3.8420000000000003E-2</v>
      </c>
      <c r="G92" s="52">
        <v>-5.0000000000000001E-4</v>
      </c>
      <c r="H92" s="5"/>
    </row>
    <row r="93" spans="2:8" x14ac:dyDescent="0.2">
      <c r="B93" s="64">
        <v>36261</v>
      </c>
      <c r="C93" s="7">
        <v>3.841E-2</v>
      </c>
      <c r="D93" s="7">
        <v>3.841E-2</v>
      </c>
      <c r="E93" s="7">
        <v>3.841E-2</v>
      </c>
      <c r="F93" s="7">
        <v>3.841E-2</v>
      </c>
      <c r="G93" s="52">
        <v>-2.9999999999999997E-4</v>
      </c>
      <c r="H93" s="5"/>
    </row>
    <row r="94" spans="2:8" x14ac:dyDescent="0.2">
      <c r="B94" s="64">
        <v>36262</v>
      </c>
      <c r="C94" s="7">
        <v>3.8019999999999998E-2</v>
      </c>
      <c r="D94" s="7">
        <v>3.8019999999999998E-2</v>
      </c>
      <c r="E94" s="7">
        <v>3.8019999999999998E-2</v>
      </c>
      <c r="F94" s="7">
        <v>3.8019999999999998E-2</v>
      </c>
      <c r="G94" s="52">
        <v>-1.0200000000000001E-2</v>
      </c>
      <c r="H94" s="5"/>
    </row>
    <row r="95" spans="2:8" x14ac:dyDescent="0.2">
      <c r="B95" s="64">
        <v>36263</v>
      </c>
      <c r="C95" s="7">
        <v>3.8079999999999996E-2</v>
      </c>
      <c r="D95" s="7">
        <v>3.8079999999999996E-2</v>
      </c>
      <c r="E95" s="7">
        <v>3.8079999999999996E-2</v>
      </c>
      <c r="F95" s="7">
        <v>3.8079999999999996E-2</v>
      </c>
      <c r="G95" s="52">
        <v>1.6000000000000001E-3</v>
      </c>
      <c r="H95" s="5"/>
    </row>
    <row r="96" spans="2:8" x14ac:dyDescent="0.2">
      <c r="B96" s="64">
        <v>36264</v>
      </c>
      <c r="C96" s="7">
        <v>3.832E-2</v>
      </c>
      <c r="D96" s="7">
        <v>3.832E-2</v>
      </c>
      <c r="E96" s="7">
        <v>3.832E-2</v>
      </c>
      <c r="F96" s="7">
        <v>3.832E-2</v>
      </c>
      <c r="G96" s="52">
        <v>6.3E-3</v>
      </c>
      <c r="H96" s="5"/>
    </row>
    <row r="97" spans="2:8" x14ac:dyDescent="0.2">
      <c r="B97" s="64">
        <v>36265</v>
      </c>
      <c r="C97" s="7">
        <v>3.8109999999999998E-2</v>
      </c>
      <c r="D97" s="7">
        <v>3.8109999999999998E-2</v>
      </c>
      <c r="E97" s="7">
        <v>3.8109999999999998E-2</v>
      </c>
      <c r="F97" s="7">
        <v>3.8109999999999998E-2</v>
      </c>
      <c r="G97" s="52">
        <v>-5.4999999999999997E-3</v>
      </c>
      <c r="H97" s="5"/>
    </row>
    <row r="98" spans="2:8" x14ac:dyDescent="0.2">
      <c r="B98" s="64">
        <v>36266</v>
      </c>
      <c r="C98" s="7">
        <v>3.8730000000000001E-2</v>
      </c>
      <c r="D98" s="7">
        <v>3.8730000000000001E-2</v>
      </c>
      <c r="E98" s="7">
        <v>3.8730000000000001E-2</v>
      </c>
      <c r="F98" s="7">
        <v>3.8730000000000001E-2</v>
      </c>
      <c r="G98" s="52">
        <v>1.6299999999999999E-2</v>
      </c>
      <c r="H98" s="5"/>
    </row>
    <row r="99" spans="2:8" x14ac:dyDescent="0.2">
      <c r="B99" s="64">
        <v>36267</v>
      </c>
      <c r="C99" s="7">
        <v>3.866E-2</v>
      </c>
      <c r="D99" s="7">
        <v>3.866E-2</v>
      </c>
      <c r="E99" s="7">
        <v>3.866E-2</v>
      </c>
      <c r="F99" s="7">
        <v>3.866E-2</v>
      </c>
      <c r="G99" s="52">
        <v>-1.8E-3</v>
      </c>
      <c r="H99" s="5"/>
    </row>
    <row r="100" spans="2:8" x14ac:dyDescent="0.2">
      <c r="B100" s="64">
        <v>36268</v>
      </c>
      <c r="C100" s="7">
        <v>3.8670000000000003E-2</v>
      </c>
      <c r="D100" s="7">
        <v>3.8670000000000003E-2</v>
      </c>
      <c r="E100" s="7">
        <v>3.8670000000000003E-2</v>
      </c>
      <c r="F100" s="7">
        <v>3.8670000000000003E-2</v>
      </c>
      <c r="G100" s="52">
        <v>2.9999999999999997E-4</v>
      </c>
      <c r="H100" s="5"/>
    </row>
    <row r="101" spans="2:8" x14ac:dyDescent="0.2">
      <c r="B101" s="64">
        <v>36269</v>
      </c>
      <c r="C101" s="7">
        <v>3.9019999999999999E-2</v>
      </c>
      <c r="D101" s="7">
        <v>3.9019999999999999E-2</v>
      </c>
      <c r="E101" s="7">
        <v>3.9019999999999999E-2</v>
      </c>
      <c r="F101" s="7">
        <v>3.9019999999999999E-2</v>
      </c>
      <c r="G101" s="52">
        <v>9.1000000000000004E-3</v>
      </c>
      <c r="H101" s="5"/>
    </row>
    <row r="102" spans="2:8" x14ac:dyDescent="0.2">
      <c r="B102" s="64">
        <v>36270</v>
      </c>
      <c r="C102" s="7">
        <v>3.8450000000000005E-2</v>
      </c>
      <c r="D102" s="7">
        <v>3.8450000000000005E-2</v>
      </c>
      <c r="E102" s="7">
        <v>3.8450000000000005E-2</v>
      </c>
      <c r="F102" s="7">
        <v>3.8450000000000005E-2</v>
      </c>
      <c r="G102" s="52">
        <v>-1.46E-2</v>
      </c>
      <c r="H102" s="5"/>
    </row>
    <row r="103" spans="2:8" x14ac:dyDescent="0.2">
      <c r="B103" s="64">
        <v>36271</v>
      </c>
      <c r="C103" s="7">
        <v>3.8339999999999999E-2</v>
      </c>
      <c r="D103" s="7">
        <v>3.8339999999999999E-2</v>
      </c>
      <c r="E103" s="7">
        <v>3.8339999999999999E-2</v>
      </c>
      <c r="F103" s="7">
        <v>3.8339999999999999E-2</v>
      </c>
      <c r="G103" s="52">
        <v>-2.8999999999999998E-3</v>
      </c>
      <c r="H103" s="5"/>
    </row>
    <row r="104" spans="2:8" x14ac:dyDescent="0.2">
      <c r="B104" s="64">
        <v>36272</v>
      </c>
      <c r="C104" s="7">
        <v>3.8220000000000004E-2</v>
      </c>
      <c r="D104" s="7">
        <v>3.8220000000000004E-2</v>
      </c>
      <c r="E104" s="7">
        <v>3.8220000000000004E-2</v>
      </c>
      <c r="F104" s="7">
        <v>3.8220000000000004E-2</v>
      </c>
      <c r="G104" s="52">
        <v>-3.0999999999999999E-3</v>
      </c>
      <c r="H104" s="5"/>
    </row>
    <row r="105" spans="2:8" x14ac:dyDescent="0.2">
      <c r="B105" s="64">
        <v>36273</v>
      </c>
      <c r="C105" s="7">
        <v>3.8539999999999998E-2</v>
      </c>
      <c r="D105" s="7">
        <v>3.8539999999999998E-2</v>
      </c>
      <c r="E105" s="7">
        <v>3.8539999999999998E-2</v>
      </c>
      <c r="F105" s="7">
        <v>3.8539999999999998E-2</v>
      </c>
      <c r="G105" s="52">
        <v>8.3999999999999995E-3</v>
      </c>
      <c r="H105" s="5"/>
    </row>
    <row r="106" spans="2:8" x14ac:dyDescent="0.2">
      <c r="B106" s="64">
        <v>36274</v>
      </c>
      <c r="C106" s="7">
        <v>3.85E-2</v>
      </c>
      <c r="D106" s="7">
        <v>3.85E-2</v>
      </c>
      <c r="E106" s="7">
        <v>3.85E-2</v>
      </c>
      <c r="F106" s="7">
        <v>3.85E-2</v>
      </c>
      <c r="G106" s="52">
        <v>-1E-3</v>
      </c>
      <c r="H106" s="5"/>
    </row>
    <row r="107" spans="2:8" x14ac:dyDescent="0.2">
      <c r="B107" s="64">
        <v>36276</v>
      </c>
      <c r="C107" s="7">
        <v>3.8789999999999998E-2</v>
      </c>
      <c r="D107" s="7">
        <v>3.8789999999999998E-2</v>
      </c>
      <c r="E107" s="7">
        <v>3.8789999999999998E-2</v>
      </c>
      <c r="F107" s="7">
        <v>3.8789999999999998E-2</v>
      </c>
      <c r="G107" s="52">
        <v>7.4999999999999997E-3</v>
      </c>
      <c r="H107" s="5"/>
    </row>
    <row r="108" spans="2:8" x14ac:dyDescent="0.2">
      <c r="B108" s="64">
        <v>36277</v>
      </c>
      <c r="C108" s="7">
        <v>3.8589999999999999E-2</v>
      </c>
      <c r="D108" s="7">
        <v>3.8589999999999999E-2</v>
      </c>
      <c r="E108" s="7">
        <v>3.8589999999999999E-2</v>
      </c>
      <c r="F108" s="7">
        <v>3.8589999999999999E-2</v>
      </c>
      <c r="G108" s="52">
        <v>-5.1999999999999998E-3</v>
      </c>
      <c r="H108" s="5"/>
    </row>
    <row r="109" spans="2:8" x14ac:dyDescent="0.2">
      <c r="B109" s="64">
        <v>36278</v>
      </c>
      <c r="C109" s="7">
        <v>3.8719999999999997E-2</v>
      </c>
      <c r="D109" s="7">
        <v>3.8719999999999997E-2</v>
      </c>
      <c r="E109" s="7">
        <v>3.8719999999999997E-2</v>
      </c>
      <c r="F109" s="7">
        <v>3.8719999999999997E-2</v>
      </c>
      <c r="G109" s="52">
        <v>3.3999999999999998E-3</v>
      </c>
      <c r="H109" s="5"/>
    </row>
    <row r="110" spans="2:8" x14ac:dyDescent="0.2">
      <c r="B110" s="64">
        <v>36279</v>
      </c>
      <c r="C110" s="7">
        <v>3.8359999999999998E-2</v>
      </c>
      <c r="D110" s="7">
        <v>3.8359999999999998E-2</v>
      </c>
      <c r="E110" s="7">
        <v>3.8359999999999998E-2</v>
      </c>
      <c r="F110" s="7">
        <v>3.8359999999999998E-2</v>
      </c>
      <c r="G110" s="52">
        <v>-9.2999999999999992E-3</v>
      </c>
      <c r="H110" s="5"/>
    </row>
    <row r="111" spans="2:8" x14ac:dyDescent="0.2">
      <c r="B111" s="64">
        <v>36280</v>
      </c>
      <c r="C111" s="7">
        <v>3.8339999999999999E-2</v>
      </c>
      <c r="D111" s="7">
        <v>3.8339999999999999E-2</v>
      </c>
      <c r="E111" s="7">
        <v>3.8339999999999999E-2</v>
      </c>
      <c r="F111" s="7">
        <v>3.8339999999999999E-2</v>
      </c>
      <c r="G111" s="52">
        <v>-5.0000000000000001E-4</v>
      </c>
      <c r="H111" s="5"/>
    </row>
    <row r="112" spans="2:8" x14ac:dyDescent="0.2">
      <c r="B112" s="64">
        <v>36281</v>
      </c>
      <c r="C112" s="7">
        <v>3.8740000000000004E-2</v>
      </c>
      <c r="D112" s="7">
        <v>3.8740000000000004E-2</v>
      </c>
      <c r="E112" s="7">
        <v>3.8740000000000004E-2</v>
      </c>
      <c r="F112" s="7">
        <v>3.8740000000000004E-2</v>
      </c>
      <c r="G112" s="52">
        <v>1.04E-2</v>
      </c>
      <c r="H112" s="5"/>
    </row>
    <row r="113" spans="2:8" x14ac:dyDescent="0.2">
      <c r="B113" s="64">
        <v>36283</v>
      </c>
      <c r="C113" s="7">
        <v>3.9060000000000004E-2</v>
      </c>
      <c r="D113" s="7">
        <v>3.9060000000000004E-2</v>
      </c>
      <c r="E113" s="7">
        <v>3.9060000000000004E-2</v>
      </c>
      <c r="F113" s="7">
        <v>3.9060000000000004E-2</v>
      </c>
      <c r="G113" s="52">
        <v>8.3000000000000001E-3</v>
      </c>
      <c r="H113" s="5"/>
    </row>
    <row r="114" spans="2:8" x14ac:dyDescent="0.2">
      <c r="B114" s="64">
        <v>36284</v>
      </c>
      <c r="C114" s="7">
        <v>3.8830000000000003E-2</v>
      </c>
      <c r="D114" s="7">
        <v>3.8830000000000003E-2</v>
      </c>
      <c r="E114" s="7">
        <v>3.8830000000000003E-2</v>
      </c>
      <c r="F114" s="7">
        <v>3.8830000000000003E-2</v>
      </c>
      <c r="G114" s="52">
        <v>-5.8999999999999999E-3</v>
      </c>
      <c r="H114" s="5"/>
    </row>
    <row r="115" spans="2:8" x14ac:dyDescent="0.2">
      <c r="B115" s="64">
        <v>36285</v>
      </c>
      <c r="C115" s="7">
        <v>3.9559999999999998E-2</v>
      </c>
      <c r="D115" s="7">
        <v>3.9559999999999998E-2</v>
      </c>
      <c r="E115" s="7">
        <v>3.9559999999999998E-2</v>
      </c>
      <c r="F115" s="7">
        <v>3.9559999999999998E-2</v>
      </c>
      <c r="G115" s="52">
        <v>1.8800000000000001E-2</v>
      </c>
      <c r="H115" s="5"/>
    </row>
    <row r="116" spans="2:8" x14ac:dyDescent="0.2">
      <c r="B116" s="64">
        <v>36286</v>
      </c>
      <c r="C116" s="7">
        <v>3.9350000000000003E-2</v>
      </c>
      <c r="D116" s="7">
        <v>3.9350000000000003E-2</v>
      </c>
      <c r="E116" s="7">
        <v>3.9350000000000003E-2</v>
      </c>
      <c r="F116" s="7">
        <v>3.9350000000000003E-2</v>
      </c>
      <c r="G116" s="52">
        <v>-5.3E-3</v>
      </c>
      <c r="H116" s="5"/>
    </row>
    <row r="117" spans="2:8" x14ac:dyDescent="0.2">
      <c r="B117" s="64">
        <v>36287</v>
      </c>
      <c r="C117" s="7">
        <v>4.0190000000000003E-2</v>
      </c>
      <c r="D117" s="7">
        <v>4.0190000000000003E-2</v>
      </c>
      <c r="E117" s="7">
        <v>4.0190000000000003E-2</v>
      </c>
      <c r="F117" s="7">
        <v>4.0190000000000003E-2</v>
      </c>
      <c r="G117" s="52">
        <v>2.1299999999999999E-2</v>
      </c>
      <c r="H117" s="5"/>
    </row>
    <row r="118" spans="2:8" x14ac:dyDescent="0.2">
      <c r="B118" s="64">
        <v>36288</v>
      </c>
      <c r="C118" s="7">
        <v>3.9910000000000001E-2</v>
      </c>
      <c r="D118" s="7">
        <v>3.9910000000000001E-2</v>
      </c>
      <c r="E118" s="7">
        <v>3.9910000000000001E-2</v>
      </c>
      <c r="F118" s="7">
        <v>3.9910000000000001E-2</v>
      </c>
      <c r="G118" s="52">
        <v>-7.0000000000000001E-3</v>
      </c>
      <c r="H118" s="5"/>
    </row>
    <row r="119" spans="2:8" x14ac:dyDescent="0.2">
      <c r="B119" s="64">
        <v>36289</v>
      </c>
      <c r="C119" s="7">
        <v>3.993E-2</v>
      </c>
      <c r="D119" s="7">
        <v>3.993E-2</v>
      </c>
      <c r="E119" s="7">
        <v>3.993E-2</v>
      </c>
      <c r="F119" s="7">
        <v>3.993E-2</v>
      </c>
      <c r="G119" s="52">
        <v>5.0000000000000001E-4</v>
      </c>
      <c r="H119" s="5"/>
    </row>
    <row r="120" spans="2:8" x14ac:dyDescent="0.2">
      <c r="B120" s="64">
        <v>36290</v>
      </c>
      <c r="C120" s="7">
        <v>4.027E-2</v>
      </c>
      <c r="D120" s="7">
        <v>4.027E-2</v>
      </c>
      <c r="E120" s="7">
        <v>4.027E-2</v>
      </c>
      <c r="F120" s="7">
        <v>4.027E-2</v>
      </c>
      <c r="G120" s="52">
        <v>8.5000000000000006E-3</v>
      </c>
      <c r="H120" s="5"/>
    </row>
    <row r="121" spans="2:8" x14ac:dyDescent="0.2">
      <c r="B121" s="64">
        <v>36291</v>
      </c>
      <c r="C121" s="7">
        <v>4.0399999999999998E-2</v>
      </c>
      <c r="D121" s="7">
        <v>4.0399999999999998E-2</v>
      </c>
      <c r="E121" s="7">
        <v>4.0399999999999998E-2</v>
      </c>
      <c r="F121" s="7">
        <v>4.0399999999999998E-2</v>
      </c>
      <c r="G121" s="52">
        <v>3.2000000000000002E-3</v>
      </c>
      <c r="H121" s="5"/>
    </row>
    <row r="122" spans="2:8" x14ac:dyDescent="0.2">
      <c r="B122" s="64">
        <v>36292</v>
      </c>
      <c r="C122" s="7">
        <v>4.0780000000000004E-2</v>
      </c>
      <c r="D122" s="7">
        <v>4.0780000000000004E-2</v>
      </c>
      <c r="E122" s="7">
        <v>4.0780000000000004E-2</v>
      </c>
      <c r="F122" s="7">
        <v>4.0780000000000004E-2</v>
      </c>
      <c r="G122" s="52">
        <v>9.4000000000000004E-3</v>
      </c>
      <c r="H122" s="5"/>
    </row>
    <row r="123" spans="2:8" x14ac:dyDescent="0.2">
      <c r="B123" s="64">
        <v>36293</v>
      </c>
      <c r="C123" s="7">
        <v>4.0239999999999998E-2</v>
      </c>
      <c r="D123" s="7">
        <v>4.0239999999999998E-2</v>
      </c>
      <c r="E123" s="7">
        <v>4.0239999999999998E-2</v>
      </c>
      <c r="F123" s="7">
        <v>4.0239999999999998E-2</v>
      </c>
      <c r="G123" s="52">
        <v>-1.32E-2</v>
      </c>
      <c r="H123" s="5"/>
    </row>
    <row r="124" spans="2:8" x14ac:dyDescent="0.2">
      <c r="B124" s="64">
        <v>36294</v>
      </c>
      <c r="C124" s="7">
        <v>4.1489999999999999E-2</v>
      </c>
      <c r="D124" s="7">
        <v>4.1489999999999999E-2</v>
      </c>
      <c r="E124" s="7">
        <v>4.1489999999999999E-2</v>
      </c>
      <c r="F124" s="7">
        <v>4.1489999999999999E-2</v>
      </c>
      <c r="G124" s="52">
        <v>3.1099999999999999E-2</v>
      </c>
      <c r="H124" s="5"/>
    </row>
    <row r="125" spans="2:8" x14ac:dyDescent="0.2">
      <c r="B125" s="64">
        <v>36295</v>
      </c>
      <c r="C125" s="7">
        <v>4.1489999999999999E-2</v>
      </c>
      <c r="D125" s="7">
        <v>4.1489999999999999E-2</v>
      </c>
      <c r="E125" s="7">
        <v>4.1489999999999999E-2</v>
      </c>
      <c r="F125" s="7">
        <v>4.1489999999999999E-2</v>
      </c>
      <c r="G125" s="52">
        <v>0</v>
      </c>
      <c r="H125" s="5"/>
    </row>
    <row r="126" spans="2:8" x14ac:dyDescent="0.2">
      <c r="B126" s="64">
        <v>36296</v>
      </c>
      <c r="C126" s="7">
        <v>4.147E-2</v>
      </c>
      <c r="D126" s="7">
        <v>4.147E-2</v>
      </c>
      <c r="E126" s="7">
        <v>4.147E-2</v>
      </c>
      <c r="F126" s="7">
        <v>4.147E-2</v>
      </c>
      <c r="G126" s="52">
        <v>-5.0000000000000001E-4</v>
      </c>
      <c r="H126" s="5"/>
    </row>
    <row r="127" spans="2:8" x14ac:dyDescent="0.2">
      <c r="B127" s="64">
        <v>36297</v>
      </c>
      <c r="C127" s="7">
        <v>4.1489999999999999E-2</v>
      </c>
      <c r="D127" s="7">
        <v>4.1489999999999999E-2</v>
      </c>
      <c r="E127" s="7">
        <v>4.1489999999999999E-2</v>
      </c>
      <c r="F127" s="7">
        <v>4.1489999999999999E-2</v>
      </c>
      <c r="G127" s="52">
        <v>5.0000000000000001E-4</v>
      </c>
      <c r="H127" s="5"/>
    </row>
    <row r="128" spans="2:8" x14ac:dyDescent="0.2">
      <c r="B128" s="64">
        <v>36298</v>
      </c>
      <c r="C128" s="7">
        <v>4.1309999999999999E-2</v>
      </c>
      <c r="D128" s="7">
        <v>4.1309999999999999E-2</v>
      </c>
      <c r="E128" s="7">
        <v>4.1309999999999999E-2</v>
      </c>
      <c r="F128" s="7">
        <v>4.1309999999999999E-2</v>
      </c>
      <c r="G128" s="52">
        <v>-4.3E-3</v>
      </c>
      <c r="H128" s="5"/>
    </row>
    <row r="129" spans="2:8" x14ac:dyDescent="0.2">
      <c r="B129" s="64">
        <v>36299</v>
      </c>
      <c r="C129" s="7">
        <v>4.1180000000000001E-2</v>
      </c>
      <c r="D129" s="7">
        <v>4.1180000000000001E-2</v>
      </c>
      <c r="E129" s="7">
        <v>4.1180000000000001E-2</v>
      </c>
      <c r="F129" s="7">
        <v>4.1180000000000001E-2</v>
      </c>
      <c r="G129" s="52">
        <v>-3.0999999999999999E-3</v>
      </c>
      <c r="H129" s="5"/>
    </row>
    <row r="130" spans="2:8" x14ac:dyDescent="0.2">
      <c r="B130" s="64">
        <v>36300</v>
      </c>
      <c r="C130" s="7">
        <v>4.0819999999999995E-2</v>
      </c>
      <c r="D130" s="7">
        <v>4.0819999999999995E-2</v>
      </c>
      <c r="E130" s="7">
        <v>4.0819999999999995E-2</v>
      </c>
      <c r="F130" s="7">
        <v>4.0819999999999995E-2</v>
      </c>
      <c r="G130" s="52">
        <v>-8.6999999999999994E-3</v>
      </c>
      <c r="H130" s="5"/>
    </row>
    <row r="131" spans="2:8" x14ac:dyDescent="0.2">
      <c r="B131" s="64">
        <v>36301</v>
      </c>
      <c r="C131" s="7">
        <v>4.0570000000000002E-2</v>
      </c>
      <c r="D131" s="7">
        <v>4.0570000000000002E-2</v>
      </c>
      <c r="E131" s="7">
        <v>4.0570000000000002E-2</v>
      </c>
      <c r="F131" s="7">
        <v>4.0570000000000002E-2</v>
      </c>
      <c r="G131" s="52">
        <v>-6.1000000000000004E-3</v>
      </c>
      <c r="H131" s="5"/>
    </row>
    <row r="132" spans="2:8" x14ac:dyDescent="0.2">
      <c r="B132" s="64">
        <v>36302</v>
      </c>
      <c r="C132" s="7">
        <v>4.0279999999999996E-2</v>
      </c>
      <c r="D132" s="7">
        <v>4.0279999999999996E-2</v>
      </c>
      <c r="E132" s="7">
        <v>4.0279999999999996E-2</v>
      </c>
      <c r="F132" s="7">
        <v>4.0279999999999996E-2</v>
      </c>
      <c r="G132" s="52">
        <v>-7.1000000000000004E-3</v>
      </c>
      <c r="H132" s="5"/>
    </row>
    <row r="133" spans="2:8" x14ac:dyDescent="0.2">
      <c r="B133" s="64">
        <v>36304</v>
      </c>
      <c r="C133" s="7">
        <v>4.0330000000000005E-2</v>
      </c>
      <c r="D133" s="7">
        <v>4.0330000000000005E-2</v>
      </c>
      <c r="E133" s="7">
        <v>4.0330000000000005E-2</v>
      </c>
      <c r="F133" s="7">
        <v>4.0330000000000005E-2</v>
      </c>
      <c r="G133" s="52">
        <v>1.1999999999999999E-3</v>
      </c>
      <c r="H133" s="5"/>
    </row>
    <row r="134" spans="2:8" x14ac:dyDescent="0.2">
      <c r="B134" s="64">
        <v>36305</v>
      </c>
      <c r="C134" s="7">
        <v>4.0199999999999993E-2</v>
      </c>
      <c r="D134" s="7">
        <v>4.0199999999999993E-2</v>
      </c>
      <c r="E134" s="7">
        <v>4.0199999999999993E-2</v>
      </c>
      <c r="F134" s="7">
        <v>4.0199999999999993E-2</v>
      </c>
      <c r="G134" s="52">
        <v>-3.2000000000000002E-3</v>
      </c>
      <c r="H134" s="5"/>
    </row>
    <row r="135" spans="2:8" x14ac:dyDescent="0.2">
      <c r="B135" s="64">
        <v>36306</v>
      </c>
      <c r="C135" s="7">
        <v>4.0170000000000004E-2</v>
      </c>
      <c r="D135" s="7">
        <v>4.0170000000000004E-2</v>
      </c>
      <c r="E135" s="7">
        <v>4.0170000000000004E-2</v>
      </c>
      <c r="F135" s="7">
        <v>4.0170000000000004E-2</v>
      </c>
      <c r="G135" s="52">
        <v>-6.9999999999999999E-4</v>
      </c>
      <c r="H135" s="5"/>
    </row>
    <row r="136" spans="2:8" x14ac:dyDescent="0.2">
      <c r="B136" s="64">
        <v>36307</v>
      </c>
      <c r="C136" s="7">
        <v>4.079E-2</v>
      </c>
      <c r="D136" s="7">
        <v>4.079E-2</v>
      </c>
      <c r="E136" s="7">
        <v>4.079E-2</v>
      </c>
      <c r="F136" s="7">
        <v>4.079E-2</v>
      </c>
      <c r="G136" s="52">
        <v>1.54E-2</v>
      </c>
      <c r="H136" s="5"/>
    </row>
    <row r="137" spans="2:8" x14ac:dyDescent="0.2">
      <c r="B137" s="64">
        <v>36308</v>
      </c>
      <c r="C137" s="7">
        <v>4.0890000000000003E-2</v>
      </c>
      <c r="D137" s="7">
        <v>4.0890000000000003E-2</v>
      </c>
      <c r="E137" s="7">
        <v>4.0890000000000003E-2</v>
      </c>
      <c r="F137" s="7">
        <v>4.0890000000000003E-2</v>
      </c>
      <c r="G137" s="52">
        <v>2.5000000000000001E-3</v>
      </c>
      <c r="H137" s="5"/>
    </row>
    <row r="138" spans="2:8" x14ac:dyDescent="0.2">
      <c r="B138" s="64">
        <v>36309</v>
      </c>
      <c r="C138" s="7">
        <v>4.1020000000000001E-2</v>
      </c>
      <c r="D138" s="7">
        <v>4.1020000000000001E-2</v>
      </c>
      <c r="E138" s="7">
        <v>4.1020000000000001E-2</v>
      </c>
      <c r="F138" s="7">
        <v>4.1020000000000001E-2</v>
      </c>
      <c r="G138" s="52">
        <v>3.2000000000000002E-3</v>
      </c>
      <c r="H138" s="5"/>
    </row>
    <row r="139" spans="2:8" x14ac:dyDescent="0.2">
      <c r="B139" s="64">
        <v>36311</v>
      </c>
      <c r="C139" s="7">
        <v>4.1289999999999993E-2</v>
      </c>
      <c r="D139" s="7">
        <v>4.1289999999999993E-2</v>
      </c>
      <c r="E139" s="7">
        <v>4.1289999999999993E-2</v>
      </c>
      <c r="F139" s="7">
        <v>4.1289999999999993E-2</v>
      </c>
      <c r="G139" s="52">
        <v>6.6E-3</v>
      </c>
      <c r="H139" s="5"/>
    </row>
    <row r="140" spans="2:8" x14ac:dyDescent="0.2">
      <c r="B140" s="64">
        <v>36312</v>
      </c>
      <c r="C140" s="7">
        <v>4.2119999999999998E-2</v>
      </c>
      <c r="D140" s="7">
        <v>4.2119999999999998E-2</v>
      </c>
      <c r="E140" s="7">
        <v>4.2119999999999998E-2</v>
      </c>
      <c r="F140" s="7">
        <v>4.2119999999999998E-2</v>
      </c>
      <c r="G140" s="52">
        <v>2.01E-2</v>
      </c>
      <c r="H140" s="5"/>
    </row>
    <row r="141" spans="2:8" x14ac:dyDescent="0.2">
      <c r="B141" s="64">
        <v>36313</v>
      </c>
      <c r="C141" s="7">
        <v>4.2590000000000003E-2</v>
      </c>
      <c r="D141" s="7">
        <v>4.2590000000000003E-2</v>
      </c>
      <c r="E141" s="7">
        <v>4.2590000000000003E-2</v>
      </c>
      <c r="F141" s="7">
        <v>4.2590000000000003E-2</v>
      </c>
      <c r="G141" s="52">
        <v>1.12E-2</v>
      </c>
      <c r="H141" s="5"/>
    </row>
    <row r="142" spans="2:8" x14ac:dyDescent="0.2">
      <c r="B142" s="64">
        <v>36314</v>
      </c>
      <c r="C142" s="7">
        <v>4.2560000000000001E-2</v>
      </c>
      <c r="D142" s="7">
        <v>4.2560000000000001E-2</v>
      </c>
      <c r="E142" s="7">
        <v>4.2560000000000001E-2</v>
      </c>
      <c r="F142" s="7">
        <v>4.2560000000000001E-2</v>
      </c>
      <c r="G142" s="52">
        <v>-6.9999999999999999E-4</v>
      </c>
      <c r="H142" s="5"/>
    </row>
    <row r="143" spans="2:8" x14ac:dyDescent="0.2">
      <c r="B143" s="64">
        <v>36315</v>
      </c>
      <c r="C143" s="7">
        <v>4.2709999999999998E-2</v>
      </c>
      <c r="D143" s="7">
        <v>4.2709999999999998E-2</v>
      </c>
      <c r="E143" s="7">
        <v>4.2709999999999998E-2</v>
      </c>
      <c r="F143" s="7">
        <v>4.2709999999999998E-2</v>
      </c>
      <c r="G143" s="52">
        <v>3.5000000000000001E-3</v>
      </c>
      <c r="H143" s="5"/>
    </row>
    <row r="144" spans="2:8" x14ac:dyDescent="0.2">
      <c r="B144" s="64">
        <v>36316</v>
      </c>
      <c r="C144" s="7">
        <v>4.2689999999999999E-2</v>
      </c>
      <c r="D144" s="7">
        <v>4.2689999999999999E-2</v>
      </c>
      <c r="E144" s="7">
        <v>4.2689999999999999E-2</v>
      </c>
      <c r="F144" s="7">
        <v>4.2689999999999999E-2</v>
      </c>
      <c r="G144" s="52">
        <v>-5.0000000000000001E-4</v>
      </c>
      <c r="H144" s="5"/>
    </row>
    <row r="145" spans="2:8" x14ac:dyDescent="0.2">
      <c r="B145" s="64">
        <v>36318</v>
      </c>
      <c r="C145" s="7">
        <v>4.301E-2</v>
      </c>
      <c r="D145" s="7">
        <v>4.301E-2</v>
      </c>
      <c r="E145" s="7">
        <v>4.301E-2</v>
      </c>
      <c r="F145" s="7">
        <v>4.301E-2</v>
      </c>
      <c r="G145" s="52">
        <v>7.4999999999999997E-3</v>
      </c>
      <c r="H145" s="5"/>
    </row>
    <row r="146" spans="2:8" x14ac:dyDescent="0.2">
      <c r="B146" s="64">
        <v>36319</v>
      </c>
      <c r="C146" s="7">
        <v>4.233E-2</v>
      </c>
      <c r="D146" s="7">
        <v>4.233E-2</v>
      </c>
      <c r="E146" s="7">
        <v>4.233E-2</v>
      </c>
      <c r="F146" s="7">
        <v>4.233E-2</v>
      </c>
      <c r="G146" s="52">
        <v>-1.5800000000000002E-2</v>
      </c>
      <c r="H146" s="5"/>
    </row>
    <row r="147" spans="2:8" x14ac:dyDescent="0.2">
      <c r="B147" s="64">
        <v>36320</v>
      </c>
      <c r="C147" s="7">
        <v>4.2599999999999999E-2</v>
      </c>
      <c r="D147" s="7">
        <v>4.2599999999999999E-2</v>
      </c>
      <c r="E147" s="7">
        <v>4.2599999999999999E-2</v>
      </c>
      <c r="F147" s="7">
        <v>4.2599999999999999E-2</v>
      </c>
      <c r="G147" s="52">
        <v>6.4000000000000003E-3</v>
      </c>
      <c r="H147" s="5"/>
    </row>
    <row r="148" spans="2:8" x14ac:dyDescent="0.2">
      <c r="B148" s="64">
        <v>36321</v>
      </c>
      <c r="C148" s="7">
        <v>4.2869999999999998E-2</v>
      </c>
      <c r="D148" s="7">
        <v>4.2869999999999998E-2</v>
      </c>
      <c r="E148" s="7">
        <v>4.2869999999999998E-2</v>
      </c>
      <c r="F148" s="7">
        <v>4.2869999999999998E-2</v>
      </c>
      <c r="G148" s="52">
        <v>6.3E-3</v>
      </c>
      <c r="H148" s="5"/>
    </row>
    <row r="149" spans="2:8" x14ac:dyDescent="0.2">
      <c r="B149" s="64">
        <v>36322</v>
      </c>
      <c r="C149" s="7">
        <v>4.4069999999999998E-2</v>
      </c>
      <c r="D149" s="7">
        <v>4.4069999999999998E-2</v>
      </c>
      <c r="E149" s="7">
        <v>4.4069999999999998E-2</v>
      </c>
      <c r="F149" s="7">
        <v>4.4069999999999998E-2</v>
      </c>
      <c r="G149" s="52">
        <v>2.8000000000000001E-2</v>
      </c>
      <c r="H149" s="5"/>
    </row>
    <row r="150" spans="2:8" x14ac:dyDescent="0.2">
      <c r="B150" s="64">
        <v>36324</v>
      </c>
      <c r="C150" s="7">
        <v>4.3429999999999996E-2</v>
      </c>
      <c r="D150" s="7">
        <v>4.3429999999999996E-2</v>
      </c>
      <c r="E150" s="7">
        <v>4.3429999999999996E-2</v>
      </c>
      <c r="F150" s="7">
        <v>4.3429999999999996E-2</v>
      </c>
      <c r="G150" s="52">
        <v>-1.4500000000000001E-2</v>
      </c>
      <c r="H150" s="5"/>
    </row>
    <row r="151" spans="2:8" x14ac:dyDescent="0.2">
      <c r="B151" s="64">
        <v>36325</v>
      </c>
      <c r="C151" s="7">
        <v>4.3550000000000005E-2</v>
      </c>
      <c r="D151" s="7">
        <v>4.3550000000000005E-2</v>
      </c>
      <c r="E151" s="7">
        <v>4.3550000000000005E-2</v>
      </c>
      <c r="F151" s="7">
        <v>4.3550000000000005E-2</v>
      </c>
      <c r="G151" s="52">
        <v>2.8E-3</v>
      </c>
      <c r="H151" s="5"/>
    </row>
    <row r="152" spans="2:8" x14ac:dyDescent="0.2">
      <c r="B152" s="64">
        <v>36326</v>
      </c>
      <c r="C152" s="7">
        <v>4.2900000000000001E-2</v>
      </c>
      <c r="D152" s="7">
        <v>4.2900000000000001E-2</v>
      </c>
      <c r="E152" s="7">
        <v>4.2900000000000001E-2</v>
      </c>
      <c r="F152" s="7">
        <v>4.2900000000000001E-2</v>
      </c>
      <c r="G152" s="52">
        <v>-1.49E-2</v>
      </c>
      <c r="H152" s="5"/>
    </row>
    <row r="153" spans="2:8" x14ac:dyDescent="0.2">
      <c r="B153" s="64">
        <v>36327</v>
      </c>
      <c r="C153" s="7">
        <v>4.2950000000000002E-2</v>
      </c>
      <c r="D153" s="7">
        <v>4.2950000000000002E-2</v>
      </c>
      <c r="E153" s="7">
        <v>4.2950000000000002E-2</v>
      </c>
      <c r="F153" s="7">
        <v>4.2950000000000002E-2</v>
      </c>
      <c r="G153" s="52">
        <v>1.1999999999999999E-3</v>
      </c>
      <c r="H153" s="5"/>
    </row>
    <row r="154" spans="2:8" x14ac:dyDescent="0.2">
      <c r="B154" s="64">
        <v>36328</v>
      </c>
      <c r="C154" s="7">
        <v>4.2779999999999999E-2</v>
      </c>
      <c r="D154" s="7">
        <v>4.2779999999999999E-2</v>
      </c>
      <c r="E154" s="7">
        <v>4.2779999999999999E-2</v>
      </c>
      <c r="F154" s="7">
        <v>4.2779999999999999E-2</v>
      </c>
      <c r="G154" s="52">
        <v>-4.0000000000000001E-3</v>
      </c>
      <c r="H154" s="5"/>
    </row>
    <row r="155" spans="2:8" x14ac:dyDescent="0.2">
      <c r="B155" s="64">
        <v>36329</v>
      </c>
      <c r="C155" s="7">
        <v>4.2060000000000007E-2</v>
      </c>
      <c r="D155" s="7">
        <v>4.2060000000000007E-2</v>
      </c>
      <c r="E155" s="7">
        <v>4.2060000000000007E-2</v>
      </c>
      <c r="F155" s="7">
        <v>4.2060000000000007E-2</v>
      </c>
      <c r="G155" s="52">
        <v>-1.6799999999999999E-2</v>
      </c>
      <c r="H155" s="5"/>
    </row>
    <row r="156" spans="2:8" x14ac:dyDescent="0.2">
      <c r="B156" s="64">
        <v>36332</v>
      </c>
      <c r="C156" s="7">
        <v>4.2099999999999999E-2</v>
      </c>
      <c r="D156" s="7">
        <v>4.2099999999999999E-2</v>
      </c>
      <c r="E156" s="7">
        <v>4.2099999999999999E-2</v>
      </c>
      <c r="F156" s="7">
        <v>4.2099999999999999E-2</v>
      </c>
      <c r="G156" s="52">
        <v>1E-3</v>
      </c>
      <c r="H156" s="5"/>
    </row>
    <row r="157" spans="2:8" x14ac:dyDescent="0.2">
      <c r="B157" s="64">
        <v>36333</v>
      </c>
      <c r="C157" s="7">
        <v>4.3810000000000002E-2</v>
      </c>
      <c r="D157" s="7">
        <v>4.3810000000000002E-2</v>
      </c>
      <c r="E157" s="7">
        <v>4.3810000000000002E-2</v>
      </c>
      <c r="F157" s="7">
        <v>4.3810000000000002E-2</v>
      </c>
      <c r="G157" s="52">
        <v>4.0599999999999997E-2</v>
      </c>
      <c r="H157" s="5"/>
    </row>
    <row r="158" spans="2:8" x14ac:dyDescent="0.2">
      <c r="B158" s="64">
        <v>36334</v>
      </c>
      <c r="C158" s="7">
        <v>4.4500000000000005E-2</v>
      </c>
      <c r="D158" s="7">
        <v>4.4500000000000005E-2</v>
      </c>
      <c r="E158" s="7">
        <v>4.4500000000000005E-2</v>
      </c>
      <c r="F158" s="7">
        <v>4.4500000000000005E-2</v>
      </c>
      <c r="G158" s="52">
        <v>1.5699999999999999E-2</v>
      </c>
      <c r="H158" s="5"/>
    </row>
    <row r="159" spans="2:8" x14ac:dyDescent="0.2">
      <c r="B159" s="64">
        <v>36335</v>
      </c>
      <c r="C159" s="7">
        <v>4.5629999999999997E-2</v>
      </c>
      <c r="D159" s="7">
        <v>4.5629999999999997E-2</v>
      </c>
      <c r="E159" s="7">
        <v>4.5629999999999997E-2</v>
      </c>
      <c r="F159" s="7">
        <v>4.5629999999999997E-2</v>
      </c>
      <c r="G159" s="52">
        <v>2.5399999999999999E-2</v>
      </c>
      <c r="H159" s="5"/>
    </row>
    <row r="160" spans="2:8" x14ac:dyDescent="0.2">
      <c r="B160" s="64">
        <v>36336</v>
      </c>
      <c r="C160" s="7">
        <v>4.614E-2</v>
      </c>
      <c r="D160" s="7">
        <v>4.614E-2</v>
      </c>
      <c r="E160" s="7">
        <v>4.614E-2</v>
      </c>
      <c r="F160" s="7">
        <v>4.614E-2</v>
      </c>
      <c r="G160" s="52">
        <v>1.12E-2</v>
      </c>
      <c r="H160" s="5"/>
    </row>
    <row r="161" spans="2:8" x14ac:dyDescent="0.2">
      <c r="B161" s="64">
        <v>36337</v>
      </c>
      <c r="C161" s="7">
        <v>4.5279999999999994E-2</v>
      </c>
      <c r="D161" s="7">
        <v>4.5279999999999994E-2</v>
      </c>
      <c r="E161" s="7">
        <v>4.5279999999999994E-2</v>
      </c>
      <c r="F161" s="7">
        <v>4.5279999999999994E-2</v>
      </c>
      <c r="G161" s="52">
        <v>-1.8599999999999998E-2</v>
      </c>
      <c r="H161" s="5"/>
    </row>
    <row r="162" spans="2:8" x14ac:dyDescent="0.2">
      <c r="B162" s="64">
        <v>36338</v>
      </c>
      <c r="C162" s="7">
        <v>4.5279999999999994E-2</v>
      </c>
      <c r="D162" s="7">
        <v>4.5279999999999994E-2</v>
      </c>
      <c r="E162" s="7">
        <v>4.5279999999999994E-2</v>
      </c>
      <c r="F162" s="7">
        <v>4.5279999999999994E-2</v>
      </c>
      <c r="G162" s="52">
        <v>0</v>
      </c>
      <c r="H162" s="5"/>
    </row>
    <row r="163" spans="2:8" x14ac:dyDescent="0.2">
      <c r="B163" s="64">
        <v>36339</v>
      </c>
      <c r="C163" s="7">
        <v>4.5469999999999997E-2</v>
      </c>
      <c r="D163" s="7">
        <v>4.5469999999999997E-2</v>
      </c>
      <c r="E163" s="7">
        <v>4.5469999999999997E-2</v>
      </c>
      <c r="F163" s="7">
        <v>4.5469999999999997E-2</v>
      </c>
      <c r="G163" s="52">
        <v>4.1999999999999997E-3</v>
      </c>
      <c r="H163" s="5"/>
    </row>
    <row r="164" spans="2:8" x14ac:dyDescent="0.2">
      <c r="B164" s="64">
        <v>36340</v>
      </c>
      <c r="C164" s="7">
        <v>4.5599999999999995E-2</v>
      </c>
      <c r="D164" s="7">
        <v>4.5599999999999995E-2</v>
      </c>
      <c r="E164" s="7">
        <v>4.5599999999999995E-2</v>
      </c>
      <c r="F164" s="7">
        <v>4.5599999999999995E-2</v>
      </c>
      <c r="G164" s="52">
        <v>2.8999999999999998E-3</v>
      </c>
      <c r="H164" s="5"/>
    </row>
    <row r="165" spans="2:8" x14ac:dyDescent="0.2">
      <c r="B165" s="64">
        <v>36341</v>
      </c>
      <c r="C165" s="7">
        <v>4.4800000000000006E-2</v>
      </c>
      <c r="D165" s="7">
        <v>4.4800000000000006E-2</v>
      </c>
      <c r="E165" s="7">
        <v>4.4800000000000006E-2</v>
      </c>
      <c r="F165" s="7">
        <v>4.4800000000000006E-2</v>
      </c>
      <c r="G165" s="52">
        <v>-1.7500000000000002E-2</v>
      </c>
      <c r="H165" s="5"/>
    </row>
    <row r="166" spans="2:8" x14ac:dyDescent="0.2">
      <c r="B166" s="64">
        <v>36342</v>
      </c>
      <c r="C166" s="7">
        <v>4.4920000000000002E-2</v>
      </c>
      <c r="D166" s="7">
        <v>4.4920000000000002E-2</v>
      </c>
      <c r="E166" s="7">
        <v>4.4920000000000002E-2</v>
      </c>
      <c r="F166" s="7">
        <v>4.4920000000000002E-2</v>
      </c>
      <c r="G166" s="52">
        <v>2.7000000000000001E-3</v>
      </c>
      <c r="H166" s="5"/>
    </row>
    <row r="167" spans="2:8" x14ac:dyDescent="0.2">
      <c r="B167" s="64">
        <v>36343</v>
      </c>
      <c r="C167" s="7">
        <v>4.6130000000000004E-2</v>
      </c>
      <c r="D167" s="7">
        <v>4.6130000000000004E-2</v>
      </c>
      <c r="E167" s="7">
        <v>4.6130000000000004E-2</v>
      </c>
      <c r="F167" s="7">
        <v>4.6130000000000004E-2</v>
      </c>
      <c r="G167" s="52">
        <v>2.69E-2</v>
      </c>
      <c r="H167" s="5"/>
    </row>
    <row r="168" spans="2:8" x14ac:dyDescent="0.2">
      <c r="B168" s="64">
        <v>36344</v>
      </c>
      <c r="C168" s="7">
        <v>4.5839999999999999E-2</v>
      </c>
      <c r="D168" s="7">
        <v>4.5839999999999999E-2</v>
      </c>
      <c r="E168" s="7">
        <v>4.5839999999999999E-2</v>
      </c>
      <c r="F168" s="7">
        <v>4.5839999999999999E-2</v>
      </c>
      <c r="G168" s="52">
        <v>-6.3E-3</v>
      </c>
      <c r="H168" s="5"/>
    </row>
    <row r="169" spans="2:8" x14ac:dyDescent="0.2">
      <c r="B169" s="64">
        <v>36345</v>
      </c>
      <c r="C169" s="7">
        <v>4.5839999999999999E-2</v>
      </c>
      <c r="D169" s="7">
        <v>4.5839999999999999E-2</v>
      </c>
      <c r="E169" s="7">
        <v>4.5839999999999999E-2</v>
      </c>
      <c r="F169" s="7">
        <v>4.5839999999999999E-2</v>
      </c>
      <c r="G169" s="52">
        <v>0</v>
      </c>
      <c r="H169" s="5"/>
    </row>
    <row r="170" spans="2:8" x14ac:dyDescent="0.2">
      <c r="B170" s="64">
        <v>36346</v>
      </c>
      <c r="C170" s="7">
        <v>4.6039999999999998E-2</v>
      </c>
      <c r="D170" s="7">
        <v>4.6039999999999998E-2</v>
      </c>
      <c r="E170" s="7">
        <v>4.6039999999999998E-2</v>
      </c>
      <c r="F170" s="7">
        <v>4.6039999999999998E-2</v>
      </c>
      <c r="G170" s="52">
        <v>4.4000000000000003E-3</v>
      </c>
      <c r="H170" s="5"/>
    </row>
    <row r="171" spans="2:8" x14ac:dyDescent="0.2">
      <c r="B171" s="64">
        <v>36347</v>
      </c>
      <c r="C171" s="7">
        <v>4.6790000000000005E-2</v>
      </c>
      <c r="D171" s="7">
        <v>4.6790000000000005E-2</v>
      </c>
      <c r="E171" s="7">
        <v>4.6790000000000005E-2</v>
      </c>
      <c r="F171" s="7">
        <v>4.6790000000000005E-2</v>
      </c>
      <c r="G171" s="52">
        <v>1.6299999999999999E-2</v>
      </c>
      <c r="H171" s="5"/>
    </row>
    <row r="172" spans="2:8" x14ac:dyDescent="0.2">
      <c r="B172" s="64">
        <v>36348</v>
      </c>
      <c r="C172" s="7">
        <v>4.7070000000000001E-2</v>
      </c>
      <c r="D172" s="7">
        <v>4.7070000000000001E-2</v>
      </c>
      <c r="E172" s="7">
        <v>4.7070000000000001E-2</v>
      </c>
      <c r="F172" s="7">
        <v>4.7070000000000001E-2</v>
      </c>
      <c r="G172" s="52">
        <v>6.0000000000000001E-3</v>
      </c>
      <c r="H172" s="5"/>
    </row>
    <row r="173" spans="2:8" x14ac:dyDescent="0.2">
      <c r="B173" s="64">
        <v>36349</v>
      </c>
      <c r="C173" s="7">
        <v>4.7210000000000002E-2</v>
      </c>
      <c r="D173" s="7">
        <v>4.7210000000000002E-2</v>
      </c>
      <c r="E173" s="7">
        <v>4.7210000000000002E-2</v>
      </c>
      <c r="F173" s="7">
        <v>4.7210000000000002E-2</v>
      </c>
      <c r="G173" s="52">
        <v>3.0000000000000001E-3</v>
      </c>
      <c r="H173" s="5"/>
    </row>
    <row r="174" spans="2:8" x14ac:dyDescent="0.2">
      <c r="B174" s="64">
        <v>36350</v>
      </c>
      <c r="C174" s="7">
        <v>4.7E-2</v>
      </c>
      <c r="D174" s="7">
        <v>4.7E-2</v>
      </c>
      <c r="E174" s="7">
        <v>4.7E-2</v>
      </c>
      <c r="F174" s="7">
        <v>4.7E-2</v>
      </c>
      <c r="G174" s="52">
        <v>-4.4000000000000003E-3</v>
      </c>
      <c r="H174" s="5"/>
    </row>
    <row r="175" spans="2:8" x14ac:dyDescent="0.2">
      <c r="B175" s="64">
        <v>36351</v>
      </c>
      <c r="C175" s="7">
        <v>4.7190000000000003E-2</v>
      </c>
      <c r="D175" s="7">
        <v>4.7190000000000003E-2</v>
      </c>
      <c r="E175" s="7">
        <v>4.7190000000000003E-2</v>
      </c>
      <c r="F175" s="7">
        <v>4.7190000000000003E-2</v>
      </c>
      <c r="G175" s="52">
        <v>4.0000000000000001E-3</v>
      </c>
      <c r="H175" s="5"/>
    </row>
    <row r="176" spans="2:8" x14ac:dyDescent="0.2">
      <c r="B176" s="64">
        <v>36352</v>
      </c>
      <c r="C176" s="7">
        <v>4.7190000000000003E-2</v>
      </c>
      <c r="D176" s="7">
        <v>4.7190000000000003E-2</v>
      </c>
      <c r="E176" s="7">
        <v>4.7190000000000003E-2</v>
      </c>
      <c r="F176" s="7">
        <v>4.7190000000000003E-2</v>
      </c>
      <c r="G176" s="52">
        <v>0</v>
      </c>
      <c r="H176" s="5"/>
    </row>
    <row r="177" spans="2:8" x14ac:dyDescent="0.2">
      <c r="B177" s="64">
        <v>36353</v>
      </c>
      <c r="C177" s="7">
        <v>4.7080000000000004E-2</v>
      </c>
      <c r="D177" s="7">
        <v>4.7080000000000004E-2</v>
      </c>
      <c r="E177" s="7">
        <v>4.7080000000000004E-2</v>
      </c>
      <c r="F177" s="7">
        <v>4.7080000000000004E-2</v>
      </c>
      <c r="G177" s="52">
        <v>-2.3E-3</v>
      </c>
      <c r="H177" s="5"/>
    </row>
    <row r="178" spans="2:8" x14ac:dyDescent="0.2">
      <c r="B178" s="64">
        <v>36354</v>
      </c>
      <c r="C178" s="7">
        <v>4.6120000000000001E-2</v>
      </c>
      <c r="D178" s="7">
        <v>4.6120000000000001E-2</v>
      </c>
      <c r="E178" s="7">
        <v>4.6120000000000001E-2</v>
      </c>
      <c r="F178" s="7">
        <v>4.6120000000000001E-2</v>
      </c>
      <c r="G178" s="52">
        <v>-2.0400000000000001E-2</v>
      </c>
      <c r="H178" s="5"/>
    </row>
    <row r="179" spans="2:8" x14ac:dyDescent="0.2">
      <c r="B179" s="64">
        <v>36355</v>
      </c>
      <c r="C179" s="7">
        <v>4.6689999999999995E-2</v>
      </c>
      <c r="D179" s="7">
        <v>4.6689999999999995E-2</v>
      </c>
      <c r="E179" s="7">
        <v>4.6689999999999995E-2</v>
      </c>
      <c r="F179" s="7">
        <v>4.6689999999999995E-2</v>
      </c>
      <c r="G179" s="52">
        <v>1.24E-2</v>
      </c>
      <c r="H179" s="5"/>
    </row>
    <row r="180" spans="2:8" x14ac:dyDescent="0.2">
      <c r="B180" s="64">
        <v>36356</v>
      </c>
      <c r="C180" s="7">
        <v>4.6460000000000001E-2</v>
      </c>
      <c r="D180" s="7">
        <v>4.6460000000000001E-2</v>
      </c>
      <c r="E180" s="7">
        <v>4.6460000000000001E-2</v>
      </c>
      <c r="F180" s="7">
        <v>4.6460000000000001E-2</v>
      </c>
      <c r="G180" s="52">
        <v>-4.8999999999999998E-3</v>
      </c>
      <c r="H180" s="5"/>
    </row>
    <row r="181" spans="2:8" x14ac:dyDescent="0.2">
      <c r="B181" s="64">
        <v>36357</v>
      </c>
      <c r="C181" s="7">
        <v>4.7510000000000004E-2</v>
      </c>
      <c r="D181" s="7">
        <v>4.7510000000000004E-2</v>
      </c>
      <c r="E181" s="7">
        <v>4.7510000000000004E-2</v>
      </c>
      <c r="F181" s="7">
        <v>4.7510000000000004E-2</v>
      </c>
      <c r="G181" s="52">
        <v>2.2599999999999999E-2</v>
      </c>
      <c r="H181" s="5"/>
    </row>
    <row r="182" spans="2:8" x14ac:dyDescent="0.2">
      <c r="B182" s="64">
        <v>36358</v>
      </c>
      <c r="C182" s="7">
        <v>4.7489999999999997E-2</v>
      </c>
      <c r="D182" s="7">
        <v>4.7489999999999997E-2</v>
      </c>
      <c r="E182" s="7">
        <v>4.7489999999999997E-2</v>
      </c>
      <c r="F182" s="7">
        <v>4.7489999999999997E-2</v>
      </c>
      <c r="G182" s="52">
        <v>-4.0000000000000002E-4</v>
      </c>
      <c r="H182" s="5"/>
    </row>
    <row r="183" spans="2:8" x14ac:dyDescent="0.2">
      <c r="B183" s="64">
        <v>36360</v>
      </c>
      <c r="C183" s="7">
        <v>4.795E-2</v>
      </c>
      <c r="D183" s="7">
        <v>4.795E-2</v>
      </c>
      <c r="E183" s="7">
        <v>4.795E-2</v>
      </c>
      <c r="F183" s="7">
        <v>4.795E-2</v>
      </c>
      <c r="G183" s="52">
        <v>9.7000000000000003E-3</v>
      </c>
      <c r="H183" s="5"/>
    </row>
    <row r="184" spans="2:8" x14ac:dyDescent="0.2">
      <c r="B184" s="64">
        <v>36361</v>
      </c>
      <c r="C184" s="7">
        <v>4.752E-2</v>
      </c>
      <c r="D184" s="7">
        <v>4.752E-2</v>
      </c>
      <c r="E184" s="7">
        <v>4.752E-2</v>
      </c>
      <c r="F184" s="7">
        <v>4.752E-2</v>
      </c>
      <c r="G184" s="52">
        <v>-8.9999999999999993E-3</v>
      </c>
      <c r="H184" s="5"/>
    </row>
    <row r="185" spans="2:8" x14ac:dyDescent="0.2">
      <c r="B185" s="64">
        <v>36362</v>
      </c>
      <c r="C185" s="7">
        <v>4.6150000000000004E-2</v>
      </c>
      <c r="D185" s="7">
        <v>4.6150000000000004E-2</v>
      </c>
      <c r="E185" s="7">
        <v>4.6150000000000004E-2</v>
      </c>
      <c r="F185" s="7">
        <v>4.6150000000000004E-2</v>
      </c>
      <c r="G185" s="52">
        <v>-2.8799999999999999E-2</v>
      </c>
      <c r="H185" s="5"/>
    </row>
    <row r="186" spans="2:8" x14ac:dyDescent="0.2">
      <c r="B186" s="64">
        <v>36363</v>
      </c>
      <c r="C186" s="7">
        <v>4.6239999999999996E-2</v>
      </c>
      <c r="D186" s="7">
        <v>4.6239999999999996E-2</v>
      </c>
      <c r="E186" s="7">
        <v>4.6239999999999996E-2</v>
      </c>
      <c r="F186" s="7">
        <v>4.6239999999999996E-2</v>
      </c>
      <c r="G186" s="52">
        <v>2E-3</v>
      </c>
      <c r="H186" s="5"/>
    </row>
    <row r="187" spans="2:8" x14ac:dyDescent="0.2">
      <c r="B187" s="64">
        <v>36364</v>
      </c>
      <c r="C187" s="7">
        <v>4.6799999999999994E-2</v>
      </c>
      <c r="D187" s="7">
        <v>4.6799999999999994E-2</v>
      </c>
      <c r="E187" s="7">
        <v>4.6799999999999994E-2</v>
      </c>
      <c r="F187" s="7">
        <v>4.6799999999999994E-2</v>
      </c>
      <c r="G187" s="52">
        <v>1.21E-2</v>
      </c>
      <c r="H187" s="5"/>
    </row>
    <row r="188" spans="2:8" x14ac:dyDescent="0.2">
      <c r="B188" s="64">
        <v>36365</v>
      </c>
      <c r="C188" s="7">
        <v>4.675E-2</v>
      </c>
      <c r="D188" s="7">
        <v>4.675E-2</v>
      </c>
      <c r="E188" s="7">
        <v>4.675E-2</v>
      </c>
      <c r="F188" s="7">
        <v>4.675E-2</v>
      </c>
      <c r="G188" s="52">
        <v>-1.1000000000000001E-3</v>
      </c>
      <c r="H188" s="5"/>
    </row>
    <row r="189" spans="2:8" x14ac:dyDescent="0.2">
      <c r="B189" s="64">
        <v>36366</v>
      </c>
      <c r="C189" s="7">
        <v>4.684E-2</v>
      </c>
      <c r="D189" s="7">
        <v>4.684E-2</v>
      </c>
      <c r="E189" s="7">
        <v>4.684E-2</v>
      </c>
      <c r="F189" s="7">
        <v>4.684E-2</v>
      </c>
      <c r="G189" s="52">
        <v>1.9E-3</v>
      </c>
      <c r="H189" s="5"/>
    </row>
    <row r="190" spans="2:8" x14ac:dyDescent="0.2">
      <c r="B190" s="64">
        <v>36367</v>
      </c>
      <c r="C190" s="7">
        <v>4.6849999999999996E-2</v>
      </c>
      <c r="D190" s="7">
        <v>4.6849999999999996E-2</v>
      </c>
      <c r="E190" s="7">
        <v>4.6849999999999996E-2</v>
      </c>
      <c r="F190" s="7">
        <v>4.6849999999999996E-2</v>
      </c>
      <c r="G190" s="52">
        <v>2.0000000000000001E-4</v>
      </c>
      <c r="H190" s="5"/>
    </row>
    <row r="191" spans="2:8" x14ac:dyDescent="0.2">
      <c r="B191" s="64">
        <v>36368</v>
      </c>
      <c r="C191" s="7">
        <v>4.6859999999999999E-2</v>
      </c>
      <c r="D191" s="7">
        <v>4.6859999999999999E-2</v>
      </c>
      <c r="E191" s="7">
        <v>4.6859999999999999E-2</v>
      </c>
      <c r="F191" s="7">
        <v>4.6859999999999999E-2</v>
      </c>
      <c r="G191" s="52">
        <v>2.0000000000000001E-4</v>
      </c>
      <c r="H191" s="5"/>
    </row>
    <row r="192" spans="2:8" x14ac:dyDescent="0.2">
      <c r="B192" s="64">
        <v>36369</v>
      </c>
      <c r="C192" s="7">
        <v>4.6940000000000003E-2</v>
      </c>
      <c r="D192" s="7">
        <v>4.6940000000000003E-2</v>
      </c>
      <c r="E192" s="7">
        <v>4.6940000000000003E-2</v>
      </c>
      <c r="F192" s="7">
        <v>4.6940000000000003E-2</v>
      </c>
      <c r="G192" s="52">
        <v>1.6999999999999999E-3</v>
      </c>
      <c r="H192" s="5"/>
    </row>
    <row r="193" spans="2:8" x14ac:dyDescent="0.2">
      <c r="B193" s="64">
        <v>36370</v>
      </c>
      <c r="C193" s="7">
        <v>4.7500000000000001E-2</v>
      </c>
      <c r="D193" s="7">
        <v>4.7500000000000001E-2</v>
      </c>
      <c r="E193" s="7">
        <v>4.7500000000000001E-2</v>
      </c>
      <c r="F193" s="7">
        <v>4.7500000000000001E-2</v>
      </c>
      <c r="G193" s="52">
        <v>1.1900000000000001E-2</v>
      </c>
      <c r="H193" s="5"/>
    </row>
    <row r="194" spans="2:8" x14ac:dyDescent="0.2">
      <c r="B194" s="64">
        <v>36371</v>
      </c>
      <c r="C194" s="7">
        <v>4.7699999999999992E-2</v>
      </c>
      <c r="D194" s="7">
        <v>4.7699999999999992E-2</v>
      </c>
      <c r="E194" s="7">
        <v>4.7699999999999992E-2</v>
      </c>
      <c r="F194" s="7">
        <v>4.7699999999999992E-2</v>
      </c>
      <c r="G194" s="52">
        <v>4.1999999999999997E-3</v>
      </c>
      <c r="H194" s="5"/>
    </row>
    <row r="195" spans="2:8" x14ac:dyDescent="0.2">
      <c r="B195" s="64">
        <v>36372</v>
      </c>
      <c r="C195" s="7">
        <v>4.8250000000000001E-2</v>
      </c>
      <c r="D195" s="7">
        <v>4.8250000000000001E-2</v>
      </c>
      <c r="E195" s="7">
        <v>4.8250000000000001E-2</v>
      </c>
      <c r="F195" s="7">
        <v>4.8250000000000001E-2</v>
      </c>
      <c r="G195" s="52">
        <v>1.15E-2</v>
      </c>
      <c r="H195" s="5"/>
    </row>
    <row r="196" spans="2:8" x14ac:dyDescent="0.2">
      <c r="B196" s="64">
        <v>36374</v>
      </c>
      <c r="C196" s="7">
        <v>4.8789999999999993E-2</v>
      </c>
      <c r="D196" s="7">
        <v>4.8789999999999993E-2</v>
      </c>
      <c r="E196" s="7">
        <v>4.8789999999999993E-2</v>
      </c>
      <c r="F196" s="7">
        <v>4.8789999999999993E-2</v>
      </c>
      <c r="G196" s="52">
        <v>1.12E-2</v>
      </c>
      <c r="H196" s="5"/>
    </row>
    <row r="197" spans="2:8" x14ac:dyDescent="0.2">
      <c r="B197" s="64">
        <v>36375</v>
      </c>
      <c r="C197" s="7">
        <v>4.9419999999999999E-2</v>
      </c>
      <c r="D197" s="7">
        <v>4.9419999999999999E-2</v>
      </c>
      <c r="E197" s="7">
        <v>4.9419999999999999E-2</v>
      </c>
      <c r="F197" s="7">
        <v>4.9419999999999999E-2</v>
      </c>
      <c r="G197" s="52">
        <v>1.29E-2</v>
      </c>
      <c r="H197" s="5"/>
    </row>
    <row r="198" spans="2:8" x14ac:dyDescent="0.2">
      <c r="B198" s="64">
        <v>36376</v>
      </c>
      <c r="C198" s="7">
        <v>4.9160000000000002E-2</v>
      </c>
      <c r="D198" s="7">
        <v>4.9160000000000002E-2</v>
      </c>
      <c r="E198" s="7">
        <v>4.9160000000000002E-2</v>
      </c>
      <c r="F198" s="7">
        <v>4.9160000000000002E-2</v>
      </c>
      <c r="G198" s="52">
        <v>-5.3E-3</v>
      </c>
      <c r="H198" s="5"/>
    </row>
    <row r="199" spans="2:8" x14ac:dyDescent="0.2">
      <c r="B199" s="64">
        <v>36377</v>
      </c>
      <c r="C199" s="7">
        <v>4.9759999999999999E-2</v>
      </c>
      <c r="D199" s="7">
        <v>4.9759999999999999E-2</v>
      </c>
      <c r="E199" s="7">
        <v>4.9759999999999999E-2</v>
      </c>
      <c r="F199" s="7">
        <v>4.9759999999999999E-2</v>
      </c>
      <c r="G199" s="52">
        <v>1.2200000000000001E-2</v>
      </c>
      <c r="H199" s="5"/>
    </row>
    <row r="200" spans="2:8" x14ac:dyDescent="0.2">
      <c r="B200" s="64">
        <v>36378</v>
      </c>
      <c r="C200" s="7">
        <v>5.042E-2</v>
      </c>
      <c r="D200" s="7">
        <v>5.042E-2</v>
      </c>
      <c r="E200" s="7">
        <v>5.042E-2</v>
      </c>
      <c r="F200" s="7">
        <v>5.042E-2</v>
      </c>
      <c r="G200" s="52">
        <v>1.3299999999999999E-2</v>
      </c>
      <c r="H200" s="5"/>
    </row>
    <row r="201" spans="2:8" x14ac:dyDescent="0.2">
      <c r="B201" s="64">
        <v>36379</v>
      </c>
      <c r="C201" s="7">
        <v>5.0499999999999996E-2</v>
      </c>
      <c r="D201" s="7">
        <v>5.0499999999999996E-2</v>
      </c>
      <c r="E201" s="7">
        <v>5.0499999999999996E-2</v>
      </c>
      <c r="F201" s="7">
        <v>5.0499999999999996E-2</v>
      </c>
      <c r="G201" s="52">
        <v>1.6000000000000001E-3</v>
      </c>
      <c r="H201" s="5"/>
    </row>
    <row r="202" spans="2:8" x14ac:dyDescent="0.2">
      <c r="B202" s="64">
        <v>36380</v>
      </c>
      <c r="C202" s="7">
        <v>5.0549999999999998E-2</v>
      </c>
      <c r="D202" s="7">
        <v>5.0549999999999998E-2</v>
      </c>
      <c r="E202" s="7">
        <v>5.0549999999999998E-2</v>
      </c>
      <c r="F202" s="7">
        <v>5.0549999999999998E-2</v>
      </c>
      <c r="G202" s="52">
        <v>1E-3</v>
      </c>
      <c r="H202" s="5"/>
    </row>
    <row r="203" spans="2:8" x14ac:dyDescent="0.2">
      <c r="B203" s="64">
        <v>36381</v>
      </c>
      <c r="C203" s="7">
        <v>5.0479999999999997E-2</v>
      </c>
      <c r="D203" s="7">
        <v>5.0479999999999997E-2</v>
      </c>
      <c r="E203" s="7">
        <v>5.0479999999999997E-2</v>
      </c>
      <c r="F203" s="7">
        <v>5.0479999999999997E-2</v>
      </c>
      <c r="G203" s="52">
        <v>-1.4E-3</v>
      </c>
      <c r="H203" s="5"/>
    </row>
    <row r="204" spans="2:8" x14ac:dyDescent="0.2">
      <c r="B204" s="64">
        <v>36382</v>
      </c>
      <c r="C204" s="7">
        <v>5.0479999999999997E-2</v>
      </c>
      <c r="D204" s="7">
        <v>5.0479999999999997E-2</v>
      </c>
      <c r="E204" s="7">
        <v>5.0479999999999997E-2</v>
      </c>
      <c r="F204" s="7">
        <v>5.0479999999999997E-2</v>
      </c>
      <c r="G204" s="52">
        <v>0</v>
      </c>
      <c r="H204" s="5"/>
    </row>
    <row r="205" spans="2:8" x14ac:dyDescent="0.2">
      <c r="B205" s="64">
        <v>36383</v>
      </c>
      <c r="C205" s="7">
        <v>4.9739999999999999E-2</v>
      </c>
      <c r="D205" s="7">
        <v>4.9739999999999999E-2</v>
      </c>
      <c r="E205" s="7">
        <v>4.9739999999999999E-2</v>
      </c>
      <c r="F205" s="7">
        <v>4.9739999999999999E-2</v>
      </c>
      <c r="G205" s="52">
        <v>-1.47E-2</v>
      </c>
      <c r="H205" s="5"/>
    </row>
    <row r="206" spans="2:8" x14ac:dyDescent="0.2">
      <c r="B206" s="64">
        <v>36384</v>
      </c>
      <c r="C206" s="7">
        <v>4.897E-2</v>
      </c>
      <c r="D206" s="7">
        <v>4.897E-2</v>
      </c>
      <c r="E206" s="7">
        <v>4.897E-2</v>
      </c>
      <c r="F206" s="7">
        <v>4.897E-2</v>
      </c>
      <c r="G206" s="52">
        <v>-1.55E-2</v>
      </c>
      <c r="H206" s="5"/>
    </row>
    <row r="207" spans="2:8" x14ac:dyDescent="0.2">
      <c r="B207" s="64">
        <v>36385</v>
      </c>
      <c r="C207" s="7">
        <v>4.8789999999999993E-2</v>
      </c>
      <c r="D207" s="7">
        <v>4.8789999999999993E-2</v>
      </c>
      <c r="E207" s="7">
        <v>4.8789999999999993E-2</v>
      </c>
      <c r="F207" s="7">
        <v>4.8789999999999993E-2</v>
      </c>
      <c r="G207" s="52">
        <v>-3.7000000000000002E-3</v>
      </c>
      <c r="H207" s="5"/>
    </row>
    <row r="208" spans="2:8" x14ac:dyDescent="0.2">
      <c r="B208" s="64">
        <v>36386</v>
      </c>
      <c r="C208" s="7">
        <v>4.8770000000000001E-2</v>
      </c>
      <c r="D208" s="7">
        <v>4.8770000000000001E-2</v>
      </c>
      <c r="E208" s="7">
        <v>4.8770000000000001E-2</v>
      </c>
      <c r="F208" s="7">
        <v>4.8770000000000001E-2</v>
      </c>
      <c r="G208" s="52">
        <v>-4.0000000000000002E-4</v>
      </c>
      <c r="H208" s="5"/>
    </row>
    <row r="209" spans="2:8" x14ac:dyDescent="0.2">
      <c r="B209" s="64">
        <v>36387</v>
      </c>
      <c r="C209" s="7">
        <v>4.8770000000000001E-2</v>
      </c>
      <c r="D209" s="7">
        <v>4.8770000000000001E-2</v>
      </c>
      <c r="E209" s="7">
        <v>4.8770000000000001E-2</v>
      </c>
      <c r="F209" s="7">
        <v>4.8770000000000001E-2</v>
      </c>
      <c r="G209" s="52">
        <v>0</v>
      </c>
      <c r="H209" s="5"/>
    </row>
    <row r="210" spans="2:8" x14ac:dyDescent="0.2">
      <c r="B210" s="64">
        <v>36388</v>
      </c>
      <c r="C210" s="7">
        <v>4.913E-2</v>
      </c>
      <c r="D210" s="7">
        <v>4.913E-2</v>
      </c>
      <c r="E210" s="7">
        <v>4.913E-2</v>
      </c>
      <c r="F210" s="7">
        <v>4.913E-2</v>
      </c>
      <c r="G210" s="52">
        <v>7.4000000000000003E-3</v>
      </c>
      <c r="H210" s="5"/>
    </row>
    <row r="211" spans="2:8" x14ac:dyDescent="0.2">
      <c r="B211" s="64">
        <v>36389</v>
      </c>
      <c r="C211" s="7">
        <v>4.931E-2</v>
      </c>
      <c r="D211" s="7">
        <v>4.931E-2</v>
      </c>
      <c r="E211" s="7">
        <v>4.931E-2</v>
      </c>
      <c r="F211" s="7">
        <v>4.931E-2</v>
      </c>
      <c r="G211" s="52">
        <v>3.7000000000000002E-3</v>
      </c>
      <c r="H211" s="5"/>
    </row>
    <row r="212" spans="2:8" x14ac:dyDescent="0.2">
      <c r="B212" s="64">
        <v>36390</v>
      </c>
      <c r="C212" s="7">
        <v>4.8470000000000006E-2</v>
      </c>
      <c r="D212" s="7">
        <v>4.8470000000000006E-2</v>
      </c>
      <c r="E212" s="7">
        <v>4.8470000000000006E-2</v>
      </c>
      <c r="F212" s="7">
        <v>4.8470000000000006E-2</v>
      </c>
      <c r="G212" s="52">
        <v>-1.7000000000000001E-2</v>
      </c>
      <c r="H212" s="5"/>
    </row>
    <row r="213" spans="2:8" x14ac:dyDescent="0.2">
      <c r="B213" s="64">
        <v>36391</v>
      </c>
      <c r="C213" s="7">
        <v>4.845E-2</v>
      </c>
      <c r="D213" s="7">
        <v>4.845E-2</v>
      </c>
      <c r="E213" s="7">
        <v>4.845E-2</v>
      </c>
      <c r="F213" s="7">
        <v>4.845E-2</v>
      </c>
      <c r="G213" s="52">
        <v>-4.0000000000000002E-4</v>
      </c>
      <c r="H213" s="5"/>
    </row>
    <row r="214" spans="2:8" x14ac:dyDescent="0.2">
      <c r="B214" s="64">
        <v>36392</v>
      </c>
      <c r="C214" s="7">
        <v>4.836E-2</v>
      </c>
      <c r="D214" s="7">
        <v>4.836E-2</v>
      </c>
      <c r="E214" s="7">
        <v>4.836E-2</v>
      </c>
      <c r="F214" s="7">
        <v>4.836E-2</v>
      </c>
      <c r="G214" s="52">
        <v>-1.9E-3</v>
      </c>
      <c r="H214" s="5"/>
    </row>
    <row r="215" spans="2:8" x14ac:dyDescent="0.2">
      <c r="B215" s="64">
        <v>36393</v>
      </c>
      <c r="C215" s="7">
        <v>4.8150000000000005E-2</v>
      </c>
      <c r="D215" s="7">
        <v>4.8150000000000005E-2</v>
      </c>
      <c r="E215" s="7">
        <v>4.8150000000000005E-2</v>
      </c>
      <c r="F215" s="7">
        <v>4.8150000000000005E-2</v>
      </c>
      <c r="G215" s="52">
        <v>-4.3E-3</v>
      </c>
      <c r="H215" s="5"/>
    </row>
    <row r="216" spans="2:8" x14ac:dyDescent="0.2">
      <c r="B216" s="64">
        <v>36395</v>
      </c>
      <c r="C216" s="7">
        <v>4.7830000000000004E-2</v>
      </c>
      <c r="D216" s="7">
        <v>4.7830000000000004E-2</v>
      </c>
      <c r="E216" s="7">
        <v>4.7830000000000004E-2</v>
      </c>
      <c r="F216" s="7">
        <v>4.7830000000000004E-2</v>
      </c>
      <c r="G216" s="52">
        <v>-6.6E-3</v>
      </c>
      <c r="H216" s="5"/>
    </row>
    <row r="217" spans="2:8" x14ac:dyDescent="0.2">
      <c r="B217" s="64">
        <v>36396</v>
      </c>
      <c r="C217" s="7">
        <v>4.8120000000000003E-2</v>
      </c>
      <c r="D217" s="7">
        <v>4.8120000000000003E-2</v>
      </c>
      <c r="E217" s="7">
        <v>4.8120000000000003E-2</v>
      </c>
      <c r="F217" s="7">
        <v>4.8120000000000003E-2</v>
      </c>
      <c r="G217" s="52">
        <v>6.1000000000000004E-3</v>
      </c>
      <c r="H217" s="5"/>
    </row>
    <row r="218" spans="2:8" x14ac:dyDescent="0.2">
      <c r="B218" s="64">
        <v>36397</v>
      </c>
      <c r="C218" s="7">
        <v>4.7510000000000004E-2</v>
      </c>
      <c r="D218" s="7">
        <v>4.7510000000000004E-2</v>
      </c>
      <c r="E218" s="7">
        <v>4.7510000000000004E-2</v>
      </c>
      <c r="F218" s="7">
        <v>4.7510000000000004E-2</v>
      </c>
      <c r="G218" s="52">
        <v>-1.2699999999999999E-2</v>
      </c>
      <c r="H218" s="5"/>
    </row>
    <row r="219" spans="2:8" x14ac:dyDescent="0.2">
      <c r="B219" s="64">
        <v>36398</v>
      </c>
      <c r="C219" s="7">
        <v>4.7080000000000004E-2</v>
      </c>
      <c r="D219" s="7">
        <v>4.7080000000000004E-2</v>
      </c>
      <c r="E219" s="7">
        <v>4.7080000000000004E-2</v>
      </c>
      <c r="F219" s="7">
        <v>4.7080000000000004E-2</v>
      </c>
      <c r="G219" s="52">
        <v>-9.1000000000000004E-3</v>
      </c>
      <c r="H219" s="5"/>
    </row>
    <row r="220" spans="2:8" x14ac:dyDescent="0.2">
      <c r="B220" s="64">
        <v>36399</v>
      </c>
      <c r="C220" s="7">
        <v>4.793E-2</v>
      </c>
      <c r="D220" s="7">
        <v>4.793E-2</v>
      </c>
      <c r="E220" s="7">
        <v>4.793E-2</v>
      </c>
      <c r="F220" s="7">
        <v>4.793E-2</v>
      </c>
      <c r="G220" s="52">
        <v>1.8100000000000002E-2</v>
      </c>
      <c r="H220" s="5"/>
    </row>
    <row r="221" spans="2:8" x14ac:dyDescent="0.2">
      <c r="B221" s="64">
        <v>36400</v>
      </c>
      <c r="C221" s="7">
        <v>4.7939999999999997E-2</v>
      </c>
      <c r="D221" s="7">
        <v>4.7939999999999997E-2</v>
      </c>
      <c r="E221" s="7">
        <v>4.7939999999999997E-2</v>
      </c>
      <c r="F221" s="7">
        <v>4.7939999999999997E-2</v>
      </c>
      <c r="G221" s="52">
        <v>2.0000000000000001E-4</v>
      </c>
      <c r="H221" s="5"/>
    </row>
    <row r="222" spans="2:8" x14ac:dyDescent="0.2">
      <c r="B222" s="64">
        <v>36401</v>
      </c>
      <c r="C222" s="7">
        <v>4.8010000000000004E-2</v>
      </c>
      <c r="D222" s="7">
        <v>4.8010000000000004E-2</v>
      </c>
      <c r="E222" s="7">
        <v>4.8010000000000004E-2</v>
      </c>
      <c r="F222" s="7">
        <v>4.8010000000000004E-2</v>
      </c>
      <c r="G222" s="52">
        <v>1.5E-3</v>
      </c>
      <c r="H222" s="5"/>
    </row>
    <row r="223" spans="2:8" x14ac:dyDescent="0.2">
      <c r="B223" s="64">
        <v>36402</v>
      </c>
      <c r="C223" s="7">
        <v>4.8659999999999995E-2</v>
      </c>
      <c r="D223" s="7">
        <v>4.8659999999999995E-2</v>
      </c>
      <c r="E223" s="7">
        <v>4.8659999999999995E-2</v>
      </c>
      <c r="F223" s="7">
        <v>4.8659999999999995E-2</v>
      </c>
      <c r="G223" s="52">
        <v>1.35E-2</v>
      </c>
      <c r="H223" s="5"/>
    </row>
    <row r="224" spans="2:8" x14ac:dyDescent="0.2">
      <c r="B224" s="64">
        <v>36403</v>
      </c>
      <c r="C224" s="7">
        <v>4.904E-2</v>
      </c>
      <c r="D224" s="7">
        <v>4.904E-2</v>
      </c>
      <c r="E224" s="7">
        <v>4.904E-2</v>
      </c>
      <c r="F224" s="7">
        <v>4.904E-2</v>
      </c>
      <c r="G224" s="52">
        <v>7.7999999999999996E-3</v>
      </c>
      <c r="H224" s="5"/>
    </row>
    <row r="225" spans="2:8" x14ac:dyDescent="0.2">
      <c r="B225" s="64">
        <v>36404</v>
      </c>
      <c r="C225" s="7">
        <v>4.938E-2</v>
      </c>
      <c r="D225" s="7">
        <v>4.938E-2</v>
      </c>
      <c r="E225" s="7">
        <v>4.938E-2</v>
      </c>
      <c r="F225" s="7">
        <v>4.938E-2</v>
      </c>
      <c r="G225" s="52">
        <v>6.8999999999999999E-3</v>
      </c>
      <c r="H225" s="5"/>
    </row>
    <row r="226" spans="2:8" x14ac:dyDescent="0.2">
      <c r="B226" s="64">
        <v>36405</v>
      </c>
      <c r="C226" s="7">
        <v>5.0330000000000007E-2</v>
      </c>
      <c r="D226" s="7">
        <v>5.0330000000000007E-2</v>
      </c>
      <c r="E226" s="7">
        <v>5.0330000000000007E-2</v>
      </c>
      <c r="F226" s="7">
        <v>5.0330000000000007E-2</v>
      </c>
      <c r="G226" s="52">
        <v>1.9199999999999998E-2</v>
      </c>
      <c r="H226" s="5"/>
    </row>
    <row r="227" spans="2:8" x14ac:dyDescent="0.2">
      <c r="B227" s="64">
        <v>36406</v>
      </c>
      <c r="C227" s="7">
        <v>4.9970000000000001E-2</v>
      </c>
      <c r="D227" s="7">
        <v>4.9970000000000001E-2</v>
      </c>
      <c r="E227" s="7">
        <v>4.9970000000000001E-2</v>
      </c>
      <c r="F227" s="7">
        <v>4.9970000000000001E-2</v>
      </c>
      <c r="G227" s="52">
        <v>-7.1999999999999998E-3</v>
      </c>
      <c r="H227" s="5"/>
    </row>
    <row r="228" spans="2:8" x14ac:dyDescent="0.2">
      <c r="B228" s="64">
        <v>36407</v>
      </c>
      <c r="C228" s="7">
        <v>4.9329999999999999E-2</v>
      </c>
      <c r="D228" s="7">
        <v>4.9329999999999999E-2</v>
      </c>
      <c r="E228" s="7">
        <v>4.9329999999999999E-2</v>
      </c>
      <c r="F228" s="7">
        <v>4.9329999999999999E-2</v>
      </c>
      <c r="G228" s="52">
        <v>-1.2800000000000001E-2</v>
      </c>
      <c r="H228" s="5"/>
    </row>
    <row r="229" spans="2:8" x14ac:dyDescent="0.2">
      <c r="B229" s="64">
        <v>36409</v>
      </c>
      <c r="C229" s="7">
        <v>4.931E-2</v>
      </c>
      <c r="D229" s="7">
        <v>4.931E-2</v>
      </c>
      <c r="E229" s="7">
        <v>4.931E-2</v>
      </c>
      <c r="F229" s="7">
        <v>4.931E-2</v>
      </c>
      <c r="G229" s="52">
        <v>-4.0000000000000002E-4</v>
      </c>
      <c r="H229" s="5"/>
    </row>
    <row r="230" spans="2:8" x14ac:dyDescent="0.2">
      <c r="B230" s="64">
        <v>36410</v>
      </c>
      <c r="C230" s="7">
        <v>4.9599999999999998E-2</v>
      </c>
      <c r="D230" s="7">
        <v>4.9599999999999998E-2</v>
      </c>
      <c r="E230" s="7">
        <v>4.9599999999999998E-2</v>
      </c>
      <c r="F230" s="7">
        <v>4.9599999999999998E-2</v>
      </c>
      <c r="G230" s="52">
        <v>5.8999999999999999E-3</v>
      </c>
      <c r="H230" s="5"/>
    </row>
    <row r="231" spans="2:8" x14ac:dyDescent="0.2">
      <c r="B231" s="64">
        <v>36411</v>
      </c>
      <c r="C231" s="7">
        <v>4.9829999999999999E-2</v>
      </c>
      <c r="D231" s="7">
        <v>4.9829999999999999E-2</v>
      </c>
      <c r="E231" s="7">
        <v>4.9829999999999999E-2</v>
      </c>
      <c r="F231" s="7">
        <v>4.9829999999999999E-2</v>
      </c>
      <c r="G231" s="52">
        <v>4.5999999999999999E-3</v>
      </c>
      <c r="H231" s="5"/>
    </row>
    <row r="232" spans="2:8" x14ac:dyDescent="0.2">
      <c r="B232" s="64">
        <v>36412</v>
      </c>
      <c r="C232" s="7">
        <v>5.0560000000000001E-2</v>
      </c>
      <c r="D232" s="7">
        <v>5.0560000000000001E-2</v>
      </c>
      <c r="E232" s="7">
        <v>5.0560000000000001E-2</v>
      </c>
      <c r="F232" s="7">
        <v>5.0560000000000001E-2</v>
      </c>
      <c r="G232" s="52">
        <v>1.46E-2</v>
      </c>
      <c r="H232" s="5"/>
    </row>
    <row r="233" spans="2:8" x14ac:dyDescent="0.2">
      <c r="B233" s="64">
        <v>36413</v>
      </c>
      <c r="C233" s="7">
        <v>5.0610000000000002E-2</v>
      </c>
      <c r="D233" s="7">
        <v>5.0610000000000002E-2</v>
      </c>
      <c r="E233" s="7">
        <v>5.0610000000000002E-2</v>
      </c>
      <c r="F233" s="7">
        <v>5.0610000000000002E-2</v>
      </c>
      <c r="G233" s="52">
        <v>1E-3</v>
      </c>
      <c r="H233" s="5"/>
    </row>
    <row r="234" spans="2:8" x14ac:dyDescent="0.2">
      <c r="B234" s="64">
        <v>36414</v>
      </c>
      <c r="C234" s="7">
        <v>5.0439999999999999E-2</v>
      </c>
      <c r="D234" s="7">
        <v>5.0439999999999999E-2</v>
      </c>
      <c r="E234" s="7">
        <v>5.0439999999999999E-2</v>
      </c>
      <c r="F234" s="7">
        <v>5.0439999999999999E-2</v>
      </c>
      <c r="G234" s="52">
        <v>-3.3999999999999998E-3</v>
      </c>
      <c r="H234" s="5"/>
    </row>
    <row r="235" spans="2:8" x14ac:dyDescent="0.2">
      <c r="B235" s="64">
        <v>36415</v>
      </c>
      <c r="C235" s="7">
        <v>5.0439999999999999E-2</v>
      </c>
      <c r="D235" s="7">
        <v>5.0439999999999999E-2</v>
      </c>
      <c r="E235" s="7">
        <v>5.0439999999999999E-2</v>
      </c>
      <c r="F235" s="7">
        <v>5.0439999999999999E-2</v>
      </c>
      <c r="G235" s="52">
        <v>0</v>
      </c>
      <c r="H235" s="5"/>
    </row>
    <row r="236" spans="2:8" x14ac:dyDescent="0.2">
      <c r="B236" s="64">
        <v>36416</v>
      </c>
      <c r="C236" s="7">
        <v>5.0839999999999996E-2</v>
      </c>
      <c r="D236" s="7">
        <v>5.0839999999999996E-2</v>
      </c>
      <c r="E236" s="7">
        <v>5.0839999999999996E-2</v>
      </c>
      <c r="F236" s="7">
        <v>5.0839999999999996E-2</v>
      </c>
      <c r="G236" s="52">
        <v>7.9000000000000008E-3</v>
      </c>
      <c r="H236" s="5"/>
    </row>
    <row r="237" spans="2:8" x14ac:dyDescent="0.2">
      <c r="B237" s="64">
        <v>36417</v>
      </c>
      <c r="C237" s="7">
        <v>5.1500000000000004E-2</v>
      </c>
      <c r="D237" s="7">
        <v>5.1500000000000004E-2</v>
      </c>
      <c r="E237" s="7">
        <v>5.1500000000000004E-2</v>
      </c>
      <c r="F237" s="7">
        <v>5.1500000000000004E-2</v>
      </c>
      <c r="G237" s="52">
        <v>1.2999999999999999E-2</v>
      </c>
      <c r="H237" s="5"/>
    </row>
    <row r="238" spans="2:8" x14ac:dyDescent="0.2">
      <c r="B238" s="64">
        <v>36418</v>
      </c>
      <c r="C238" s="7">
        <v>5.16E-2</v>
      </c>
      <c r="D238" s="7">
        <v>5.16E-2</v>
      </c>
      <c r="E238" s="7">
        <v>5.16E-2</v>
      </c>
      <c r="F238" s="7">
        <v>5.16E-2</v>
      </c>
      <c r="G238" s="52">
        <v>1.9E-3</v>
      </c>
      <c r="H238" s="5"/>
    </row>
    <row r="239" spans="2:8" x14ac:dyDescent="0.2">
      <c r="B239" s="64">
        <v>36419</v>
      </c>
      <c r="C239" s="7">
        <v>5.1369999999999999E-2</v>
      </c>
      <c r="D239" s="7">
        <v>5.1369999999999999E-2</v>
      </c>
      <c r="E239" s="7">
        <v>5.1369999999999999E-2</v>
      </c>
      <c r="F239" s="7">
        <v>5.1369999999999999E-2</v>
      </c>
      <c r="G239" s="52">
        <v>-4.4999999999999997E-3</v>
      </c>
      <c r="H239" s="5"/>
    </row>
    <row r="240" spans="2:8" x14ac:dyDescent="0.2">
      <c r="B240" s="64">
        <v>36420</v>
      </c>
      <c r="C240" s="7">
        <v>5.0330000000000007E-2</v>
      </c>
      <c r="D240" s="7">
        <v>5.0330000000000007E-2</v>
      </c>
      <c r="E240" s="7">
        <v>5.0330000000000007E-2</v>
      </c>
      <c r="F240" s="7">
        <v>5.0330000000000007E-2</v>
      </c>
      <c r="G240" s="52">
        <v>-2.0199999999999999E-2</v>
      </c>
      <c r="H240" s="5"/>
    </row>
    <row r="241" spans="2:8" x14ac:dyDescent="0.2">
      <c r="B241" s="64">
        <v>36421</v>
      </c>
      <c r="C241" s="7">
        <v>5.0549999999999998E-2</v>
      </c>
      <c r="D241" s="7">
        <v>5.0549999999999998E-2</v>
      </c>
      <c r="E241" s="7">
        <v>5.0549999999999998E-2</v>
      </c>
      <c r="F241" s="7">
        <v>5.0549999999999998E-2</v>
      </c>
      <c r="G241" s="52">
        <v>4.4000000000000003E-3</v>
      </c>
      <c r="H241" s="5"/>
    </row>
    <row r="242" spans="2:8" x14ac:dyDescent="0.2">
      <c r="B242" s="64">
        <v>36422</v>
      </c>
      <c r="C242" s="7">
        <v>5.0549999999999998E-2</v>
      </c>
      <c r="D242" s="7">
        <v>5.0549999999999998E-2</v>
      </c>
      <c r="E242" s="7">
        <v>5.0549999999999998E-2</v>
      </c>
      <c r="F242" s="7">
        <v>5.0549999999999998E-2</v>
      </c>
      <c r="G242" s="52">
        <v>0</v>
      </c>
      <c r="H242" s="5"/>
    </row>
    <row r="243" spans="2:8" x14ac:dyDescent="0.2">
      <c r="B243" s="64">
        <v>36423</v>
      </c>
      <c r="C243" s="7">
        <v>5.0369999999999998E-2</v>
      </c>
      <c r="D243" s="7">
        <v>5.0369999999999998E-2</v>
      </c>
      <c r="E243" s="7">
        <v>5.0369999999999998E-2</v>
      </c>
      <c r="F243" s="7">
        <v>5.0369999999999998E-2</v>
      </c>
      <c r="G243" s="52">
        <v>-3.5999999999999999E-3</v>
      </c>
      <c r="H243" s="5"/>
    </row>
    <row r="244" spans="2:8" x14ac:dyDescent="0.2">
      <c r="B244" s="64">
        <v>36424</v>
      </c>
      <c r="C244" s="7">
        <v>5.1109999999999996E-2</v>
      </c>
      <c r="D244" s="7">
        <v>5.1109999999999996E-2</v>
      </c>
      <c r="E244" s="7">
        <v>5.1109999999999996E-2</v>
      </c>
      <c r="F244" s="7">
        <v>5.1109999999999996E-2</v>
      </c>
      <c r="G244" s="52">
        <v>1.47E-2</v>
      </c>
      <c r="H244" s="5"/>
    </row>
    <row r="245" spans="2:8" x14ac:dyDescent="0.2">
      <c r="B245" s="64">
        <v>36425</v>
      </c>
      <c r="C245" s="7">
        <v>5.0720000000000001E-2</v>
      </c>
      <c r="D245" s="7">
        <v>5.0720000000000001E-2</v>
      </c>
      <c r="E245" s="7">
        <v>5.0720000000000001E-2</v>
      </c>
      <c r="F245" s="7">
        <v>5.0720000000000001E-2</v>
      </c>
      <c r="G245" s="52">
        <v>-7.6E-3</v>
      </c>
      <c r="H245" s="5"/>
    </row>
    <row r="246" spans="2:8" x14ac:dyDescent="0.2">
      <c r="B246" s="64">
        <v>36426</v>
      </c>
      <c r="C246" s="7">
        <v>5.0990000000000001E-2</v>
      </c>
      <c r="D246" s="7">
        <v>5.0990000000000001E-2</v>
      </c>
      <c r="E246" s="7">
        <v>5.0990000000000001E-2</v>
      </c>
      <c r="F246" s="7">
        <v>5.0990000000000001E-2</v>
      </c>
      <c r="G246" s="52">
        <v>5.3E-3</v>
      </c>
      <c r="H246" s="5"/>
    </row>
    <row r="247" spans="2:8" x14ac:dyDescent="0.2">
      <c r="B247" s="64">
        <v>36427</v>
      </c>
      <c r="C247" s="7">
        <v>4.9970000000000001E-2</v>
      </c>
      <c r="D247" s="7">
        <v>4.9970000000000001E-2</v>
      </c>
      <c r="E247" s="7">
        <v>4.9970000000000001E-2</v>
      </c>
      <c r="F247" s="7">
        <v>4.9970000000000001E-2</v>
      </c>
      <c r="G247" s="52">
        <v>-0.02</v>
      </c>
      <c r="H247" s="5"/>
    </row>
    <row r="248" spans="2:8" x14ac:dyDescent="0.2">
      <c r="B248" s="64">
        <v>36428</v>
      </c>
      <c r="C248" s="7">
        <v>4.9840000000000002E-2</v>
      </c>
      <c r="D248" s="7">
        <v>4.9840000000000002E-2</v>
      </c>
      <c r="E248" s="7">
        <v>4.9840000000000002E-2</v>
      </c>
      <c r="F248" s="7">
        <v>4.9840000000000002E-2</v>
      </c>
      <c r="G248" s="52">
        <v>-2.5999999999999999E-3</v>
      </c>
      <c r="H248" s="5"/>
    </row>
    <row r="249" spans="2:8" x14ac:dyDescent="0.2">
      <c r="B249" s="64">
        <v>36429</v>
      </c>
      <c r="C249" s="7">
        <v>5.006E-2</v>
      </c>
      <c r="D249" s="7">
        <v>5.006E-2</v>
      </c>
      <c r="E249" s="7">
        <v>5.006E-2</v>
      </c>
      <c r="F249" s="7">
        <v>5.006E-2</v>
      </c>
      <c r="G249" s="52">
        <v>4.4000000000000003E-3</v>
      </c>
      <c r="H249" s="5"/>
    </row>
    <row r="250" spans="2:8" x14ac:dyDescent="0.2">
      <c r="B250" s="64">
        <v>36430</v>
      </c>
      <c r="C250" s="7">
        <v>5.008E-2</v>
      </c>
      <c r="D250" s="7">
        <v>5.008E-2</v>
      </c>
      <c r="E250" s="7">
        <v>5.008E-2</v>
      </c>
      <c r="F250" s="7">
        <v>5.008E-2</v>
      </c>
      <c r="G250" s="52">
        <v>4.0000000000000002E-4</v>
      </c>
      <c r="H250" s="5"/>
    </row>
    <row r="251" spans="2:8" x14ac:dyDescent="0.2">
      <c r="B251" s="64">
        <v>36431</v>
      </c>
      <c r="C251" s="7">
        <v>5.0439999999999999E-2</v>
      </c>
      <c r="D251" s="7">
        <v>5.0439999999999999E-2</v>
      </c>
      <c r="E251" s="7">
        <v>5.0439999999999999E-2</v>
      </c>
      <c r="F251" s="7">
        <v>5.0439999999999999E-2</v>
      </c>
      <c r="G251" s="52">
        <v>7.1999999999999998E-3</v>
      </c>
      <c r="H251" s="5"/>
    </row>
    <row r="252" spans="2:8" x14ac:dyDescent="0.2">
      <c r="B252" s="64">
        <v>36432</v>
      </c>
      <c r="C252" s="7">
        <v>5.1050000000000005E-2</v>
      </c>
      <c r="D252" s="7">
        <v>5.1050000000000005E-2</v>
      </c>
      <c r="E252" s="7">
        <v>5.1050000000000005E-2</v>
      </c>
      <c r="F252" s="7">
        <v>5.1050000000000005E-2</v>
      </c>
      <c r="G252" s="52">
        <v>1.21E-2</v>
      </c>
      <c r="H252" s="5"/>
    </row>
    <row r="253" spans="2:8" x14ac:dyDescent="0.2">
      <c r="B253" s="64">
        <v>36433</v>
      </c>
      <c r="C253" s="7">
        <v>5.1289999999999995E-2</v>
      </c>
      <c r="D253" s="7">
        <v>5.1289999999999995E-2</v>
      </c>
      <c r="E253" s="7">
        <v>5.1289999999999995E-2</v>
      </c>
      <c r="F253" s="7">
        <v>5.1289999999999995E-2</v>
      </c>
      <c r="G253" s="52">
        <v>4.7000000000000002E-3</v>
      </c>
      <c r="H253" s="5"/>
    </row>
    <row r="254" spans="2:8" x14ac:dyDescent="0.2">
      <c r="B254" s="64">
        <v>36434</v>
      </c>
      <c r="C254" s="7">
        <v>5.1580000000000001E-2</v>
      </c>
      <c r="D254" s="7">
        <v>5.1580000000000001E-2</v>
      </c>
      <c r="E254" s="7">
        <v>5.1580000000000001E-2</v>
      </c>
      <c r="F254" s="7">
        <v>5.1580000000000001E-2</v>
      </c>
      <c r="G254" s="52">
        <v>5.7000000000000002E-3</v>
      </c>
      <c r="H254" s="5"/>
    </row>
    <row r="255" spans="2:8" x14ac:dyDescent="0.2">
      <c r="B255" s="64">
        <v>36437</v>
      </c>
      <c r="C255" s="7">
        <v>5.1820000000000005E-2</v>
      </c>
      <c r="D255" s="7">
        <v>5.1820000000000005E-2</v>
      </c>
      <c r="E255" s="7">
        <v>5.1820000000000005E-2</v>
      </c>
      <c r="F255" s="7">
        <v>5.1820000000000005E-2</v>
      </c>
      <c r="G255" s="52">
        <v>4.7000000000000002E-3</v>
      </c>
      <c r="H255" s="5"/>
    </row>
    <row r="256" spans="2:8" x14ac:dyDescent="0.2">
      <c r="B256" s="64">
        <v>36438</v>
      </c>
      <c r="C256" s="7">
        <v>5.1810000000000002E-2</v>
      </c>
      <c r="D256" s="7">
        <v>5.1810000000000002E-2</v>
      </c>
      <c r="E256" s="7">
        <v>5.1810000000000002E-2</v>
      </c>
      <c r="F256" s="7">
        <v>5.1810000000000002E-2</v>
      </c>
      <c r="G256" s="52">
        <v>-2.0000000000000001E-4</v>
      </c>
      <c r="H256" s="5"/>
    </row>
    <row r="257" spans="2:8" x14ac:dyDescent="0.2">
      <c r="B257" s="64">
        <v>36439</v>
      </c>
      <c r="C257" s="7">
        <v>5.1820000000000005E-2</v>
      </c>
      <c r="D257" s="7">
        <v>5.1820000000000005E-2</v>
      </c>
      <c r="E257" s="7">
        <v>5.1820000000000005E-2</v>
      </c>
      <c r="F257" s="7">
        <v>5.1820000000000005E-2</v>
      </c>
      <c r="G257" s="52">
        <v>2.0000000000000001E-4</v>
      </c>
      <c r="H257" s="5"/>
    </row>
    <row r="258" spans="2:8" x14ac:dyDescent="0.2">
      <c r="B258" s="64">
        <v>36440</v>
      </c>
      <c r="C258" s="7">
        <v>5.2049999999999999E-2</v>
      </c>
      <c r="D258" s="7">
        <v>5.2049999999999999E-2</v>
      </c>
      <c r="E258" s="7">
        <v>5.2049999999999999E-2</v>
      </c>
      <c r="F258" s="7">
        <v>5.2049999999999999E-2</v>
      </c>
      <c r="G258" s="52">
        <v>4.4000000000000003E-3</v>
      </c>
      <c r="H258" s="5"/>
    </row>
    <row r="259" spans="2:8" x14ac:dyDescent="0.2">
      <c r="B259" s="64">
        <v>36441</v>
      </c>
      <c r="C259" s="7">
        <v>5.2039999999999996E-2</v>
      </c>
      <c r="D259" s="7">
        <v>5.2039999999999996E-2</v>
      </c>
      <c r="E259" s="7">
        <v>5.2039999999999996E-2</v>
      </c>
      <c r="F259" s="7">
        <v>5.2039999999999996E-2</v>
      </c>
      <c r="G259" s="52">
        <v>-2.0000000000000001E-4</v>
      </c>
      <c r="H259" s="5"/>
    </row>
    <row r="260" spans="2:8" x14ac:dyDescent="0.2">
      <c r="B260" s="64">
        <v>36442</v>
      </c>
      <c r="C260" s="7">
        <v>5.228E-2</v>
      </c>
      <c r="D260" s="7">
        <v>5.228E-2</v>
      </c>
      <c r="E260" s="7">
        <v>5.228E-2</v>
      </c>
      <c r="F260" s="7">
        <v>5.228E-2</v>
      </c>
      <c r="G260" s="52">
        <v>4.5999999999999999E-3</v>
      </c>
      <c r="H260" s="5"/>
    </row>
    <row r="261" spans="2:8" x14ac:dyDescent="0.2">
      <c r="B261" s="64">
        <v>36443</v>
      </c>
      <c r="C261" s="7">
        <v>5.228E-2</v>
      </c>
      <c r="D261" s="7">
        <v>5.228E-2</v>
      </c>
      <c r="E261" s="7">
        <v>5.228E-2</v>
      </c>
      <c r="F261" s="7">
        <v>5.228E-2</v>
      </c>
      <c r="G261" s="52">
        <v>0</v>
      </c>
      <c r="H261" s="5"/>
    </row>
    <row r="262" spans="2:8" x14ac:dyDescent="0.2">
      <c r="B262" s="64">
        <v>36444</v>
      </c>
      <c r="C262" s="7">
        <v>5.237E-2</v>
      </c>
      <c r="D262" s="7">
        <v>5.237E-2</v>
      </c>
      <c r="E262" s="7">
        <v>5.237E-2</v>
      </c>
      <c r="F262" s="7">
        <v>5.237E-2</v>
      </c>
      <c r="G262" s="52">
        <v>1.6999999999999999E-3</v>
      </c>
      <c r="H262" s="5"/>
    </row>
    <row r="263" spans="2:8" x14ac:dyDescent="0.2">
      <c r="B263" s="64">
        <v>36445</v>
      </c>
      <c r="C263" s="7">
        <v>5.2600000000000001E-2</v>
      </c>
      <c r="D263" s="7">
        <v>5.2600000000000001E-2</v>
      </c>
      <c r="E263" s="7">
        <v>5.2600000000000001E-2</v>
      </c>
      <c r="F263" s="7">
        <v>5.2600000000000001E-2</v>
      </c>
      <c r="G263" s="52">
        <v>4.4000000000000003E-3</v>
      </c>
      <c r="H263" s="5"/>
    </row>
    <row r="264" spans="2:8" x14ac:dyDescent="0.2">
      <c r="B264" s="64">
        <v>36446</v>
      </c>
      <c r="C264" s="7">
        <v>5.3120000000000001E-2</v>
      </c>
      <c r="D264" s="7">
        <v>5.3120000000000001E-2</v>
      </c>
      <c r="E264" s="7">
        <v>5.3120000000000001E-2</v>
      </c>
      <c r="F264" s="7">
        <v>5.3120000000000001E-2</v>
      </c>
      <c r="G264" s="52">
        <v>9.9000000000000008E-3</v>
      </c>
      <c r="H264" s="5"/>
    </row>
    <row r="265" spans="2:8" x14ac:dyDescent="0.2">
      <c r="B265" s="64">
        <v>36447</v>
      </c>
      <c r="C265" s="7">
        <v>5.441E-2</v>
      </c>
      <c r="D265" s="7">
        <v>5.441E-2</v>
      </c>
      <c r="E265" s="7">
        <v>5.441E-2</v>
      </c>
      <c r="F265" s="7">
        <v>5.441E-2</v>
      </c>
      <c r="G265" s="52">
        <v>2.4299999999999999E-2</v>
      </c>
      <c r="H265" s="5"/>
    </row>
    <row r="266" spans="2:8" x14ac:dyDescent="0.2">
      <c r="B266" s="64">
        <v>36448</v>
      </c>
      <c r="C266" s="7">
        <v>5.4610000000000006E-2</v>
      </c>
      <c r="D266" s="7">
        <v>5.4610000000000006E-2</v>
      </c>
      <c r="E266" s="7">
        <v>5.4610000000000006E-2</v>
      </c>
      <c r="F266" s="7">
        <v>5.4610000000000006E-2</v>
      </c>
      <c r="G266" s="52">
        <v>3.7000000000000002E-3</v>
      </c>
      <c r="H266" s="5"/>
    </row>
    <row r="267" spans="2:8" x14ac:dyDescent="0.2">
      <c r="B267" s="64">
        <v>36449</v>
      </c>
      <c r="C267" s="7">
        <v>5.4100000000000002E-2</v>
      </c>
      <c r="D267" s="7">
        <v>5.4100000000000002E-2</v>
      </c>
      <c r="E267" s="7">
        <v>5.4100000000000002E-2</v>
      </c>
      <c r="F267" s="7">
        <v>5.4100000000000002E-2</v>
      </c>
      <c r="G267" s="52">
        <v>-9.2999999999999992E-3</v>
      </c>
      <c r="H267" s="5"/>
    </row>
    <row r="268" spans="2:8" x14ac:dyDescent="0.2">
      <c r="B268" s="64">
        <v>36450</v>
      </c>
      <c r="C268" s="7">
        <v>5.3949999999999998E-2</v>
      </c>
      <c r="D268" s="7">
        <v>5.3949999999999998E-2</v>
      </c>
      <c r="E268" s="7">
        <v>5.3949999999999998E-2</v>
      </c>
      <c r="F268" s="7">
        <v>5.3949999999999998E-2</v>
      </c>
      <c r="G268" s="52">
        <v>-2.8E-3</v>
      </c>
      <c r="H268" s="5"/>
    </row>
    <row r="269" spans="2:8" x14ac:dyDescent="0.2">
      <c r="B269" s="64">
        <v>36451</v>
      </c>
      <c r="C269" s="7">
        <v>5.3789999999999998E-2</v>
      </c>
      <c r="D269" s="7">
        <v>5.3789999999999998E-2</v>
      </c>
      <c r="E269" s="7">
        <v>5.3789999999999998E-2</v>
      </c>
      <c r="F269" s="7">
        <v>5.3789999999999998E-2</v>
      </c>
      <c r="G269" s="52">
        <v>-3.0000000000000001E-3</v>
      </c>
      <c r="H269" s="5"/>
    </row>
    <row r="270" spans="2:8" x14ac:dyDescent="0.2">
      <c r="B270" s="64">
        <v>36452</v>
      </c>
      <c r="C270" s="7">
        <v>5.3879999999999997E-2</v>
      </c>
      <c r="D270" s="7">
        <v>5.3879999999999997E-2</v>
      </c>
      <c r="E270" s="7">
        <v>5.3879999999999997E-2</v>
      </c>
      <c r="F270" s="7">
        <v>5.3879999999999997E-2</v>
      </c>
      <c r="G270" s="52">
        <v>1.6999999999999999E-3</v>
      </c>
      <c r="H270" s="5"/>
    </row>
    <row r="271" spans="2:8" x14ac:dyDescent="0.2">
      <c r="B271" s="64">
        <v>36453</v>
      </c>
      <c r="C271" s="7">
        <v>5.4400000000000004E-2</v>
      </c>
      <c r="D271" s="7">
        <v>5.4400000000000004E-2</v>
      </c>
      <c r="E271" s="7">
        <v>5.4400000000000004E-2</v>
      </c>
      <c r="F271" s="7">
        <v>5.4400000000000004E-2</v>
      </c>
      <c r="G271" s="52">
        <v>9.7000000000000003E-3</v>
      </c>
      <c r="H271" s="5"/>
    </row>
    <row r="272" spans="2:8" x14ac:dyDescent="0.2">
      <c r="B272" s="64">
        <v>36454</v>
      </c>
      <c r="C272" s="7">
        <v>5.4089999999999999E-2</v>
      </c>
      <c r="D272" s="7">
        <v>5.4089999999999999E-2</v>
      </c>
      <c r="E272" s="7">
        <v>5.4089999999999999E-2</v>
      </c>
      <c r="F272" s="7">
        <v>5.4089999999999999E-2</v>
      </c>
      <c r="G272" s="52">
        <v>-5.7000000000000002E-3</v>
      </c>
      <c r="H272" s="5"/>
    </row>
    <row r="273" spans="2:8" x14ac:dyDescent="0.2">
      <c r="B273" s="64">
        <v>36455</v>
      </c>
      <c r="C273" s="7">
        <v>5.4189999999999995E-2</v>
      </c>
      <c r="D273" s="7">
        <v>5.4189999999999995E-2</v>
      </c>
      <c r="E273" s="7">
        <v>5.4189999999999995E-2</v>
      </c>
      <c r="F273" s="7">
        <v>5.4189999999999995E-2</v>
      </c>
      <c r="G273" s="52">
        <v>1.8E-3</v>
      </c>
      <c r="H273" s="5"/>
    </row>
    <row r="274" spans="2:8" x14ac:dyDescent="0.2">
      <c r="B274" s="64">
        <v>36456</v>
      </c>
      <c r="C274" s="7">
        <v>5.4109999999999998E-2</v>
      </c>
      <c r="D274" s="7">
        <v>5.4109999999999998E-2</v>
      </c>
      <c r="E274" s="7">
        <v>5.4109999999999998E-2</v>
      </c>
      <c r="F274" s="7">
        <v>5.4109999999999998E-2</v>
      </c>
      <c r="G274" s="52">
        <v>-1.5E-3</v>
      </c>
      <c r="H274" s="5"/>
    </row>
    <row r="275" spans="2:8" x14ac:dyDescent="0.2">
      <c r="B275" s="64">
        <v>36457</v>
      </c>
      <c r="C275" s="7">
        <v>5.4039999999999998E-2</v>
      </c>
      <c r="D275" s="7">
        <v>5.4039999999999998E-2</v>
      </c>
      <c r="E275" s="7">
        <v>5.4039999999999998E-2</v>
      </c>
      <c r="F275" s="7">
        <v>5.4039999999999998E-2</v>
      </c>
      <c r="G275" s="52">
        <v>-1.2999999999999999E-3</v>
      </c>
      <c r="H275" s="5"/>
    </row>
    <row r="276" spans="2:8" x14ac:dyDescent="0.2">
      <c r="B276" s="64">
        <v>36458</v>
      </c>
      <c r="C276" s="7">
        <v>5.4320000000000007E-2</v>
      </c>
      <c r="D276" s="7">
        <v>5.4320000000000007E-2</v>
      </c>
      <c r="E276" s="7">
        <v>5.4320000000000007E-2</v>
      </c>
      <c r="F276" s="7">
        <v>5.4320000000000007E-2</v>
      </c>
      <c r="G276" s="52">
        <v>5.1999999999999998E-3</v>
      </c>
      <c r="H276" s="5"/>
    </row>
    <row r="277" spans="2:8" x14ac:dyDescent="0.2">
      <c r="B277" s="64">
        <v>36459</v>
      </c>
      <c r="C277" s="7">
        <v>5.4320000000000007E-2</v>
      </c>
      <c r="D277" s="7">
        <v>5.4320000000000007E-2</v>
      </c>
      <c r="E277" s="7">
        <v>5.4320000000000007E-2</v>
      </c>
      <c r="F277" s="7">
        <v>5.4320000000000007E-2</v>
      </c>
      <c r="G277" s="52">
        <v>0</v>
      </c>
      <c r="H277" s="5"/>
    </row>
    <row r="278" spans="2:8" x14ac:dyDescent="0.2">
      <c r="B278" s="64">
        <v>36460</v>
      </c>
      <c r="C278" s="7">
        <v>5.4320000000000007E-2</v>
      </c>
      <c r="D278" s="7">
        <v>5.4320000000000007E-2</v>
      </c>
      <c r="E278" s="7">
        <v>5.4320000000000007E-2</v>
      </c>
      <c r="F278" s="7">
        <v>5.4320000000000007E-2</v>
      </c>
      <c r="G278" s="52">
        <v>0</v>
      </c>
      <c r="H278" s="5"/>
    </row>
    <row r="279" spans="2:8" x14ac:dyDescent="0.2">
      <c r="B279" s="64">
        <v>36461</v>
      </c>
      <c r="C279" s="7">
        <v>5.2260000000000001E-2</v>
      </c>
      <c r="D279" s="7">
        <v>5.2260000000000001E-2</v>
      </c>
      <c r="E279" s="7">
        <v>5.2260000000000001E-2</v>
      </c>
      <c r="F279" s="7">
        <v>5.2260000000000001E-2</v>
      </c>
      <c r="G279" s="52">
        <v>-3.7900000000000003E-2</v>
      </c>
      <c r="H279" s="5"/>
    </row>
    <row r="280" spans="2:8" x14ac:dyDescent="0.2">
      <c r="B280" s="64">
        <v>36462</v>
      </c>
      <c r="C280" s="7">
        <v>5.2089999999999997E-2</v>
      </c>
      <c r="D280" s="7">
        <v>5.2089999999999997E-2</v>
      </c>
      <c r="E280" s="7">
        <v>5.2089999999999997E-2</v>
      </c>
      <c r="F280" s="7">
        <v>5.2089999999999997E-2</v>
      </c>
      <c r="G280" s="52">
        <v>-3.3E-3</v>
      </c>
      <c r="H280" s="5"/>
    </row>
    <row r="281" spans="2:8" x14ac:dyDescent="0.2">
      <c r="B281" s="64">
        <v>36463</v>
      </c>
      <c r="C281" s="7">
        <v>5.1130000000000002E-2</v>
      </c>
      <c r="D281" s="7">
        <v>5.1130000000000002E-2</v>
      </c>
      <c r="E281" s="7">
        <v>5.1130000000000002E-2</v>
      </c>
      <c r="F281" s="7">
        <v>5.1130000000000002E-2</v>
      </c>
      <c r="G281" s="52">
        <v>-1.84E-2</v>
      </c>
      <c r="H281" s="5"/>
    </row>
    <row r="282" spans="2:8" x14ac:dyDescent="0.2">
      <c r="B282" s="64">
        <v>36464</v>
      </c>
      <c r="C282" s="7">
        <v>5.1029999999999999E-2</v>
      </c>
      <c r="D282" s="7">
        <v>5.1029999999999999E-2</v>
      </c>
      <c r="E282" s="7">
        <v>5.1029999999999999E-2</v>
      </c>
      <c r="F282" s="7">
        <v>5.1029999999999999E-2</v>
      </c>
      <c r="G282" s="52">
        <v>-2E-3</v>
      </c>
      <c r="H282" s="5"/>
    </row>
    <row r="283" spans="2:8" x14ac:dyDescent="0.2">
      <c r="B283" s="64">
        <v>36465</v>
      </c>
      <c r="C283" s="7">
        <v>5.1529999999999992E-2</v>
      </c>
      <c r="D283" s="7">
        <v>5.1529999999999992E-2</v>
      </c>
      <c r="E283" s="7">
        <v>5.1529999999999992E-2</v>
      </c>
      <c r="F283" s="7">
        <v>5.1529999999999992E-2</v>
      </c>
      <c r="G283" s="52">
        <v>9.7999999999999997E-3</v>
      </c>
      <c r="H283" s="5"/>
    </row>
    <row r="284" spans="2:8" x14ac:dyDescent="0.2">
      <c r="B284" s="64">
        <v>36466</v>
      </c>
      <c r="C284" s="7">
        <v>5.074E-2</v>
      </c>
      <c r="D284" s="7">
        <v>5.074E-2</v>
      </c>
      <c r="E284" s="7">
        <v>5.074E-2</v>
      </c>
      <c r="F284" s="7">
        <v>5.074E-2</v>
      </c>
      <c r="G284" s="52">
        <v>-1.5299999999999999E-2</v>
      </c>
      <c r="H284" s="5"/>
    </row>
    <row r="285" spans="2:8" x14ac:dyDescent="0.2">
      <c r="B285" s="64">
        <v>36467</v>
      </c>
      <c r="C285" s="7">
        <v>5.1279999999999999E-2</v>
      </c>
      <c r="D285" s="7">
        <v>5.1279999999999999E-2</v>
      </c>
      <c r="E285" s="7">
        <v>5.1279999999999999E-2</v>
      </c>
      <c r="F285" s="7">
        <v>5.1279999999999999E-2</v>
      </c>
      <c r="G285" s="52">
        <v>1.06E-2</v>
      </c>
      <c r="H285" s="5"/>
    </row>
    <row r="286" spans="2:8" x14ac:dyDescent="0.2">
      <c r="B286" s="64">
        <v>36468</v>
      </c>
      <c r="C286" s="7">
        <v>5.1029999999999999E-2</v>
      </c>
      <c r="D286" s="7">
        <v>5.1029999999999999E-2</v>
      </c>
      <c r="E286" s="7">
        <v>5.1029999999999999E-2</v>
      </c>
      <c r="F286" s="7">
        <v>5.1029999999999999E-2</v>
      </c>
      <c r="G286" s="52">
        <v>-4.8999999999999998E-3</v>
      </c>
      <c r="H286" s="5"/>
    </row>
    <row r="287" spans="2:8" x14ac:dyDescent="0.2">
      <c r="B287" s="64">
        <v>36469</v>
      </c>
      <c r="C287" s="7">
        <v>4.9550000000000004E-2</v>
      </c>
      <c r="D287" s="7">
        <v>4.9550000000000004E-2</v>
      </c>
      <c r="E287" s="7">
        <v>4.9550000000000004E-2</v>
      </c>
      <c r="F287" s="7">
        <v>4.9550000000000004E-2</v>
      </c>
      <c r="G287" s="52">
        <v>-2.9000000000000001E-2</v>
      </c>
      <c r="H287" s="5"/>
    </row>
    <row r="288" spans="2:8" x14ac:dyDescent="0.2">
      <c r="B288" s="64">
        <v>36470</v>
      </c>
      <c r="C288" s="7">
        <v>4.9680000000000002E-2</v>
      </c>
      <c r="D288" s="7">
        <v>4.9680000000000002E-2</v>
      </c>
      <c r="E288" s="7">
        <v>4.9680000000000002E-2</v>
      </c>
      <c r="F288" s="7">
        <v>4.9680000000000002E-2</v>
      </c>
      <c r="G288" s="52">
        <v>2.5999999999999999E-3</v>
      </c>
      <c r="H288" s="5"/>
    </row>
    <row r="289" spans="2:8" x14ac:dyDescent="0.2">
      <c r="B289" s="64">
        <v>36472</v>
      </c>
      <c r="C289" s="7">
        <v>4.9880000000000008E-2</v>
      </c>
      <c r="D289" s="7">
        <v>4.9880000000000008E-2</v>
      </c>
      <c r="E289" s="7">
        <v>4.9880000000000008E-2</v>
      </c>
      <c r="F289" s="7">
        <v>4.9880000000000008E-2</v>
      </c>
      <c r="G289" s="52">
        <v>4.0000000000000001E-3</v>
      </c>
      <c r="H289" s="5"/>
    </row>
    <row r="290" spans="2:8" x14ac:dyDescent="0.2">
      <c r="B290" s="64">
        <v>36473</v>
      </c>
      <c r="C290" s="7">
        <v>4.9210000000000004E-2</v>
      </c>
      <c r="D290" s="7">
        <v>4.9210000000000004E-2</v>
      </c>
      <c r="E290" s="7">
        <v>4.9210000000000004E-2</v>
      </c>
      <c r="F290" s="7">
        <v>4.9210000000000004E-2</v>
      </c>
      <c r="G290" s="52">
        <v>-1.34E-2</v>
      </c>
      <c r="H290" s="5"/>
    </row>
    <row r="291" spans="2:8" x14ac:dyDescent="0.2">
      <c r="B291" s="64">
        <v>36474</v>
      </c>
      <c r="C291" s="7">
        <v>4.9660000000000003E-2</v>
      </c>
      <c r="D291" s="7">
        <v>4.9660000000000003E-2</v>
      </c>
      <c r="E291" s="7">
        <v>4.9660000000000003E-2</v>
      </c>
      <c r="F291" s="7">
        <v>4.9660000000000003E-2</v>
      </c>
      <c r="G291" s="52">
        <v>9.1000000000000004E-3</v>
      </c>
      <c r="H291" s="5"/>
    </row>
    <row r="292" spans="2:8" x14ac:dyDescent="0.2">
      <c r="B292" s="64">
        <v>36475</v>
      </c>
      <c r="C292" s="7">
        <v>4.9720000000000007E-2</v>
      </c>
      <c r="D292" s="7">
        <v>4.9720000000000007E-2</v>
      </c>
      <c r="E292" s="7">
        <v>4.9720000000000007E-2</v>
      </c>
      <c r="F292" s="7">
        <v>4.9720000000000007E-2</v>
      </c>
      <c r="G292" s="52">
        <v>1.1999999999999999E-3</v>
      </c>
      <c r="H292" s="5"/>
    </row>
    <row r="293" spans="2:8" x14ac:dyDescent="0.2">
      <c r="B293" s="64">
        <v>36476</v>
      </c>
      <c r="C293" s="7">
        <v>4.9119999999999997E-2</v>
      </c>
      <c r="D293" s="7">
        <v>4.9119999999999997E-2</v>
      </c>
      <c r="E293" s="7">
        <v>4.9119999999999997E-2</v>
      </c>
      <c r="F293" s="7">
        <v>4.9119999999999997E-2</v>
      </c>
      <c r="G293" s="52">
        <v>-1.21E-2</v>
      </c>
      <c r="H293" s="5"/>
    </row>
    <row r="294" spans="2:8" x14ac:dyDescent="0.2">
      <c r="B294" s="64">
        <v>36477</v>
      </c>
      <c r="C294" s="7">
        <v>4.8590000000000001E-2</v>
      </c>
      <c r="D294" s="7">
        <v>4.8590000000000001E-2</v>
      </c>
      <c r="E294" s="7">
        <v>4.8590000000000001E-2</v>
      </c>
      <c r="F294" s="7">
        <v>4.8590000000000001E-2</v>
      </c>
      <c r="G294" s="52">
        <v>-1.0800000000000001E-2</v>
      </c>
      <c r="H294" s="5"/>
    </row>
    <row r="295" spans="2:8" x14ac:dyDescent="0.2">
      <c r="B295" s="64">
        <v>36478</v>
      </c>
      <c r="C295" s="7">
        <v>4.8809999999999999E-2</v>
      </c>
      <c r="D295" s="7">
        <v>4.8809999999999999E-2</v>
      </c>
      <c r="E295" s="7">
        <v>4.8809999999999999E-2</v>
      </c>
      <c r="F295" s="7">
        <v>4.8809999999999999E-2</v>
      </c>
      <c r="G295" s="52">
        <v>4.4999999999999997E-3</v>
      </c>
      <c r="H295" s="5"/>
    </row>
    <row r="296" spans="2:8" x14ac:dyDescent="0.2">
      <c r="B296" s="64">
        <v>36479</v>
      </c>
      <c r="C296" s="7">
        <v>4.8979999999999996E-2</v>
      </c>
      <c r="D296" s="7">
        <v>4.8979999999999996E-2</v>
      </c>
      <c r="E296" s="7">
        <v>4.8979999999999996E-2</v>
      </c>
      <c r="F296" s="7">
        <v>4.8979999999999996E-2</v>
      </c>
      <c r="G296" s="52">
        <v>3.5000000000000001E-3</v>
      </c>
      <c r="H296" s="5"/>
    </row>
    <row r="297" spans="2:8" x14ac:dyDescent="0.2">
      <c r="B297" s="64">
        <v>36480</v>
      </c>
      <c r="C297" s="7">
        <v>4.8730000000000002E-2</v>
      </c>
      <c r="D297" s="7">
        <v>4.8730000000000002E-2</v>
      </c>
      <c r="E297" s="7">
        <v>4.8730000000000002E-2</v>
      </c>
      <c r="F297" s="7">
        <v>4.8730000000000002E-2</v>
      </c>
      <c r="G297" s="52">
        <v>-5.1000000000000004E-3</v>
      </c>
      <c r="H297" s="5"/>
    </row>
    <row r="298" spans="2:8" x14ac:dyDescent="0.2">
      <c r="B298" s="64">
        <v>36481</v>
      </c>
      <c r="C298" s="7">
        <v>4.9640000000000004E-2</v>
      </c>
      <c r="D298" s="7">
        <v>4.9640000000000004E-2</v>
      </c>
      <c r="E298" s="7">
        <v>4.9640000000000004E-2</v>
      </c>
      <c r="F298" s="7">
        <v>4.9640000000000004E-2</v>
      </c>
      <c r="G298" s="52">
        <v>1.8700000000000001E-2</v>
      </c>
      <c r="H298" s="5"/>
    </row>
    <row r="299" spans="2:8" x14ac:dyDescent="0.2">
      <c r="B299" s="64">
        <v>36482</v>
      </c>
      <c r="C299" s="7">
        <v>5.0519999999999995E-2</v>
      </c>
      <c r="D299" s="7">
        <v>5.0519999999999995E-2</v>
      </c>
      <c r="E299" s="7">
        <v>5.0519999999999995E-2</v>
      </c>
      <c r="F299" s="7">
        <v>5.0519999999999995E-2</v>
      </c>
      <c r="G299" s="52">
        <v>1.77E-2</v>
      </c>
      <c r="H299" s="5"/>
    </row>
    <row r="300" spans="2:8" x14ac:dyDescent="0.2">
      <c r="B300" s="64">
        <v>36483</v>
      </c>
      <c r="C300" s="7">
        <v>5.0259999999999999E-2</v>
      </c>
      <c r="D300" s="7">
        <v>5.0259999999999999E-2</v>
      </c>
      <c r="E300" s="7">
        <v>5.0259999999999999E-2</v>
      </c>
      <c r="F300" s="7">
        <v>5.0259999999999999E-2</v>
      </c>
      <c r="G300" s="52">
        <v>-5.1000000000000004E-3</v>
      </c>
      <c r="H300" s="5"/>
    </row>
    <row r="301" spans="2:8" x14ac:dyDescent="0.2">
      <c r="B301" s="64">
        <v>36484</v>
      </c>
      <c r="C301" s="7">
        <v>5.0529999999999999E-2</v>
      </c>
      <c r="D301" s="7">
        <v>5.0529999999999999E-2</v>
      </c>
      <c r="E301" s="7">
        <v>5.0529999999999999E-2</v>
      </c>
      <c r="F301" s="7">
        <v>5.0529999999999999E-2</v>
      </c>
      <c r="G301" s="52">
        <v>5.4000000000000003E-3</v>
      </c>
      <c r="H301" s="5"/>
    </row>
    <row r="302" spans="2:8" x14ac:dyDescent="0.2">
      <c r="B302" s="64">
        <v>36486</v>
      </c>
      <c r="C302" s="7">
        <v>5.0970000000000001E-2</v>
      </c>
      <c r="D302" s="7">
        <v>5.0970000000000001E-2</v>
      </c>
      <c r="E302" s="7">
        <v>5.0970000000000001E-2</v>
      </c>
      <c r="F302" s="7">
        <v>5.0970000000000001E-2</v>
      </c>
      <c r="G302" s="52">
        <v>8.6999999999999994E-3</v>
      </c>
      <c r="H302" s="5"/>
    </row>
    <row r="303" spans="2:8" x14ac:dyDescent="0.2">
      <c r="B303" s="64">
        <v>36487</v>
      </c>
      <c r="C303" s="7">
        <v>5.101E-2</v>
      </c>
      <c r="D303" s="7">
        <v>5.101E-2</v>
      </c>
      <c r="E303" s="7">
        <v>5.101E-2</v>
      </c>
      <c r="F303" s="7">
        <v>5.101E-2</v>
      </c>
      <c r="G303" s="52">
        <v>8.0000000000000004E-4</v>
      </c>
      <c r="H303" s="5"/>
    </row>
    <row r="304" spans="2:8" x14ac:dyDescent="0.2">
      <c r="B304" s="64">
        <v>36488</v>
      </c>
      <c r="C304" s="7">
        <v>5.1520000000000003E-2</v>
      </c>
      <c r="D304" s="7">
        <v>5.1520000000000003E-2</v>
      </c>
      <c r="E304" s="7">
        <v>5.1520000000000003E-2</v>
      </c>
      <c r="F304" s="7">
        <v>5.1520000000000003E-2</v>
      </c>
      <c r="G304" s="52">
        <v>0.01</v>
      </c>
      <c r="H304" s="5"/>
    </row>
    <row r="305" spans="2:8" x14ac:dyDescent="0.2">
      <c r="B305" s="64">
        <v>36489</v>
      </c>
      <c r="C305" s="7">
        <v>5.1619999999999999E-2</v>
      </c>
      <c r="D305" s="7">
        <v>5.1619999999999999E-2</v>
      </c>
      <c r="E305" s="7">
        <v>5.1619999999999999E-2</v>
      </c>
      <c r="F305" s="7">
        <v>5.1619999999999999E-2</v>
      </c>
      <c r="G305" s="52">
        <v>1.9E-3</v>
      </c>
      <c r="H305" s="5"/>
    </row>
    <row r="306" spans="2:8" x14ac:dyDescent="0.2">
      <c r="B306" s="64">
        <v>36490</v>
      </c>
      <c r="C306" s="7">
        <v>5.2150000000000002E-2</v>
      </c>
      <c r="D306" s="7">
        <v>5.2150000000000002E-2</v>
      </c>
      <c r="E306" s="7">
        <v>5.2150000000000002E-2</v>
      </c>
      <c r="F306" s="7">
        <v>5.2150000000000002E-2</v>
      </c>
      <c r="G306" s="52">
        <v>1.03E-2</v>
      </c>
      <c r="H306" s="5"/>
    </row>
    <row r="307" spans="2:8" x14ac:dyDescent="0.2">
      <c r="B307" s="64">
        <v>36491</v>
      </c>
      <c r="C307" s="7">
        <v>5.2069999999999998E-2</v>
      </c>
      <c r="D307" s="7">
        <v>5.2069999999999998E-2</v>
      </c>
      <c r="E307" s="7">
        <v>5.2069999999999998E-2</v>
      </c>
      <c r="F307" s="7">
        <v>5.2069999999999998E-2</v>
      </c>
      <c r="G307" s="52">
        <v>-1.5E-3</v>
      </c>
      <c r="H307" s="5"/>
    </row>
    <row r="308" spans="2:8" x14ac:dyDescent="0.2">
      <c r="B308" s="64">
        <v>36492</v>
      </c>
      <c r="C308" s="7">
        <v>5.203E-2</v>
      </c>
      <c r="D308" s="7">
        <v>5.203E-2</v>
      </c>
      <c r="E308" s="7">
        <v>5.203E-2</v>
      </c>
      <c r="F308" s="7">
        <v>5.203E-2</v>
      </c>
      <c r="G308" s="52">
        <v>-8.0000000000000004E-4</v>
      </c>
      <c r="H308" s="5"/>
    </row>
    <row r="309" spans="2:8" x14ac:dyDescent="0.2">
      <c r="B309" s="64">
        <v>36493</v>
      </c>
      <c r="C309" s="7">
        <v>5.1950000000000003E-2</v>
      </c>
      <c r="D309" s="7">
        <v>5.1950000000000003E-2</v>
      </c>
      <c r="E309" s="7">
        <v>5.1950000000000003E-2</v>
      </c>
      <c r="F309" s="7">
        <v>5.1950000000000003E-2</v>
      </c>
      <c r="G309" s="52">
        <v>-1.5E-3</v>
      </c>
      <c r="H309" s="5"/>
    </row>
    <row r="310" spans="2:8" x14ac:dyDescent="0.2">
      <c r="B310" s="64">
        <v>36494</v>
      </c>
      <c r="C310" s="7">
        <v>5.1900000000000002E-2</v>
      </c>
      <c r="D310" s="7">
        <v>5.1900000000000002E-2</v>
      </c>
      <c r="E310" s="7">
        <v>5.1900000000000002E-2</v>
      </c>
      <c r="F310" s="7">
        <v>5.1900000000000002E-2</v>
      </c>
      <c r="G310" s="52">
        <v>-1E-3</v>
      </c>
      <c r="H310" s="5"/>
    </row>
    <row r="311" spans="2:8" x14ac:dyDescent="0.2">
      <c r="B311" s="64">
        <v>36495</v>
      </c>
      <c r="C311" s="7">
        <v>5.1130000000000002E-2</v>
      </c>
      <c r="D311" s="7">
        <v>5.1130000000000002E-2</v>
      </c>
      <c r="E311" s="7">
        <v>5.1130000000000002E-2</v>
      </c>
      <c r="F311" s="7">
        <v>5.1130000000000002E-2</v>
      </c>
      <c r="G311" s="52">
        <v>-1.4800000000000001E-2</v>
      </c>
      <c r="H311" s="5"/>
    </row>
    <row r="312" spans="2:8" x14ac:dyDescent="0.2">
      <c r="B312" s="64">
        <v>36496</v>
      </c>
      <c r="C312" s="7">
        <v>5.1840000000000004E-2</v>
      </c>
      <c r="D312" s="7">
        <v>5.1840000000000004E-2</v>
      </c>
      <c r="E312" s="7">
        <v>5.1840000000000004E-2</v>
      </c>
      <c r="F312" s="7">
        <v>5.1840000000000004E-2</v>
      </c>
      <c r="G312" s="52">
        <v>1.3899999999999999E-2</v>
      </c>
      <c r="H312" s="5"/>
    </row>
    <row r="313" spans="2:8" x14ac:dyDescent="0.2">
      <c r="B313" s="64">
        <v>36497</v>
      </c>
      <c r="C313" s="7">
        <v>5.1639999999999998E-2</v>
      </c>
      <c r="D313" s="7">
        <v>5.1639999999999998E-2</v>
      </c>
      <c r="E313" s="7">
        <v>5.1639999999999998E-2</v>
      </c>
      <c r="F313" s="7">
        <v>5.1639999999999998E-2</v>
      </c>
      <c r="G313" s="52">
        <v>-3.8999999999999998E-3</v>
      </c>
      <c r="H313" s="5"/>
    </row>
    <row r="314" spans="2:8" x14ac:dyDescent="0.2">
      <c r="B314" s="64">
        <v>36498</v>
      </c>
      <c r="C314" s="7">
        <v>5.1390000000000005E-2</v>
      </c>
      <c r="D314" s="7">
        <v>5.1390000000000005E-2</v>
      </c>
      <c r="E314" s="7">
        <v>5.1390000000000005E-2</v>
      </c>
      <c r="F314" s="7">
        <v>5.1390000000000005E-2</v>
      </c>
      <c r="G314" s="52">
        <v>-4.7999999999999996E-3</v>
      </c>
      <c r="H314" s="5"/>
    </row>
    <row r="315" spans="2:8" x14ac:dyDescent="0.2">
      <c r="B315" s="64">
        <v>36500</v>
      </c>
      <c r="C315" s="7">
        <v>5.0780000000000006E-2</v>
      </c>
      <c r="D315" s="7">
        <v>5.0780000000000006E-2</v>
      </c>
      <c r="E315" s="7">
        <v>5.0780000000000006E-2</v>
      </c>
      <c r="F315" s="7">
        <v>5.0780000000000006E-2</v>
      </c>
      <c r="G315" s="52">
        <v>-1.1900000000000001E-2</v>
      </c>
      <c r="H315" s="5"/>
    </row>
    <row r="316" spans="2:8" x14ac:dyDescent="0.2">
      <c r="B316" s="64">
        <v>36501</v>
      </c>
      <c r="C316" s="7">
        <v>5.0279999999999998E-2</v>
      </c>
      <c r="D316" s="7">
        <v>5.0279999999999998E-2</v>
      </c>
      <c r="E316" s="7">
        <v>5.0279999999999998E-2</v>
      </c>
      <c r="F316" s="7">
        <v>5.0279999999999998E-2</v>
      </c>
      <c r="G316" s="52">
        <v>-9.7999999999999997E-3</v>
      </c>
      <c r="H316" s="5"/>
    </row>
    <row r="317" spans="2:8" x14ac:dyDescent="0.2">
      <c r="B317" s="64">
        <v>36502</v>
      </c>
      <c r="C317" s="7">
        <v>5.0309999999999994E-2</v>
      </c>
      <c r="D317" s="7">
        <v>5.0309999999999994E-2</v>
      </c>
      <c r="E317" s="7">
        <v>5.0309999999999994E-2</v>
      </c>
      <c r="F317" s="7">
        <v>5.0309999999999994E-2</v>
      </c>
      <c r="G317" s="52">
        <v>5.9999999999999995E-4</v>
      </c>
      <c r="H317" s="5"/>
    </row>
    <row r="318" spans="2:8" x14ac:dyDescent="0.2">
      <c r="B318" s="64">
        <v>36503</v>
      </c>
      <c r="C318" s="7">
        <v>5.0389999999999997E-2</v>
      </c>
      <c r="D318" s="7">
        <v>5.0389999999999997E-2</v>
      </c>
      <c r="E318" s="7">
        <v>5.0389999999999997E-2</v>
      </c>
      <c r="F318" s="7">
        <v>5.0389999999999997E-2</v>
      </c>
      <c r="G318" s="52">
        <v>1.6000000000000001E-3</v>
      </c>
      <c r="H318" s="5"/>
    </row>
    <row r="319" spans="2:8" x14ac:dyDescent="0.2">
      <c r="B319" s="64">
        <v>36504</v>
      </c>
      <c r="C319" s="7">
        <v>4.9690000000000005E-2</v>
      </c>
      <c r="D319" s="7">
        <v>4.9690000000000005E-2</v>
      </c>
      <c r="E319" s="7">
        <v>4.9690000000000005E-2</v>
      </c>
      <c r="F319" s="7">
        <v>4.9690000000000005E-2</v>
      </c>
      <c r="G319" s="52">
        <v>-1.3899999999999999E-2</v>
      </c>
      <c r="H319" s="5"/>
    </row>
    <row r="320" spans="2:8" x14ac:dyDescent="0.2">
      <c r="B320" s="64">
        <v>36505</v>
      </c>
      <c r="C320" s="7">
        <v>4.9710000000000004E-2</v>
      </c>
      <c r="D320" s="7">
        <v>4.9710000000000004E-2</v>
      </c>
      <c r="E320" s="7">
        <v>4.9710000000000004E-2</v>
      </c>
      <c r="F320" s="7">
        <v>4.9710000000000004E-2</v>
      </c>
      <c r="G320" s="52">
        <v>4.0000000000000002E-4</v>
      </c>
      <c r="H320" s="5"/>
    </row>
    <row r="321" spans="2:8" x14ac:dyDescent="0.2">
      <c r="B321" s="64">
        <v>36506</v>
      </c>
      <c r="C321" s="7">
        <v>4.9480000000000003E-2</v>
      </c>
      <c r="D321" s="7">
        <v>4.9480000000000003E-2</v>
      </c>
      <c r="E321" s="7">
        <v>4.9480000000000003E-2</v>
      </c>
      <c r="F321" s="7">
        <v>4.9480000000000003E-2</v>
      </c>
      <c r="G321" s="52">
        <v>-4.5999999999999999E-3</v>
      </c>
      <c r="H321" s="5"/>
    </row>
    <row r="322" spans="2:8" x14ac:dyDescent="0.2">
      <c r="B322" s="64">
        <v>36507</v>
      </c>
      <c r="C322" s="7">
        <v>5.015E-2</v>
      </c>
      <c r="D322" s="7">
        <v>5.015E-2</v>
      </c>
      <c r="E322" s="7">
        <v>5.015E-2</v>
      </c>
      <c r="F322" s="7">
        <v>5.015E-2</v>
      </c>
      <c r="G322" s="52">
        <v>1.35E-2</v>
      </c>
      <c r="H322" s="5"/>
    </row>
    <row r="323" spans="2:8" x14ac:dyDescent="0.2">
      <c r="B323" s="64">
        <v>36508</v>
      </c>
      <c r="C323" s="7">
        <v>5.0700000000000002E-2</v>
      </c>
      <c r="D323" s="7">
        <v>5.0700000000000002E-2</v>
      </c>
      <c r="E323" s="7">
        <v>5.0700000000000002E-2</v>
      </c>
      <c r="F323" s="7">
        <v>5.0700000000000002E-2</v>
      </c>
      <c r="G323" s="52">
        <v>1.0999999999999999E-2</v>
      </c>
      <c r="H323" s="5"/>
    </row>
    <row r="324" spans="2:8" x14ac:dyDescent="0.2">
      <c r="B324" s="64">
        <v>36509</v>
      </c>
      <c r="C324" s="7">
        <v>5.0659999999999997E-2</v>
      </c>
      <c r="D324" s="7">
        <v>5.0659999999999997E-2</v>
      </c>
      <c r="E324" s="7">
        <v>5.0659999999999997E-2</v>
      </c>
      <c r="F324" s="7">
        <v>5.0659999999999997E-2</v>
      </c>
      <c r="G324" s="52">
        <v>-8.0000000000000004E-4</v>
      </c>
      <c r="H324" s="5"/>
    </row>
    <row r="325" spans="2:8" x14ac:dyDescent="0.2">
      <c r="B325" s="64">
        <v>36510</v>
      </c>
      <c r="C325" s="7">
        <v>5.142E-2</v>
      </c>
      <c r="D325" s="7">
        <v>5.142E-2</v>
      </c>
      <c r="E325" s="7">
        <v>5.142E-2</v>
      </c>
      <c r="F325" s="7">
        <v>5.142E-2</v>
      </c>
      <c r="G325" s="52">
        <v>1.4999999999999999E-2</v>
      </c>
      <c r="H325" s="5"/>
    </row>
    <row r="326" spans="2:8" x14ac:dyDescent="0.2">
      <c r="B326" s="64">
        <v>36511</v>
      </c>
      <c r="C326" s="7">
        <v>5.203E-2</v>
      </c>
      <c r="D326" s="7">
        <v>5.203E-2</v>
      </c>
      <c r="E326" s="7">
        <v>5.203E-2</v>
      </c>
      <c r="F326" s="7">
        <v>5.203E-2</v>
      </c>
      <c r="G326" s="52">
        <v>1.1900000000000001E-2</v>
      </c>
      <c r="H326" s="5"/>
    </row>
    <row r="327" spans="2:8" x14ac:dyDescent="0.2">
      <c r="B327" s="64">
        <v>36512</v>
      </c>
      <c r="C327" s="7">
        <v>5.2489999999999995E-2</v>
      </c>
      <c r="D327" s="7">
        <v>5.2489999999999995E-2</v>
      </c>
      <c r="E327" s="7">
        <v>5.2489999999999995E-2</v>
      </c>
      <c r="F327" s="7">
        <v>5.2489999999999995E-2</v>
      </c>
      <c r="G327" s="52">
        <v>8.8000000000000005E-3</v>
      </c>
      <c r="H327" s="5"/>
    </row>
    <row r="328" spans="2:8" x14ac:dyDescent="0.2">
      <c r="B328" s="64">
        <v>36513</v>
      </c>
      <c r="C328" s="7">
        <v>5.2600000000000001E-2</v>
      </c>
      <c r="D328" s="7">
        <v>5.2600000000000001E-2</v>
      </c>
      <c r="E328" s="7">
        <v>5.2600000000000001E-2</v>
      </c>
      <c r="F328" s="7">
        <v>5.2600000000000001E-2</v>
      </c>
      <c r="G328" s="52">
        <v>2.0999999999999999E-3</v>
      </c>
      <c r="H328" s="5"/>
    </row>
    <row r="329" spans="2:8" x14ac:dyDescent="0.2">
      <c r="B329" s="64">
        <v>36514</v>
      </c>
      <c r="C329" s="7">
        <v>5.2430000000000004E-2</v>
      </c>
      <c r="D329" s="7">
        <v>5.2430000000000004E-2</v>
      </c>
      <c r="E329" s="7">
        <v>5.2430000000000004E-2</v>
      </c>
      <c r="F329" s="7">
        <v>5.2430000000000004E-2</v>
      </c>
      <c r="G329" s="52">
        <v>-3.2000000000000002E-3</v>
      </c>
      <c r="H329" s="5"/>
    </row>
    <row r="330" spans="2:8" x14ac:dyDescent="0.2">
      <c r="B330" s="64">
        <v>36515</v>
      </c>
      <c r="C330" s="7">
        <v>5.2160000000000005E-2</v>
      </c>
      <c r="D330" s="7">
        <v>5.2160000000000005E-2</v>
      </c>
      <c r="E330" s="7">
        <v>5.2160000000000005E-2</v>
      </c>
      <c r="F330" s="7">
        <v>5.2160000000000005E-2</v>
      </c>
      <c r="G330" s="52">
        <v>-5.1000000000000004E-3</v>
      </c>
      <c r="H330" s="5"/>
    </row>
    <row r="331" spans="2:8" x14ac:dyDescent="0.2">
      <c r="B331" s="64">
        <v>36516</v>
      </c>
      <c r="C331" s="7">
        <v>5.2569999999999999E-2</v>
      </c>
      <c r="D331" s="7">
        <v>5.2569999999999999E-2</v>
      </c>
      <c r="E331" s="7">
        <v>5.2569999999999999E-2</v>
      </c>
      <c r="F331" s="7">
        <v>5.2569999999999999E-2</v>
      </c>
      <c r="G331" s="52">
        <v>7.9000000000000008E-3</v>
      </c>
      <c r="H331" s="5"/>
    </row>
    <row r="332" spans="2:8" x14ac:dyDescent="0.2">
      <c r="B332" s="64">
        <v>36517</v>
      </c>
      <c r="C332" s="7">
        <v>5.2460000000000007E-2</v>
      </c>
      <c r="D332" s="7">
        <v>5.2460000000000007E-2</v>
      </c>
      <c r="E332" s="7">
        <v>5.2460000000000007E-2</v>
      </c>
      <c r="F332" s="7">
        <v>5.2460000000000007E-2</v>
      </c>
      <c r="G332" s="52">
        <v>-2.0999999999999999E-3</v>
      </c>
      <c r="H332" s="5"/>
    </row>
    <row r="333" spans="2:8" x14ac:dyDescent="0.2">
      <c r="B333" s="64">
        <v>36518</v>
      </c>
      <c r="C333" s="7">
        <v>5.2409999999999998E-2</v>
      </c>
      <c r="D333" s="7">
        <v>5.2409999999999998E-2</v>
      </c>
      <c r="E333" s="7">
        <v>5.2409999999999998E-2</v>
      </c>
      <c r="F333" s="7">
        <v>5.2409999999999998E-2</v>
      </c>
      <c r="G333" s="52">
        <v>-1E-3</v>
      </c>
      <c r="H333" s="5"/>
    </row>
    <row r="334" spans="2:8" x14ac:dyDescent="0.2">
      <c r="B334" s="64">
        <v>36520</v>
      </c>
      <c r="C334" s="7">
        <v>5.2489999999999995E-2</v>
      </c>
      <c r="D334" s="7">
        <v>5.2489999999999995E-2</v>
      </c>
      <c r="E334" s="7">
        <v>5.2489999999999995E-2</v>
      </c>
      <c r="F334" s="7">
        <v>5.2489999999999995E-2</v>
      </c>
      <c r="G334" s="52">
        <v>1.5E-3</v>
      </c>
      <c r="H334" s="5"/>
    </row>
    <row r="335" spans="2:8" x14ac:dyDescent="0.2">
      <c r="B335" s="64">
        <v>36521</v>
      </c>
      <c r="C335" s="7">
        <v>5.271E-2</v>
      </c>
      <c r="D335" s="7">
        <v>5.271E-2</v>
      </c>
      <c r="E335" s="7">
        <v>5.271E-2</v>
      </c>
      <c r="F335" s="7">
        <v>5.271E-2</v>
      </c>
      <c r="G335" s="52">
        <v>4.1999999999999997E-3</v>
      </c>
      <c r="H335" s="5"/>
    </row>
    <row r="336" spans="2:8" x14ac:dyDescent="0.2">
      <c r="B336" s="64">
        <v>36522</v>
      </c>
      <c r="C336" s="7">
        <v>5.2930000000000005E-2</v>
      </c>
      <c r="D336" s="7">
        <v>5.2930000000000005E-2</v>
      </c>
      <c r="E336" s="7">
        <v>5.2930000000000005E-2</v>
      </c>
      <c r="F336" s="7">
        <v>5.2930000000000005E-2</v>
      </c>
      <c r="G336" s="52">
        <v>4.1999999999999997E-3</v>
      </c>
      <c r="H336" s="5"/>
    </row>
    <row r="337" spans="2:8" x14ac:dyDescent="0.2">
      <c r="B337" s="64">
        <v>36523</v>
      </c>
      <c r="C337" s="7">
        <v>5.2760000000000001E-2</v>
      </c>
      <c r="D337" s="7">
        <v>5.2760000000000001E-2</v>
      </c>
      <c r="E337" s="7">
        <v>5.2760000000000001E-2</v>
      </c>
      <c r="F337" s="7">
        <v>5.2760000000000001E-2</v>
      </c>
      <c r="G337" s="52">
        <v>-3.2000000000000002E-3</v>
      </c>
      <c r="H337" s="5"/>
    </row>
    <row r="338" spans="2:8" x14ac:dyDescent="0.2">
      <c r="B338" s="64">
        <v>36524</v>
      </c>
      <c r="C338" s="7">
        <v>5.33E-2</v>
      </c>
      <c r="D338" s="7">
        <v>5.33E-2</v>
      </c>
      <c r="E338" s="7">
        <v>5.33E-2</v>
      </c>
      <c r="F338" s="7">
        <v>5.33E-2</v>
      </c>
      <c r="G338" s="52">
        <v>1.0200000000000001E-2</v>
      </c>
      <c r="H338" s="5"/>
    </row>
    <row r="339" spans="2:8" x14ac:dyDescent="0.2">
      <c r="B339" s="64">
        <v>36525</v>
      </c>
      <c r="C339" s="7">
        <v>5.3510000000000002E-2</v>
      </c>
      <c r="D339" s="7">
        <v>5.3510000000000002E-2</v>
      </c>
      <c r="E339" s="7">
        <v>5.3510000000000002E-2</v>
      </c>
      <c r="F339" s="7">
        <v>5.3510000000000002E-2</v>
      </c>
      <c r="G339" s="52">
        <v>3.8999999999999998E-3</v>
      </c>
      <c r="H339" s="5"/>
    </row>
    <row r="340" spans="2:8" x14ac:dyDescent="0.2">
      <c r="B340" s="64">
        <v>36526</v>
      </c>
      <c r="C340" s="7">
        <v>5.3390000000000007E-2</v>
      </c>
      <c r="D340" s="7">
        <v>5.3390000000000007E-2</v>
      </c>
      <c r="E340" s="7">
        <v>5.3390000000000007E-2</v>
      </c>
      <c r="F340" s="7">
        <v>5.3390000000000007E-2</v>
      </c>
      <c r="G340" s="52">
        <v>-2.2000000000000001E-3</v>
      </c>
      <c r="H340" s="5"/>
    </row>
    <row r="341" spans="2:8" x14ac:dyDescent="0.2">
      <c r="B341" s="64">
        <v>36528</v>
      </c>
      <c r="C341" s="7">
        <v>5.4679999999999999E-2</v>
      </c>
      <c r="D341" s="7">
        <v>5.4679999999999999E-2</v>
      </c>
      <c r="E341" s="7">
        <v>5.4679999999999999E-2</v>
      </c>
      <c r="F341" s="7">
        <v>5.4679999999999999E-2</v>
      </c>
      <c r="G341" s="52">
        <v>2.4199999999999999E-2</v>
      </c>
      <c r="H341" s="5"/>
    </row>
    <row r="342" spans="2:8" x14ac:dyDescent="0.2">
      <c r="B342" s="64">
        <v>36529</v>
      </c>
      <c r="C342" s="7">
        <v>5.5050000000000002E-2</v>
      </c>
      <c r="D342" s="7">
        <v>5.5050000000000002E-2</v>
      </c>
      <c r="E342" s="7">
        <v>5.5050000000000002E-2</v>
      </c>
      <c r="F342" s="7">
        <v>5.5050000000000002E-2</v>
      </c>
      <c r="G342" s="52">
        <v>6.7999999999999996E-3</v>
      </c>
      <c r="H342" s="5"/>
    </row>
    <row r="343" spans="2:8" x14ac:dyDescent="0.2">
      <c r="B343" s="60">
        <v>36530</v>
      </c>
      <c r="C343" s="7">
        <v>5.4870000000000002E-2</v>
      </c>
      <c r="D343" s="7">
        <v>5.4870000000000002E-2</v>
      </c>
      <c r="E343" s="7">
        <v>5.4870000000000002E-2</v>
      </c>
      <c r="F343" s="7">
        <v>5.4870000000000002E-2</v>
      </c>
      <c r="G343" s="7">
        <v>-3.3E-3</v>
      </c>
    </row>
    <row r="344" spans="2:8" x14ac:dyDescent="0.2">
      <c r="B344" s="60">
        <v>36531</v>
      </c>
      <c r="C344" s="7">
        <v>5.5480000000000002E-2</v>
      </c>
      <c r="D344" s="7">
        <v>5.5480000000000002E-2</v>
      </c>
      <c r="E344" s="7">
        <v>5.5480000000000002E-2</v>
      </c>
      <c r="F344" s="7">
        <v>5.5480000000000002E-2</v>
      </c>
      <c r="G344" s="7">
        <v>1.11E-2</v>
      </c>
    </row>
    <row r="345" spans="2:8" x14ac:dyDescent="0.2">
      <c r="B345" s="60">
        <v>36532</v>
      </c>
      <c r="C345" s="7">
        <v>5.4969999999999998E-2</v>
      </c>
      <c r="D345" s="7">
        <v>5.4969999999999998E-2</v>
      </c>
      <c r="E345" s="7">
        <v>5.4969999999999998E-2</v>
      </c>
      <c r="F345" s="7">
        <v>5.4969999999999998E-2</v>
      </c>
      <c r="G345" s="7">
        <v>-9.1999999999999998E-3</v>
      </c>
    </row>
    <row r="346" spans="2:8" x14ac:dyDescent="0.2">
      <c r="B346" s="60">
        <v>36533</v>
      </c>
      <c r="C346" s="7">
        <v>5.4349999999999996E-2</v>
      </c>
      <c r="D346" s="7">
        <v>5.4349999999999996E-2</v>
      </c>
      <c r="E346" s="7">
        <v>5.4349999999999996E-2</v>
      </c>
      <c r="F346" s="7">
        <v>5.4349999999999996E-2</v>
      </c>
      <c r="G346" s="7">
        <v>-1.1299999999999999E-2</v>
      </c>
    </row>
    <row r="347" spans="2:8" x14ac:dyDescent="0.2">
      <c r="B347" s="60">
        <v>36534</v>
      </c>
      <c r="C347" s="7">
        <v>5.4400000000000004E-2</v>
      </c>
      <c r="D347" s="7">
        <v>5.4400000000000004E-2</v>
      </c>
      <c r="E347" s="7">
        <v>5.4400000000000004E-2</v>
      </c>
      <c r="F347" s="7">
        <v>5.4400000000000004E-2</v>
      </c>
      <c r="G347" s="7">
        <v>8.9999999999999998E-4</v>
      </c>
    </row>
    <row r="348" spans="2:8" x14ac:dyDescent="0.2">
      <c r="B348" s="60">
        <v>36535</v>
      </c>
      <c r="C348" s="7">
        <v>5.4359999999999999E-2</v>
      </c>
      <c r="D348" s="7">
        <v>5.4359999999999999E-2</v>
      </c>
      <c r="E348" s="7">
        <v>5.4359999999999999E-2</v>
      </c>
      <c r="F348" s="7">
        <v>5.4359999999999999E-2</v>
      </c>
      <c r="G348" s="7">
        <v>-6.9999999999999999E-4</v>
      </c>
    </row>
    <row r="349" spans="2:8" x14ac:dyDescent="0.2">
      <c r="B349" s="60">
        <v>36536</v>
      </c>
      <c r="C349" s="7">
        <v>5.4730000000000001E-2</v>
      </c>
      <c r="D349" s="7">
        <v>5.4730000000000001E-2</v>
      </c>
      <c r="E349" s="7">
        <v>5.4730000000000001E-2</v>
      </c>
      <c r="F349" s="7">
        <v>5.4730000000000001E-2</v>
      </c>
      <c r="G349" s="7">
        <v>6.7999999999999996E-3</v>
      </c>
    </row>
    <row r="350" spans="2:8" x14ac:dyDescent="0.2">
      <c r="B350" s="60">
        <v>36537</v>
      </c>
      <c r="C350" s="7">
        <v>5.5629999999999999E-2</v>
      </c>
      <c r="D350" s="7">
        <v>5.5629999999999999E-2</v>
      </c>
      <c r="E350" s="7">
        <v>5.5629999999999999E-2</v>
      </c>
      <c r="F350" s="7">
        <v>5.5629999999999999E-2</v>
      </c>
      <c r="G350" s="7">
        <v>1.6400000000000001E-2</v>
      </c>
    </row>
    <row r="351" spans="2:8" x14ac:dyDescent="0.2">
      <c r="B351" s="60">
        <v>36538</v>
      </c>
      <c r="C351" s="7">
        <v>5.5540000000000006E-2</v>
      </c>
      <c r="D351" s="7">
        <v>5.5540000000000006E-2</v>
      </c>
      <c r="E351" s="7">
        <v>5.5540000000000006E-2</v>
      </c>
      <c r="F351" s="7">
        <v>5.5540000000000006E-2</v>
      </c>
      <c r="G351" s="7">
        <v>-1.6000000000000001E-3</v>
      </c>
    </row>
    <row r="352" spans="2:8" x14ac:dyDescent="0.2">
      <c r="B352" s="60">
        <v>36539</v>
      </c>
      <c r="C352" s="7">
        <v>5.5640000000000002E-2</v>
      </c>
      <c r="D352" s="7">
        <v>5.5640000000000002E-2</v>
      </c>
      <c r="E352" s="7">
        <v>5.5640000000000002E-2</v>
      </c>
      <c r="F352" s="7">
        <v>5.5640000000000002E-2</v>
      </c>
      <c r="G352" s="7">
        <v>1.8E-3</v>
      </c>
    </row>
    <row r="353" spans="2:7" x14ac:dyDescent="0.2">
      <c r="B353" s="60">
        <v>36540</v>
      </c>
      <c r="C353" s="7">
        <v>5.5679999999999993E-2</v>
      </c>
      <c r="D353" s="7">
        <v>5.5679999999999993E-2</v>
      </c>
      <c r="E353" s="7">
        <v>5.5679999999999993E-2</v>
      </c>
      <c r="F353" s="7">
        <v>5.5679999999999993E-2</v>
      </c>
      <c r="G353" s="7">
        <v>6.9999999999999999E-4</v>
      </c>
    </row>
    <row r="354" spans="2:7" x14ac:dyDescent="0.2">
      <c r="B354" s="60">
        <v>36542</v>
      </c>
      <c r="C354" s="7">
        <v>5.5709999999999996E-2</v>
      </c>
      <c r="D354" s="7">
        <v>5.5709999999999996E-2</v>
      </c>
      <c r="E354" s="7">
        <v>5.5709999999999996E-2</v>
      </c>
      <c r="F354" s="7">
        <v>5.5709999999999996E-2</v>
      </c>
      <c r="G354" s="7">
        <v>5.0000000000000001E-4</v>
      </c>
    </row>
    <row r="355" spans="2:7" x14ac:dyDescent="0.2">
      <c r="B355" s="60">
        <v>36543</v>
      </c>
      <c r="C355" s="7">
        <v>5.5869999999999996E-2</v>
      </c>
      <c r="D355" s="7">
        <v>5.5869999999999996E-2</v>
      </c>
      <c r="E355" s="7">
        <v>5.5869999999999996E-2</v>
      </c>
      <c r="F355" s="7">
        <v>5.5869999999999996E-2</v>
      </c>
      <c r="G355" s="7">
        <v>2.8999999999999998E-3</v>
      </c>
    </row>
    <row r="356" spans="2:7" x14ac:dyDescent="0.2">
      <c r="B356" s="60">
        <v>36544</v>
      </c>
      <c r="C356" s="7">
        <v>5.6710000000000003E-2</v>
      </c>
      <c r="D356" s="7">
        <v>5.6710000000000003E-2</v>
      </c>
      <c r="E356" s="7">
        <v>5.6710000000000003E-2</v>
      </c>
      <c r="F356" s="7">
        <v>5.6710000000000003E-2</v>
      </c>
      <c r="G356" s="7">
        <v>1.4999999999999999E-2</v>
      </c>
    </row>
    <row r="357" spans="2:7" x14ac:dyDescent="0.2">
      <c r="B357" s="60">
        <v>36545</v>
      </c>
      <c r="C357" s="7">
        <v>5.5980000000000002E-2</v>
      </c>
      <c r="D357" s="7">
        <v>5.5980000000000002E-2</v>
      </c>
      <c r="E357" s="7">
        <v>5.5980000000000002E-2</v>
      </c>
      <c r="F357" s="7">
        <v>5.5980000000000002E-2</v>
      </c>
      <c r="G357" s="7">
        <v>-1.29E-2</v>
      </c>
    </row>
    <row r="358" spans="2:7" x14ac:dyDescent="0.2">
      <c r="B358" s="60">
        <v>36546</v>
      </c>
      <c r="C358" s="7">
        <v>5.5820000000000002E-2</v>
      </c>
      <c r="D358" s="7">
        <v>5.5820000000000002E-2</v>
      </c>
      <c r="E358" s="7">
        <v>5.5820000000000002E-2</v>
      </c>
      <c r="F358" s="7">
        <v>5.5820000000000002E-2</v>
      </c>
      <c r="G358" s="7">
        <v>-2.8999999999999998E-3</v>
      </c>
    </row>
    <row r="359" spans="2:7" x14ac:dyDescent="0.2">
      <c r="B359" s="60">
        <v>36547</v>
      </c>
      <c r="C359" s="7">
        <v>5.577E-2</v>
      </c>
      <c r="D359" s="7">
        <v>5.577E-2</v>
      </c>
      <c r="E359" s="7">
        <v>5.577E-2</v>
      </c>
      <c r="F359" s="7">
        <v>5.577E-2</v>
      </c>
      <c r="G359" s="7">
        <v>-8.9999999999999998E-4</v>
      </c>
    </row>
    <row r="360" spans="2:7" x14ac:dyDescent="0.2">
      <c r="B360" s="60">
        <v>36548</v>
      </c>
      <c r="C360" s="7">
        <v>5.5890000000000002E-2</v>
      </c>
      <c r="D360" s="7">
        <v>5.5890000000000002E-2</v>
      </c>
      <c r="E360" s="7">
        <v>5.5890000000000002E-2</v>
      </c>
      <c r="F360" s="7">
        <v>5.5890000000000002E-2</v>
      </c>
      <c r="G360" s="7">
        <v>2.2000000000000001E-3</v>
      </c>
    </row>
    <row r="361" spans="2:7" x14ac:dyDescent="0.2">
      <c r="B361" s="60">
        <v>36549</v>
      </c>
      <c r="C361" s="7">
        <v>5.5830000000000005E-2</v>
      </c>
      <c r="D361" s="7">
        <v>5.5830000000000005E-2</v>
      </c>
      <c r="E361" s="7">
        <v>5.5830000000000005E-2</v>
      </c>
      <c r="F361" s="7">
        <v>5.5830000000000005E-2</v>
      </c>
      <c r="G361" s="7">
        <v>-1.1000000000000001E-3</v>
      </c>
    </row>
    <row r="362" spans="2:7" x14ac:dyDescent="0.2">
      <c r="B362" s="60">
        <v>36550</v>
      </c>
      <c r="C362" s="7">
        <v>5.5220000000000005E-2</v>
      </c>
      <c r="D362" s="7">
        <v>5.5220000000000005E-2</v>
      </c>
      <c r="E362" s="7">
        <v>5.5220000000000005E-2</v>
      </c>
      <c r="F362" s="7">
        <v>5.5220000000000005E-2</v>
      </c>
      <c r="G362" s="7">
        <v>-1.09E-2</v>
      </c>
    </row>
    <row r="363" spans="2:7" x14ac:dyDescent="0.2">
      <c r="B363" s="60">
        <v>36551</v>
      </c>
      <c r="C363" s="7">
        <v>5.5079999999999997E-2</v>
      </c>
      <c r="D363" s="7">
        <v>5.5079999999999997E-2</v>
      </c>
      <c r="E363" s="7">
        <v>5.5079999999999997E-2</v>
      </c>
      <c r="F363" s="7">
        <v>5.5079999999999997E-2</v>
      </c>
      <c r="G363" s="7">
        <v>-2.5000000000000001E-3</v>
      </c>
    </row>
    <row r="364" spans="2:7" x14ac:dyDescent="0.2">
      <c r="B364" s="60">
        <v>36552</v>
      </c>
      <c r="C364" s="7">
        <v>5.6340000000000001E-2</v>
      </c>
      <c r="D364" s="7">
        <v>5.6340000000000001E-2</v>
      </c>
      <c r="E364" s="7">
        <v>5.6340000000000001E-2</v>
      </c>
      <c r="F364" s="7">
        <v>5.6340000000000001E-2</v>
      </c>
      <c r="G364" s="7">
        <v>2.29E-2</v>
      </c>
    </row>
    <row r="365" spans="2:7" x14ac:dyDescent="0.2">
      <c r="B365" s="60">
        <v>36553</v>
      </c>
      <c r="C365" s="7">
        <v>5.5930000000000001E-2</v>
      </c>
      <c r="D365" s="7">
        <v>5.5930000000000001E-2</v>
      </c>
      <c r="E365" s="7">
        <v>5.5930000000000001E-2</v>
      </c>
      <c r="F365" s="7">
        <v>5.5930000000000001E-2</v>
      </c>
      <c r="G365" s="7">
        <v>-7.3000000000000001E-3</v>
      </c>
    </row>
    <row r="366" spans="2:7" x14ac:dyDescent="0.2">
      <c r="B366" s="60">
        <v>36556</v>
      </c>
      <c r="C366" s="7">
        <v>5.5389999999999995E-2</v>
      </c>
      <c r="D366" s="7">
        <v>5.5389999999999995E-2</v>
      </c>
      <c r="E366" s="7">
        <v>5.5389999999999995E-2</v>
      </c>
      <c r="F366" s="7">
        <v>5.5389999999999995E-2</v>
      </c>
      <c r="G366" s="7">
        <v>-9.7000000000000003E-3</v>
      </c>
    </row>
    <row r="367" spans="2:7" x14ac:dyDescent="0.2">
      <c r="B367" s="60">
        <v>36557</v>
      </c>
      <c r="C367" s="7">
        <v>5.4560000000000004E-2</v>
      </c>
      <c r="D367" s="7">
        <v>5.4560000000000004E-2</v>
      </c>
      <c r="E367" s="7">
        <v>5.4560000000000004E-2</v>
      </c>
      <c r="F367" s="7">
        <v>5.4560000000000004E-2</v>
      </c>
      <c r="G367" s="7">
        <v>-1.4999999999999999E-2</v>
      </c>
    </row>
    <row r="368" spans="2:7" x14ac:dyDescent="0.2">
      <c r="B368" s="60">
        <v>36558</v>
      </c>
      <c r="C368" s="7">
        <v>5.4710000000000002E-2</v>
      </c>
      <c r="D368" s="7">
        <v>5.4710000000000002E-2</v>
      </c>
      <c r="E368" s="7">
        <v>5.4710000000000002E-2</v>
      </c>
      <c r="F368" s="7">
        <v>5.4710000000000002E-2</v>
      </c>
      <c r="G368" s="7">
        <v>2.7000000000000001E-3</v>
      </c>
    </row>
    <row r="369" spans="2:7" x14ac:dyDescent="0.2">
      <c r="B369" s="60">
        <v>36559</v>
      </c>
      <c r="C369" s="7">
        <v>5.4349999999999996E-2</v>
      </c>
      <c r="D369" s="7">
        <v>5.4349999999999996E-2</v>
      </c>
      <c r="E369" s="7">
        <v>5.4349999999999996E-2</v>
      </c>
      <c r="F369" s="7">
        <v>5.4349999999999996E-2</v>
      </c>
      <c r="G369" s="7">
        <v>-6.6E-3</v>
      </c>
    </row>
    <row r="370" spans="2:7" x14ac:dyDescent="0.2">
      <c r="B370" s="60">
        <v>36560</v>
      </c>
      <c r="C370" s="7">
        <v>5.4789999999999998E-2</v>
      </c>
      <c r="D370" s="7">
        <v>5.4789999999999998E-2</v>
      </c>
      <c r="E370" s="7">
        <v>5.4789999999999998E-2</v>
      </c>
      <c r="F370" s="7">
        <v>5.4789999999999998E-2</v>
      </c>
      <c r="G370" s="7">
        <v>8.0999999999999996E-3</v>
      </c>
    </row>
    <row r="371" spans="2:7" x14ac:dyDescent="0.2">
      <c r="B371" s="60">
        <v>36561</v>
      </c>
      <c r="C371" s="7">
        <v>5.5069999999999994E-2</v>
      </c>
      <c r="D371" s="7">
        <v>5.5069999999999994E-2</v>
      </c>
      <c r="E371" s="7">
        <v>5.5069999999999994E-2</v>
      </c>
      <c r="F371" s="7">
        <v>5.5069999999999994E-2</v>
      </c>
      <c r="G371" s="7">
        <v>5.1000000000000004E-3</v>
      </c>
    </row>
    <row r="372" spans="2:7" x14ac:dyDescent="0.2">
      <c r="B372" s="60">
        <v>36563</v>
      </c>
      <c r="C372" s="7">
        <v>5.527E-2</v>
      </c>
      <c r="D372" s="7">
        <v>5.527E-2</v>
      </c>
      <c r="E372" s="7">
        <v>5.527E-2</v>
      </c>
      <c r="F372" s="7">
        <v>5.527E-2</v>
      </c>
      <c r="G372" s="7">
        <v>3.5999999999999999E-3</v>
      </c>
    </row>
    <row r="373" spans="2:7" x14ac:dyDescent="0.2">
      <c r="B373" s="60">
        <v>36564</v>
      </c>
      <c r="C373" s="7">
        <v>5.4850000000000003E-2</v>
      </c>
      <c r="D373" s="7">
        <v>5.4850000000000003E-2</v>
      </c>
      <c r="E373" s="7">
        <v>5.4850000000000003E-2</v>
      </c>
      <c r="F373" s="7">
        <v>5.4850000000000003E-2</v>
      </c>
      <c r="G373" s="7">
        <v>-7.6E-3</v>
      </c>
    </row>
    <row r="374" spans="2:7" x14ac:dyDescent="0.2">
      <c r="B374" s="60">
        <v>36565</v>
      </c>
      <c r="C374" s="7">
        <v>5.4829999999999997E-2</v>
      </c>
      <c r="D374" s="7">
        <v>5.4829999999999997E-2</v>
      </c>
      <c r="E374" s="7">
        <v>5.4829999999999997E-2</v>
      </c>
      <c r="F374" s="7">
        <v>5.4829999999999997E-2</v>
      </c>
      <c r="G374" s="7">
        <v>-4.0000000000000002E-4</v>
      </c>
    </row>
    <row r="375" spans="2:7" x14ac:dyDescent="0.2">
      <c r="B375" s="60">
        <v>36566</v>
      </c>
      <c r="C375" s="7">
        <v>5.534E-2</v>
      </c>
      <c r="D375" s="7">
        <v>5.534E-2</v>
      </c>
      <c r="E375" s="7">
        <v>5.534E-2</v>
      </c>
      <c r="F375" s="7">
        <v>5.534E-2</v>
      </c>
      <c r="G375" s="7">
        <v>9.2999999999999992E-3</v>
      </c>
    </row>
    <row r="376" spans="2:7" x14ac:dyDescent="0.2">
      <c r="B376" s="60">
        <v>36567</v>
      </c>
      <c r="C376" s="7">
        <v>5.5910000000000001E-2</v>
      </c>
      <c r="D376" s="7">
        <v>5.5910000000000001E-2</v>
      </c>
      <c r="E376" s="7">
        <v>5.5910000000000001E-2</v>
      </c>
      <c r="F376" s="7">
        <v>5.5910000000000001E-2</v>
      </c>
      <c r="G376" s="7">
        <v>1.03E-2</v>
      </c>
    </row>
    <row r="377" spans="2:7" x14ac:dyDescent="0.2">
      <c r="B377" s="60">
        <v>36568</v>
      </c>
      <c r="C377" s="7">
        <v>5.595E-2</v>
      </c>
      <c r="D377" s="7">
        <v>5.595E-2</v>
      </c>
      <c r="E377" s="7">
        <v>5.595E-2</v>
      </c>
      <c r="F377" s="7">
        <v>5.595E-2</v>
      </c>
      <c r="G377" s="7">
        <v>6.9999999999999999E-4</v>
      </c>
    </row>
    <row r="378" spans="2:7" x14ac:dyDescent="0.2">
      <c r="B378" s="60">
        <v>36570</v>
      </c>
      <c r="C378" s="7">
        <v>5.5279999999999996E-2</v>
      </c>
      <c r="D378" s="7">
        <v>5.5279999999999996E-2</v>
      </c>
      <c r="E378" s="7">
        <v>5.5279999999999996E-2</v>
      </c>
      <c r="F378" s="7">
        <v>5.5279999999999996E-2</v>
      </c>
      <c r="G378" s="7">
        <v>-1.2E-2</v>
      </c>
    </row>
    <row r="379" spans="2:7" x14ac:dyDescent="0.2">
      <c r="B379" s="60">
        <v>36571</v>
      </c>
      <c r="C379" s="7">
        <v>5.5620000000000003E-2</v>
      </c>
      <c r="D379" s="7">
        <v>5.5620000000000003E-2</v>
      </c>
      <c r="E379" s="7">
        <v>5.5620000000000003E-2</v>
      </c>
      <c r="F379" s="7">
        <v>5.5620000000000003E-2</v>
      </c>
      <c r="G379" s="7">
        <v>6.1999999999999998E-3</v>
      </c>
    </row>
    <row r="380" spans="2:7" x14ac:dyDescent="0.2">
      <c r="B380" s="60">
        <v>36572</v>
      </c>
      <c r="C380" s="7">
        <v>5.6100000000000004E-2</v>
      </c>
      <c r="D380" s="7">
        <v>5.6100000000000004E-2</v>
      </c>
      <c r="E380" s="7">
        <v>5.6100000000000004E-2</v>
      </c>
      <c r="F380" s="7">
        <v>5.6100000000000004E-2</v>
      </c>
      <c r="G380" s="7">
        <v>8.6E-3</v>
      </c>
    </row>
    <row r="381" spans="2:7" x14ac:dyDescent="0.2">
      <c r="B381" s="60">
        <v>36573</v>
      </c>
      <c r="C381" s="7">
        <v>5.5570000000000001E-2</v>
      </c>
      <c r="D381" s="7">
        <v>5.5570000000000001E-2</v>
      </c>
      <c r="E381" s="7">
        <v>5.5570000000000001E-2</v>
      </c>
      <c r="F381" s="7">
        <v>5.5570000000000001E-2</v>
      </c>
      <c r="G381" s="7">
        <v>-9.4000000000000004E-3</v>
      </c>
    </row>
    <row r="382" spans="2:7" x14ac:dyDescent="0.2">
      <c r="B382" s="60">
        <v>36574</v>
      </c>
      <c r="C382" s="7">
        <v>5.5679999999999993E-2</v>
      </c>
      <c r="D382" s="7">
        <v>5.5679999999999993E-2</v>
      </c>
      <c r="E382" s="7">
        <v>5.5679999999999993E-2</v>
      </c>
      <c r="F382" s="7">
        <v>5.5679999999999993E-2</v>
      </c>
      <c r="G382" s="7">
        <v>2E-3</v>
      </c>
    </row>
    <row r="383" spans="2:7" x14ac:dyDescent="0.2">
      <c r="B383" s="60">
        <v>36575</v>
      </c>
      <c r="C383" s="7">
        <v>5.5679999999999993E-2</v>
      </c>
      <c r="D383" s="7">
        <v>5.5679999999999993E-2</v>
      </c>
      <c r="E383" s="7">
        <v>5.5679999999999993E-2</v>
      </c>
      <c r="F383" s="7">
        <v>5.5679999999999993E-2</v>
      </c>
      <c r="G383" s="7">
        <v>0</v>
      </c>
    </row>
    <row r="384" spans="2:7" x14ac:dyDescent="0.2">
      <c r="B384" s="60">
        <v>36577</v>
      </c>
      <c r="C384" s="7">
        <v>5.5289999999999999E-2</v>
      </c>
      <c r="D384" s="7">
        <v>5.5289999999999999E-2</v>
      </c>
      <c r="E384" s="7">
        <v>5.5289999999999999E-2</v>
      </c>
      <c r="F384" s="7">
        <v>5.5289999999999999E-2</v>
      </c>
      <c r="G384" s="7">
        <v>-7.0000000000000001E-3</v>
      </c>
    </row>
    <row r="385" spans="2:7" x14ac:dyDescent="0.2">
      <c r="B385" s="60">
        <v>36578</v>
      </c>
      <c r="C385" s="7">
        <v>5.4260000000000003E-2</v>
      </c>
      <c r="D385" s="7">
        <v>5.4260000000000003E-2</v>
      </c>
      <c r="E385" s="7">
        <v>5.4260000000000003E-2</v>
      </c>
      <c r="F385" s="7">
        <v>5.4260000000000003E-2</v>
      </c>
      <c r="G385" s="7">
        <v>-1.8599999999999998E-2</v>
      </c>
    </row>
    <row r="386" spans="2:7" x14ac:dyDescent="0.2">
      <c r="B386" s="60">
        <v>36579</v>
      </c>
      <c r="C386" s="7">
        <v>5.45E-2</v>
      </c>
      <c r="D386" s="7">
        <v>5.45E-2</v>
      </c>
      <c r="E386" s="7">
        <v>5.45E-2</v>
      </c>
      <c r="F386" s="7">
        <v>5.45E-2</v>
      </c>
      <c r="G386" s="7">
        <v>4.4000000000000003E-3</v>
      </c>
    </row>
    <row r="387" spans="2:7" x14ac:dyDescent="0.2">
      <c r="B387" s="60">
        <v>36580</v>
      </c>
      <c r="C387" s="7">
        <v>5.4690000000000003E-2</v>
      </c>
      <c r="D387" s="7">
        <v>5.4690000000000003E-2</v>
      </c>
      <c r="E387" s="7">
        <v>5.4690000000000003E-2</v>
      </c>
      <c r="F387" s="7">
        <v>5.4690000000000003E-2</v>
      </c>
      <c r="G387" s="7">
        <v>3.5000000000000001E-3</v>
      </c>
    </row>
    <row r="388" spans="2:7" x14ac:dyDescent="0.2">
      <c r="B388" s="60">
        <v>36581</v>
      </c>
      <c r="C388" s="7">
        <v>5.4260000000000003E-2</v>
      </c>
      <c r="D388" s="7">
        <v>5.4260000000000003E-2</v>
      </c>
      <c r="E388" s="7">
        <v>5.4260000000000003E-2</v>
      </c>
      <c r="F388" s="7">
        <v>5.4260000000000003E-2</v>
      </c>
      <c r="G388" s="7">
        <v>-7.9000000000000008E-3</v>
      </c>
    </row>
    <row r="389" spans="2:7" x14ac:dyDescent="0.2">
      <c r="B389" s="60">
        <v>36582</v>
      </c>
      <c r="C389" s="7">
        <v>5.4909999999999994E-2</v>
      </c>
      <c r="D389" s="7">
        <v>5.4909999999999994E-2</v>
      </c>
      <c r="E389" s="7">
        <v>5.4909999999999994E-2</v>
      </c>
      <c r="F389" s="7">
        <v>5.4909999999999994E-2</v>
      </c>
      <c r="G389" s="7">
        <v>1.2E-2</v>
      </c>
    </row>
    <row r="390" spans="2:7" x14ac:dyDescent="0.2">
      <c r="B390" s="60">
        <v>36584</v>
      </c>
      <c r="C390" s="7">
        <v>5.4939999999999996E-2</v>
      </c>
      <c r="D390" s="7">
        <v>5.4939999999999996E-2</v>
      </c>
      <c r="E390" s="7">
        <v>5.4939999999999996E-2</v>
      </c>
      <c r="F390" s="7">
        <v>5.4939999999999996E-2</v>
      </c>
      <c r="G390" s="7">
        <v>5.0000000000000001E-4</v>
      </c>
    </row>
    <row r="391" spans="2:7" x14ac:dyDescent="0.2">
      <c r="B391" s="60">
        <v>36585</v>
      </c>
      <c r="C391" s="7">
        <v>5.4909999999999994E-2</v>
      </c>
      <c r="D391" s="7">
        <v>5.4909999999999994E-2</v>
      </c>
      <c r="E391" s="7">
        <v>5.4909999999999994E-2</v>
      </c>
      <c r="F391" s="7">
        <v>5.4909999999999994E-2</v>
      </c>
      <c r="G391" s="7">
        <v>-5.0000000000000001E-4</v>
      </c>
    </row>
    <row r="392" spans="2:7" x14ac:dyDescent="0.2">
      <c r="B392" s="60">
        <v>36586</v>
      </c>
      <c r="C392" s="7">
        <v>5.4909999999999994E-2</v>
      </c>
      <c r="D392" s="7">
        <v>5.4909999999999994E-2</v>
      </c>
      <c r="E392" s="7">
        <v>5.4909999999999994E-2</v>
      </c>
      <c r="F392" s="7">
        <v>5.4909999999999994E-2</v>
      </c>
      <c r="G392" s="7">
        <v>0</v>
      </c>
    </row>
    <row r="393" spans="2:7" x14ac:dyDescent="0.2">
      <c r="B393" s="60">
        <v>36587</v>
      </c>
      <c r="C393" s="7">
        <v>5.518E-2</v>
      </c>
      <c r="D393" s="7">
        <v>5.518E-2</v>
      </c>
      <c r="E393" s="7">
        <v>5.518E-2</v>
      </c>
      <c r="F393" s="7">
        <v>5.518E-2</v>
      </c>
      <c r="G393" s="7">
        <v>4.8999999999999998E-3</v>
      </c>
    </row>
    <row r="394" spans="2:7" x14ac:dyDescent="0.2">
      <c r="B394" s="60">
        <v>36588</v>
      </c>
      <c r="C394" s="7">
        <v>5.4710000000000002E-2</v>
      </c>
      <c r="D394" s="7">
        <v>5.4710000000000002E-2</v>
      </c>
      <c r="E394" s="7">
        <v>5.4710000000000002E-2</v>
      </c>
      <c r="F394" s="7">
        <v>5.4710000000000002E-2</v>
      </c>
      <c r="G394" s="7">
        <v>-8.5000000000000006E-3</v>
      </c>
    </row>
    <row r="395" spans="2:7" x14ac:dyDescent="0.2">
      <c r="B395" s="60">
        <v>36589</v>
      </c>
      <c r="C395" s="7">
        <v>5.4610000000000006E-2</v>
      </c>
      <c r="D395" s="7">
        <v>5.4610000000000006E-2</v>
      </c>
      <c r="E395" s="7">
        <v>5.4610000000000006E-2</v>
      </c>
      <c r="F395" s="7">
        <v>5.4610000000000006E-2</v>
      </c>
      <c r="G395" s="7">
        <v>-1.8E-3</v>
      </c>
    </row>
    <row r="396" spans="2:7" x14ac:dyDescent="0.2">
      <c r="B396" s="60">
        <v>36591</v>
      </c>
      <c r="C396" s="7">
        <v>5.4450000000000005E-2</v>
      </c>
      <c r="D396" s="7">
        <v>5.4450000000000005E-2</v>
      </c>
      <c r="E396" s="7">
        <v>5.4450000000000005E-2</v>
      </c>
      <c r="F396" s="7">
        <v>5.4450000000000005E-2</v>
      </c>
      <c r="G396" s="7">
        <v>-2.8999999999999998E-3</v>
      </c>
    </row>
    <row r="397" spans="2:7" x14ac:dyDescent="0.2">
      <c r="B397" s="60">
        <v>36592</v>
      </c>
      <c r="C397" s="7">
        <v>5.4169999999999996E-2</v>
      </c>
      <c r="D397" s="7">
        <v>5.4169999999999996E-2</v>
      </c>
      <c r="E397" s="7">
        <v>5.4169999999999996E-2</v>
      </c>
      <c r="F397" s="7">
        <v>5.4169999999999996E-2</v>
      </c>
      <c r="G397" s="7">
        <v>-5.1000000000000004E-3</v>
      </c>
    </row>
    <row r="398" spans="2:7" x14ac:dyDescent="0.2">
      <c r="B398" s="60">
        <v>36593</v>
      </c>
      <c r="C398" s="7">
        <v>5.4459999999999995E-2</v>
      </c>
      <c r="D398" s="7">
        <v>5.4459999999999995E-2</v>
      </c>
      <c r="E398" s="7">
        <v>5.4459999999999995E-2</v>
      </c>
      <c r="F398" s="7">
        <v>5.4459999999999995E-2</v>
      </c>
      <c r="G398" s="7">
        <v>5.4000000000000003E-3</v>
      </c>
    </row>
    <row r="399" spans="2:7" x14ac:dyDescent="0.2">
      <c r="B399" s="60">
        <v>36594</v>
      </c>
      <c r="C399" s="7">
        <v>5.3789999999999998E-2</v>
      </c>
      <c r="D399" s="7">
        <v>5.3789999999999998E-2</v>
      </c>
      <c r="E399" s="7">
        <v>5.3789999999999998E-2</v>
      </c>
      <c r="F399" s="7">
        <v>5.3789999999999998E-2</v>
      </c>
      <c r="G399" s="7">
        <v>-1.23E-2</v>
      </c>
    </row>
    <row r="400" spans="2:7" x14ac:dyDescent="0.2">
      <c r="B400" s="60">
        <v>36595</v>
      </c>
      <c r="C400" s="7">
        <v>5.3470000000000004E-2</v>
      </c>
      <c r="D400" s="7">
        <v>5.3470000000000004E-2</v>
      </c>
      <c r="E400" s="7">
        <v>5.3470000000000004E-2</v>
      </c>
      <c r="F400" s="7">
        <v>5.3470000000000004E-2</v>
      </c>
      <c r="G400" s="7">
        <v>-5.8999999999999999E-3</v>
      </c>
    </row>
    <row r="401" spans="2:7" x14ac:dyDescent="0.2">
      <c r="B401" s="60">
        <v>36596</v>
      </c>
      <c r="C401" s="7">
        <v>5.3650000000000003E-2</v>
      </c>
      <c r="D401" s="7">
        <v>5.3650000000000003E-2</v>
      </c>
      <c r="E401" s="7">
        <v>5.3650000000000003E-2</v>
      </c>
      <c r="F401" s="7">
        <v>5.3650000000000003E-2</v>
      </c>
      <c r="G401" s="7">
        <v>3.3999999999999998E-3</v>
      </c>
    </row>
    <row r="402" spans="2:7" x14ac:dyDescent="0.2">
      <c r="B402" s="60">
        <v>36598</v>
      </c>
      <c r="C402" s="7">
        <v>5.3419999999999995E-2</v>
      </c>
      <c r="D402" s="7">
        <v>5.3419999999999995E-2</v>
      </c>
      <c r="E402" s="7">
        <v>5.3419999999999995E-2</v>
      </c>
      <c r="F402" s="7">
        <v>5.3419999999999995E-2</v>
      </c>
      <c r="G402" s="7">
        <v>-4.3E-3</v>
      </c>
    </row>
    <row r="403" spans="2:7" x14ac:dyDescent="0.2">
      <c r="B403" s="60">
        <v>36599</v>
      </c>
      <c r="C403" s="7">
        <v>5.3540000000000004E-2</v>
      </c>
      <c r="D403" s="7">
        <v>5.3540000000000004E-2</v>
      </c>
      <c r="E403" s="7">
        <v>5.3540000000000004E-2</v>
      </c>
      <c r="F403" s="7">
        <v>5.3540000000000004E-2</v>
      </c>
      <c r="G403" s="7">
        <v>2.2000000000000001E-3</v>
      </c>
    </row>
    <row r="404" spans="2:7" x14ac:dyDescent="0.2">
      <c r="B404" s="60">
        <v>36600</v>
      </c>
      <c r="C404" s="7">
        <v>5.321E-2</v>
      </c>
      <c r="D404" s="7">
        <v>5.321E-2</v>
      </c>
      <c r="E404" s="7">
        <v>5.321E-2</v>
      </c>
      <c r="F404" s="7">
        <v>5.321E-2</v>
      </c>
      <c r="G404" s="7">
        <v>-6.1999999999999998E-3</v>
      </c>
    </row>
    <row r="405" spans="2:7" x14ac:dyDescent="0.2">
      <c r="B405" s="60">
        <v>36601</v>
      </c>
      <c r="C405" s="7">
        <v>5.3259999999999995E-2</v>
      </c>
      <c r="D405" s="7">
        <v>5.3259999999999995E-2</v>
      </c>
      <c r="E405" s="7">
        <v>5.3259999999999995E-2</v>
      </c>
      <c r="F405" s="7">
        <v>5.3259999999999995E-2</v>
      </c>
      <c r="G405" s="7">
        <v>8.9999999999999998E-4</v>
      </c>
    </row>
    <row r="406" spans="2:7" x14ac:dyDescent="0.2">
      <c r="B406" s="60">
        <v>36602</v>
      </c>
      <c r="C406" s="7">
        <v>5.2900000000000003E-2</v>
      </c>
      <c r="D406" s="7">
        <v>5.2900000000000003E-2</v>
      </c>
      <c r="E406" s="7">
        <v>5.2900000000000003E-2</v>
      </c>
      <c r="F406" s="7">
        <v>5.2900000000000003E-2</v>
      </c>
      <c r="G406" s="7">
        <v>-6.7999999999999996E-3</v>
      </c>
    </row>
    <row r="407" spans="2:7" x14ac:dyDescent="0.2">
      <c r="B407" s="60">
        <v>36603</v>
      </c>
      <c r="C407" s="7">
        <v>5.2380000000000003E-2</v>
      </c>
      <c r="D407" s="7">
        <v>5.2380000000000003E-2</v>
      </c>
      <c r="E407" s="7">
        <v>5.2380000000000003E-2</v>
      </c>
      <c r="F407" s="7">
        <v>5.2380000000000003E-2</v>
      </c>
      <c r="G407" s="7">
        <v>-9.7999999999999997E-3</v>
      </c>
    </row>
    <row r="408" spans="2:7" x14ac:dyDescent="0.2">
      <c r="B408" s="60">
        <v>36605</v>
      </c>
      <c r="C408" s="7">
        <v>5.2519999999999997E-2</v>
      </c>
      <c r="D408" s="7">
        <v>5.2519999999999997E-2</v>
      </c>
      <c r="E408" s="7">
        <v>5.2519999999999997E-2</v>
      </c>
      <c r="F408" s="7">
        <v>5.2519999999999997E-2</v>
      </c>
      <c r="G408" s="7">
        <v>2.7000000000000001E-3</v>
      </c>
    </row>
    <row r="409" spans="2:7" x14ac:dyDescent="0.2">
      <c r="B409" s="60">
        <v>36606</v>
      </c>
      <c r="C409" s="7">
        <v>5.2249999999999998E-2</v>
      </c>
      <c r="D409" s="7">
        <v>5.2249999999999998E-2</v>
      </c>
      <c r="E409" s="7">
        <v>5.2249999999999998E-2</v>
      </c>
      <c r="F409" s="7">
        <v>5.2249999999999998E-2</v>
      </c>
      <c r="G409" s="7">
        <v>-5.1000000000000004E-3</v>
      </c>
    </row>
    <row r="410" spans="2:7" x14ac:dyDescent="0.2">
      <c r="B410" s="60">
        <v>36607</v>
      </c>
      <c r="C410" s="7">
        <v>5.2499999999999998E-2</v>
      </c>
      <c r="D410" s="7">
        <v>5.2499999999999998E-2</v>
      </c>
      <c r="E410" s="7">
        <v>5.2499999999999998E-2</v>
      </c>
      <c r="F410" s="7">
        <v>5.2499999999999998E-2</v>
      </c>
      <c r="G410" s="7">
        <v>4.7999999999999996E-3</v>
      </c>
    </row>
    <row r="411" spans="2:7" x14ac:dyDescent="0.2">
      <c r="B411" s="60">
        <v>36608</v>
      </c>
      <c r="C411" s="7">
        <v>5.2510000000000001E-2</v>
      </c>
      <c r="D411" s="7">
        <v>5.2510000000000001E-2</v>
      </c>
      <c r="E411" s="7">
        <v>5.2510000000000001E-2</v>
      </c>
      <c r="F411" s="7">
        <v>5.2510000000000001E-2</v>
      </c>
      <c r="G411" s="7">
        <v>2.0000000000000001E-4</v>
      </c>
    </row>
    <row r="412" spans="2:7" x14ac:dyDescent="0.2">
      <c r="B412" s="60">
        <v>36609</v>
      </c>
      <c r="C412" s="7">
        <v>5.2209999999999999E-2</v>
      </c>
      <c r="D412" s="7">
        <v>5.2209999999999999E-2</v>
      </c>
      <c r="E412" s="7">
        <v>5.2209999999999999E-2</v>
      </c>
      <c r="F412" s="7">
        <v>5.2209999999999999E-2</v>
      </c>
      <c r="G412" s="7">
        <v>-5.7000000000000002E-3</v>
      </c>
    </row>
    <row r="413" spans="2:7" x14ac:dyDescent="0.2">
      <c r="B413" s="60">
        <v>36610</v>
      </c>
      <c r="C413" s="7">
        <v>5.2489999999999995E-2</v>
      </c>
      <c r="D413" s="7">
        <v>5.2489999999999995E-2</v>
      </c>
      <c r="E413" s="7">
        <v>5.2489999999999995E-2</v>
      </c>
      <c r="F413" s="7">
        <v>5.2489999999999995E-2</v>
      </c>
      <c r="G413" s="7">
        <v>5.4000000000000003E-3</v>
      </c>
    </row>
    <row r="414" spans="2:7" x14ac:dyDescent="0.2">
      <c r="B414" s="60">
        <v>36611</v>
      </c>
      <c r="C414" s="7">
        <v>5.2539999999999996E-2</v>
      </c>
      <c r="D414" s="7">
        <v>5.2539999999999996E-2</v>
      </c>
      <c r="E414" s="7">
        <v>5.2539999999999996E-2</v>
      </c>
      <c r="F414" s="7">
        <v>5.2539999999999996E-2</v>
      </c>
      <c r="G414" s="7">
        <v>1E-3</v>
      </c>
    </row>
    <row r="415" spans="2:7" x14ac:dyDescent="0.2">
      <c r="B415" s="60">
        <v>36612</v>
      </c>
      <c r="C415" s="7">
        <v>5.3030000000000001E-2</v>
      </c>
      <c r="D415" s="7">
        <v>5.3030000000000001E-2</v>
      </c>
      <c r="E415" s="7">
        <v>5.3030000000000001E-2</v>
      </c>
      <c r="F415" s="7">
        <v>5.3030000000000001E-2</v>
      </c>
      <c r="G415" s="7">
        <v>9.2999999999999992E-3</v>
      </c>
    </row>
    <row r="416" spans="2:7" x14ac:dyDescent="0.2">
      <c r="B416" s="60">
        <v>36613</v>
      </c>
      <c r="C416" s="7">
        <v>5.2859999999999997E-2</v>
      </c>
      <c r="D416" s="7">
        <v>5.2859999999999997E-2</v>
      </c>
      <c r="E416" s="7">
        <v>5.2859999999999997E-2</v>
      </c>
      <c r="F416" s="7">
        <v>5.2859999999999997E-2</v>
      </c>
      <c r="G416" s="7">
        <v>-3.2000000000000002E-3</v>
      </c>
    </row>
    <row r="417" spans="2:7" x14ac:dyDescent="0.2">
      <c r="B417" s="60">
        <v>36614</v>
      </c>
      <c r="C417" s="7">
        <v>5.2979999999999999E-2</v>
      </c>
      <c r="D417" s="7">
        <v>5.2979999999999999E-2</v>
      </c>
      <c r="E417" s="7">
        <v>5.2979999999999999E-2</v>
      </c>
      <c r="F417" s="7">
        <v>5.2979999999999999E-2</v>
      </c>
      <c r="G417" s="7">
        <v>2.3E-3</v>
      </c>
    </row>
    <row r="418" spans="2:7" x14ac:dyDescent="0.2">
      <c r="B418" s="60">
        <v>36615</v>
      </c>
      <c r="C418" s="7">
        <v>5.2629999999999996E-2</v>
      </c>
      <c r="D418" s="7">
        <v>5.2629999999999996E-2</v>
      </c>
      <c r="E418" s="7">
        <v>5.2629999999999996E-2</v>
      </c>
      <c r="F418" s="7">
        <v>5.2629999999999996E-2</v>
      </c>
      <c r="G418" s="7">
        <v>-6.6E-3</v>
      </c>
    </row>
    <row r="419" spans="2:7" x14ac:dyDescent="0.2">
      <c r="B419" s="60">
        <v>36616</v>
      </c>
      <c r="C419" s="7">
        <v>5.2229999999999999E-2</v>
      </c>
      <c r="D419" s="7">
        <v>5.2229999999999999E-2</v>
      </c>
      <c r="E419" s="7">
        <v>5.2229999999999999E-2</v>
      </c>
      <c r="F419" s="7">
        <v>5.2229999999999999E-2</v>
      </c>
      <c r="G419" s="7">
        <v>-7.6E-3</v>
      </c>
    </row>
    <row r="420" spans="2:7" x14ac:dyDescent="0.2">
      <c r="B420" s="60">
        <v>36617</v>
      </c>
      <c r="C420" s="7">
        <v>5.2209999999999999E-2</v>
      </c>
      <c r="D420" s="7">
        <v>5.2209999999999999E-2</v>
      </c>
      <c r="E420" s="7">
        <v>5.2209999999999999E-2</v>
      </c>
      <c r="F420" s="7">
        <v>5.2209999999999999E-2</v>
      </c>
      <c r="G420" s="7">
        <v>-4.0000000000000002E-4</v>
      </c>
    </row>
    <row r="421" spans="2:7" x14ac:dyDescent="0.2">
      <c r="B421" s="60">
        <v>36618</v>
      </c>
      <c r="C421" s="7">
        <v>5.2209999999999999E-2</v>
      </c>
      <c r="D421" s="7">
        <v>5.2209999999999999E-2</v>
      </c>
      <c r="E421" s="7">
        <v>5.2209999999999999E-2</v>
      </c>
      <c r="F421" s="7">
        <v>5.2209999999999999E-2</v>
      </c>
      <c r="G421" s="7">
        <v>0</v>
      </c>
    </row>
    <row r="422" spans="2:7" x14ac:dyDescent="0.2">
      <c r="B422" s="60">
        <v>36619</v>
      </c>
      <c r="C422" s="7">
        <v>5.178E-2</v>
      </c>
      <c r="D422" s="7">
        <v>5.178E-2</v>
      </c>
      <c r="E422" s="7">
        <v>5.178E-2</v>
      </c>
      <c r="F422" s="7">
        <v>5.178E-2</v>
      </c>
      <c r="G422" s="7">
        <v>-8.2000000000000007E-3</v>
      </c>
    </row>
    <row r="423" spans="2:7" x14ac:dyDescent="0.2">
      <c r="B423" s="60">
        <v>36620</v>
      </c>
      <c r="C423" s="7">
        <v>5.1840000000000004E-2</v>
      </c>
      <c r="D423" s="7">
        <v>5.1840000000000004E-2</v>
      </c>
      <c r="E423" s="7">
        <v>5.1840000000000004E-2</v>
      </c>
      <c r="F423" s="7">
        <v>5.1840000000000004E-2</v>
      </c>
      <c r="G423" s="7">
        <v>1.1999999999999999E-3</v>
      </c>
    </row>
    <row r="424" spans="2:7" x14ac:dyDescent="0.2">
      <c r="B424" s="60">
        <v>36621</v>
      </c>
      <c r="C424" s="7">
        <v>5.16E-2</v>
      </c>
      <c r="D424" s="7">
        <v>5.16E-2</v>
      </c>
      <c r="E424" s="7">
        <v>5.16E-2</v>
      </c>
      <c r="F424" s="7">
        <v>5.16E-2</v>
      </c>
      <c r="G424" s="7">
        <v>-4.5999999999999999E-3</v>
      </c>
    </row>
    <row r="425" spans="2:7" x14ac:dyDescent="0.2">
      <c r="B425" s="60">
        <v>36622</v>
      </c>
      <c r="C425" s="7">
        <v>5.1810000000000002E-2</v>
      </c>
      <c r="D425" s="7">
        <v>5.1810000000000002E-2</v>
      </c>
      <c r="E425" s="7">
        <v>5.1810000000000002E-2</v>
      </c>
      <c r="F425" s="7">
        <v>5.1810000000000002E-2</v>
      </c>
      <c r="G425" s="7">
        <v>4.1000000000000003E-3</v>
      </c>
    </row>
    <row r="426" spans="2:7" x14ac:dyDescent="0.2">
      <c r="B426" s="60">
        <v>36623</v>
      </c>
      <c r="C426" s="7">
        <v>5.2009999999999994E-2</v>
      </c>
      <c r="D426" s="7">
        <v>5.2009999999999994E-2</v>
      </c>
      <c r="E426" s="7">
        <v>5.2009999999999994E-2</v>
      </c>
      <c r="F426" s="7">
        <v>5.2009999999999994E-2</v>
      </c>
      <c r="G426" s="7">
        <v>3.8999999999999998E-3</v>
      </c>
    </row>
    <row r="427" spans="2:7" x14ac:dyDescent="0.2">
      <c r="B427" s="60">
        <v>36624</v>
      </c>
      <c r="C427" s="7">
        <v>5.1889999999999999E-2</v>
      </c>
      <c r="D427" s="7">
        <v>5.1889999999999999E-2</v>
      </c>
      <c r="E427" s="7">
        <v>5.1889999999999999E-2</v>
      </c>
      <c r="F427" s="7">
        <v>5.1889999999999999E-2</v>
      </c>
      <c r="G427" s="7">
        <v>-2.3E-3</v>
      </c>
    </row>
    <row r="428" spans="2:7" x14ac:dyDescent="0.2">
      <c r="B428" s="60">
        <v>36625</v>
      </c>
      <c r="C428" s="7">
        <v>5.1869999999999999E-2</v>
      </c>
      <c r="D428" s="7">
        <v>5.1869999999999999E-2</v>
      </c>
      <c r="E428" s="7">
        <v>5.1869999999999999E-2</v>
      </c>
      <c r="F428" s="7">
        <v>5.1869999999999999E-2</v>
      </c>
      <c r="G428" s="7">
        <v>-4.0000000000000002E-4</v>
      </c>
    </row>
    <row r="429" spans="2:7" x14ac:dyDescent="0.2">
      <c r="B429" s="60">
        <v>36626</v>
      </c>
      <c r="C429" s="7">
        <v>5.1500000000000004E-2</v>
      </c>
      <c r="D429" s="7">
        <v>5.1500000000000004E-2</v>
      </c>
      <c r="E429" s="7">
        <v>5.1500000000000004E-2</v>
      </c>
      <c r="F429" s="7">
        <v>5.1500000000000004E-2</v>
      </c>
      <c r="G429" s="7">
        <v>-7.1000000000000004E-3</v>
      </c>
    </row>
    <row r="430" spans="2:7" x14ac:dyDescent="0.2">
      <c r="B430" s="60">
        <v>36627</v>
      </c>
      <c r="C430" s="7">
        <v>5.1200000000000002E-2</v>
      </c>
      <c r="D430" s="7">
        <v>5.1200000000000002E-2</v>
      </c>
      <c r="E430" s="7">
        <v>5.1200000000000002E-2</v>
      </c>
      <c r="F430" s="7">
        <v>5.1200000000000002E-2</v>
      </c>
      <c r="G430" s="7">
        <v>-5.7999999999999996E-3</v>
      </c>
    </row>
    <row r="431" spans="2:7" x14ac:dyDescent="0.2">
      <c r="B431" s="60">
        <v>36628</v>
      </c>
      <c r="C431" s="7">
        <v>5.1879999999999996E-2</v>
      </c>
      <c r="D431" s="7">
        <v>5.1879999999999996E-2</v>
      </c>
      <c r="E431" s="7">
        <v>5.1879999999999996E-2</v>
      </c>
      <c r="F431" s="7">
        <v>5.1879999999999996E-2</v>
      </c>
      <c r="G431" s="7">
        <v>1.3299999999999999E-2</v>
      </c>
    </row>
    <row r="432" spans="2:7" x14ac:dyDescent="0.2">
      <c r="B432" s="60">
        <v>36629</v>
      </c>
      <c r="C432" s="7">
        <v>5.1990000000000001E-2</v>
      </c>
      <c r="D432" s="7">
        <v>5.1990000000000001E-2</v>
      </c>
      <c r="E432" s="7">
        <v>5.1990000000000001E-2</v>
      </c>
      <c r="F432" s="7">
        <v>5.1990000000000001E-2</v>
      </c>
      <c r="G432" s="7">
        <v>2.0999999999999999E-3</v>
      </c>
    </row>
    <row r="433" spans="2:7" x14ac:dyDescent="0.2">
      <c r="B433" s="60">
        <v>36630</v>
      </c>
      <c r="C433" s="7">
        <v>5.1909999999999998E-2</v>
      </c>
      <c r="D433" s="7">
        <v>5.1909999999999998E-2</v>
      </c>
      <c r="E433" s="7">
        <v>5.1909999999999998E-2</v>
      </c>
      <c r="F433" s="7">
        <v>5.1909999999999998E-2</v>
      </c>
      <c r="G433" s="7">
        <v>-1.5E-3</v>
      </c>
    </row>
    <row r="434" spans="2:7" x14ac:dyDescent="0.2">
      <c r="B434" s="60">
        <v>36631</v>
      </c>
      <c r="C434" s="7">
        <v>5.2430000000000004E-2</v>
      </c>
      <c r="D434" s="7">
        <v>5.2430000000000004E-2</v>
      </c>
      <c r="E434" s="7">
        <v>5.2430000000000004E-2</v>
      </c>
      <c r="F434" s="7">
        <v>5.2430000000000004E-2</v>
      </c>
      <c r="G434" s="7">
        <v>0.01</v>
      </c>
    </row>
    <row r="435" spans="2:7" x14ac:dyDescent="0.2">
      <c r="B435" s="60">
        <v>36632</v>
      </c>
      <c r="C435" s="7">
        <v>5.2309999999999995E-2</v>
      </c>
      <c r="D435" s="7">
        <v>5.2309999999999995E-2</v>
      </c>
      <c r="E435" s="7">
        <v>5.2309999999999995E-2</v>
      </c>
      <c r="F435" s="7">
        <v>5.2309999999999995E-2</v>
      </c>
      <c r="G435" s="7">
        <v>-2.3E-3</v>
      </c>
    </row>
    <row r="436" spans="2:7" x14ac:dyDescent="0.2">
      <c r="B436" s="60">
        <v>36633</v>
      </c>
      <c r="C436" s="7">
        <v>5.2270000000000004E-2</v>
      </c>
      <c r="D436" s="7">
        <v>5.2270000000000004E-2</v>
      </c>
      <c r="E436" s="7">
        <v>5.2270000000000004E-2</v>
      </c>
      <c r="F436" s="7">
        <v>5.2270000000000004E-2</v>
      </c>
      <c r="G436" s="7">
        <v>-8.0000000000000004E-4</v>
      </c>
    </row>
    <row r="437" spans="2:7" x14ac:dyDescent="0.2">
      <c r="B437" s="60">
        <v>36634</v>
      </c>
      <c r="C437" s="7">
        <v>5.2519999999999997E-2</v>
      </c>
      <c r="D437" s="7">
        <v>5.2519999999999997E-2</v>
      </c>
      <c r="E437" s="7">
        <v>5.2519999999999997E-2</v>
      </c>
      <c r="F437" s="7">
        <v>5.2519999999999997E-2</v>
      </c>
      <c r="G437" s="7">
        <v>4.7999999999999996E-3</v>
      </c>
    </row>
    <row r="438" spans="2:7" x14ac:dyDescent="0.2">
      <c r="B438" s="60">
        <v>36635</v>
      </c>
      <c r="C438" s="7">
        <v>5.287E-2</v>
      </c>
      <c r="D438" s="7">
        <v>5.287E-2</v>
      </c>
      <c r="E438" s="7">
        <v>5.287E-2</v>
      </c>
      <c r="F438" s="7">
        <v>5.287E-2</v>
      </c>
      <c r="G438" s="7">
        <v>6.7000000000000002E-3</v>
      </c>
    </row>
    <row r="439" spans="2:7" x14ac:dyDescent="0.2">
      <c r="B439" s="60">
        <v>36636</v>
      </c>
      <c r="C439" s="7">
        <v>5.28E-2</v>
      </c>
      <c r="D439" s="7">
        <v>5.28E-2</v>
      </c>
      <c r="E439" s="7">
        <v>5.28E-2</v>
      </c>
      <c r="F439" s="7">
        <v>5.28E-2</v>
      </c>
      <c r="G439" s="7">
        <v>-1.2999999999999999E-3</v>
      </c>
    </row>
    <row r="440" spans="2:7" x14ac:dyDescent="0.2">
      <c r="B440" s="60">
        <v>36637</v>
      </c>
      <c r="C440" s="7">
        <v>5.3239999999999996E-2</v>
      </c>
      <c r="D440" s="7">
        <v>5.3239999999999996E-2</v>
      </c>
      <c r="E440" s="7">
        <v>5.3239999999999996E-2</v>
      </c>
      <c r="F440" s="7">
        <v>5.3239999999999996E-2</v>
      </c>
      <c r="G440" s="7">
        <v>8.3000000000000001E-3</v>
      </c>
    </row>
    <row r="441" spans="2:7" x14ac:dyDescent="0.2">
      <c r="B441" s="60">
        <v>36640</v>
      </c>
      <c r="C441" s="7">
        <v>5.3079999999999995E-2</v>
      </c>
      <c r="D441" s="7">
        <v>5.3079999999999995E-2</v>
      </c>
      <c r="E441" s="7">
        <v>5.3079999999999995E-2</v>
      </c>
      <c r="F441" s="7">
        <v>5.3079999999999995E-2</v>
      </c>
      <c r="G441" s="7">
        <v>-3.0000000000000001E-3</v>
      </c>
    </row>
    <row r="442" spans="2:7" x14ac:dyDescent="0.2">
      <c r="B442" s="60">
        <v>36641</v>
      </c>
      <c r="C442" s="7">
        <v>5.3370000000000001E-2</v>
      </c>
      <c r="D442" s="7">
        <v>5.3370000000000001E-2</v>
      </c>
      <c r="E442" s="7">
        <v>5.3370000000000001E-2</v>
      </c>
      <c r="F442" s="7">
        <v>5.3370000000000001E-2</v>
      </c>
      <c r="G442" s="7">
        <v>5.4999999999999997E-3</v>
      </c>
    </row>
    <row r="443" spans="2:7" x14ac:dyDescent="0.2">
      <c r="B443" s="60">
        <v>36642</v>
      </c>
      <c r="C443" s="7">
        <v>5.2779999999999994E-2</v>
      </c>
      <c r="D443" s="7">
        <v>5.2779999999999994E-2</v>
      </c>
      <c r="E443" s="7">
        <v>5.2779999999999994E-2</v>
      </c>
      <c r="F443" s="7">
        <v>5.2779999999999994E-2</v>
      </c>
      <c r="G443" s="7">
        <v>-1.11E-2</v>
      </c>
    </row>
    <row r="444" spans="2:7" x14ac:dyDescent="0.2">
      <c r="B444" s="60">
        <v>36643</v>
      </c>
      <c r="C444" s="7">
        <v>5.3010000000000002E-2</v>
      </c>
      <c r="D444" s="7">
        <v>5.3010000000000002E-2</v>
      </c>
      <c r="E444" s="7">
        <v>5.3010000000000002E-2</v>
      </c>
      <c r="F444" s="7">
        <v>5.3010000000000002E-2</v>
      </c>
      <c r="G444" s="7">
        <v>4.4000000000000003E-3</v>
      </c>
    </row>
    <row r="445" spans="2:7" x14ac:dyDescent="0.2">
      <c r="B445" s="60">
        <v>36644</v>
      </c>
      <c r="C445" s="7">
        <v>5.3010000000000002E-2</v>
      </c>
      <c r="D445" s="7">
        <v>5.3010000000000002E-2</v>
      </c>
      <c r="E445" s="7">
        <v>5.3010000000000002E-2</v>
      </c>
      <c r="F445" s="7">
        <v>5.3010000000000002E-2</v>
      </c>
      <c r="G445" s="7">
        <v>0</v>
      </c>
    </row>
    <row r="446" spans="2:7" x14ac:dyDescent="0.2">
      <c r="B446" s="60">
        <v>36645</v>
      </c>
      <c r="C446" s="7">
        <v>5.3040000000000004E-2</v>
      </c>
      <c r="D446" s="7">
        <v>5.3040000000000004E-2</v>
      </c>
      <c r="E446" s="7">
        <v>5.3040000000000004E-2</v>
      </c>
      <c r="F446" s="7">
        <v>5.3040000000000004E-2</v>
      </c>
      <c r="G446" s="7">
        <v>5.9999999999999995E-4</v>
      </c>
    </row>
    <row r="447" spans="2:7" x14ac:dyDescent="0.2">
      <c r="B447" s="60">
        <v>36647</v>
      </c>
      <c r="C447" s="7">
        <v>5.3010000000000002E-2</v>
      </c>
      <c r="D447" s="7">
        <v>5.3010000000000002E-2</v>
      </c>
      <c r="E447" s="7">
        <v>5.3010000000000002E-2</v>
      </c>
      <c r="F447" s="7">
        <v>5.3010000000000002E-2</v>
      </c>
      <c r="G447" s="7">
        <v>-5.9999999999999995E-4</v>
      </c>
    </row>
    <row r="448" spans="2:7" x14ac:dyDescent="0.2">
      <c r="B448" s="60">
        <v>36648</v>
      </c>
      <c r="C448" s="7">
        <v>5.3409999999999999E-2</v>
      </c>
      <c r="D448" s="7">
        <v>5.3409999999999999E-2</v>
      </c>
      <c r="E448" s="7">
        <v>5.3409999999999999E-2</v>
      </c>
      <c r="F448" s="7">
        <v>5.3409999999999999E-2</v>
      </c>
      <c r="G448" s="7">
        <v>7.4999999999999997E-3</v>
      </c>
    </row>
    <row r="449" spans="2:7" x14ac:dyDescent="0.2">
      <c r="B449" s="60">
        <v>36649</v>
      </c>
      <c r="C449" s="7">
        <v>5.4210000000000001E-2</v>
      </c>
      <c r="D449" s="7">
        <v>5.4210000000000001E-2</v>
      </c>
      <c r="E449" s="7">
        <v>5.4210000000000001E-2</v>
      </c>
      <c r="F449" s="7">
        <v>5.4210000000000001E-2</v>
      </c>
      <c r="G449" s="7">
        <v>1.4999999999999999E-2</v>
      </c>
    </row>
    <row r="450" spans="2:7" x14ac:dyDescent="0.2">
      <c r="B450" s="60">
        <v>36650</v>
      </c>
      <c r="C450" s="7">
        <v>5.457E-2</v>
      </c>
      <c r="D450" s="7">
        <v>5.457E-2</v>
      </c>
      <c r="E450" s="7">
        <v>5.457E-2</v>
      </c>
      <c r="F450" s="7">
        <v>5.457E-2</v>
      </c>
      <c r="G450" s="7">
        <v>6.6E-3</v>
      </c>
    </row>
    <row r="451" spans="2:7" x14ac:dyDescent="0.2">
      <c r="B451" s="60">
        <v>36651</v>
      </c>
      <c r="C451" s="7">
        <v>5.4359999999999999E-2</v>
      </c>
      <c r="D451" s="7">
        <v>5.4359999999999999E-2</v>
      </c>
      <c r="E451" s="7">
        <v>5.4359999999999999E-2</v>
      </c>
      <c r="F451" s="7">
        <v>5.4359999999999999E-2</v>
      </c>
      <c r="G451" s="7">
        <v>-3.8E-3</v>
      </c>
    </row>
    <row r="452" spans="2:7" x14ac:dyDescent="0.2">
      <c r="B452" s="60">
        <v>36652</v>
      </c>
      <c r="C452" s="7">
        <v>5.4459999999999995E-2</v>
      </c>
      <c r="D452" s="7">
        <v>5.4459999999999995E-2</v>
      </c>
      <c r="E452" s="7">
        <v>5.4459999999999995E-2</v>
      </c>
      <c r="F452" s="7">
        <v>5.4459999999999995E-2</v>
      </c>
      <c r="G452" s="7">
        <v>1.8E-3</v>
      </c>
    </row>
    <row r="453" spans="2:7" x14ac:dyDescent="0.2">
      <c r="B453" s="60">
        <v>36654</v>
      </c>
      <c r="C453" s="7">
        <v>5.4290000000000005E-2</v>
      </c>
      <c r="D453" s="7">
        <v>5.4290000000000005E-2</v>
      </c>
      <c r="E453" s="7">
        <v>5.4290000000000005E-2</v>
      </c>
      <c r="F453" s="7">
        <v>5.4290000000000005E-2</v>
      </c>
      <c r="G453" s="7">
        <v>-3.0999999999999999E-3</v>
      </c>
    </row>
    <row r="454" spans="2:7" x14ac:dyDescent="0.2">
      <c r="B454" s="60">
        <v>36655</v>
      </c>
      <c r="C454" s="7">
        <v>5.382E-2</v>
      </c>
      <c r="D454" s="7">
        <v>5.382E-2</v>
      </c>
      <c r="E454" s="7">
        <v>5.382E-2</v>
      </c>
      <c r="F454" s="7">
        <v>5.382E-2</v>
      </c>
      <c r="G454" s="7">
        <v>-8.6999999999999994E-3</v>
      </c>
    </row>
    <row r="455" spans="2:7" x14ac:dyDescent="0.2">
      <c r="B455" s="60">
        <v>36656</v>
      </c>
      <c r="C455" s="7">
        <v>5.3529999999999994E-2</v>
      </c>
      <c r="D455" s="7">
        <v>5.3529999999999994E-2</v>
      </c>
      <c r="E455" s="7">
        <v>5.3529999999999994E-2</v>
      </c>
      <c r="F455" s="7">
        <v>5.3529999999999994E-2</v>
      </c>
      <c r="G455" s="7">
        <v>-5.4000000000000003E-3</v>
      </c>
    </row>
    <row r="456" spans="2:7" x14ac:dyDescent="0.2">
      <c r="B456" s="60">
        <v>36657</v>
      </c>
      <c r="C456" s="7">
        <v>5.3949999999999998E-2</v>
      </c>
      <c r="D456" s="7">
        <v>5.3949999999999998E-2</v>
      </c>
      <c r="E456" s="7">
        <v>5.3949999999999998E-2</v>
      </c>
      <c r="F456" s="7">
        <v>5.3949999999999998E-2</v>
      </c>
      <c r="G456" s="7">
        <v>7.7999999999999996E-3</v>
      </c>
    </row>
    <row r="457" spans="2:7" x14ac:dyDescent="0.2">
      <c r="B457" s="60">
        <v>36658</v>
      </c>
      <c r="C457" s="7">
        <v>5.4189999999999995E-2</v>
      </c>
      <c r="D457" s="7">
        <v>5.4189999999999995E-2</v>
      </c>
      <c r="E457" s="7">
        <v>5.4189999999999995E-2</v>
      </c>
      <c r="F457" s="7">
        <v>5.4189999999999995E-2</v>
      </c>
      <c r="G457" s="7">
        <v>4.4000000000000003E-3</v>
      </c>
    </row>
    <row r="458" spans="2:7" x14ac:dyDescent="0.2">
      <c r="B458" s="60">
        <v>36659</v>
      </c>
      <c r="C458" s="7">
        <v>5.4019999999999999E-2</v>
      </c>
      <c r="D458" s="7">
        <v>5.4019999999999999E-2</v>
      </c>
      <c r="E458" s="7">
        <v>5.4019999999999999E-2</v>
      </c>
      <c r="F458" s="7">
        <v>5.4019999999999999E-2</v>
      </c>
      <c r="G458" s="7">
        <v>-3.0999999999999999E-3</v>
      </c>
    </row>
    <row r="459" spans="2:7" x14ac:dyDescent="0.2">
      <c r="B459" s="60">
        <v>36661</v>
      </c>
      <c r="C459" s="7">
        <v>5.3699999999999998E-2</v>
      </c>
      <c r="D459" s="7">
        <v>5.3699999999999998E-2</v>
      </c>
      <c r="E459" s="7">
        <v>5.3699999999999998E-2</v>
      </c>
      <c r="F459" s="7">
        <v>5.3699999999999998E-2</v>
      </c>
      <c r="G459" s="7">
        <v>-5.8999999999999999E-3</v>
      </c>
    </row>
    <row r="460" spans="2:7" x14ac:dyDescent="0.2">
      <c r="B460" s="60">
        <v>36662</v>
      </c>
      <c r="C460" s="7">
        <v>5.3859999999999998E-2</v>
      </c>
      <c r="D460" s="7">
        <v>5.3859999999999998E-2</v>
      </c>
      <c r="E460" s="7">
        <v>5.3859999999999998E-2</v>
      </c>
      <c r="F460" s="7">
        <v>5.3859999999999998E-2</v>
      </c>
      <c r="G460" s="7">
        <v>3.0000000000000001E-3</v>
      </c>
    </row>
    <row r="461" spans="2:7" x14ac:dyDescent="0.2">
      <c r="B461" s="60">
        <v>36663</v>
      </c>
      <c r="C461" s="7">
        <v>5.398E-2</v>
      </c>
      <c r="D461" s="7">
        <v>5.398E-2</v>
      </c>
      <c r="E461" s="7">
        <v>5.398E-2</v>
      </c>
      <c r="F461" s="7">
        <v>5.398E-2</v>
      </c>
      <c r="G461" s="7">
        <v>2.2000000000000001E-3</v>
      </c>
    </row>
    <row r="462" spans="2:7" x14ac:dyDescent="0.2">
      <c r="B462" s="60">
        <v>36664</v>
      </c>
      <c r="C462" s="7">
        <v>5.4189999999999995E-2</v>
      </c>
      <c r="D462" s="7">
        <v>5.4189999999999995E-2</v>
      </c>
      <c r="E462" s="7">
        <v>5.4189999999999995E-2</v>
      </c>
      <c r="F462" s="7">
        <v>5.4189999999999995E-2</v>
      </c>
      <c r="G462" s="7">
        <v>3.8999999999999998E-3</v>
      </c>
    </row>
    <row r="463" spans="2:7" x14ac:dyDescent="0.2">
      <c r="B463" s="60">
        <v>36665</v>
      </c>
      <c r="C463" s="7">
        <v>5.4290000000000005E-2</v>
      </c>
      <c r="D463" s="7">
        <v>5.4290000000000005E-2</v>
      </c>
      <c r="E463" s="7">
        <v>5.4290000000000005E-2</v>
      </c>
      <c r="F463" s="7">
        <v>5.4290000000000005E-2</v>
      </c>
      <c r="G463" s="7">
        <v>1.8E-3</v>
      </c>
    </row>
    <row r="464" spans="2:7" x14ac:dyDescent="0.2">
      <c r="B464" s="60">
        <v>36666</v>
      </c>
      <c r="C464" s="7">
        <v>5.4039999999999998E-2</v>
      </c>
      <c r="D464" s="7">
        <v>5.4039999999999998E-2</v>
      </c>
      <c r="E464" s="7">
        <v>5.4039999999999998E-2</v>
      </c>
      <c r="F464" s="7">
        <v>5.4039999999999998E-2</v>
      </c>
      <c r="G464" s="7">
        <v>-4.5999999999999999E-3</v>
      </c>
    </row>
    <row r="465" spans="2:7" x14ac:dyDescent="0.2">
      <c r="B465" s="60">
        <v>36668</v>
      </c>
      <c r="C465" s="7">
        <v>5.3230000000000006E-2</v>
      </c>
      <c r="D465" s="7">
        <v>5.3230000000000006E-2</v>
      </c>
      <c r="E465" s="7">
        <v>5.3230000000000006E-2</v>
      </c>
      <c r="F465" s="7">
        <v>5.3230000000000006E-2</v>
      </c>
      <c r="G465" s="7">
        <v>-1.4999999999999999E-2</v>
      </c>
    </row>
    <row r="466" spans="2:7" x14ac:dyDescent="0.2">
      <c r="B466" s="60">
        <v>36669</v>
      </c>
      <c r="C466" s="7">
        <v>5.3360000000000005E-2</v>
      </c>
      <c r="D466" s="7">
        <v>5.3360000000000005E-2</v>
      </c>
      <c r="E466" s="7">
        <v>5.3360000000000005E-2</v>
      </c>
      <c r="F466" s="7">
        <v>5.3360000000000005E-2</v>
      </c>
      <c r="G466" s="7">
        <v>2.3999999999999998E-3</v>
      </c>
    </row>
    <row r="467" spans="2:7" x14ac:dyDescent="0.2">
      <c r="B467" s="60">
        <v>36670</v>
      </c>
      <c r="C467" s="7">
        <v>5.2949999999999997E-2</v>
      </c>
      <c r="D467" s="7">
        <v>5.2949999999999997E-2</v>
      </c>
      <c r="E467" s="7">
        <v>5.2949999999999997E-2</v>
      </c>
      <c r="F467" s="7">
        <v>5.2949999999999997E-2</v>
      </c>
      <c r="G467" s="7">
        <v>-7.7000000000000002E-3</v>
      </c>
    </row>
    <row r="468" spans="2:7" x14ac:dyDescent="0.2">
      <c r="B468" s="60">
        <v>36671</v>
      </c>
      <c r="C468" s="7">
        <v>5.3230000000000006E-2</v>
      </c>
      <c r="D468" s="7">
        <v>5.3230000000000006E-2</v>
      </c>
      <c r="E468" s="7">
        <v>5.3230000000000006E-2</v>
      </c>
      <c r="F468" s="7">
        <v>5.3230000000000006E-2</v>
      </c>
      <c r="G468" s="7">
        <v>5.3E-3</v>
      </c>
    </row>
    <row r="469" spans="2:7" x14ac:dyDescent="0.2">
      <c r="B469" s="60">
        <v>36672</v>
      </c>
      <c r="C469" s="7">
        <v>5.2440000000000001E-2</v>
      </c>
      <c r="D469" s="7">
        <v>5.2440000000000001E-2</v>
      </c>
      <c r="E469" s="7">
        <v>5.2440000000000001E-2</v>
      </c>
      <c r="F469" s="7">
        <v>5.2440000000000001E-2</v>
      </c>
      <c r="G469" s="7">
        <v>-1.4800000000000001E-2</v>
      </c>
    </row>
    <row r="470" spans="2:7" x14ac:dyDescent="0.2">
      <c r="B470" s="60">
        <v>36673</v>
      </c>
      <c r="C470" s="7">
        <v>5.1990000000000001E-2</v>
      </c>
      <c r="D470" s="7">
        <v>5.1990000000000001E-2</v>
      </c>
      <c r="E470" s="7">
        <v>5.1990000000000001E-2</v>
      </c>
      <c r="F470" s="7">
        <v>5.1990000000000001E-2</v>
      </c>
      <c r="G470" s="7">
        <v>-8.6E-3</v>
      </c>
    </row>
    <row r="471" spans="2:7" x14ac:dyDescent="0.2">
      <c r="B471" s="60">
        <v>36674</v>
      </c>
      <c r="C471" s="7">
        <v>5.1920000000000001E-2</v>
      </c>
      <c r="D471" s="7">
        <v>5.1920000000000001E-2</v>
      </c>
      <c r="E471" s="7">
        <v>5.1920000000000001E-2</v>
      </c>
      <c r="F471" s="7">
        <v>5.1920000000000001E-2</v>
      </c>
      <c r="G471" s="7">
        <v>-1.2999999999999999E-3</v>
      </c>
    </row>
    <row r="472" spans="2:7" x14ac:dyDescent="0.2">
      <c r="B472" s="60">
        <v>36675</v>
      </c>
      <c r="C472" s="7">
        <v>5.2130000000000003E-2</v>
      </c>
      <c r="D472" s="7">
        <v>5.2130000000000003E-2</v>
      </c>
      <c r="E472" s="7">
        <v>5.2130000000000003E-2</v>
      </c>
      <c r="F472" s="7">
        <v>5.2130000000000003E-2</v>
      </c>
      <c r="G472" s="7">
        <v>4.0000000000000001E-3</v>
      </c>
    </row>
    <row r="473" spans="2:7" x14ac:dyDescent="0.2">
      <c r="B473" s="60">
        <v>36676</v>
      </c>
      <c r="C473" s="7">
        <v>5.2510000000000001E-2</v>
      </c>
      <c r="D473" s="7">
        <v>5.2510000000000001E-2</v>
      </c>
      <c r="E473" s="7">
        <v>5.2510000000000001E-2</v>
      </c>
      <c r="F473" s="7">
        <v>5.2510000000000001E-2</v>
      </c>
      <c r="G473" s="7">
        <v>7.3000000000000001E-3</v>
      </c>
    </row>
    <row r="474" spans="2:7" x14ac:dyDescent="0.2">
      <c r="B474" s="60">
        <v>36677</v>
      </c>
      <c r="C474" s="7">
        <v>5.1769999999999997E-2</v>
      </c>
      <c r="D474" s="7">
        <v>5.1769999999999997E-2</v>
      </c>
      <c r="E474" s="7">
        <v>5.1769999999999997E-2</v>
      </c>
      <c r="F474" s="7">
        <v>5.1769999999999997E-2</v>
      </c>
      <c r="G474" s="7">
        <v>-1.41E-2</v>
      </c>
    </row>
    <row r="475" spans="2:7" x14ac:dyDescent="0.2">
      <c r="B475" s="60">
        <v>36678</v>
      </c>
      <c r="C475" s="7">
        <v>5.1749999999999997E-2</v>
      </c>
      <c r="D475" s="7">
        <v>5.1749999999999997E-2</v>
      </c>
      <c r="E475" s="7">
        <v>5.1749999999999997E-2</v>
      </c>
      <c r="F475" s="7">
        <v>5.1749999999999997E-2</v>
      </c>
      <c r="G475" s="7">
        <v>-4.0000000000000002E-4</v>
      </c>
    </row>
    <row r="476" spans="2:7" x14ac:dyDescent="0.2">
      <c r="B476" s="60">
        <v>36679</v>
      </c>
      <c r="C476" s="7">
        <v>5.1299999999999998E-2</v>
      </c>
      <c r="D476" s="7">
        <v>5.1299999999999998E-2</v>
      </c>
      <c r="E476" s="7">
        <v>5.1299999999999998E-2</v>
      </c>
      <c r="F476" s="7">
        <v>5.1299999999999998E-2</v>
      </c>
      <c r="G476" s="7">
        <v>-8.6999999999999994E-3</v>
      </c>
    </row>
    <row r="477" spans="2:7" x14ac:dyDescent="0.2">
      <c r="B477" s="60">
        <v>36680</v>
      </c>
      <c r="C477" s="7">
        <v>5.0970000000000001E-2</v>
      </c>
      <c r="D477" s="7">
        <v>5.0970000000000001E-2</v>
      </c>
      <c r="E477" s="7">
        <v>5.0970000000000001E-2</v>
      </c>
      <c r="F477" s="7">
        <v>5.0970000000000001E-2</v>
      </c>
      <c r="G477" s="7">
        <v>-6.4000000000000003E-3</v>
      </c>
    </row>
    <row r="478" spans="2:7" x14ac:dyDescent="0.2">
      <c r="B478" s="60">
        <v>36682</v>
      </c>
      <c r="C478" s="7">
        <v>5.0789999999999995E-2</v>
      </c>
      <c r="D478" s="7">
        <v>5.0789999999999995E-2</v>
      </c>
      <c r="E478" s="7">
        <v>5.0789999999999995E-2</v>
      </c>
      <c r="F478" s="7">
        <v>5.0789999999999995E-2</v>
      </c>
      <c r="G478" s="7">
        <v>-3.5000000000000001E-3</v>
      </c>
    </row>
    <row r="479" spans="2:7" x14ac:dyDescent="0.2">
      <c r="B479" s="60">
        <v>36683</v>
      </c>
      <c r="C479" s="7">
        <v>5.135E-2</v>
      </c>
      <c r="D479" s="7">
        <v>5.135E-2</v>
      </c>
      <c r="E479" s="7">
        <v>5.135E-2</v>
      </c>
      <c r="F479" s="7">
        <v>5.135E-2</v>
      </c>
      <c r="G479" s="7">
        <v>1.0999999999999999E-2</v>
      </c>
    </row>
    <row r="480" spans="2:7" x14ac:dyDescent="0.2">
      <c r="B480" s="60">
        <v>36684</v>
      </c>
      <c r="C480" s="7">
        <v>5.1210000000000006E-2</v>
      </c>
      <c r="D480" s="7">
        <v>5.1210000000000006E-2</v>
      </c>
      <c r="E480" s="7">
        <v>5.1210000000000006E-2</v>
      </c>
      <c r="F480" s="7">
        <v>5.1210000000000006E-2</v>
      </c>
      <c r="G480" s="7">
        <v>-2.7000000000000001E-3</v>
      </c>
    </row>
    <row r="481" spans="2:7" x14ac:dyDescent="0.2">
      <c r="B481" s="60">
        <v>36685</v>
      </c>
      <c r="C481" s="7">
        <v>5.1710000000000006E-2</v>
      </c>
      <c r="D481" s="7">
        <v>5.1710000000000006E-2</v>
      </c>
      <c r="E481" s="7">
        <v>5.1710000000000006E-2</v>
      </c>
      <c r="F481" s="7">
        <v>5.1710000000000006E-2</v>
      </c>
      <c r="G481" s="7">
        <v>9.7999999999999997E-3</v>
      </c>
    </row>
    <row r="482" spans="2:7" x14ac:dyDescent="0.2">
      <c r="B482" s="60">
        <v>36686</v>
      </c>
      <c r="C482" s="7">
        <v>5.1529999999999992E-2</v>
      </c>
      <c r="D482" s="7">
        <v>5.1529999999999992E-2</v>
      </c>
      <c r="E482" s="7">
        <v>5.1529999999999992E-2</v>
      </c>
      <c r="F482" s="7">
        <v>5.1529999999999992E-2</v>
      </c>
      <c r="G482" s="7">
        <v>-3.5000000000000001E-3</v>
      </c>
    </row>
    <row r="483" spans="2:7" x14ac:dyDescent="0.2">
      <c r="B483" s="60">
        <v>36687</v>
      </c>
      <c r="C483" s="7">
        <v>5.1459999999999999E-2</v>
      </c>
      <c r="D483" s="7">
        <v>5.1459999999999999E-2</v>
      </c>
      <c r="E483" s="7">
        <v>5.1459999999999999E-2</v>
      </c>
      <c r="F483" s="7">
        <v>5.1459999999999999E-2</v>
      </c>
      <c r="G483" s="7">
        <v>-1.4E-3</v>
      </c>
    </row>
    <row r="484" spans="2:7" x14ac:dyDescent="0.2">
      <c r="B484" s="60">
        <v>36689</v>
      </c>
      <c r="C484" s="7">
        <v>5.1459999999999999E-2</v>
      </c>
      <c r="D484" s="7">
        <v>5.1459999999999999E-2</v>
      </c>
      <c r="E484" s="7">
        <v>5.1459999999999999E-2</v>
      </c>
      <c r="F484" s="7">
        <v>5.1459999999999999E-2</v>
      </c>
      <c r="G484" s="7">
        <v>0</v>
      </c>
    </row>
    <row r="485" spans="2:7" x14ac:dyDescent="0.2">
      <c r="B485" s="60">
        <v>36690</v>
      </c>
      <c r="C485" s="7">
        <v>5.1609999999999996E-2</v>
      </c>
      <c r="D485" s="7">
        <v>5.1609999999999996E-2</v>
      </c>
      <c r="E485" s="7">
        <v>5.1609999999999996E-2</v>
      </c>
      <c r="F485" s="7">
        <v>5.1609999999999996E-2</v>
      </c>
      <c r="G485" s="7">
        <v>2.8999999999999998E-3</v>
      </c>
    </row>
    <row r="486" spans="2:7" x14ac:dyDescent="0.2">
      <c r="B486" s="60">
        <v>36691</v>
      </c>
      <c r="C486" s="7">
        <v>5.1399999999999994E-2</v>
      </c>
      <c r="D486" s="7">
        <v>5.1399999999999994E-2</v>
      </c>
      <c r="E486" s="7">
        <v>5.1399999999999994E-2</v>
      </c>
      <c r="F486" s="7">
        <v>5.1399999999999994E-2</v>
      </c>
      <c r="G486" s="7">
        <v>-4.1000000000000003E-3</v>
      </c>
    </row>
    <row r="487" spans="2:7" x14ac:dyDescent="0.2">
      <c r="B487" s="60">
        <v>36692</v>
      </c>
      <c r="C487" s="7">
        <v>5.1619999999999999E-2</v>
      </c>
      <c r="D487" s="7">
        <v>5.1619999999999999E-2</v>
      </c>
      <c r="E487" s="7">
        <v>5.1619999999999999E-2</v>
      </c>
      <c r="F487" s="7">
        <v>5.1619999999999999E-2</v>
      </c>
      <c r="G487" s="7">
        <v>4.3E-3</v>
      </c>
    </row>
    <row r="488" spans="2:7" x14ac:dyDescent="0.2">
      <c r="B488" s="60">
        <v>36693</v>
      </c>
      <c r="C488" s="7">
        <v>5.0869999999999999E-2</v>
      </c>
      <c r="D488" s="7">
        <v>5.0869999999999999E-2</v>
      </c>
      <c r="E488" s="7">
        <v>5.0869999999999999E-2</v>
      </c>
      <c r="F488" s="7">
        <v>5.0869999999999999E-2</v>
      </c>
      <c r="G488" s="7">
        <v>-1.4500000000000001E-2</v>
      </c>
    </row>
    <row r="489" spans="2:7" x14ac:dyDescent="0.2">
      <c r="B489" s="60">
        <v>36694</v>
      </c>
      <c r="C489" s="7">
        <v>5.0979999999999998E-2</v>
      </c>
      <c r="D489" s="7">
        <v>5.0979999999999998E-2</v>
      </c>
      <c r="E489" s="7">
        <v>5.0979999999999998E-2</v>
      </c>
      <c r="F489" s="7">
        <v>5.0979999999999998E-2</v>
      </c>
      <c r="G489" s="7">
        <v>2.2000000000000001E-3</v>
      </c>
    </row>
    <row r="490" spans="2:7" x14ac:dyDescent="0.2">
      <c r="B490" s="60">
        <v>36696</v>
      </c>
      <c r="C490" s="7">
        <v>5.074E-2</v>
      </c>
      <c r="D490" s="7">
        <v>5.074E-2</v>
      </c>
      <c r="E490" s="7">
        <v>5.074E-2</v>
      </c>
      <c r="F490" s="7">
        <v>5.074E-2</v>
      </c>
      <c r="G490" s="7">
        <v>-4.7000000000000002E-3</v>
      </c>
    </row>
    <row r="491" spans="2:7" x14ac:dyDescent="0.2">
      <c r="B491" s="60">
        <v>36697</v>
      </c>
      <c r="C491" s="7">
        <v>5.1070000000000004E-2</v>
      </c>
      <c r="D491" s="7">
        <v>5.1070000000000004E-2</v>
      </c>
      <c r="E491" s="7">
        <v>5.1070000000000004E-2</v>
      </c>
      <c r="F491" s="7">
        <v>5.1070000000000004E-2</v>
      </c>
      <c r="G491" s="7">
        <v>6.4999999999999997E-3</v>
      </c>
    </row>
    <row r="492" spans="2:7" x14ac:dyDescent="0.2">
      <c r="B492" s="60">
        <v>36698</v>
      </c>
      <c r="C492" s="7">
        <v>5.1980000000000005E-2</v>
      </c>
      <c r="D492" s="7">
        <v>5.1980000000000005E-2</v>
      </c>
      <c r="E492" s="7">
        <v>5.1980000000000005E-2</v>
      </c>
      <c r="F492" s="7">
        <v>5.1980000000000005E-2</v>
      </c>
      <c r="G492" s="7">
        <v>1.78E-2</v>
      </c>
    </row>
    <row r="493" spans="2:7" x14ac:dyDescent="0.2">
      <c r="B493" s="60">
        <v>36699</v>
      </c>
      <c r="C493" s="7">
        <v>5.2329999999999995E-2</v>
      </c>
      <c r="D493" s="7">
        <v>5.2329999999999995E-2</v>
      </c>
      <c r="E493" s="7">
        <v>5.2329999999999995E-2</v>
      </c>
      <c r="F493" s="7">
        <v>5.2329999999999995E-2</v>
      </c>
      <c r="G493" s="7">
        <v>6.7000000000000002E-3</v>
      </c>
    </row>
    <row r="494" spans="2:7" x14ac:dyDescent="0.2">
      <c r="B494" s="60">
        <v>36700</v>
      </c>
      <c r="C494" s="7">
        <v>5.2329999999999995E-2</v>
      </c>
      <c r="D494" s="7">
        <v>5.2329999999999995E-2</v>
      </c>
      <c r="E494" s="7">
        <v>5.2329999999999995E-2</v>
      </c>
      <c r="F494" s="7">
        <v>5.2329999999999995E-2</v>
      </c>
      <c r="G494" s="7">
        <v>0</v>
      </c>
    </row>
    <row r="495" spans="2:7" x14ac:dyDescent="0.2">
      <c r="B495" s="60">
        <v>36701</v>
      </c>
      <c r="C495" s="7">
        <v>5.2539999999999996E-2</v>
      </c>
      <c r="D495" s="7">
        <v>5.2539999999999996E-2</v>
      </c>
      <c r="E495" s="7">
        <v>5.2539999999999996E-2</v>
      </c>
      <c r="F495" s="7">
        <v>5.2539999999999996E-2</v>
      </c>
      <c r="G495" s="7">
        <v>4.0000000000000001E-3</v>
      </c>
    </row>
    <row r="496" spans="2:7" x14ac:dyDescent="0.2">
      <c r="B496" s="60">
        <v>36703</v>
      </c>
      <c r="C496" s="7">
        <v>5.2859999999999997E-2</v>
      </c>
      <c r="D496" s="7">
        <v>5.2859999999999997E-2</v>
      </c>
      <c r="E496" s="7">
        <v>5.2859999999999997E-2</v>
      </c>
      <c r="F496" s="7">
        <v>5.2859999999999997E-2</v>
      </c>
      <c r="G496" s="7">
        <v>6.1000000000000004E-3</v>
      </c>
    </row>
    <row r="497" spans="2:7" x14ac:dyDescent="0.2">
      <c r="B497" s="60">
        <v>36704</v>
      </c>
      <c r="C497" s="7">
        <v>5.2409999999999998E-2</v>
      </c>
      <c r="D497" s="7">
        <v>5.2409999999999998E-2</v>
      </c>
      <c r="E497" s="7">
        <v>5.2409999999999998E-2</v>
      </c>
      <c r="F497" s="7">
        <v>5.2409999999999998E-2</v>
      </c>
      <c r="G497" s="7">
        <v>-8.5000000000000006E-3</v>
      </c>
    </row>
    <row r="498" spans="2:7" x14ac:dyDescent="0.2">
      <c r="B498" s="60">
        <v>36705</v>
      </c>
      <c r="C498" s="7">
        <v>5.2420000000000001E-2</v>
      </c>
      <c r="D498" s="7">
        <v>5.2420000000000001E-2</v>
      </c>
      <c r="E498" s="7">
        <v>5.2420000000000001E-2</v>
      </c>
      <c r="F498" s="7">
        <v>5.2420000000000001E-2</v>
      </c>
      <c r="G498" s="7">
        <v>2.0000000000000001E-4</v>
      </c>
    </row>
    <row r="499" spans="2:7" x14ac:dyDescent="0.2">
      <c r="B499" s="60">
        <v>36706</v>
      </c>
      <c r="C499" s="7">
        <v>5.2460000000000007E-2</v>
      </c>
      <c r="D499" s="7">
        <v>5.2460000000000007E-2</v>
      </c>
      <c r="E499" s="7">
        <v>5.2460000000000007E-2</v>
      </c>
      <c r="F499" s="7">
        <v>5.2460000000000007E-2</v>
      </c>
      <c r="G499" s="7">
        <v>8.0000000000000004E-4</v>
      </c>
    </row>
    <row r="500" spans="2:7" x14ac:dyDescent="0.2">
      <c r="B500" s="60">
        <v>36707</v>
      </c>
      <c r="C500" s="7">
        <v>5.2229999999999999E-2</v>
      </c>
      <c r="D500" s="7">
        <v>5.2229999999999999E-2</v>
      </c>
      <c r="E500" s="7">
        <v>5.2229999999999999E-2</v>
      </c>
      <c r="F500" s="7">
        <v>5.2229999999999999E-2</v>
      </c>
      <c r="G500" s="7">
        <v>-4.4000000000000003E-3</v>
      </c>
    </row>
    <row r="501" spans="2:7" x14ac:dyDescent="0.2">
      <c r="B501" s="60">
        <v>36708</v>
      </c>
      <c r="C501" s="7">
        <v>5.2440000000000001E-2</v>
      </c>
      <c r="D501" s="7">
        <v>5.2440000000000001E-2</v>
      </c>
      <c r="E501" s="7">
        <v>5.2440000000000001E-2</v>
      </c>
      <c r="F501" s="7">
        <v>5.2440000000000001E-2</v>
      </c>
      <c r="G501" s="7">
        <v>4.0000000000000001E-3</v>
      </c>
    </row>
    <row r="502" spans="2:7" x14ac:dyDescent="0.2">
      <c r="B502" s="60">
        <v>36710</v>
      </c>
      <c r="C502" s="7">
        <v>5.28E-2</v>
      </c>
      <c r="D502" s="7">
        <v>5.28E-2</v>
      </c>
      <c r="E502" s="7">
        <v>5.28E-2</v>
      </c>
      <c r="F502" s="7">
        <v>5.28E-2</v>
      </c>
      <c r="G502" s="7">
        <v>6.8999999999999999E-3</v>
      </c>
    </row>
    <row r="503" spans="2:7" x14ac:dyDescent="0.2">
      <c r="B503" s="60">
        <v>36711</v>
      </c>
      <c r="C503" s="7">
        <v>5.2590000000000005E-2</v>
      </c>
      <c r="D503" s="7">
        <v>5.2590000000000005E-2</v>
      </c>
      <c r="E503" s="7">
        <v>5.2590000000000005E-2</v>
      </c>
      <c r="F503" s="7">
        <v>5.2590000000000005E-2</v>
      </c>
      <c r="G503" s="7">
        <v>-4.0000000000000001E-3</v>
      </c>
    </row>
    <row r="504" spans="2:7" x14ac:dyDescent="0.2">
      <c r="B504" s="60">
        <v>36712</v>
      </c>
      <c r="C504" s="7">
        <v>5.2350000000000001E-2</v>
      </c>
      <c r="D504" s="7">
        <v>5.2350000000000001E-2</v>
      </c>
      <c r="E504" s="7">
        <v>5.2350000000000001E-2</v>
      </c>
      <c r="F504" s="7">
        <v>5.2350000000000001E-2</v>
      </c>
      <c r="G504" s="7">
        <v>-4.5999999999999999E-3</v>
      </c>
    </row>
    <row r="505" spans="2:7" x14ac:dyDescent="0.2">
      <c r="B505" s="60">
        <v>36713</v>
      </c>
      <c r="C505" s="7">
        <v>5.2639999999999999E-2</v>
      </c>
      <c r="D505" s="7">
        <v>5.2639999999999999E-2</v>
      </c>
      <c r="E505" s="7">
        <v>5.2639999999999999E-2</v>
      </c>
      <c r="F505" s="7">
        <v>5.2639999999999999E-2</v>
      </c>
      <c r="G505" s="7">
        <v>5.4999999999999997E-3</v>
      </c>
    </row>
    <row r="506" spans="2:7" x14ac:dyDescent="0.2">
      <c r="B506" s="60">
        <v>36714</v>
      </c>
      <c r="C506" s="7">
        <v>5.2850000000000001E-2</v>
      </c>
      <c r="D506" s="7">
        <v>5.2850000000000001E-2</v>
      </c>
      <c r="E506" s="7">
        <v>5.2850000000000001E-2</v>
      </c>
      <c r="F506" s="7">
        <v>5.2850000000000001E-2</v>
      </c>
      <c r="G506" s="7">
        <v>4.0000000000000001E-3</v>
      </c>
    </row>
    <row r="507" spans="2:7" x14ac:dyDescent="0.2">
      <c r="B507" s="60">
        <v>36717</v>
      </c>
      <c r="C507" s="7">
        <v>5.28E-2</v>
      </c>
      <c r="D507" s="7">
        <v>5.28E-2</v>
      </c>
      <c r="E507" s="7">
        <v>5.28E-2</v>
      </c>
      <c r="F507" s="7">
        <v>5.28E-2</v>
      </c>
      <c r="G507" s="7">
        <v>-8.9999999999999998E-4</v>
      </c>
    </row>
    <row r="508" spans="2:7" x14ac:dyDescent="0.2">
      <c r="B508" s="60">
        <v>36718</v>
      </c>
      <c r="C508" s="7">
        <v>5.2409999999999998E-2</v>
      </c>
      <c r="D508" s="7">
        <v>5.2409999999999998E-2</v>
      </c>
      <c r="E508" s="7">
        <v>5.2409999999999998E-2</v>
      </c>
      <c r="F508" s="7">
        <v>5.2409999999999998E-2</v>
      </c>
      <c r="G508" s="7">
        <v>-7.4000000000000003E-3</v>
      </c>
    </row>
    <row r="509" spans="2:7" x14ac:dyDescent="0.2">
      <c r="B509" s="60">
        <v>36719</v>
      </c>
      <c r="C509" s="7">
        <v>5.2770000000000004E-2</v>
      </c>
      <c r="D509" s="7">
        <v>5.2770000000000004E-2</v>
      </c>
      <c r="E509" s="7">
        <v>5.2770000000000004E-2</v>
      </c>
      <c r="F509" s="7">
        <v>5.2770000000000004E-2</v>
      </c>
      <c r="G509" s="7">
        <v>6.8999999999999999E-3</v>
      </c>
    </row>
    <row r="510" spans="2:7" x14ac:dyDescent="0.2">
      <c r="B510" s="60">
        <v>36720</v>
      </c>
      <c r="C510" s="7">
        <v>5.2679999999999998E-2</v>
      </c>
      <c r="D510" s="7">
        <v>5.2679999999999998E-2</v>
      </c>
      <c r="E510" s="7">
        <v>5.2679999999999998E-2</v>
      </c>
      <c r="F510" s="7">
        <v>5.2679999999999998E-2</v>
      </c>
      <c r="G510" s="7">
        <v>-1.6999999999999999E-3</v>
      </c>
    </row>
    <row r="511" spans="2:7" x14ac:dyDescent="0.2">
      <c r="B511" s="60">
        <v>36721</v>
      </c>
      <c r="C511" s="7">
        <v>5.3120000000000001E-2</v>
      </c>
      <c r="D511" s="7">
        <v>5.3120000000000001E-2</v>
      </c>
      <c r="E511" s="7">
        <v>5.3120000000000001E-2</v>
      </c>
      <c r="F511" s="7">
        <v>5.3120000000000001E-2</v>
      </c>
      <c r="G511" s="7">
        <v>8.3999999999999995E-3</v>
      </c>
    </row>
    <row r="512" spans="2:7" x14ac:dyDescent="0.2">
      <c r="B512" s="60">
        <v>36722</v>
      </c>
      <c r="C512" s="7">
        <v>5.314E-2</v>
      </c>
      <c r="D512" s="7">
        <v>5.314E-2</v>
      </c>
      <c r="E512" s="7">
        <v>5.314E-2</v>
      </c>
      <c r="F512" s="7">
        <v>5.314E-2</v>
      </c>
      <c r="G512" s="7">
        <v>4.0000000000000002E-4</v>
      </c>
    </row>
    <row r="513" spans="2:7" x14ac:dyDescent="0.2">
      <c r="B513" s="60">
        <v>36724</v>
      </c>
      <c r="C513" s="7">
        <v>5.2990000000000002E-2</v>
      </c>
      <c r="D513" s="7">
        <v>5.2990000000000002E-2</v>
      </c>
      <c r="E513" s="7">
        <v>5.2990000000000002E-2</v>
      </c>
      <c r="F513" s="7">
        <v>5.2990000000000002E-2</v>
      </c>
      <c r="G513" s="7">
        <v>-2.8E-3</v>
      </c>
    </row>
    <row r="514" spans="2:7" x14ac:dyDescent="0.2">
      <c r="B514" s="60">
        <v>36725</v>
      </c>
      <c r="C514" s="7">
        <v>5.3269999999999998E-2</v>
      </c>
      <c r="D514" s="7">
        <v>5.3269999999999998E-2</v>
      </c>
      <c r="E514" s="7">
        <v>5.3269999999999998E-2</v>
      </c>
      <c r="F514" s="7">
        <v>5.3269999999999998E-2</v>
      </c>
      <c r="G514" s="7">
        <v>5.3E-3</v>
      </c>
    </row>
    <row r="515" spans="2:7" x14ac:dyDescent="0.2">
      <c r="B515" s="60">
        <v>36726</v>
      </c>
      <c r="C515" s="7">
        <v>5.3529999999999994E-2</v>
      </c>
      <c r="D515" s="7">
        <v>5.3529999999999994E-2</v>
      </c>
      <c r="E515" s="7">
        <v>5.3529999999999994E-2</v>
      </c>
      <c r="F515" s="7">
        <v>5.3529999999999994E-2</v>
      </c>
      <c r="G515" s="7">
        <v>4.8999999999999998E-3</v>
      </c>
    </row>
    <row r="516" spans="2:7" x14ac:dyDescent="0.2">
      <c r="B516" s="60">
        <v>36727</v>
      </c>
      <c r="C516" s="7">
        <v>5.2600000000000001E-2</v>
      </c>
      <c r="D516" s="7">
        <v>5.2600000000000001E-2</v>
      </c>
      <c r="E516" s="7">
        <v>5.2600000000000001E-2</v>
      </c>
      <c r="F516" s="7">
        <v>5.2600000000000001E-2</v>
      </c>
      <c r="G516" s="7">
        <v>-1.7399999999999999E-2</v>
      </c>
    </row>
    <row r="517" spans="2:7" x14ac:dyDescent="0.2">
      <c r="B517" s="60">
        <v>36728</v>
      </c>
      <c r="C517" s="7">
        <v>5.2440000000000001E-2</v>
      </c>
      <c r="D517" s="7">
        <v>5.2440000000000001E-2</v>
      </c>
      <c r="E517" s="7">
        <v>5.2440000000000001E-2</v>
      </c>
      <c r="F517" s="7">
        <v>5.2440000000000001E-2</v>
      </c>
      <c r="G517" s="7">
        <v>-3.0000000000000001E-3</v>
      </c>
    </row>
    <row r="518" spans="2:7" x14ac:dyDescent="0.2">
      <c r="B518" s="60">
        <v>36729</v>
      </c>
      <c r="C518" s="7">
        <v>5.2619999999999993E-2</v>
      </c>
      <c r="D518" s="7">
        <v>5.2619999999999993E-2</v>
      </c>
      <c r="E518" s="7">
        <v>5.2619999999999993E-2</v>
      </c>
      <c r="F518" s="7">
        <v>5.2619999999999993E-2</v>
      </c>
      <c r="G518" s="7">
        <v>3.3999999999999998E-3</v>
      </c>
    </row>
    <row r="519" spans="2:7" x14ac:dyDescent="0.2">
      <c r="B519" s="60">
        <v>36730</v>
      </c>
      <c r="C519" s="7">
        <v>5.2619999999999993E-2</v>
      </c>
      <c r="D519" s="7">
        <v>5.2619999999999993E-2</v>
      </c>
      <c r="E519" s="7">
        <v>5.2619999999999993E-2</v>
      </c>
      <c r="F519" s="7">
        <v>5.2619999999999993E-2</v>
      </c>
      <c r="G519" s="7">
        <v>0</v>
      </c>
    </row>
    <row r="520" spans="2:7" x14ac:dyDescent="0.2">
      <c r="B520" s="60">
        <v>36731</v>
      </c>
      <c r="C520" s="7">
        <v>5.2560000000000003E-2</v>
      </c>
      <c r="D520" s="7">
        <v>5.2560000000000003E-2</v>
      </c>
      <c r="E520" s="7">
        <v>5.2560000000000003E-2</v>
      </c>
      <c r="F520" s="7">
        <v>5.2560000000000003E-2</v>
      </c>
      <c r="G520" s="7">
        <v>-1.1000000000000001E-3</v>
      </c>
    </row>
    <row r="521" spans="2:7" x14ac:dyDescent="0.2">
      <c r="B521" s="60">
        <v>36732</v>
      </c>
      <c r="C521" s="7">
        <v>5.2000000000000005E-2</v>
      </c>
      <c r="D521" s="7">
        <v>5.2000000000000005E-2</v>
      </c>
      <c r="E521" s="7">
        <v>5.2000000000000005E-2</v>
      </c>
      <c r="F521" s="7">
        <v>5.2000000000000005E-2</v>
      </c>
      <c r="G521" s="7">
        <v>-1.0699999999999999E-2</v>
      </c>
    </row>
    <row r="522" spans="2:7" x14ac:dyDescent="0.2">
      <c r="B522" s="60">
        <v>36733</v>
      </c>
      <c r="C522" s="7">
        <v>5.1740000000000001E-2</v>
      </c>
      <c r="D522" s="7">
        <v>5.1740000000000001E-2</v>
      </c>
      <c r="E522" s="7">
        <v>5.1740000000000001E-2</v>
      </c>
      <c r="F522" s="7">
        <v>5.1740000000000001E-2</v>
      </c>
      <c r="G522" s="7">
        <v>-5.0000000000000001E-3</v>
      </c>
    </row>
    <row r="523" spans="2:7" x14ac:dyDescent="0.2">
      <c r="B523" s="60">
        <v>36734</v>
      </c>
      <c r="C523" s="7">
        <v>5.1840000000000004E-2</v>
      </c>
      <c r="D523" s="7">
        <v>5.1840000000000004E-2</v>
      </c>
      <c r="E523" s="7">
        <v>5.1840000000000004E-2</v>
      </c>
      <c r="F523" s="7">
        <v>5.1840000000000004E-2</v>
      </c>
      <c r="G523" s="7">
        <v>1.9E-3</v>
      </c>
    </row>
    <row r="524" spans="2:7" x14ac:dyDescent="0.2">
      <c r="B524" s="60">
        <v>36735</v>
      </c>
      <c r="C524" s="7">
        <v>5.2009999999999994E-2</v>
      </c>
      <c r="D524" s="7">
        <v>5.2009999999999994E-2</v>
      </c>
      <c r="E524" s="7">
        <v>5.2009999999999994E-2</v>
      </c>
      <c r="F524" s="7">
        <v>5.2009999999999994E-2</v>
      </c>
      <c r="G524" s="7">
        <v>3.3E-3</v>
      </c>
    </row>
    <row r="525" spans="2:7" x14ac:dyDescent="0.2">
      <c r="B525" s="60">
        <v>36736</v>
      </c>
      <c r="C525" s="7">
        <v>5.2110000000000004E-2</v>
      </c>
      <c r="D525" s="7">
        <v>5.2110000000000004E-2</v>
      </c>
      <c r="E525" s="7">
        <v>5.2110000000000004E-2</v>
      </c>
      <c r="F525" s="7">
        <v>5.2110000000000004E-2</v>
      </c>
      <c r="G525" s="7">
        <v>1.9E-3</v>
      </c>
    </row>
    <row r="526" spans="2:7" x14ac:dyDescent="0.2">
      <c r="B526" s="60">
        <v>36738</v>
      </c>
      <c r="C526" s="7">
        <v>5.212E-2</v>
      </c>
      <c r="D526" s="7">
        <v>5.212E-2</v>
      </c>
      <c r="E526" s="7">
        <v>5.212E-2</v>
      </c>
      <c r="F526" s="7">
        <v>5.212E-2</v>
      </c>
      <c r="G526" s="7">
        <v>2.0000000000000001E-4</v>
      </c>
    </row>
    <row r="527" spans="2:7" x14ac:dyDescent="0.2">
      <c r="B527" s="60">
        <v>36739</v>
      </c>
      <c r="C527" s="7">
        <v>5.1830000000000001E-2</v>
      </c>
      <c r="D527" s="7">
        <v>5.1830000000000001E-2</v>
      </c>
      <c r="E527" s="7">
        <v>5.1830000000000001E-2</v>
      </c>
      <c r="F527" s="7">
        <v>5.1830000000000001E-2</v>
      </c>
      <c r="G527" s="7">
        <v>-5.5999999999999999E-3</v>
      </c>
    </row>
    <row r="528" spans="2:7" x14ac:dyDescent="0.2">
      <c r="B528" s="60">
        <v>36740</v>
      </c>
      <c r="C528" s="7">
        <v>5.1749999999999997E-2</v>
      </c>
      <c r="D528" s="7">
        <v>5.1749999999999997E-2</v>
      </c>
      <c r="E528" s="7">
        <v>5.1749999999999997E-2</v>
      </c>
      <c r="F528" s="7">
        <v>5.1749999999999997E-2</v>
      </c>
      <c r="G528" s="7">
        <v>-1.5E-3</v>
      </c>
    </row>
    <row r="529" spans="2:7" x14ac:dyDescent="0.2">
      <c r="B529" s="60">
        <v>36741</v>
      </c>
      <c r="C529" s="7">
        <v>5.1859999999999996E-2</v>
      </c>
      <c r="D529" s="7">
        <v>5.1859999999999996E-2</v>
      </c>
      <c r="E529" s="7">
        <v>5.1859999999999996E-2</v>
      </c>
      <c r="F529" s="7">
        <v>5.1859999999999996E-2</v>
      </c>
      <c r="G529" s="7">
        <v>2.0999999999999999E-3</v>
      </c>
    </row>
    <row r="530" spans="2:7" x14ac:dyDescent="0.2">
      <c r="B530" s="60">
        <v>36742</v>
      </c>
      <c r="C530" s="7">
        <v>5.1799999999999999E-2</v>
      </c>
      <c r="D530" s="7">
        <v>5.1799999999999999E-2</v>
      </c>
      <c r="E530" s="7">
        <v>5.1799999999999999E-2</v>
      </c>
      <c r="F530" s="7">
        <v>5.1799999999999999E-2</v>
      </c>
      <c r="G530" s="7">
        <v>-1.1999999999999999E-3</v>
      </c>
    </row>
    <row r="531" spans="2:7" x14ac:dyDescent="0.2">
      <c r="B531" s="60">
        <v>36743</v>
      </c>
      <c r="C531" s="7">
        <v>5.1920000000000001E-2</v>
      </c>
      <c r="D531" s="7">
        <v>5.1920000000000001E-2</v>
      </c>
      <c r="E531" s="7">
        <v>5.1920000000000001E-2</v>
      </c>
      <c r="F531" s="7">
        <v>5.1920000000000001E-2</v>
      </c>
      <c r="G531" s="7">
        <v>2.3E-3</v>
      </c>
    </row>
    <row r="532" spans="2:7" x14ac:dyDescent="0.2">
      <c r="B532" s="60">
        <v>36745</v>
      </c>
      <c r="C532" s="7">
        <v>5.1749999999999997E-2</v>
      </c>
      <c r="D532" s="7">
        <v>5.1749999999999997E-2</v>
      </c>
      <c r="E532" s="7">
        <v>5.1749999999999997E-2</v>
      </c>
      <c r="F532" s="7">
        <v>5.1749999999999997E-2</v>
      </c>
      <c r="G532" s="7">
        <v>-3.3E-3</v>
      </c>
    </row>
    <row r="533" spans="2:7" x14ac:dyDescent="0.2">
      <c r="B533" s="60">
        <v>36746</v>
      </c>
      <c r="C533" s="7">
        <v>5.1909999999999998E-2</v>
      </c>
      <c r="D533" s="7">
        <v>5.1909999999999998E-2</v>
      </c>
      <c r="E533" s="7">
        <v>5.1909999999999998E-2</v>
      </c>
      <c r="F533" s="7">
        <v>5.1909999999999998E-2</v>
      </c>
      <c r="G533" s="7">
        <v>3.0999999999999999E-3</v>
      </c>
    </row>
    <row r="534" spans="2:7" x14ac:dyDescent="0.2">
      <c r="B534" s="60">
        <v>36747</v>
      </c>
      <c r="C534" s="7">
        <v>5.1799999999999999E-2</v>
      </c>
      <c r="D534" s="7">
        <v>5.1799999999999999E-2</v>
      </c>
      <c r="E534" s="7">
        <v>5.1799999999999999E-2</v>
      </c>
      <c r="F534" s="7">
        <v>5.1799999999999999E-2</v>
      </c>
      <c r="G534" s="7">
        <v>-2.0999999999999999E-3</v>
      </c>
    </row>
    <row r="535" spans="2:7" x14ac:dyDescent="0.2">
      <c r="B535" s="60">
        <v>36748</v>
      </c>
      <c r="C535" s="7">
        <v>5.1429999999999997E-2</v>
      </c>
      <c r="D535" s="7">
        <v>5.1429999999999997E-2</v>
      </c>
      <c r="E535" s="7">
        <v>5.1429999999999997E-2</v>
      </c>
      <c r="F535" s="7">
        <v>5.1429999999999997E-2</v>
      </c>
      <c r="G535" s="7">
        <v>-7.1000000000000004E-3</v>
      </c>
    </row>
    <row r="536" spans="2:7" x14ac:dyDescent="0.2">
      <c r="B536" s="60">
        <v>36749</v>
      </c>
      <c r="C536" s="7">
        <v>5.1550000000000006E-2</v>
      </c>
      <c r="D536" s="7">
        <v>5.1550000000000006E-2</v>
      </c>
      <c r="E536" s="7">
        <v>5.1550000000000006E-2</v>
      </c>
      <c r="F536" s="7">
        <v>5.1550000000000006E-2</v>
      </c>
      <c r="G536" s="7">
        <v>2.3E-3</v>
      </c>
    </row>
    <row r="537" spans="2:7" x14ac:dyDescent="0.2">
      <c r="B537" s="60">
        <v>36750</v>
      </c>
      <c r="C537" s="7">
        <v>5.1589999999999997E-2</v>
      </c>
      <c r="D537" s="7">
        <v>5.1589999999999997E-2</v>
      </c>
      <c r="E537" s="7">
        <v>5.1589999999999997E-2</v>
      </c>
      <c r="F537" s="7">
        <v>5.1589999999999997E-2</v>
      </c>
      <c r="G537" s="7">
        <v>8.0000000000000004E-4</v>
      </c>
    </row>
    <row r="538" spans="2:7" x14ac:dyDescent="0.2">
      <c r="B538" s="60">
        <v>36752</v>
      </c>
      <c r="C538" s="7">
        <v>5.1580000000000001E-2</v>
      </c>
      <c r="D538" s="7">
        <v>5.1580000000000001E-2</v>
      </c>
      <c r="E538" s="7">
        <v>5.1580000000000001E-2</v>
      </c>
      <c r="F538" s="7">
        <v>5.1580000000000001E-2</v>
      </c>
      <c r="G538" s="7">
        <v>-2.0000000000000001E-4</v>
      </c>
    </row>
    <row r="539" spans="2:7" x14ac:dyDescent="0.2">
      <c r="B539" s="60">
        <v>36753</v>
      </c>
      <c r="C539" s="7">
        <v>5.2150000000000002E-2</v>
      </c>
      <c r="D539" s="7">
        <v>5.2150000000000002E-2</v>
      </c>
      <c r="E539" s="7">
        <v>5.2150000000000002E-2</v>
      </c>
      <c r="F539" s="7">
        <v>5.2150000000000002E-2</v>
      </c>
      <c r="G539" s="7">
        <v>1.11E-2</v>
      </c>
    </row>
    <row r="540" spans="2:7" x14ac:dyDescent="0.2">
      <c r="B540" s="60">
        <v>36754</v>
      </c>
      <c r="C540" s="7">
        <v>5.2069999999999998E-2</v>
      </c>
      <c r="D540" s="7">
        <v>5.2069999999999998E-2</v>
      </c>
      <c r="E540" s="7">
        <v>5.2069999999999998E-2</v>
      </c>
      <c r="F540" s="7">
        <v>5.2069999999999998E-2</v>
      </c>
      <c r="G540" s="7">
        <v>-1.5E-3</v>
      </c>
    </row>
    <row r="541" spans="2:7" x14ac:dyDescent="0.2">
      <c r="B541" s="60">
        <v>36755</v>
      </c>
      <c r="C541" s="7">
        <v>5.1990000000000001E-2</v>
      </c>
      <c r="D541" s="7">
        <v>5.1990000000000001E-2</v>
      </c>
      <c r="E541" s="7">
        <v>5.1990000000000001E-2</v>
      </c>
      <c r="F541" s="7">
        <v>5.1990000000000001E-2</v>
      </c>
      <c r="G541" s="7">
        <v>-1.5E-3</v>
      </c>
    </row>
    <row r="542" spans="2:7" x14ac:dyDescent="0.2">
      <c r="B542" s="60">
        <v>36756</v>
      </c>
      <c r="C542" s="7">
        <v>5.2089999999999997E-2</v>
      </c>
      <c r="D542" s="7">
        <v>5.2089999999999997E-2</v>
      </c>
      <c r="E542" s="7">
        <v>5.2089999999999997E-2</v>
      </c>
      <c r="F542" s="7">
        <v>5.2089999999999997E-2</v>
      </c>
      <c r="G542" s="7">
        <v>1.9E-3</v>
      </c>
    </row>
    <row r="543" spans="2:7" x14ac:dyDescent="0.2">
      <c r="B543" s="60">
        <v>36757</v>
      </c>
      <c r="C543" s="7">
        <v>5.1980000000000005E-2</v>
      </c>
      <c r="D543" s="7">
        <v>5.1980000000000005E-2</v>
      </c>
      <c r="E543" s="7">
        <v>5.1980000000000005E-2</v>
      </c>
      <c r="F543" s="7">
        <v>5.1980000000000005E-2</v>
      </c>
      <c r="G543" s="7">
        <v>-2.0999999999999999E-3</v>
      </c>
    </row>
    <row r="544" spans="2:7" x14ac:dyDescent="0.2">
      <c r="B544" s="60">
        <v>36759</v>
      </c>
      <c r="C544" s="7">
        <v>5.2629999999999996E-2</v>
      </c>
      <c r="D544" s="7">
        <v>5.2629999999999996E-2</v>
      </c>
      <c r="E544" s="7">
        <v>5.2629999999999996E-2</v>
      </c>
      <c r="F544" s="7">
        <v>5.2629999999999996E-2</v>
      </c>
      <c r="G544" s="7">
        <v>1.2500000000000001E-2</v>
      </c>
    </row>
    <row r="545" spans="2:7" x14ac:dyDescent="0.2">
      <c r="B545" s="60">
        <v>36760</v>
      </c>
      <c r="C545" s="7">
        <v>5.2629999999999996E-2</v>
      </c>
      <c r="D545" s="7">
        <v>5.2629999999999996E-2</v>
      </c>
      <c r="E545" s="7">
        <v>5.2629999999999996E-2</v>
      </c>
      <c r="F545" s="7">
        <v>5.2629999999999996E-2</v>
      </c>
      <c r="G545" s="7">
        <v>0</v>
      </c>
    </row>
    <row r="546" spans="2:7" x14ac:dyDescent="0.2">
      <c r="B546" s="60">
        <v>36761</v>
      </c>
      <c r="C546" s="7">
        <v>5.212E-2</v>
      </c>
      <c r="D546" s="7">
        <v>5.212E-2</v>
      </c>
      <c r="E546" s="7">
        <v>5.212E-2</v>
      </c>
      <c r="F546" s="7">
        <v>5.212E-2</v>
      </c>
      <c r="G546" s="7">
        <v>-9.7000000000000003E-3</v>
      </c>
    </row>
    <row r="547" spans="2:7" x14ac:dyDescent="0.2">
      <c r="B547" s="60">
        <v>36762</v>
      </c>
      <c r="C547" s="7">
        <v>5.2069999999999998E-2</v>
      </c>
      <c r="D547" s="7">
        <v>5.2069999999999998E-2</v>
      </c>
      <c r="E547" s="7">
        <v>5.2069999999999998E-2</v>
      </c>
      <c r="F547" s="7">
        <v>5.2069999999999998E-2</v>
      </c>
      <c r="G547" s="7">
        <v>-1E-3</v>
      </c>
    </row>
    <row r="548" spans="2:7" x14ac:dyDescent="0.2">
      <c r="B548" s="60">
        <v>36763</v>
      </c>
      <c r="C548" s="7">
        <v>5.2199999999999996E-2</v>
      </c>
      <c r="D548" s="7">
        <v>5.2199999999999996E-2</v>
      </c>
      <c r="E548" s="7">
        <v>5.2199999999999996E-2</v>
      </c>
      <c r="F548" s="7">
        <v>5.2199999999999996E-2</v>
      </c>
      <c r="G548" s="7">
        <v>2.5000000000000001E-3</v>
      </c>
    </row>
    <row r="549" spans="2:7" x14ac:dyDescent="0.2">
      <c r="B549" s="60">
        <v>36764</v>
      </c>
      <c r="C549" s="7">
        <v>5.2430000000000004E-2</v>
      </c>
      <c r="D549" s="7">
        <v>5.2430000000000004E-2</v>
      </c>
      <c r="E549" s="7">
        <v>5.2430000000000004E-2</v>
      </c>
      <c r="F549" s="7">
        <v>5.2430000000000004E-2</v>
      </c>
      <c r="G549" s="7">
        <v>4.4000000000000003E-3</v>
      </c>
    </row>
    <row r="550" spans="2:7" x14ac:dyDescent="0.2">
      <c r="B550" s="60">
        <v>36766</v>
      </c>
      <c r="C550" s="7">
        <v>5.2430000000000004E-2</v>
      </c>
      <c r="D550" s="7">
        <v>5.2430000000000004E-2</v>
      </c>
      <c r="E550" s="7">
        <v>5.2430000000000004E-2</v>
      </c>
      <c r="F550" s="7">
        <v>5.2430000000000004E-2</v>
      </c>
      <c r="G550" s="7">
        <v>0</v>
      </c>
    </row>
    <row r="551" spans="2:7" x14ac:dyDescent="0.2">
      <c r="B551" s="60">
        <v>36767</v>
      </c>
      <c r="C551" s="7">
        <v>5.2969999999999996E-2</v>
      </c>
      <c r="D551" s="7">
        <v>5.2969999999999996E-2</v>
      </c>
      <c r="E551" s="7">
        <v>5.2969999999999996E-2</v>
      </c>
      <c r="F551" s="7">
        <v>5.2969999999999996E-2</v>
      </c>
      <c r="G551" s="7">
        <v>1.03E-2</v>
      </c>
    </row>
    <row r="552" spans="2:7" x14ac:dyDescent="0.2">
      <c r="B552" s="60">
        <v>36768</v>
      </c>
      <c r="C552" s="7">
        <v>5.3010000000000002E-2</v>
      </c>
      <c r="D552" s="7">
        <v>5.3010000000000002E-2</v>
      </c>
      <c r="E552" s="7">
        <v>5.3010000000000002E-2</v>
      </c>
      <c r="F552" s="7">
        <v>5.3010000000000002E-2</v>
      </c>
      <c r="G552" s="7">
        <v>8.0000000000000004E-4</v>
      </c>
    </row>
    <row r="553" spans="2:7" x14ac:dyDescent="0.2">
      <c r="B553" s="60">
        <v>36769</v>
      </c>
      <c r="C553" s="7">
        <v>5.3010000000000002E-2</v>
      </c>
      <c r="D553" s="7">
        <v>5.3010000000000002E-2</v>
      </c>
      <c r="E553" s="7">
        <v>5.3010000000000002E-2</v>
      </c>
      <c r="F553" s="7">
        <v>5.3010000000000002E-2</v>
      </c>
      <c r="G553" s="7">
        <v>0</v>
      </c>
    </row>
    <row r="554" spans="2:7" x14ac:dyDescent="0.2">
      <c r="B554" s="60">
        <v>36770</v>
      </c>
      <c r="C554" s="7">
        <v>5.1769999999999997E-2</v>
      </c>
      <c r="D554" s="7">
        <v>5.1769999999999997E-2</v>
      </c>
      <c r="E554" s="7">
        <v>5.1769999999999997E-2</v>
      </c>
      <c r="F554" s="7">
        <v>5.1769999999999997E-2</v>
      </c>
      <c r="G554" s="7">
        <v>-2.3400000000000001E-2</v>
      </c>
    </row>
    <row r="555" spans="2:7" x14ac:dyDescent="0.2">
      <c r="B555" s="60">
        <v>36771</v>
      </c>
      <c r="C555" s="7">
        <v>5.1729999999999998E-2</v>
      </c>
      <c r="D555" s="7">
        <v>5.1729999999999998E-2</v>
      </c>
      <c r="E555" s="7">
        <v>5.1729999999999998E-2</v>
      </c>
      <c r="F555" s="7">
        <v>5.1729999999999998E-2</v>
      </c>
      <c r="G555" s="7">
        <v>-8.0000000000000004E-4</v>
      </c>
    </row>
    <row r="556" spans="2:7" x14ac:dyDescent="0.2">
      <c r="B556" s="60">
        <v>36773</v>
      </c>
      <c r="C556" s="7">
        <v>5.1959999999999999E-2</v>
      </c>
      <c r="D556" s="7">
        <v>5.1959999999999999E-2</v>
      </c>
      <c r="E556" s="7">
        <v>5.1959999999999999E-2</v>
      </c>
      <c r="F556" s="7">
        <v>5.1959999999999999E-2</v>
      </c>
      <c r="G556" s="7">
        <v>4.4000000000000003E-3</v>
      </c>
    </row>
    <row r="557" spans="2:7" x14ac:dyDescent="0.2">
      <c r="B557" s="60">
        <v>36774</v>
      </c>
      <c r="C557" s="7">
        <v>5.2069999999999998E-2</v>
      </c>
      <c r="D557" s="7">
        <v>5.2069999999999998E-2</v>
      </c>
      <c r="E557" s="7">
        <v>5.2069999999999998E-2</v>
      </c>
      <c r="F557" s="7">
        <v>5.2069999999999998E-2</v>
      </c>
      <c r="G557" s="7">
        <v>2.0999999999999999E-3</v>
      </c>
    </row>
    <row r="558" spans="2:7" x14ac:dyDescent="0.2">
      <c r="B558" s="60">
        <v>36775</v>
      </c>
      <c r="C558" s="7">
        <v>5.2309999999999995E-2</v>
      </c>
      <c r="D558" s="7">
        <v>5.2309999999999995E-2</v>
      </c>
      <c r="E558" s="7">
        <v>5.2309999999999995E-2</v>
      </c>
      <c r="F558" s="7">
        <v>5.2309999999999995E-2</v>
      </c>
      <c r="G558" s="7">
        <v>4.5999999999999999E-3</v>
      </c>
    </row>
    <row r="559" spans="2:7" x14ac:dyDescent="0.2">
      <c r="B559" s="60">
        <v>36776</v>
      </c>
      <c r="C559" s="7">
        <v>5.2750000000000005E-2</v>
      </c>
      <c r="D559" s="7">
        <v>5.2750000000000005E-2</v>
      </c>
      <c r="E559" s="7">
        <v>5.2750000000000005E-2</v>
      </c>
      <c r="F559" s="7">
        <v>5.2750000000000005E-2</v>
      </c>
      <c r="G559" s="7">
        <v>8.3999999999999995E-3</v>
      </c>
    </row>
    <row r="560" spans="2:7" x14ac:dyDescent="0.2">
      <c r="B560" s="60">
        <v>36777</v>
      </c>
      <c r="C560" s="7">
        <v>5.2519999999999997E-2</v>
      </c>
      <c r="D560" s="7">
        <v>5.2519999999999997E-2</v>
      </c>
      <c r="E560" s="7">
        <v>5.2519999999999997E-2</v>
      </c>
      <c r="F560" s="7">
        <v>5.2519999999999997E-2</v>
      </c>
      <c r="G560" s="7">
        <v>-4.4000000000000003E-3</v>
      </c>
    </row>
    <row r="561" spans="2:7" x14ac:dyDescent="0.2">
      <c r="B561" s="60">
        <v>36778</v>
      </c>
      <c r="C561" s="7">
        <v>5.2839999999999998E-2</v>
      </c>
      <c r="D561" s="7">
        <v>5.2839999999999998E-2</v>
      </c>
      <c r="E561" s="7">
        <v>5.2839999999999998E-2</v>
      </c>
      <c r="F561" s="7">
        <v>5.2839999999999998E-2</v>
      </c>
      <c r="G561" s="7">
        <v>6.1000000000000004E-3</v>
      </c>
    </row>
    <row r="562" spans="2:7" x14ac:dyDescent="0.2">
      <c r="B562" s="60">
        <v>36780</v>
      </c>
      <c r="C562" s="7">
        <v>5.271E-2</v>
      </c>
      <c r="D562" s="7">
        <v>5.271E-2</v>
      </c>
      <c r="E562" s="7">
        <v>5.271E-2</v>
      </c>
      <c r="F562" s="7">
        <v>5.271E-2</v>
      </c>
      <c r="G562" s="7">
        <v>-2.5000000000000001E-3</v>
      </c>
    </row>
    <row r="563" spans="2:7" x14ac:dyDescent="0.2">
      <c r="B563" s="60">
        <v>36781</v>
      </c>
      <c r="C563" s="7">
        <v>5.2880000000000003E-2</v>
      </c>
      <c r="D563" s="7">
        <v>5.2880000000000003E-2</v>
      </c>
      <c r="E563" s="7">
        <v>5.2880000000000003E-2</v>
      </c>
      <c r="F563" s="7">
        <v>5.2880000000000003E-2</v>
      </c>
      <c r="G563" s="7">
        <v>3.2000000000000002E-3</v>
      </c>
    </row>
    <row r="564" spans="2:7" x14ac:dyDescent="0.2">
      <c r="B564" s="60">
        <v>36782</v>
      </c>
      <c r="C564" s="7">
        <v>5.289E-2</v>
      </c>
      <c r="D564" s="7">
        <v>5.289E-2</v>
      </c>
      <c r="E564" s="7">
        <v>5.289E-2</v>
      </c>
      <c r="F564" s="7">
        <v>5.289E-2</v>
      </c>
      <c r="G564" s="7">
        <v>2.0000000000000001E-4</v>
      </c>
    </row>
    <row r="565" spans="2:7" x14ac:dyDescent="0.2">
      <c r="B565" s="60">
        <v>36783</v>
      </c>
      <c r="C565" s="7">
        <v>5.2839999999999998E-2</v>
      </c>
      <c r="D565" s="7">
        <v>5.2839999999999998E-2</v>
      </c>
      <c r="E565" s="7">
        <v>5.2839999999999998E-2</v>
      </c>
      <c r="F565" s="7">
        <v>5.2839999999999998E-2</v>
      </c>
      <c r="G565" s="7">
        <v>-8.9999999999999998E-4</v>
      </c>
    </row>
    <row r="566" spans="2:7" x14ac:dyDescent="0.2">
      <c r="B566" s="60">
        <v>36784</v>
      </c>
      <c r="C566" s="7">
        <v>5.2619999999999993E-2</v>
      </c>
      <c r="D566" s="7">
        <v>5.2619999999999993E-2</v>
      </c>
      <c r="E566" s="7">
        <v>5.2619999999999993E-2</v>
      </c>
      <c r="F566" s="7">
        <v>5.2619999999999993E-2</v>
      </c>
      <c r="G566" s="7">
        <v>-4.1999999999999997E-3</v>
      </c>
    </row>
    <row r="567" spans="2:7" x14ac:dyDescent="0.2">
      <c r="B567" s="60">
        <v>36785</v>
      </c>
      <c r="C567" s="7">
        <v>5.3010000000000002E-2</v>
      </c>
      <c r="D567" s="7">
        <v>5.3010000000000002E-2</v>
      </c>
      <c r="E567" s="7">
        <v>5.3010000000000002E-2</v>
      </c>
      <c r="F567" s="7">
        <v>5.3010000000000002E-2</v>
      </c>
      <c r="G567" s="7">
        <v>7.4000000000000003E-3</v>
      </c>
    </row>
    <row r="568" spans="2:7" x14ac:dyDescent="0.2">
      <c r="B568" s="60">
        <v>36786</v>
      </c>
      <c r="C568" s="7">
        <v>5.3010000000000002E-2</v>
      </c>
      <c r="D568" s="7">
        <v>5.3010000000000002E-2</v>
      </c>
      <c r="E568" s="7">
        <v>5.3010000000000002E-2</v>
      </c>
      <c r="F568" s="7">
        <v>5.3010000000000002E-2</v>
      </c>
      <c r="G568" s="7">
        <v>0</v>
      </c>
    </row>
    <row r="569" spans="2:7" x14ac:dyDescent="0.2">
      <c r="B569" s="60">
        <v>36787</v>
      </c>
      <c r="C569" s="7">
        <v>5.3449999999999998E-2</v>
      </c>
      <c r="D569" s="7">
        <v>5.3449999999999998E-2</v>
      </c>
      <c r="E569" s="7">
        <v>5.3449999999999998E-2</v>
      </c>
      <c r="F569" s="7">
        <v>5.3449999999999998E-2</v>
      </c>
      <c r="G569" s="7">
        <v>8.3000000000000001E-3</v>
      </c>
    </row>
    <row r="570" spans="2:7" x14ac:dyDescent="0.2">
      <c r="B570" s="60">
        <v>36788</v>
      </c>
      <c r="C570" s="7">
        <v>5.3239999999999996E-2</v>
      </c>
      <c r="D570" s="7">
        <v>5.3239999999999996E-2</v>
      </c>
      <c r="E570" s="7">
        <v>5.3239999999999996E-2</v>
      </c>
      <c r="F570" s="7">
        <v>5.3239999999999996E-2</v>
      </c>
      <c r="G570" s="7">
        <v>-3.8999999999999998E-3</v>
      </c>
    </row>
    <row r="571" spans="2:7" x14ac:dyDescent="0.2">
      <c r="B571" s="60">
        <v>36789</v>
      </c>
      <c r="C571" s="7">
        <v>5.3150000000000003E-2</v>
      </c>
      <c r="D571" s="7">
        <v>5.3150000000000003E-2</v>
      </c>
      <c r="E571" s="7">
        <v>5.3150000000000003E-2</v>
      </c>
      <c r="F571" s="7">
        <v>5.3150000000000003E-2</v>
      </c>
      <c r="G571" s="7">
        <v>-1.6999999999999999E-3</v>
      </c>
    </row>
    <row r="572" spans="2:7" x14ac:dyDescent="0.2">
      <c r="B572" s="60">
        <v>36790</v>
      </c>
      <c r="C572" s="7">
        <v>5.2690000000000001E-2</v>
      </c>
      <c r="D572" s="7">
        <v>5.2690000000000001E-2</v>
      </c>
      <c r="E572" s="7">
        <v>5.2690000000000001E-2</v>
      </c>
      <c r="F572" s="7">
        <v>5.2690000000000001E-2</v>
      </c>
      <c r="G572" s="7">
        <v>-8.6999999999999994E-3</v>
      </c>
    </row>
    <row r="573" spans="2:7" x14ac:dyDescent="0.2">
      <c r="B573" s="60">
        <v>36791</v>
      </c>
      <c r="C573" s="7">
        <v>5.2400000000000002E-2</v>
      </c>
      <c r="D573" s="7">
        <v>5.2400000000000002E-2</v>
      </c>
      <c r="E573" s="7">
        <v>5.2400000000000002E-2</v>
      </c>
      <c r="F573" s="7">
        <v>5.2400000000000002E-2</v>
      </c>
      <c r="G573" s="7">
        <v>-5.4999999999999997E-3</v>
      </c>
    </row>
    <row r="574" spans="2:7" x14ac:dyDescent="0.2">
      <c r="B574" s="60">
        <v>36792</v>
      </c>
      <c r="C574" s="7">
        <v>5.2380000000000003E-2</v>
      </c>
      <c r="D574" s="7">
        <v>5.2380000000000003E-2</v>
      </c>
      <c r="E574" s="7">
        <v>5.2380000000000003E-2</v>
      </c>
      <c r="F574" s="7">
        <v>5.2380000000000003E-2</v>
      </c>
      <c r="G574" s="7">
        <v>-4.0000000000000002E-4</v>
      </c>
    </row>
    <row r="575" spans="2:7" x14ac:dyDescent="0.2">
      <c r="B575" s="60">
        <v>36794</v>
      </c>
      <c r="C575" s="7">
        <v>5.2760000000000001E-2</v>
      </c>
      <c r="D575" s="7">
        <v>5.2760000000000001E-2</v>
      </c>
      <c r="E575" s="7">
        <v>5.2760000000000001E-2</v>
      </c>
      <c r="F575" s="7">
        <v>5.2760000000000001E-2</v>
      </c>
      <c r="G575" s="7">
        <v>7.3000000000000001E-3</v>
      </c>
    </row>
    <row r="576" spans="2:7" x14ac:dyDescent="0.2">
      <c r="B576" s="60">
        <v>36795</v>
      </c>
      <c r="C576" s="7">
        <v>5.2440000000000001E-2</v>
      </c>
      <c r="D576" s="7">
        <v>5.2440000000000001E-2</v>
      </c>
      <c r="E576" s="7">
        <v>5.2440000000000001E-2</v>
      </c>
      <c r="F576" s="7">
        <v>5.2440000000000001E-2</v>
      </c>
      <c r="G576" s="7">
        <v>-6.1000000000000004E-3</v>
      </c>
    </row>
    <row r="577" spans="2:7" x14ac:dyDescent="0.2">
      <c r="B577" s="60">
        <v>36796</v>
      </c>
      <c r="C577" s="7">
        <v>5.2539999999999996E-2</v>
      </c>
      <c r="D577" s="7">
        <v>5.2539999999999996E-2</v>
      </c>
      <c r="E577" s="7">
        <v>5.2539999999999996E-2</v>
      </c>
      <c r="F577" s="7">
        <v>5.2539999999999996E-2</v>
      </c>
      <c r="G577" s="7">
        <v>1.9E-3</v>
      </c>
    </row>
    <row r="578" spans="2:7" x14ac:dyDescent="0.2">
      <c r="B578" s="60">
        <v>36797</v>
      </c>
      <c r="C578" s="7">
        <v>5.2600000000000001E-2</v>
      </c>
      <c r="D578" s="7">
        <v>5.2600000000000001E-2</v>
      </c>
      <c r="E578" s="7">
        <v>5.2600000000000001E-2</v>
      </c>
      <c r="F578" s="7">
        <v>5.2600000000000001E-2</v>
      </c>
      <c r="G578" s="7">
        <v>1.1000000000000001E-3</v>
      </c>
    </row>
    <row r="579" spans="2:7" x14ac:dyDescent="0.2">
      <c r="B579" s="60">
        <v>36798</v>
      </c>
      <c r="C579" s="7">
        <v>5.2290000000000003E-2</v>
      </c>
      <c r="D579" s="7">
        <v>5.2290000000000003E-2</v>
      </c>
      <c r="E579" s="7">
        <v>5.2290000000000003E-2</v>
      </c>
      <c r="F579" s="7">
        <v>5.2290000000000003E-2</v>
      </c>
      <c r="G579" s="7">
        <v>-5.8999999999999999E-3</v>
      </c>
    </row>
    <row r="580" spans="2:7" x14ac:dyDescent="0.2">
      <c r="B580" s="60">
        <v>36799</v>
      </c>
      <c r="C580" s="7">
        <v>5.2300000000000006E-2</v>
      </c>
      <c r="D580" s="7">
        <v>5.2300000000000006E-2</v>
      </c>
      <c r="E580" s="7">
        <v>5.2300000000000006E-2</v>
      </c>
      <c r="F580" s="7">
        <v>5.2300000000000006E-2</v>
      </c>
      <c r="G580" s="7">
        <v>2.0000000000000001E-4</v>
      </c>
    </row>
    <row r="581" spans="2:7" x14ac:dyDescent="0.2">
      <c r="B581" s="60">
        <v>36801</v>
      </c>
      <c r="C581" s="7">
        <v>5.2359999999999997E-2</v>
      </c>
      <c r="D581" s="7">
        <v>5.2359999999999997E-2</v>
      </c>
      <c r="E581" s="7">
        <v>5.2359999999999997E-2</v>
      </c>
      <c r="F581" s="7">
        <v>5.2359999999999997E-2</v>
      </c>
      <c r="G581" s="7">
        <v>1.1000000000000001E-3</v>
      </c>
    </row>
    <row r="582" spans="2:7" x14ac:dyDescent="0.2">
      <c r="B582" s="60">
        <v>36802</v>
      </c>
      <c r="C582" s="7">
        <v>5.2409999999999998E-2</v>
      </c>
      <c r="D582" s="7">
        <v>5.2409999999999998E-2</v>
      </c>
      <c r="E582" s="7">
        <v>5.2409999999999998E-2</v>
      </c>
      <c r="F582" s="7">
        <v>5.2409999999999998E-2</v>
      </c>
      <c r="G582" s="7">
        <v>1E-3</v>
      </c>
    </row>
    <row r="583" spans="2:7" x14ac:dyDescent="0.2">
      <c r="B583" s="60">
        <v>36803</v>
      </c>
      <c r="C583" s="7">
        <v>5.253E-2</v>
      </c>
      <c r="D583" s="7">
        <v>5.253E-2</v>
      </c>
      <c r="E583" s="7">
        <v>5.253E-2</v>
      </c>
      <c r="F583" s="7">
        <v>5.253E-2</v>
      </c>
      <c r="G583" s="7">
        <v>2.3E-3</v>
      </c>
    </row>
    <row r="584" spans="2:7" x14ac:dyDescent="0.2">
      <c r="B584" s="60">
        <v>36804</v>
      </c>
      <c r="C584" s="7">
        <v>5.2760000000000001E-2</v>
      </c>
      <c r="D584" s="7">
        <v>5.2760000000000001E-2</v>
      </c>
      <c r="E584" s="7">
        <v>5.2760000000000001E-2</v>
      </c>
      <c r="F584" s="7">
        <v>5.2760000000000001E-2</v>
      </c>
      <c r="G584" s="7">
        <v>4.4000000000000003E-3</v>
      </c>
    </row>
    <row r="585" spans="2:7" x14ac:dyDescent="0.2">
      <c r="B585" s="60">
        <v>36805</v>
      </c>
      <c r="C585" s="7">
        <v>5.2569999999999999E-2</v>
      </c>
      <c r="D585" s="7">
        <v>5.2569999999999999E-2</v>
      </c>
      <c r="E585" s="7">
        <v>5.2569999999999999E-2</v>
      </c>
      <c r="F585" s="7">
        <v>5.2569999999999999E-2</v>
      </c>
      <c r="G585" s="7">
        <v>-3.5999999999999999E-3</v>
      </c>
    </row>
    <row r="586" spans="2:7" x14ac:dyDescent="0.2">
      <c r="B586" s="60">
        <v>36808</v>
      </c>
      <c r="C586" s="7">
        <v>5.2290000000000003E-2</v>
      </c>
      <c r="D586" s="7">
        <v>5.2290000000000003E-2</v>
      </c>
      <c r="E586" s="7">
        <v>5.2290000000000003E-2</v>
      </c>
      <c r="F586" s="7">
        <v>5.2290000000000003E-2</v>
      </c>
      <c r="G586" s="7">
        <v>-5.3E-3</v>
      </c>
    </row>
    <row r="587" spans="2:7" x14ac:dyDescent="0.2">
      <c r="B587" s="60">
        <v>36809</v>
      </c>
      <c r="C587" s="7">
        <v>5.2199999999999996E-2</v>
      </c>
      <c r="D587" s="7">
        <v>5.2199999999999996E-2</v>
      </c>
      <c r="E587" s="7">
        <v>5.2199999999999996E-2</v>
      </c>
      <c r="F587" s="7">
        <v>5.2199999999999996E-2</v>
      </c>
      <c r="G587" s="7">
        <v>-1.6999999999999999E-3</v>
      </c>
    </row>
    <row r="588" spans="2:7" x14ac:dyDescent="0.2">
      <c r="B588" s="60">
        <v>36810</v>
      </c>
      <c r="C588" s="7">
        <v>5.1889999999999999E-2</v>
      </c>
      <c r="D588" s="7">
        <v>5.1889999999999999E-2</v>
      </c>
      <c r="E588" s="7">
        <v>5.1889999999999999E-2</v>
      </c>
      <c r="F588" s="7">
        <v>5.1889999999999999E-2</v>
      </c>
      <c r="G588" s="7">
        <v>-5.8999999999999999E-3</v>
      </c>
    </row>
    <row r="589" spans="2:7" x14ac:dyDescent="0.2">
      <c r="B589" s="60">
        <v>36811</v>
      </c>
      <c r="C589" s="7">
        <v>5.1699999999999996E-2</v>
      </c>
      <c r="D589" s="7">
        <v>5.1699999999999996E-2</v>
      </c>
      <c r="E589" s="7">
        <v>5.1699999999999996E-2</v>
      </c>
      <c r="F589" s="7">
        <v>5.1699999999999996E-2</v>
      </c>
      <c r="G589" s="7">
        <v>-3.7000000000000002E-3</v>
      </c>
    </row>
    <row r="590" spans="2:7" x14ac:dyDescent="0.2">
      <c r="B590" s="60">
        <v>36812</v>
      </c>
      <c r="C590" s="7">
        <v>5.2060000000000002E-2</v>
      </c>
      <c r="D590" s="7">
        <v>5.2060000000000002E-2</v>
      </c>
      <c r="E590" s="7">
        <v>5.2060000000000002E-2</v>
      </c>
      <c r="F590" s="7">
        <v>5.2060000000000002E-2</v>
      </c>
      <c r="G590" s="7">
        <v>7.0000000000000001E-3</v>
      </c>
    </row>
    <row r="591" spans="2:7" x14ac:dyDescent="0.2">
      <c r="B591" s="60">
        <v>36813</v>
      </c>
      <c r="C591" s="7">
        <v>5.2009999999999994E-2</v>
      </c>
      <c r="D591" s="7">
        <v>5.2009999999999994E-2</v>
      </c>
      <c r="E591" s="7">
        <v>5.2009999999999994E-2</v>
      </c>
      <c r="F591" s="7">
        <v>5.2009999999999994E-2</v>
      </c>
      <c r="G591" s="7">
        <v>-1E-3</v>
      </c>
    </row>
    <row r="592" spans="2:7" x14ac:dyDescent="0.2">
      <c r="B592" s="60">
        <v>36815</v>
      </c>
      <c r="C592" s="7">
        <v>5.2110000000000004E-2</v>
      </c>
      <c r="D592" s="7">
        <v>5.2110000000000004E-2</v>
      </c>
      <c r="E592" s="7">
        <v>5.2110000000000004E-2</v>
      </c>
      <c r="F592" s="7">
        <v>5.2110000000000004E-2</v>
      </c>
      <c r="G592" s="7">
        <v>1.9E-3</v>
      </c>
    </row>
    <row r="593" spans="2:7" x14ac:dyDescent="0.2">
      <c r="B593" s="60">
        <v>36816</v>
      </c>
      <c r="C593" s="7">
        <v>5.2220000000000003E-2</v>
      </c>
      <c r="D593" s="7">
        <v>5.2220000000000003E-2</v>
      </c>
      <c r="E593" s="7">
        <v>5.2220000000000003E-2</v>
      </c>
      <c r="F593" s="7">
        <v>5.2220000000000003E-2</v>
      </c>
      <c r="G593" s="7">
        <v>2.0999999999999999E-3</v>
      </c>
    </row>
    <row r="594" spans="2:7" x14ac:dyDescent="0.2">
      <c r="B594" s="60">
        <v>36817</v>
      </c>
      <c r="C594" s="7">
        <v>5.1869999999999999E-2</v>
      </c>
      <c r="D594" s="7">
        <v>5.1869999999999999E-2</v>
      </c>
      <c r="E594" s="7">
        <v>5.1869999999999999E-2</v>
      </c>
      <c r="F594" s="7">
        <v>5.1869999999999999E-2</v>
      </c>
      <c r="G594" s="7">
        <v>-6.7000000000000002E-3</v>
      </c>
    </row>
    <row r="595" spans="2:7" x14ac:dyDescent="0.2">
      <c r="B595" s="60">
        <v>36818</v>
      </c>
      <c r="C595" s="7">
        <v>5.2089999999999997E-2</v>
      </c>
      <c r="D595" s="7">
        <v>5.2089999999999997E-2</v>
      </c>
      <c r="E595" s="7">
        <v>5.2089999999999997E-2</v>
      </c>
      <c r="F595" s="7">
        <v>5.2089999999999997E-2</v>
      </c>
      <c r="G595" s="7">
        <v>4.1999999999999997E-3</v>
      </c>
    </row>
    <row r="596" spans="2:7" x14ac:dyDescent="0.2">
      <c r="B596" s="60">
        <v>36819</v>
      </c>
      <c r="C596" s="7">
        <v>5.1900000000000002E-2</v>
      </c>
      <c r="D596" s="7">
        <v>5.1900000000000002E-2</v>
      </c>
      <c r="E596" s="7">
        <v>5.1900000000000002E-2</v>
      </c>
      <c r="F596" s="7">
        <v>5.1900000000000002E-2</v>
      </c>
      <c r="G596" s="7">
        <v>-3.5999999999999999E-3</v>
      </c>
    </row>
    <row r="597" spans="2:7" x14ac:dyDescent="0.2">
      <c r="B597" s="60">
        <v>36822</v>
      </c>
      <c r="C597" s="7">
        <v>5.2019999999999997E-2</v>
      </c>
      <c r="D597" s="7">
        <v>5.2019999999999997E-2</v>
      </c>
      <c r="E597" s="7">
        <v>5.2019999999999997E-2</v>
      </c>
      <c r="F597" s="7">
        <v>5.2019999999999997E-2</v>
      </c>
      <c r="G597" s="7">
        <v>2.3E-3</v>
      </c>
    </row>
    <row r="598" spans="2:7" x14ac:dyDescent="0.2">
      <c r="B598" s="60">
        <v>36823</v>
      </c>
      <c r="C598" s="7">
        <v>5.2080000000000001E-2</v>
      </c>
      <c r="D598" s="7">
        <v>5.2080000000000001E-2</v>
      </c>
      <c r="E598" s="7">
        <v>5.2080000000000001E-2</v>
      </c>
      <c r="F598" s="7">
        <v>5.2080000000000001E-2</v>
      </c>
      <c r="G598" s="7">
        <v>1.1999999999999999E-3</v>
      </c>
    </row>
    <row r="599" spans="2:7" x14ac:dyDescent="0.2">
      <c r="B599" s="60">
        <v>36824</v>
      </c>
      <c r="C599" s="7">
        <v>5.2569999999999999E-2</v>
      </c>
      <c r="D599" s="7">
        <v>5.2569999999999999E-2</v>
      </c>
      <c r="E599" s="7">
        <v>5.2569999999999999E-2</v>
      </c>
      <c r="F599" s="7">
        <v>5.2569999999999999E-2</v>
      </c>
      <c r="G599" s="7">
        <v>9.4000000000000004E-3</v>
      </c>
    </row>
    <row r="600" spans="2:7" x14ac:dyDescent="0.2">
      <c r="B600" s="60">
        <v>36825</v>
      </c>
      <c r="C600" s="7">
        <v>5.2649999999999995E-2</v>
      </c>
      <c r="D600" s="7">
        <v>5.2649999999999995E-2</v>
      </c>
      <c r="E600" s="7">
        <v>5.2649999999999995E-2</v>
      </c>
      <c r="F600" s="7">
        <v>5.2649999999999995E-2</v>
      </c>
      <c r="G600" s="7">
        <v>1.5E-3</v>
      </c>
    </row>
    <row r="601" spans="2:7" x14ac:dyDescent="0.2">
      <c r="B601" s="60">
        <v>36826</v>
      </c>
      <c r="C601" s="7">
        <v>5.2290000000000003E-2</v>
      </c>
      <c r="D601" s="7">
        <v>5.2290000000000003E-2</v>
      </c>
      <c r="E601" s="7">
        <v>5.2290000000000003E-2</v>
      </c>
      <c r="F601" s="7">
        <v>5.2290000000000003E-2</v>
      </c>
      <c r="G601" s="7">
        <v>-6.7999999999999996E-3</v>
      </c>
    </row>
    <row r="602" spans="2:7" x14ac:dyDescent="0.2">
      <c r="B602" s="60">
        <v>36827</v>
      </c>
      <c r="C602" s="7">
        <v>5.2179999999999997E-2</v>
      </c>
      <c r="D602" s="7">
        <v>5.2179999999999997E-2</v>
      </c>
      <c r="E602" s="7">
        <v>5.2179999999999997E-2</v>
      </c>
      <c r="F602" s="7">
        <v>5.2179999999999997E-2</v>
      </c>
      <c r="G602" s="7">
        <v>-2.0999999999999999E-3</v>
      </c>
    </row>
    <row r="603" spans="2:7" x14ac:dyDescent="0.2">
      <c r="B603" s="60">
        <v>36829</v>
      </c>
      <c r="C603" s="7">
        <v>5.21E-2</v>
      </c>
      <c r="D603" s="7">
        <v>5.21E-2</v>
      </c>
      <c r="E603" s="7">
        <v>5.21E-2</v>
      </c>
      <c r="F603" s="7">
        <v>5.21E-2</v>
      </c>
      <c r="G603" s="7">
        <v>-1.5E-3</v>
      </c>
    </row>
    <row r="604" spans="2:7" x14ac:dyDescent="0.2">
      <c r="B604" s="60">
        <v>36830</v>
      </c>
      <c r="C604" s="7">
        <v>5.2400000000000002E-2</v>
      </c>
      <c r="D604" s="7">
        <v>5.2400000000000002E-2</v>
      </c>
      <c r="E604" s="7">
        <v>5.2400000000000002E-2</v>
      </c>
      <c r="F604" s="7">
        <v>5.2400000000000002E-2</v>
      </c>
      <c r="G604" s="7">
        <v>5.7999999999999996E-3</v>
      </c>
    </row>
    <row r="605" spans="2:7" x14ac:dyDescent="0.2">
      <c r="B605" s="60">
        <v>36831</v>
      </c>
      <c r="C605" s="7">
        <v>5.212E-2</v>
      </c>
      <c r="D605" s="7">
        <v>5.212E-2</v>
      </c>
      <c r="E605" s="7">
        <v>5.212E-2</v>
      </c>
      <c r="F605" s="7">
        <v>5.212E-2</v>
      </c>
      <c r="G605" s="7">
        <v>-5.3E-3</v>
      </c>
    </row>
    <row r="606" spans="2:7" x14ac:dyDescent="0.2">
      <c r="B606" s="60">
        <v>36832</v>
      </c>
      <c r="C606" s="7">
        <v>5.2130000000000003E-2</v>
      </c>
      <c r="D606" s="7">
        <v>5.2130000000000003E-2</v>
      </c>
      <c r="E606" s="7">
        <v>5.2130000000000003E-2</v>
      </c>
      <c r="F606" s="7">
        <v>5.2130000000000003E-2</v>
      </c>
      <c r="G606" s="7">
        <v>2.0000000000000001E-4</v>
      </c>
    </row>
    <row r="607" spans="2:7" x14ac:dyDescent="0.2">
      <c r="B607" s="60">
        <v>36833</v>
      </c>
      <c r="C607" s="7">
        <v>5.2080000000000001E-2</v>
      </c>
      <c r="D607" s="7">
        <v>5.2080000000000001E-2</v>
      </c>
      <c r="E607" s="7">
        <v>5.2080000000000001E-2</v>
      </c>
      <c r="F607" s="7">
        <v>5.2080000000000001E-2</v>
      </c>
      <c r="G607" s="7">
        <v>-1E-3</v>
      </c>
    </row>
    <row r="608" spans="2:7" x14ac:dyDescent="0.2">
      <c r="B608" s="60">
        <v>36834</v>
      </c>
      <c r="C608" s="7">
        <v>5.2320000000000005E-2</v>
      </c>
      <c r="D608" s="7">
        <v>5.2320000000000005E-2</v>
      </c>
      <c r="E608" s="7">
        <v>5.2320000000000005E-2</v>
      </c>
      <c r="F608" s="7">
        <v>5.2320000000000005E-2</v>
      </c>
      <c r="G608" s="7">
        <v>4.5999999999999999E-3</v>
      </c>
    </row>
    <row r="609" spans="2:7" x14ac:dyDescent="0.2">
      <c r="B609" s="60">
        <v>36836</v>
      </c>
      <c r="C609" s="7">
        <v>5.2179999999999997E-2</v>
      </c>
      <c r="D609" s="7">
        <v>5.2179999999999997E-2</v>
      </c>
      <c r="E609" s="7">
        <v>5.2179999999999997E-2</v>
      </c>
      <c r="F609" s="7">
        <v>5.2179999999999997E-2</v>
      </c>
      <c r="G609" s="7">
        <v>-2.7000000000000001E-3</v>
      </c>
    </row>
    <row r="610" spans="2:7" x14ac:dyDescent="0.2">
      <c r="B610" s="60">
        <v>36837</v>
      </c>
      <c r="C610" s="7">
        <v>5.2440000000000001E-2</v>
      </c>
      <c r="D610" s="7">
        <v>5.2440000000000001E-2</v>
      </c>
      <c r="E610" s="7">
        <v>5.2440000000000001E-2</v>
      </c>
      <c r="F610" s="7">
        <v>5.2440000000000001E-2</v>
      </c>
      <c r="G610" s="7">
        <v>5.0000000000000001E-3</v>
      </c>
    </row>
    <row r="611" spans="2:7" x14ac:dyDescent="0.2">
      <c r="B611" s="60">
        <v>36838</v>
      </c>
      <c r="C611" s="7">
        <v>5.2549999999999999E-2</v>
      </c>
      <c r="D611" s="7">
        <v>5.2549999999999999E-2</v>
      </c>
      <c r="E611" s="7">
        <v>5.2549999999999999E-2</v>
      </c>
      <c r="F611" s="7">
        <v>5.2549999999999999E-2</v>
      </c>
      <c r="G611" s="7">
        <v>2.0999999999999999E-3</v>
      </c>
    </row>
    <row r="612" spans="2:7" x14ac:dyDescent="0.2">
      <c r="B612" s="60">
        <v>36839</v>
      </c>
      <c r="C612" s="7">
        <v>5.2359999999999997E-2</v>
      </c>
      <c r="D612" s="7">
        <v>5.2359999999999997E-2</v>
      </c>
      <c r="E612" s="7">
        <v>5.2359999999999997E-2</v>
      </c>
      <c r="F612" s="7">
        <v>5.2359999999999997E-2</v>
      </c>
      <c r="G612" s="7">
        <v>-3.5999999999999999E-3</v>
      </c>
    </row>
    <row r="613" spans="2:7" x14ac:dyDescent="0.2">
      <c r="B613" s="60">
        <v>36840</v>
      </c>
      <c r="C613" s="7">
        <v>5.228E-2</v>
      </c>
      <c r="D613" s="7">
        <v>5.228E-2</v>
      </c>
      <c r="E613" s="7">
        <v>5.228E-2</v>
      </c>
      <c r="F613" s="7">
        <v>5.228E-2</v>
      </c>
      <c r="G613" s="7">
        <v>-1.5E-3</v>
      </c>
    </row>
    <row r="614" spans="2:7" x14ac:dyDescent="0.2">
      <c r="B614" s="60">
        <v>36841</v>
      </c>
      <c r="C614" s="7">
        <v>5.2150000000000002E-2</v>
      </c>
      <c r="D614" s="7">
        <v>5.2150000000000002E-2</v>
      </c>
      <c r="E614" s="7">
        <v>5.2150000000000002E-2</v>
      </c>
      <c r="F614" s="7">
        <v>5.2150000000000002E-2</v>
      </c>
      <c r="G614" s="7">
        <v>-2.5000000000000001E-3</v>
      </c>
    </row>
    <row r="615" spans="2:7" x14ac:dyDescent="0.2">
      <c r="B615" s="60">
        <v>36843</v>
      </c>
      <c r="C615" s="7">
        <v>5.2060000000000002E-2</v>
      </c>
      <c r="D615" s="7">
        <v>5.2060000000000002E-2</v>
      </c>
      <c r="E615" s="7">
        <v>5.2060000000000002E-2</v>
      </c>
      <c r="F615" s="7">
        <v>5.2060000000000002E-2</v>
      </c>
      <c r="G615" s="7">
        <v>-1.6999999999999999E-3</v>
      </c>
    </row>
    <row r="616" spans="2:7" x14ac:dyDescent="0.2">
      <c r="B616" s="60">
        <v>36844</v>
      </c>
      <c r="C616" s="7">
        <v>5.1970000000000002E-2</v>
      </c>
      <c r="D616" s="7">
        <v>5.1970000000000002E-2</v>
      </c>
      <c r="E616" s="7">
        <v>5.1970000000000002E-2</v>
      </c>
      <c r="F616" s="7">
        <v>5.1970000000000002E-2</v>
      </c>
      <c r="G616" s="7">
        <v>-1.6999999999999999E-3</v>
      </c>
    </row>
    <row r="617" spans="2:7" x14ac:dyDescent="0.2">
      <c r="B617" s="60">
        <v>36845</v>
      </c>
      <c r="C617" s="7">
        <v>5.1889999999999999E-2</v>
      </c>
      <c r="D617" s="7">
        <v>5.1889999999999999E-2</v>
      </c>
      <c r="E617" s="7">
        <v>5.1889999999999999E-2</v>
      </c>
      <c r="F617" s="7">
        <v>5.1889999999999999E-2</v>
      </c>
      <c r="G617" s="7">
        <v>-1.5E-3</v>
      </c>
    </row>
    <row r="618" spans="2:7" x14ac:dyDescent="0.2">
      <c r="B618" s="60">
        <v>36846</v>
      </c>
      <c r="C618" s="7">
        <v>5.1799999999999999E-2</v>
      </c>
      <c r="D618" s="7">
        <v>5.1799999999999999E-2</v>
      </c>
      <c r="E618" s="7">
        <v>5.1799999999999999E-2</v>
      </c>
      <c r="F618" s="7">
        <v>5.1799999999999999E-2</v>
      </c>
      <c r="G618" s="7">
        <v>-1.6999999999999999E-3</v>
      </c>
    </row>
    <row r="619" spans="2:7" x14ac:dyDescent="0.2">
      <c r="B619" s="60">
        <v>36847</v>
      </c>
      <c r="C619" s="7">
        <v>5.1729999999999998E-2</v>
      </c>
      <c r="D619" s="7">
        <v>5.1729999999999998E-2</v>
      </c>
      <c r="E619" s="7">
        <v>5.1729999999999998E-2</v>
      </c>
      <c r="F619" s="7">
        <v>5.1729999999999998E-2</v>
      </c>
      <c r="G619" s="7">
        <v>-1.4E-3</v>
      </c>
    </row>
    <row r="620" spans="2:7" x14ac:dyDescent="0.2">
      <c r="B620" s="60">
        <v>36848</v>
      </c>
      <c r="C620" s="7">
        <v>5.1869999999999999E-2</v>
      </c>
      <c r="D620" s="7">
        <v>5.1869999999999999E-2</v>
      </c>
      <c r="E620" s="7">
        <v>5.1869999999999999E-2</v>
      </c>
      <c r="F620" s="7">
        <v>5.1869999999999999E-2</v>
      </c>
      <c r="G620" s="7">
        <v>2.7000000000000001E-3</v>
      </c>
    </row>
    <row r="621" spans="2:7" x14ac:dyDescent="0.2">
      <c r="B621" s="60">
        <v>36850</v>
      </c>
      <c r="C621" s="7">
        <v>5.1680000000000004E-2</v>
      </c>
      <c r="D621" s="7">
        <v>5.1680000000000004E-2</v>
      </c>
      <c r="E621" s="7">
        <v>5.1680000000000004E-2</v>
      </c>
      <c r="F621" s="7">
        <v>5.1680000000000004E-2</v>
      </c>
      <c r="G621" s="7">
        <v>-3.7000000000000002E-3</v>
      </c>
    </row>
    <row r="622" spans="2:7" x14ac:dyDescent="0.2">
      <c r="B622" s="60">
        <v>36851</v>
      </c>
      <c r="C622" s="7">
        <v>5.1810000000000002E-2</v>
      </c>
      <c r="D622" s="7">
        <v>5.1810000000000002E-2</v>
      </c>
      <c r="E622" s="7">
        <v>5.1810000000000002E-2</v>
      </c>
      <c r="F622" s="7">
        <v>5.1810000000000002E-2</v>
      </c>
      <c r="G622" s="7">
        <v>2.5000000000000001E-3</v>
      </c>
    </row>
    <row r="623" spans="2:7" x14ac:dyDescent="0.2">
      <c r="B623" s="60">
        <v>36852</v>
      </c>
      <c r="C623" s="7">
        <v>5.1399999999999994E-2</v>
      </c>
      <c r="D623" s="7">
        <v>5.1399999999999994E-2</v>
      </c>
      <c r="E623" s="7">
        <v>5.1399999999999994E-2</v>
      </c>
      <c r="F623" s="7">
        <v>5.1399999999999994E-2</v>
      </c>
      <c r="G623" s="7">
        <v>-7.9000000000000008E-3</v>
      </c>
    </row>
    <row r="624" spans="2:7" x14ac:dyDescent="0.2">
      <c r="B624" s="60">
        <v>36853</v>
      </c>
      <c r="C624" s="7">
        <v>5.1130000000000002E-2</v>
      </c>
      <c r="D624" s="7">
        <v>5.1130000000000002E-2</v>
      </c>
      <c r="E624" s="7">
        <v>5.1130000000000002E-2</v>
      </c>
      <c r="F624" s="7">
        <v>5.1130000000000002E-2</v>
      </c>
      <c r="G624" s="7">
        <v>-5.3E-3</v>
      </c>
    </row>
    <row r="625" spans="2:7" x14ac:dyDescent="0.2">
      <c r="B625" s="60">
        <v>36854</v>
      </c>
      <c r="C625" s="7">
        <v>5.1180000000000003E-2</v>
      </c>
      <c r="D625" s="7">
        <v>5.1180000000000003E-2</v>
      </c>
      <c r="E625" s="7">
        <v>5.1180000000000003E-2</v>
      </c>
      <c r="F625" s="7">
        <v>5.1180000000000003E-2</v>
      </c>
      <c r="G625" s="7">
        <v>1E-3</v>
      </c>
    </row>
    <row r="626" spans="2:7" x14ac:dyDescent="0.2">
      <c r="B626" s="60">
        <v>36855</v>
      </c>
      <c r="C626" s="7">
        <v>5.1109999999999996E-2</v>
      </c>
      <c r="D626" s="7">
        <v>5.1109999999999996E-2</v>
      </c>
      <c r="E626" s="7">
        <v>5.1109999999999996E-2</v>
      </c>
      <c r="F626" s="7">
        <v>5.1109999999999996E-2</v>
      </c>
      <c r="G626" s="7">
        <v>-1.4E-3</v>
      </c>
    </row>
    <row r="627" spans="2:7" x14ac:dyDescent="0.2">
      <c r="B627" s="60">
        <v>36857</v>
      </c>
      <c r="C627" s="7">
        <v>5.1249999999999997E-2</v>
      </c>
      <c r="D627" s="7">
        <v>5.1249999999999997E-2</v>
      </c>
      <c r="E627" s="7">
        <v>5.1249999999999997E-2</v>
      </c>
      <c r="F627" s="7">
        <v>5.1249999999999997E-2</v>
      </c>
      <c r="G627" s="7">
        <v>2.7000000000000001E-3</v>
      </c>
    </row>
    <row r="628" spans="2:7" x14ac:dyDescent="0.2">
      <c r="B628" s="60">
        <v>36858</v>
      </c>
      <c r="C628" s="7">
        <v>5.074E-2</v>
      </c>
      <c r="D628" s="7">
        <v>5.074E-2</v>
      </c>
      <c r="E628" s="7">
        <v>5.074E-2</v>
      </c>
      <c r="F628" s="7">
        <v>5.074E-2</v>
      </c>
      <c r="G628" s="7">
        <v>-0.01</v>
      </c>
    </row>
    <row r="629" spans="2:7" x14ac:dyDescent="0.2">
      <c r="B629" s="60">
        <v>36859</v>
      </c>
      <c r="C629" s="7">
        <v>5.0709999999999998E-2</v>
      </c>
      <c r="D629" s="7">
        <v>5.0709999999999998E-2</v>
      </c>
      <c r="E629" s="7">
        <v>5.0709999999999998E-2</v>
      </c>
      <c r="F629" s="7">
        <v>5.0709999999999998E-2</v>
      </c>
      <c r="G629" s="7">
        <v>-5.9999999999999995E-4</v>
      </c>
    </row>
    <row r="630" spans="2:7" x14ac:dyDescent="0.2">
      <c r="B630" s="60">
        <v>36860</v>
      </c>
      <c r="C630" s="7">
        <v>4.9960000000000004E-2</v>
      </c>
      <c r="D630" s="7">
        <v>4.9960000000000004E-2</v>
      </c>
      <c r="E630" s="7">
        <v>4.9960000000000004E-2</v>
      </c>
      <c r="F630" s="7">
        <v>4.9960000000000004E-2</v>
      </c>
      <c r="G630" s="7">
        <v>-1.4800000000000001E-2</v>
      </c>
    </row>
    <row r="631" spans="2:7" x14ac:dyDescent="0.2">
      <c r="B631" s="60">
        <v>36861</v>
      </c>
      <c r="C631" s="7">
        <v>4.9840000000000002E-2</v>
      </c>
      <c r="D631" s="7">
        <v>4.9840000000000002E-2</v>
      </c>
      <c r="E631" s="7">
        <v>4.9840000000000002E-2</v>
      </c>
      <c r="F631" s="7">
        <v>4.9840000000000002E-2</v>
      </c>
      <c r="G631" s="7">
        <v>-2.3999999999999998E-3</v>
      </c>
    </row>
    <row r="632" spans="2:7" x14ac:dyDescent="0.2">
      <c r="B632" s="60">
        <v>36862</v>
      </c>
      <c r="C632" s="7">
        <v>4.981E-2</v>
      </c>
      <c r="D632" s="7">
        <v>4.981E-2</v>
      </c>
      <c r="E632" s="7">
        <v>4.981E-2</v>
      </c>
      <c r="F632" s="7">
        <v>4.981E-2</v>
      </c>
      <c r="G632" s="7">
        <v>-5.9999999999999995E-4</v>
      </c>
    </row>
    <row r="633" spans="2:7" x14ac:dyDescent="0.2">
      <c r="B633" s="60">
        <v>36864</v>
      </c>
      <c r="C633" s="7">
        <v>4.9349999999999998E-2</v>
      </c>
      <c r="D633" s="7">
        <v>4.9349999999999998E-2</v>
      </c>
      <c r="E633" s="7">
        <v>4.9349999999999998E-2</v>
      </c>
      <c r="F633" s="7">
        <v>4.9349999999999998E-2</v>
      </c>
      <c r="G633" s="7">
        <v>-9.1999999999999998E-3</v>
      </c>
    </row>
    <row r="634" spans="2:7" x14ac:dyDescent="0.2">
      <c r="B634" s="60">
        <v>36865</v>
      </c>
      <c r="C634" s="7">
        <v>4.9340000000000002E-2</v>
      </c>
      <c r="D634" s="7">
        <v>4.9340000000000002E-2</v>
      </c>
      <c r="E634" s="7">
        <v>4.9340000000000002E-2</v>
      </c>
      <c r="F634" s="7">
        <v>4.9340000000000002E-2</v>
      </c>
      <c r="G634" s="7">
        <v>-2.0000000000000001E-4</v>
      </c>
    </row>
    <row r="635" spans="2:7" x14ac:dyDescent="0.2">
      <c r="B635" s="60">
        <v>36866</v>
      </c>
      <c r="C635" s="7">
        <v>4.9160000000000002E-2</v>
      </c>
      <c r="D635" s="7">
        <v>4.9160000000000002E-2</v>
      </c>
      <c r="E635" s="7">
        <v>4.9160000000000002E-2</v>
      </c>
      <c r="F635" s="7">
        <v>4.9160000000000002E-2</v>
      </c>
      <c r="G635" s="7">
        <v>-3.5999999999999999E-3</v>
      </c>
    </row>
    <row r="636" spans="2:7" x14ac:dyDescent="0.2">
      <c r="B636" s="60">
        <v>36867</v>
      </c>
      <c r="C636" s="7">
        <v>4.9259999999999998E-2</v>
      </c>
      <c r="D636" s="7">
        <v>4.9259999999999998E-2</v>
      </c>
      <c r="E636" s="7">
        <v>4.9259999999999998E-2</v>
      </c>
      <c r="F636" s="7">
        <v>4.9259999999999998E-2</v>
      </c>
      <c r="G636" s="7">
        <v>2E-3</v>
      </c>
    </row>
    <row r="637" spans="2:7" x14ac:dyDescent="0.2">
      <c r="B637" s="60">
        <v>36868</v>
      </c>
      <c r="C637" s="7">
        <v>4.9429999999999995E-2</v>
      </c>
      <c r="D637" s="7">
        <v>4.9429999999999995E-2</v>
      </c>
      <c r="E637" s="7">
        <v>4.9429999999999995E-2</v>
      </c>
      <c r="F637" s="7">
        <v>4.9429999999999995E-2</v>
      </c>
      <c r="G637" s="7">
        <v>3.5000000000000001E-3</v>
      </c>
    </row>
    <row r="638" spans="2:7" x14ac:dyDescent="0.2">
      <c r="B638" s="60">
        <v>36869</v>
      </c>
      <c r="C638" s="7">
        <v>4.9599999999999998E-2</v>
      </c>
      <c r="D638" s="7">
        <v>4.9599999999999998E-2</v>
      </c>
      <c r="E638" s="7">
        <v>4.9599999999999998E-2</v>
      </c>
      <c r="F638" s="7">
        <v>4.9599999999999998E-2</v>
      </c>
      <c r="G638" s="7">
        <v>3.3999999999999998E-3</v>
      </c>
    </row>
    <row r="639" spans="2:7" x14ac:dyDescent="0.2">
      <c r="B639" s="60">
        <v>36871</v>
      </c>
      <c r="C639" s="7">
        <v>4.9710000000000004E-2</v>
      </c>
      <c r="D639" s="7">
        <v>4.9710000000000004E-2</v>
      </c>
      <c r="E639" s="7">
        <v>4.9710000000000004E-2</v>
      </c>
      <c r="F639" s="7">
        <v>4.9710000000000004E-2</v>
      </c>
      <c r="G639" s="7">
        <v>2.2000000000000001E-3</v>
      </c>
    </row>
    <row r="640" spans="2:7" x14ac:dyDescent="0.2">
      <c r="B640" s="60">
        <v>36872</v>
      </c>
      <c r="C640" s="7">
        <v>4.9669999999999999E-2</v>
      </c>
      <c r="D640" s="7">
        <v>4.9669999999999999E-2</v>
      </c>
      <c r="E640" s="7">
        <v>4.9669999999999999E-2</v>
      </c>
      <c r="F640" s="7">
        <v>4.9669999999999999E-2</v>
      </c>
      <c r="G640" s="7">
        <v>-8.0000000000000004E-4</v>
      </c>
    </row>
    <row r="641" spans="2:7" x14ac:dyDescent="0.2">
      <c r="B641" s="60">
        <v>36873</v>
      </c>
      <c r="C641" s="7">
        <v>4.9829999999999999E-2</v>
      </c>
      <c r="D641" s="7">
        <v>4.9829999999999999E-2</v>
      </c>
      <c r="E641" s="7">
        <v>4.9829999999999999E-2</v>
      </c>
      <c r="F641" s="7">
        <v>4.9829999999999999E-2</v>
      </c>
      <c r="G641" s="7">
        <v>3.2000000000000002E-3</v>
      </c>
    </row>
    <row r="642" spans="2:7" x14ac:dyDescent="0.2">
      <c r="B642" s="60">
        <v>36874</v>
      </c>
      <c r="C642" s="7">
        <v>4.9259999999999998E-2</v>
      </c>
      <c r="D642" s="7">
        <v>4.9259999999999998E-2</v>
      </c>
      <c r="E642" s="7">
        <v>4.9259999999999998E-2</v>
      </c>
      <c r="F642" s="7">
        <v>4.9259999999999998E-2</v>
      </c>
      <c r="G642" s="7">
        <v>-1.14E-2</v>
      </c>
    </row>
    <row r="643" spans="2:7" x14ac:dyDescent="0.2">
      <c r="B643" s="60">
        <v>36875</v>
      </c>
      <c r="C643" s="7">
        <v>4.8689999999999997E-2</v>
      </c>
      <c r="D643" s="7">
        <v>4.8689999999999997E-2</v>
      </c>
      <c r="E643" s="7">
        <v>4.8689999999999997E-2</v>
      </c>
      <c r="F643" s="7">
        <v>4.8689999999999997E-2</v>
      </c>
      <c r="G643" s="7">
        <v>-1.1599999999999999E-2</v>
      </c>
    </row>
    <row r="644" spans="2:7" x14ac:dyDescent="0.2">
      <c r="B644" s="60">
        <v>36876</v>
      </c>
      <c r="C644" s="7">
        <v>4.8680000000000001E-2</v>
      </c>
      <c r="D644" s="7">
        <v>4.8680000000000001E-2</v>
      </c>
      <c r="E644" s="7">
        <v>4.8680000000000001E-2</v>
      </c>
      <c r="F644" s="7">
        <v>4.8680000000000001E-2</v>
      </c>
      <c r="G644" s="7">
        <v>-2.0000000000000001E-4</v>
      </c>
    </row>
    <row r="645" spans="2:7" x14ac:dyDescent="0.2">
      <c r="B645" s="60">
        <v>36878</v>
      </c>
      <c r="C645" s="7">
        <v>4.8689999999999997E-2</v>
      </c>
      <c r="D645" s="7">
        <v>4.8689999999999997E-2</v>
      </c>
      <c r="E645" s="7">
        <v>4.8689999999999997E-2</v>
      </c>
      <c r="F645" s="7">
        <v>4.8689999999999997E-2</v>
      </c>
      <c r="G645" s="7">
        <v>2.0000000000000001E-4</v>
      </c>
    </row>
    <row r="646" spans="2:7" x14ac:dyDescent="0.2">
      <c r="B646" s="60">
        <v>36879</v>
      </c>
      <c r="C646" s="7">
        <v>4.8730000000000002E-2</v>
      </c>
      <c r="D646" s="7">
        <v>4.8730000000000002E-2</v>
      </c>
      <c r="E646" s="7">
        <v>4.8730000000000002E-2</v>
      </c>
      <c r="F646" s="7">
        <v>4.8730000000000002E-2</v>
      </c>
      <c r="G646" s="7">
        <v>8.0000000000000004E-4</v>
      </c>
    </row>
    <row r="647" spans="2:7" x14ac:dyDescent="0.2">
      <c r="B647" s="60">
        <v>36880</v>
      </c>
      <c r="C647" s="7">
        <v>4.8470000000000006E-2</v>
      </c>
      <c r="D647" s="7">
        <v>4.8470000000000006E-2</v>
      </c>
      <c r="E647" s="7">
        <v>4.8470000000000006E-2</v>
      </c>
      <c r="F647" s="7">
        <v>4.8470000000000006E-2</v>
      </c>
      <c r="G647" s="7">
        <v>-5.3E-3</v>
      </c>
    </row>
    <row r="648" spans="2:7" x14ac:dyDescent="0.2">
      <c r="B648" s="60">
        <v>36881</v>
      </c>
      <c r="C648" s="7">
        <v>4.8320000000000002E-2</v>
      </c>
      <c r="D648" s="7">
        <v>4.8320000000000002E-2</v>
      </c>
      <c r="E648" s="7">
        <v>4.8320000000000002E-2</v>
      </c>
      <c r="F648" s="7">
        <v>4.8320000000000002E-2</v>
      </c>
      <c r="G648" s="7">
        <v>-3.0999999999999999E-3</v>
      </c>
    </row>
    <row r="649" spans="2:7" x14ac:dyDescent="0.2">
      <c r="B649" s="60">
        <v>36882</v>
      </c>
      <c r="C649" s="7">
        <v>4.8659999999999995E-2</v>
      </c>
      <c r="D649" s="7">
        <v>4.8659999999999995E-2</v>
      </c>
      <c r="E649" s="7">
        <v>4.8659999999999995E-2</v>
      </c>
      <c r="F649" s="7">
        <v>4.8659999999999995E-2</v>
      </c>
      <c r="G649" s="7">
        <v>7.0000000000000001E-3</v>
      </c>
    </row>
    <row r="650" spans="2:7" x14ac:dyDescent="0.2">
      <c r="B650" s="60">
        <v>36883</v>
      </c>
      <c r="C650" s="7">
        <v>4.8639999999999996E-2</v>
      </c>
      <c r="D650" s="7">
        <v>4.8639999999999996E-2</v>
      </c>
      <c r="E650" s="7">
        <v>4.8639999999999996E-2</v>
      </c>
      <c r="F650" s="7">
        <v>4.8639999999999996E-2</v>
      </c>
      <c r="G650" s="7">
        <v>-4.0000000000000002E-4</v>
      </c>
    </row>
    <row r="651" spans="2:7" x14ac:dyDescent="0.2">
      <c r="B651" s="60">
        <v>36885</v>
      </c>
      <c r="C651" s="7">
        <v>4.8590000000000001E-2</v>
      </c>
      <c r="D651" s="7">
        <v>4.8590000000000001E-2</v>
      </c>
      <c r="E651" s="7">
        <v>4.8590000000000001E-2</v>
      </c>
      <c r="F651" s="7">
        <v>4.8590000000000001E-2</v>
      </c>
      <c r="G651" s="7">
        <v>-1E-3</v>
      </c>
    </row>
    <row r="652" spans="2:7" x14ac:dyDescent="0.2">
      <c r="B652" s="60">
        <v>36886</v>
      </c>
      <c r="C652" s="7">
        <v>4.8590000000000001E-2</v>
      </c>
      <c r="D652" s="7">
        <v>4.8590000000000001E-2</v>
      </c>
      <c r="E652" s="7">
        <v>4.8590000000000001E-2</v>
      </c>
      <c r="F652" s="7">
        <v>4.8590000000000001E-2</v>
      </c>
      <c r="G652" s="7">
        <v>0</v>
      </c>
    </row>
    <row r="653" spans="2:7" x14ac:dyDescent="0.2">
      <c r="B653" s="60">
        <v>36887</v>
      </c>
      <c r="C653" s="7">
        <v>4.8669999999999998E-2</v>
      </c>
      <c r="D653" s="7">
        <v>4.8669999999999998E-2</v>
      </c>
      <c r="E653" s="7">
        <v>4.8669999999999998E-2</v>
      </c>
      <c r="F653" s="7">
        <v>4.8669999999999998E-2</v>
      </c>
      <c r="G653" s="7">
        <v>1.6000000000000001E-3</v>
      </c>
    </row>
    <row r="654" spans="2:7" x14ac:dyDescent="0.2">
      <c r="B654" s="60">
        <v>36888</v>
      </c>
      <c r="C654" s="7">
        <v>4.9070000000000003E-2</v>
      </c>
      <c r="D654" s="7">
        <v>4.9070000000000003E-2</v>
      </c>
      <c r="E654" s="7">
        <v>4.9070000000000003E-2</v>
      </c>
      <c r="F654" s="7">
        <v>4.9070000000000003E-2</v>
      </c>
      <c r="G654" s="7">
        <v>8.2000000000000007E-3</v>
      </c>
    </row>
    <row r="655" spans="2:7" x14ac:dyDescent="0.2">
      <c r="B655" s="60">
        <v>36889</v>
      </c>
      <c r="C655" s="7">
        <v>4.8579999999999998E-2</v>
      </c>
      <c r="D655" s="7">
        <v>4.8579999999999998E-2</v>
      </c>
      <c r="E655" s="7">
        <v>4.8579999999999998E-2</v>
      </c>
      <c r="F655" s="7">
        <v>4.8579999999999998E-2</v>
      </c>
      <c r="G655" s="7">
        <v>-0.01</v>
      </c>
    </row>
    <row r="656" spans="2:7" x14ac:dyDescent="0.2">
      <c r="B656" s="60">
        <v>36893</v>
      </c>
      <c r="C656" s="7">
        <v>4.743E-2</v>
      </c>
      <c r="D656" s="7">
        <v>4.743E-2</v>
      </c>
      <c r="E656" s="7">
        <v>4.743E-2</v>
      </c>
      <c r="F656" s="7">
        <v>4.743E-2</v>
      </c>
      <c r="G656" s="7">
        <v>-2.3699999999999999E-2</v>
      </c>
    </row>
    <row r="657" spans="2:7" x14ac:dyDescent="0.2">
      <c r="B657" s="60">
        <v>36894</v>
      </c>
      <c r="C657" s="7">
        <v>4.7110000000000006E-2</v>
      </c>
      <c r="D657" s="7">
        <v>4.7110000000000006E-2</v>
      </c>
      <c r="E657" s="7">
        <v>4.7110000000000006E-2</v>
      </c>
      <c r="F657" s="7">
        <v>4.7110000000000006E-2</v>
      </c>
      <c r="G657" s="7">
        <v>-6.7000000000000002E-3</v>
      </c>
    </row>
    <row r="658" spans="2:7" x14ac:dyDescent="0.2">
      <c r="B658" s="60">
        <v>36895</v>
      </c>
      <c r="C658" s="7">
        <v>4.7289999999999999E-2</v>
      </c>
      <c r="D658" s="7">
        <v>4.7289999999999999E-2</v>
      </c>
      <c r="E658" s="7">
        <v>4.7289999999999999E-2</v>
      </c>
      <c r="F658" s="7">
        <v>4.7289999999999999E-2</v>
      </c>
      <c r="G658" s="7">
        <v>3.8E-3</v>
      </c>
    </row>
    <row r="659" spans="2:7" x14ac:dyDescent="0.2">
      <c r="B659" s="60">
        <v>36896</v>
      </c>
      <c r="C659" s="7">
        <v>4.6879999999999998E-2</v>
      </c>
      <c r="D659" s="7">
        <v>4.6879999999999998E-2</v>
      </c>
      <c r="E659" s="7">
        <v>4.6879999999999998E-2</v>
      </c>
      <c r="F659" s="7">
        <v>4.6879999999999998E-2</v>
      </c>
      <c r="G659" s="7">
        <v>-8.6999999999999994E-3</v>
      </c>
    </row>
    <row r="660" spans="2:7" x14ac:dyDescent="0.2">
      <c r="B660" s="60">
        <v>36899</v>
      </c>
      <c r="C660" s="7">
        <v>4.6989999999999997E-2</v>
      </c>
      <c r="D660" s="7">
        <v>4.6989999999999997E-2</v>
      </c>
      <c r="E660" s="7">
        <v>4.6989999999999997E-2</v>
      </c>
      <c r="F660" s="7">
        <v>4.6989999999999997E-2</v>
      </c>
      <c r="G660" s="7">
        <v>2.3E-3</v>
      </c>
    </row>
    <row r="661" spans="2:7" x14ac:dyDescent="0.2">
      <c r="B661" s="60">
        <v>36900</v>
      </c>
      <c r="C661" s="7">
        <v>4.7249999999999993E-2</v>
      </c>
      <c r="D661" s="7">
        <v>4.7249999999999993E-2</v>
      </c>
      <c r="E661" s="7">
        <v>4.7249999999999993E-2</v>
      </c>
      <c r="F661" s="7">
        <v>4.7249999999999993E-2</v>
      </c>
      <c r="G661" s="7">
        <v>5.4999999999999997E-3</v>
      </c>
    </row>
    <row r="662" spans="2:7" x14ac:dyDescent="0.2">
      <c r="B662" s="60">
        <v>36901</v>
      </c>
      <c r="C662" s="7">
        <v>4.7800000000000002E-2</v>
      </c>
      <c r="D662" s="7">
        <v>4.7800000000000002E-2</v>
      </c>
      <c r="E662" s="7">
        <v>4.7800000000000002E-2</v>
      </c>
      <c r="F662" s="7">
        <v>4.7800000000000002E-2</v>
      </c>
      <c r="G662" s="7">
        <v>1.1599999999999999E-2</v>
      </c>
    </row>
    <row r="663" spans="2:7" x14ac:dyDescent="0.2">
      <c r="B663" s="60">
        <v>36902</v>
      </c>
      <c r="C663" s="7">
        <v>4.7449999999999999E-2</v>
      </c>
      <c r="D663" s="7">
        <v>4.7449999999999999E-2</v>
      </c>
      <c r="E663" s="7">
        <v>4.7449999999999999E-2</v>
      </c>
      <c r="F663" s="7">
        <v>4.7449999999999999E-2</v>
      </c>
      <c r="G663" s="7">
        <v>-7.3000000000000001E-3</v>
      </c>
    </row>
    <row r="664" spans="2:7" x14ac:dyDescent="0.2">
      <c r="B664" s="60">
        <v>36903</v>
      </c>
      <c r="C664" s="7">
        <v>4.8179999999999994E-2</v>
      </c>
      <c r="D664" s="7">
        <v>4.8179999999999994E-2</v>
      </c>
      <c r="E664" s="7">
        <v>4.8179999999999994E-2</v>
      </c>
      <c r="F664" s="7">
        <v>4.8179999999999994E-2</v>
      </c>
      <c r="G664" s="7">
        <v>1.54E-2</v>
      </c>
    </row>
    <row r="665" spans="2:7" x14ac:dyDescent="0.2">
      <c r="B665" s="60">
        <v>36906</v>
      </c>
      <c r="C665" s="7">
        <v>4.8209999999999996E-2</v>
      </c>
      <c r="D665" s="7">
        <v>4.8209999999999996E-2</v>
      </c>
      <c r="E665" s="7">
        <v>4.8209999999999996E-2</v>
      </c>
      <c r="F665" s="7">
        <v>4.8209999999999996E-2</v>
      </c>
      <c r="G665" s="7">
        <v>5.9999999999999995E-4</v>
      </c>
    </row>
    <row r="666" spans="2:7" x14ac:dyDescent="0.2">
      <c r="B666" s="60">
        <v>36907</v>
      </c>
      <c r="C666" s="7">
        <v>4.7980000000000002E-2</v>
      </c>
      <c r="D666" s="7">
        <v>4.7980000000000002E-2</v>
      </c>
      <c r="E666" s="7">
        <v>4.7980000000000002E-2</v>
      </c>
      <c r="F666" s="7">
        <v>4.7980000000000002E-2</v>
      </c>
      <c r="G666" s="7">
        <v>-4.7999999999999996E-3</v>
      </c>
    </row>
    <row r="667" spans="2:7" x14ac:dyDescent="0.2">
      <c r="B667" s="60">
        <v>36908</v>
      </c>
      <c r="C667" s="7">
        <v>4.8239999999999998E-2</v>
      </c>
      <c r="D667" s="7">
        <v>4.8239999999999998E-2</v>
      </c>
      <c r="E667" s="7">
        <v>4.8239999999999998E-2</v>
      </c>
      <c r="F667" s="7">
        <v>4.8239999999999998E-2</v>
      </c>
      <c r="G667" s="7">
        <v>5.4000000000000003E-3</v>
      </c>
    </row>
    <row r="668" spans="2:7" x14ac:dyDescent="0.2">
      <c r="B668" s="60">
        <v>36909</v>
      </c>
      <c r="C668" s="7">
        <v>4.8059999999999999E-2</v>
      </c>
      <c r="D668" s="7">
        <v>4.8059999999999999E-2</v>
      </c>
      <c r="E668" s="7">
        <v>4.8059999999999999E-2</v>
      </c>
      <c r="F668" s="7">
        <v>4.8059999999999999E-2</v>
      </c>
      <c r="G668" s="7">
        <v>-3.7000000000000002E-3</v>
      </c>
    </row>
    <row r="669" spans="2:7" x14ac:dyDescent="0.2">
      <c r="B669" s="60">
        <v>36910</v>
      </c>
      <c r="C669" s="7">
        <v>4.8399999999999999E-2</v>
      </c>
      <c r="D669" s="7">
        <v>4.8399999999999999E-2</v>
      </c>
      <c r="E669" s="7">
        <v>4.8399999999999999E-2</v>
      </c>
      <c r="F669" s="7">
        <v>4.8399999999999999E-2</v>
      </c>
      <c r="G669" s="7">
        <v>7.1000000000000004E-3</v>
      </c>
    </row>
    <row r="670" spans="2:7" x14ac:dyDescent="0.2">
      <c r="B670" s="60">
        <v>36913</v>
      </c>
      <c r="C670" s="7">
        <v>4.8710000000000003E-2</v>
      </c>
      <c r="D670" s="7">
        <v>4.8710000000000003E-2</v>
      </c>
      <c r="E670" s="7">
        <v>4.8710000000000003E-2</v>
      </c>
      <c r="F670" s="7">
        <v>4.8710000000000003E-2</v>
      </c>
      <c r="G670" s="7">
        <v>6.4000000000000003E-3</v>
      </c>
    </row>
    <row r="671" spans="2:7" x14ac:dyDescent="0.2">
      <c r="B671" s="60">
        <v>36914</v>
      </c>
      <c r="C671" s="7">
        <v>4.845E-2</v>
      </c>
      <c r="D671" s="7">
        <v>4.845E-2</v>
      </c>
      <c r="E671" s="7">
        <v>4.845E-2</v>
      </c>
      <c r="F671" s="7">
        <v>4.845E-2</v>
      </c>
      <c r="G671" s="7">
        <v>-5.3E-3</v>
      </c>
    </row>
    <row r="672" spans="2:7" x14ac:dyDescent="0.2">
      <c r="B672" s="60">
        <v>36915</v>
      </c>
      <c r="C672" s="7">
        <v>4.8750000000000002E-2</v>
      </c>
      <c r="D672" s="7">
        <v>4.8750000000000002E-2</v>
      </c>
      <c r="E672" s="7">
        <v>4.8750000000000002E-2</v>
      </c>
      <c r="F672" s="7">
        <v>4.8750000000000002E-2</v>
      </c>
      <c r="G672" s="7">
        <v>6.1999999999999998E-3</v>
      </c>
    </row>
    <row r="673" spans="2:7" x14ac:dyDescent="0.2">
      <c r="B673" s="60">
        <v>36916</v>
      </c>
      <c r="C673" s="7">
        <v>4.8750000000000002E-2</v>
      </c>
      <c r="D673" s="7">
        <v>4.8750000000000002E-2</v>
      </c>
      <c r="E673" s="7">
        <v>4.8750000000000002E-2</v>
      </c>
      <c r="F673" s="7">
        <v>4.8750000000000002E-2</v>
      </c>
      <c r="G673" s="7">
        <v>0</v>
      </c>
    </row>
    <row r="674" spans="2:7" x14ac:dyDescent="0.2">
      <c r="B674" s="60">
        <v>36917</v>
      </c>
      <c r="C674" s="7">
        <v>4.8300000000000003E-2</v>
      </c>
      <c r="D674" s="7">
        <v>4.8300000000000003E-2</v>
      </c>
      <c r="E674" s="7">
        <v>4.8300000000000003E-2</v>
      </c>
      <c r="F674" s="7">
        <v>4.8300000000000003E-2</v>
      </c>
      <c r="G674" s="7">
        <v>-9.1999999999999998E-3</v>
      </c>
    </row>
    <row r="675" spans="2:7" x14ac:dyDescent="0.2">
      <c r="B675" s="60">
        <v>36920</v>
      </c>
      <c r="C675" s="7">
        <v>4.8509999999999998E-2</v>
      </c>
      <c r="D675" s="7">
        <v>4.8509999999999998E-2</v>
      </c>
      <c r="E675" s="7">
        <v>4.8509999999999998E-2</v>
      </c>
      <c r="F675" s="7">
        <v>4.8509999999999998E-2</v>
      </c>
      <c r="G675" s="7">
        <v>4.3E-3</v>
      </c>
    </row>
    <row r="676" spans="2:7" x14ac:dyDescent="0.2">
      <c r="B676" s="60">
        <v>36921</v>
      </c>
      <c r="C676" s="7">
        <v>4.8179999999999994E-2</v>
      </c>
      <c r="D676" s="7">
        <v>4.8179999999999994E-2</v>
      </c>
      <c r="E676" s="7">
        <v>4.8179999999999994E-2</v>
      </c>
      <c r="F676" s="7">
        <v>4.8179999999999994E-2</v>
      </c>
      <c r="G676" s="7">
        <v>-6.7999999999999996E-3</v>
      </c>
    </row>
    <row r="677" spans="2:7" x14ac:dyDescent="0.2">
      <c r="B677" s="60">
        <v>36922</v>
      </c>
      <c r="C677" s="7">
        <v>4.8000000000000001E-2</v>
      </c>
      <c r="D677" s="7">
        <v>4.8000000000000001E-2</v>
      </c>
      <c r="E677" s="7">
        <v>4.8000000000000001E-2</v>
      </c>
      <c r="F677" s="7">
        <v>4.8000000000000001E-2</v>
      </c>
      <c r="G677" s="7">
        <v>-3.7000000000000002E-3</v>
      </c>
    </row>
    <row r="678" spans="2:7" x14ac:dyDescent="0.2">
      <c r="B678" s="60">
        <v>36923</v>
      </c>
      <c r="C678" s="7">
        <v>4.7809999999999998E-2</v>
      </c>
      <c r="D678" s="7">
        <v>4.7809999999999998E-2</v>
      </c>
      <c r="E678" s="7">
        <v>4.7809999999999998E-2</v>
      </c>
      <c r="F678" s="7">
        <v>4.7809999999999998E-2</v>
      </c>
      <c r="G678" s="7">
        <v>-4.0000000000000001E-3</v>
      </c>
    </row>
    <row r="679" spans="2:7" x14ac:dyDescent="0.2">
      <c r="B679" s="60">
        <v>36924</v>
      </c>
      <c r="C679" s="7">
        <v>4.7850000000000004E-2</v>
      </c>
      <c r="D679" s="7">
        <v>4.7850000000000004E-2</v>
      </c>
      <c r="E679" s="7">
        <v>4.7850000000000004E-2</v>
      </c>
      <c r="F679" s="7">
        <v>4.7850000000000004E-2</v>
      </c>
      <c r="G679" s="7">
        <v>8.0000000000000004E-4</v>
      </c>
    </row>
    <row r="680" spans="2:7" x14ac:dyDescent="0.2">
      <c r="B680" s="60">
        <v>36927</v>
      </c>
      <c r="C680" s="7">
        <v>4.7690000000000003E-2</v>
      </c>
      <c r="D680" s="7">
        <v>4.7690000000000003E-2</v>
      </c>
      <c r="E680" s="7">
        <v>4.7690000000000003E-2</v>
      </c>
      <c r="F680" s="7">
        <v>4.7690000000000003E-2</v>
      </c>
      <c r="G680" s="7">
        <v>-3.3E-3</v>
      </c>
    </row>
    <row r="681" spans="2:7" x14ac:dyDescent="0.2">
      <c r="B681" s="60">
        <v>36928</v>
      </c>
      <c r="C681" s="7">
        <v>4.7779999999999996E-2</v>
      </c>
      <c r="D681" s="7">
        <v>4.7779999999999996E-2</v>
      </c>
      <c r="E681" s="7">
        <v>4.7779999999999996E-2</v>
      </c>
      <c r="F681" s="7">
        <v>4.7779999999999996E-2</v>
      </c>
      <c r="G681" s="7">
        <v>1.9E-3</v>
      </c>
    </row>
    <row r="682" spans="2:7" x14ac:dyDescent="0.2">
      <c r="B682" s="60">
        <v>36929</v>
      </c>
      <c r="C682" s="7">
        <v>4.7469999999999998E-2</v>
      </c>
      <c r="D682" s="7">
        <v>4.7469999999999998E-2</v>
      </c>
      <c r="E682" s="7">
        <v>4.7469999999999998E-2</v>
      </c>
      <c r="F682" s="7">
        <v>4.7469999999999998E-2</v>
      </c>
      <c r="G682" s="7">
        <v>-6.4999999999999997E-3</v>
      </c>
    </row>
    <row r="683" spans="2:7" x14ac:dyDescent="0.2">
      <c r="B683" s="60">
        <v>36930</v>
      </c>
      <c r="C683" s="7">
        <v>4.7960000000000003E-2</v>
      </c>
      <c r="D683" s="7">
        <v>4.7960000000000003E-2</v>
      </c>
      <c r="E683" s="7">
        <v>4.7960000000000003E-2</v>
      </c>
      <c r="F683" s="7">
        <v>4.7960000000000003E-2</v>
      </c>
      <c r="G683" s="7">
        <v>1.03E-2</v>
      </c>
    </row>
    <row r="684" spans="2:7" x14ac:dyDescent="0.2">
      <c r="B684" s="60">
        <v>36931</v>
      </c>
      <c r="C684" s="7">
        <v>4.7690000000000003E-2</v>
      </c>
      <c r="D684" s="7">
        <v>4.7690000000000003E-2</v>
      </c>
      <c r="E684" s="7">
        <v>4.7690000000000003E-2</v>
      </c>
      <c r="F684" s="7">
        <v>4.7690000000000003E-2</v>
      </c>
      <c r="G684" s="7">
        <v>-5.5999999999999999E-3</v>
      </c>
    </row>
    <row r="685" spans="2:7" x14ac:dyDescent="0.2">
      <c r="B685" s="60">
        <v>36934</v>
      </c>
      <c r="C685" s="7">
        <v>4.7649999999999998E-2</v>
      </c>
      <c r="D685" s="7">
        <v>4.7649999999999998E-2</v>
      </c>
      <c r="E685" s="7">
        <v>4.7649999999999998E-2</v>
      </c>
      <c r="F685" s="7">
        <v>4.7649999999999998E-2</v>
      </c>
      <c r="G685" s="7">
        <v>-8.0000000000000004E-4</v>
      </c>
    </row>
    <row r="686" spans="2:7" x14ac:dyDescent="0.2">
      <c r="B686" s="60">
        <v>36935</v>
      </c>
      <c r="C686" s="7">
        <v>4.7560000000000005E-2</v>
      </c>
      <c r="D686" s="7">
        <v>4.7560000000000005E-2</v>
      </c>
      <c r="E686" s="7">
        <v>4.7560000000000005E-2</v>
      </c>
      <c r="F686" s="7">
        <v>4.7560000000000005E-2</v>
      </c>
      <c r="G686" s="7">
        <v>-1.9E-3</v>
      </c>
    </row>
    <row r="687" spans="2:7" x14ac:dyDescent="0.2">
      <c r="B687" s="60">
        <v>36936</v>
      </c>
      <c r="C687" s="7">
        <v>4.7830000000000004E-2</v>
      </c>
      <c r="D687" s="7">
        <v>4.7830000000000004E-2</v>
      </c>
      <c r="E687" s="7">
        <v>4.7830000000000004E-2</v>
      </c>
      <c r="F687" s="7">
        <v>4.7830000000000004E-2</v>
      </c>
      <c r="G687" s="7">
        <v>5.7000000000000002E-3</v>
      </c>
    </row>
    <row r="688" spans="2:7" x14ac:dyDescent="0.2">
      <c r="B688" s="60">
        <v>36937</v>
      </c>
      <c r="C688" s="7">
        <v>4.8410000000000002E-2</v>
      </c>
      <c r="D688" s="7">
        <v>4.8410000000000002E-2</v>
      </c>
      <c r="E688" s="7">
        <v>4.8410000000000002E-2</v>
      </c>
      <c r="F688" s="7">
        <v>4.8410000000000002E-2</v>
      </c>
      <c r="G688" s="7">
        <v>1.21E-2</v>
      </c>
    </row>
    <row r="689" spans="2:7" x14ac:dyDescent="0.2">
      <c r="B689" s="60">
        <v>36938</v>
      </c>
      <c r="C689" s="7">
        <v>4.8170000000000004E-2</v>
      </c>
      <c r="D689" s="7">
        <v>4.8170000000000004E-2</v>
      </c>
      <c r="E689" s="7">
        <v>4.8170000000000004E-2</v>
      </c>
      <c r="F689" s="7">
        <v>4.8170000000000004E-2</v>
      </c>
      <c r="G689" s="7">
        <v>-5.0000000000000001E-3</v>
      </c>
    </row>
    <row r="690" spans="2:7" x14ac:dyDescent="0.2">
      <c r="B690" s="60">
        <v>36941</v>
      </c>
      <c r="C690" s="7">
        <v>4.8029999999999996E-2</v>
      </c>
      <c r="D690" s="7">
        <v>4.8029999999999996E-2</v>
      </c>
      <c r="E690" s="7">
        <v>4.8029999999999996E-2</v>
      </c>
      <c r="F690" s="7">
        <v>4.8029999999999996E-2</v>
      </c>
      <c r="G690" s="7">
        <v>-2.8999999999999998E-3</v>
      </c>
    </row>
    <row r="691" spans="2:7" x14ac:dyDescent="0.2">
      <c r="B691" s="60">
        <v>36942</v>
      </c>
      <c r="C691" s="7">
        <v>4.8179999999999994E-2</v>
      </c>
      <c r="D691" s="7">
        <v>4.8179999999999994E-2</v>
      </c>
      <c r="E691" s="7">
        <v>4.8179999999999994E-2</v>
      </c>
      <c r="F691" s="7">
        <v>4.8179999999999994E-2</v>
      </c>
      <c r="G691" s="7">
        <v>3.0999999999999999E-3</v>
      </c>
    </row>
    <row r="692" spans="2:7" x14ac:dyDescent="0.2">
      <c r="B692" s="60">
        <v>36943</v>
      </c>
      <c r="C692" s="7">
        <v>4.845E-2</v>
      </c>
      <c r="D692" s="7">
        <v>4.845E-2</v>
      </c>
      <c r="E692" s="7">
        <v>4.845E-2</v>
      </c>
      <c r="F692" s="7">
        <v>4.845E-2</v>
      </c>
      <c r="G692" s="7">
        <v>5.5999999999999999E-3</v>
      </c>
    </row>
    <row r="693" spans="2:7" x14ac:dyDescent="0.2">
      <c r="B693" s="60">
        <v>36944</v>
      </c>
      <c r="C693" s="7">
        <v>4.8570000000000002E-2</v>
      </c>
      <c r="D693" s="7">
        <v>4.8570000000000002E-2</v>
      </c>
      <c r="E693" s="7">
        <v>4.8570000000000002E-2</v>
      </c>
      <c r="F693" s="7">
        <v>4.8570000000000002E-2</v>
      </c>
      <c r="G693" s="7">
        <v>2.5000000000000001E-3</v>
      </c>
    </row>
    <row r="694" spans="2:7" x14ac:dyDescent="0.2">
      <c r="B694" s="60">
        <v>36945</v>
      </c>
      <c r="C694" s="7">
        <v>4.8300000000000003E-2</v>
      </c>
      <c r="D694" s="7">
        <v>4.8300000000000003E-2</v>
      </c>
      <c r="E694" s="7">
        <v>4.8300000000000003E-2</v>
      </c>
      <c r="F694" s="7">
        <v>4.8300000000000003E-2</v>
      </c>
      <c r="G694" s="7">
        <v>-5.5999999999999999E-3</v>
      </c>
    </row>
    <row r="695" spans="2:7" x14ac:dyDescent="0.2">
      <c r="B695" s="60">
        <v>36948</v>
      </c>
      <c r="C695" s="7">
        <v>4.829E-2</v>
      </c>
      <c r="D695" s="7">
        <v>4.829E-2</v>
      </c>
      <c r="E695" s="7">
        <v>4.829E-2</v>
      </c>
      <c r="F695" s="7">
        <v>4.829E-2</v>
      </c>
      <c r="G695" s="7">
        <v>-2.0000000000000001E-4</v>
      </c>
    </row>
    <row r="696" spans="2:7" x14ac:dyDescent="0.2">
      <c r="B696" s="60">
        <v>36949</v>
      </c>
      <c r="C696" s="7">
        <v>4.7599999999999996E-2</v>
      </c>
      <c r="D696" s="7">
        <v>4.7599999999999996E-2</v>
      </c>
      <c r="E696" s="7">
        <v>4.7599999999999996E-2</v>
      </c>
      <c r="F696" s="7">
        <v>4.7599999999999996E-2</v>
      </c>
      <c r="G696" s="7">
        <v>-1.43E-2</v>
      </c>
    </row>
    <row r="697" spans="2:7" x14ac:dyDescent="0.2">
      <c r="B697" s="60">
        <v>36950</v>
      </c>
      <c r="C697" s="7">
        <v>4.7469999999999998E-2</v>
      </c>
      <c r="D697" s="7">
        <v>4.7469999999999998E-2</v>
      </c>
      <c r="E697" s="7">
        <v>4.7469999999999998E-2</v>
      </c>
      <c r="F697" s="7">
        <v>4.7469999999999998E-2</v>
      </c>
      <c r="G697" s="7">
        <v>-2.7000000000000001E-3</v>
      </c>
    </row>
    <row r="698" spans="2:7" x14ac:dyDescent="0.2">
      <c r="B698" s="60">
        <v>36951</v>
      </c>
      <c r="C698" s="7">
        <v>4.7449999999999999E-2</v>
      </c>
      <c r="D698" s="7">
        <v>4.7449999999999999E-2</v>
      </c>
      <c r="E698" s="7">
        <v>4.7449999999999999E-2</v>
      </c>
      <c r="F698" s="7">
        <v>4.7449999999999999E-2</v>
      </c>
      <c r="G698" s="7">
        <v>-4.0000000000000002E-4</v>
      </c>
    </row>
    <row r="699" spans="2:7" x14ac:dyDescent="0.2">
      <c r="B699" s="60">
        <v>36952</v>
      </c>
      <c r="C699" s="7">
        <v>4.7329999999999997E-2</v>
      </c>
      <c r="D699" s="7">
        <v>4.7329999999999997E-2</v>
      </c>
      <c r="E699" s="7">
        <v>4.7329999999999997E-2</v>
      </c>
      <c r="F699" s="7">
        <v>4.7329999999999997E-2</v>
      </c>
      <c r="G699" s="7">
        <v>-2.5000000000000001E-3</v>
      </c>
    </row>
    <row r="700" spans="2:7" x14ac:dyDescent="0.2">
      <c r="B700" s="60">
        <v>36955</v>
      </c>
      <c r="C700" s="7">
        <v>4.7500000000000001E-2</v>
      </c>
      <c r="D700" s="7">
        <v>4.7500000000000001E-2</v>
      </c>
      <c r="E700" s="7">
        <v>4.7500000000000001E-2</v>
      </c>
      <c r="F700" s="7">
        <v>4.7500000000000001E-2</v>
      </c>
      <c r="G700" s="7">
        <v>3.5999999999999999E-3</v>
      </c>
    </row>
    <row r="701" spans="2:7" x14ac:dyDescent="0.2">
      <c r="B701" s="60">
        <v>36956</v>
      </c>
      <c r="C701" s="7">
        <v>4.7480000000000001E-2</v>
      </c>
      <c r="D701" s="7">
        <v>4.7480000000000001E-2</v>
      </c>
      <c r="E701" s="7">
        <v>4.7480000000000001E-2</v>
      </c>
      <c r="F701" s="7">
        <v>4.7480000000000001E-2</v>
      </c>
      <c r="G701" s="7">
        <v>-4.0000000000000002E-4</v>
      </c>
    </row>
    <row r="702" spans="2:7" x14ac:dyDescent="0.2">
      <c r="B702" s="60">
        <v>36957</v>
      </c>
      <c r="C702" s="7">
        <v>4.7489999999999997E-2</v>
      </c>
      <c r="D702" s="7">
        <v>4.7489999999999997E-2</v>
      </c>
      <c r="E702" s="7">
        <v>4.7489999999999997E-2</v>
      </c>
      <c r="F702" s="7">
        <v>4.7489999999999997E-2</v>
      </c>
      <c r="G702" s="7">
        <v>2.0000000000000001E-4</v>
      </c>
    </row>
    <row r="703" spans="2:7" x14ac:dyDescent="0.2">
      <c r="B703" s="60">
        <v>36958</v>
      </c>
      <c r="C703" s="7">
        <v>4.7060000000000005E-2</v>
      </c>
      <c r="D703" s="7">
        <v>4.7060000000000005E-2</v>
      </c>
      <c r="E703" s="7">
        <v>4.7060000000000005E-2</v>
      </c>
      <c r="F703" s="7">
        <v>4.7060000000000005E-2</v>
      </c>
      <c r="G703" s="7">
        <v>-9.1000000000000004E-3</v>
      </c>
    </row>
    <row r="704" spans="2:7" x14ac:dyDescent="0.2">
      <c r="B704" s="60">
        <v>36959</v>
      </c>
      <c r="C704" s="7">
        <v>4.7190000000000003E-2</v>
      </c>
      <c r="D704" s="7">
        <v>4.7190000000000003E-2</v>
      </c>
      <c r="E704" s="7">
        <v>4.7190000000000003E-2</v>
      </c>
      <c r="F704" s="7">
        <v>4.7190000000000003E-2</v>
      </c>
      <c r="G704" s="7">
        <v>2.8E-3</v>
      </c>
    </row>
    <row r="705" spans="2:7" x14ac:dyDescent="0.2">
      <c r="B705" s="60">
        <v>36962</v>
      </c>
      <c r="C705" s="7">
        <v>4.7050000000000002E-2</v>
      </c>
      <c r="D705" s="7">
        <v>4.7050000000000002E-2</v>
      </c>
      <c r="E705" s="7">
        <v>4.7050000000000002E-2</v>
      </c>
      <c r="F705" s="7">
        <v>4.7050000000000002E-2</v>
      </c>
      <c r="G705" s="7">
        <v>-3.0000000000000001E-3</v>
      </c>
    </row>
    <row r="706" spans="2:7" x14ac:dyDescent="0.2">
      <c r="B706" s="60">
        <v>36963</v>
      </c>
      <c r="C706" s="7">
        <v>4.7259999999999996E-2</v>
      </c>
      <c r="D706" s="7">
        <v>4.7259999999999996E-2</v>
      </c>
      <c r="E706" s="7">
        <v>4.7259999999999996E-2</v>
      </c>
      <c r="F706" s="7">
        <v>4.7259999999999996E-2</v>
      </c>
      <c r="G706" s="7">
        <v>4.4999999999999997E-3</v>
      </c>
    </row>
    <row r="707" spans="2:7" x14ac:dyDescent="0.2">
      <c r="B707" s="60">
        <v>36964</v>
      </c>
      <c r="C707" s="7">
        <v>4.7030000000000002E-2</v>
      </c>
      <c r="D707" s="7">
        <v>4.7030000000000002E-2</v>
      </c>
      <c r="E707" s="7">
        <v>4.7030000000000002E-2</v>
      </c>
      <c r="F707" s="7">
        <v>4.7030000000000002E-2</v>
      </c>
      <c r="G707" s="7">
        <v>-4.8999999999999998E-3</v>
      </c>
    </row>
    <row r="708" spans="2:7" x14ac:dyDescent="0.2">
      <c r="B708" s="60">
        <v>36965</v>
      </c>
      <c r="C708" s="7">
        <v>4.6929999999999999E-2</v>
      </c>
      <c r="D708" s="7">
        <v>4.6929999999999999E-2</v>
      </c>
      <c r="E708" s="7">
        <v>4.6929999999999999E-2</v>
      </c>
      <c r="F708" s="7">
        <v>4.6929999999999999E-2</v>
      </c>
      <c r="G708" s="7">
        <v>-2.0999999999999999E-3</v>
      </c>
    </row>
    <row r="709" spans="2:7" x14ac:dyDescent="0.2">
      <c r="B709" s="60">
        <v>36966</v>
      </c>
      <c r="C709" s="7">
        <v>4.6649999999999997E-2</v>
      </c>
      <c r="D709" s="7">
        <v>4.6649999999999997E-2</v>
      </c>
      <c r="E709" s="7">
        <v>4.6649999999999997E-2</v>
      </c>
      <c r="F709" s="7">
        <v>4.6649999999999997E-2</v>
      </c>
      <c r="G709" s="7">
        <v>-6.0000000000000001E-3</v>
      </c>
    </row>
    <row r="710" spans="2:7" x14ac:dyDescent="0.2">
      <c r="B710" s="60">
        <v>36969</v>
      </c>
      <c r="C710" s="7">
        <v>4.6920000000000003E-2</v>
      </c>
      <c r="D710" s="7">
        <v>4.6920000000000003E-2</v>
      </c>
      <c r="E710" s="7">
        <v>4.6920000000000003E-2</v>
      </c>
      <c r="F710" s="7">
        <v>4.6920000000000003E-2</v>
      </c>
      <c r="G710" s="7">
        <v>5.7999999999999996E-3</v>
      </c>
    </row>
    <row r="711" spans="2:7" x14ac:dyDescent="0.2">
      <c r="B711" s="60">
        <v>36970</v>
      </c>
      <c r="C711" s="7">
        <v>4.6920000000000003E-2</v>
      </c>
      <c r="D711" s="7">
        <v>4.6920000000000003E-2</v>
      </c>
      <c r="E711" s="7">
        <v>4.6920000000000003E-2</v>
      </c>
      <c r="F711" s="7">
        <v>4.6920000000000003E-2</v>
      </c>
      <c r="G711" s="7">
        <v>0</v>
      </c>
    </row>
    <row r="712" spans="2:7" x14ac:dyDescent="0.2">
      <c r="B712" s="60">
        <v>36971</v>
      </c>
      <c r="C712" s="7">
        <v>4.6490000000000004E-2</v>
      </c>
      <c r="D712" s="7">
        <v>4.6490000000000004E-2</v>
      </c>
      <c r="E712" s="7">
        <v>4.6490000000000004E-2</v>
      </c>
      <c r="F712" s="7">
        <v>4.6490000000000004E-2</v>
      </c>
      <c r="G712" s="7">
        <v>-9.1999999999999998E-3</v>
      </c>
    </row>
    <row r="713" spans="2:7" x14ac:dyDescent="0.2">
      <c r="B713" s="60">
        <v>36972</v>
      </c>
      <c r="C713" s="7">
        <v>4.5940000000000002E-2</v>
      </c>
      <c r="D713" s="7">
        <v>4.5940000000000002E-2</v>
      </c>
      <c r="E713" s="7">
        <v>4.5940000000000002E-2</v>
      </c>
      <c r="F713" s="7">
        <v>4.5940000000000002E-2</v>
      </c>
      <c r="G713" s="7">
        <v>-1.18E-2</v>
      </c>
    </row>
    <row r="714" spans="2:7" x14ac:dyDescent="0.2">
      <c r="B714" s="60">
        <v>36973</v>
      </c>
      <c r="C714" s="7">
        <v>4.6170000000000003E-2</v>
      </c>
      <c r="D714" s="7">
        <v>4.6170000000000003E-2</v>
      </c>
      <c r="E714" s="7">
        <v>4.6170000000000003E-2</v>
      </c>
      <c r="F714" s="7">
        <v>4.6170000000000003E-2</v>
      </c>
      <c r="G714" s="7">
        <v>5.0000000000000001E-3</v>
      </c>
    </row>
    <row r="715" spans="2:7" x14ac:dyDescent="0.2">
      <c r="B715" s="60">
        <v>36976</v>
      </c>
      <c r="C715" s="7">
        <v>4.6460000000000001E-2</v>
      </c>
      <c r="D715" s="7">
        <v>4.6460000000000001E-2</v>
      </c>
      <c r="E715" s="7">
        <v>4.6460000000000001E-2</v>
      </c>
      <c r="F715" s="7">
        <v>4.6460000000000001E-2</v>
      </c>
      <c r="G715" s="7">
        <v>6.3E-3</v>
      </c>
    </row>
    <row r="716" spans="2:7" x14ac:dyDescent="0.2">
      <c r="B716" s="60">
        <v>36977</v>
      </c>
      <c r="C716" s="7">
        <v>4.6740000000000004E-2</v>
      </c>
      <c r="D716" s="7">
        <v>4.6740000000000004E-2</v>
      </c>
      <c r="E716" s="7">
        <v>4.6740000000000004E-2</v>
      </c>
      <c r="F716" s="7">
        <v>4.6740000000000004E-2</v>
      </c>
      <c r="G716" s="7">
        <v>6.0000000000000001E-3</v>
      </c>
    </row>
    <row r="717" spans="2:7" x14ac:dyDescent="0.2">
      <c r="B717" s="60">
        <v>36978</v>
      </c>
      <c r="C717" s="7">
        <v>4.6809999999999997E-2</v>
      </c>
      <c r="D717" s="7">
        <v>4.6809999999999997E-2</v>
      </c>
      <c r="E717" s="7">
        <v>4.6809999999999997E-2</v>
      </c>
      <c r="F717" s="7">
        <v>4.6809999999999997E-2</v>
      </c>
      <c r="G717" s="7">
        <v>1.5E-3</v>
      </c>
    </row>
    <row r="718" spans="2:7" x14ac:dyDescent="0.2">
      <c r="B718" s="60">
        <v>36979</v>
      </c>
      <c r="C718" s="7">
        <v>4.7110000000000006E-2</v>
      </c>
      <c r="D718" s="7">
        <v>4.7110000000000006E-2</v>
      </c>
      <c r="E718" s="7">
        <v>4.7110000000000006E-2</v>
      </c>
      <c r="F718" s="7">
        <v>4.7110000000000006E-2</v>
      </c>
      <c r="G718" s="7">
        <v>6.4000000000000003E-3</v>
      </c>
    </row>
    <row r="719" spans="2:7" x14ac:dyDescent="0.2">
      <c r="B719" s="60">
        <v>36980</v>
      </c>
      <c r="C719" s="7">
        <v>4.6870000000000002E-2</v>
      </c>
      <c r="D719" s="7">
        <v>4.6870000000000002E-2</v>
      </c>
      <c r="E719" s="7">
        <v>4.6870000000000002E-2</v>
      </c>
      <c r="F719" s="7">
        <v>4.6870000000000002E-2</v>
      </c>
      <c r="G719" s="7">
        <v>-5.1000000000000004E-3</v>
      </c>
    </row>
    <row r="720" spans="2:7" x14ac:dyDescent="0.2">
      <c r="B720" s="60">
        <v>36983</v>
      </c>
      <c r="C720" s="7">
        <v>4.6820000000000001E-2</v>
      </c>
      <c r="D720" s="7">
        <v>4.6820000000000001E-2</v>
      </c>
      <c r="E720" s="7">
        <v>4.6820000000000001E-2</v>
      </c>
      <c r="F720" s="7">
        <v>4.6820000000000001E-2</v>
      </c>
      <c r="G720" s="7">
        <v>-1.1000000000000001E-3</v>
      </c>
    </row>
    <row r="721" spans="2:7" x14ac:dyDescent="0.2">
      <c r="B721" s="60">
        <v>36984</v>
      </c>
      <c r="C721" s="7">
        <v>4.7119999999999995E-2</v>
      </c>
      <c r="D721" s="7">
        <v>4.7119999999999995E-2</v>
      </c>
      <c r="E721" s="7">
        <v>4.7119999999999995E-2</v>
      </c>
      <c r="F721" s="7">
        <v>4.7119999999999995E-2</v>
      </c>
      <c r="G721" s="7">
        <v>6.4000000000000003E-3</v>
      </c>
    </row>
    <row r="722" spans="2:7" x14ac:dyDescent="0.2">
      <c r="B722" s="60">
        <v>36985</v>
      </c>
      <c r="C722" s="7">
        <v>4.6980000000000001E-2</v>
      </c>
      <c r="D722" s="7">
        <v>4.6980000000000001E-2</v>
      </c>
      <c r="E722" s="7">
        <v>4.6980000000000001E-2</v>
      </c>
      <c r="F722" s="7">
        <v>4.6980000000000001E-2</v>
      </c>
      <c r="G722" s="7">
        <v>-3.0000000000000001E-3</v>
      </c>
    </row>
    <row r="723" spans="2:7" x14ac:dyDescent="0.2">
      <c r="B723" s="60">
        <v>36986</v>
      </c>
      <c r="C723" s="7">
        <v>4.761E-2</v>
      </c>
      <c r="D723" s="7">
        <v>4.761E-2</v>
      </c>
      <c r="E723" s="7">
        <v>4.761E-2</v>
      </c>
      <c r="F723" s="7">
        <v>4.761E-2</v>
      </c>
      <c r="G723" s="7">
        <v>1.34E-2</v>
      </c>
    </row>
    <row r="724" spans="2:7" x14ac:dyDescent="0.2">
      <c r="B724" s="60">
        <v>36987</v>
      </c>
      <c r="C724" s="7">
        <v>4.7060000000000005E-2</v>
      </c>
      <c r="D724" s="7">
        <v>4.7060000000000005E-2</v>
      </c>
      <c r="E724" s="7">
        <v>4.7060000000000005E-2</v>
      </c>
      <c r="F724" s="7">
        <v>4.7060000000000005E-2</v>
      </c>
      <c r="G724" s="7">
        <v>-1.1599999999999999E-2</v>
      </c>
    </row>
    <row r="725" spans="2:7" x14ac:dyDescent="0.2">
      <c r="B725" s="60">
        <v>36990</v>
      </c>
      <c r="C725" s="7">
        <v>4.7210000000000002E-2</v>
      </c>
      <c r="D725" s="7">
        <v>4.7210000000000002E-2</v>
      </c>
      <c r="E725" s="7">
        <v>4.7210000000000002E-2</v>
      </c>
      <c r="F725" s="7">
        <v>4.7210000000000002E-2</v>
      </c>
      <c r="G725" s="7">
        <v>3.2000000000000002E-3</v>
      </c>
    </row>
    <row r="726" spans="2:7" x14ac:dyDescent="0.2">
      <c r="B726" s="60">
        <v>36991</v>
      </c>
      <c r="C726" s="7">
        <v>4.7599999999999996E-2</v>
      </c>
      <c r="D726" s="7">
        <v>4.7599999999999996E-2</v>
      </c>
      <c r="E726" s="7">
        <v>4.7599999999999996E-2</v>
      </c>
      <c r="F726" s="7">
        <v>4.7599999999999996E-2</v>
      </c>
      <c r="G726" s="7">
        <v>8.3000000000000001E-3</v>
      </c>
    </row>
    <row r="727" spans="2:7" x14ac:dyDescent="0.2">
      <c r="B727" s="60">
        <v>36992</v>
      </c>
      <c r="C727" s="7">
        <v>4.8499999999999995E-2</v>
      </c>
      <c r="D727" s="7">
        <v>4.8499999999999995E-2</v>
      </c>
      <c r="E727" s="7">
        <v>4.8499999999999995E-2</v>
      </c>
      <c r="F727" s="7">
        <v>4.8499999999999995E-2</v>
      </c>
      <c r="G727" s="7">
        <v>1.89E-2</v>
      </c>
    </row>
    <row r="728" spans="2:7" x14ac:dyDescent="0.2">
      <c r="B728" s="60">
        <v>36993</v>
      </c>
      <c r="C728" s="7">
        <v>4.854E-2</v>
      </c>
      <c r="D728" s="7">
        <v>4.854E-2</v>
      </c>
      <c r="E728" s="7">
        <v>4.854E-2</v>
      </c>
      <c r="F728" s="7">
        <v>4.854E-2</v>
      </c>
      <c r="G728" s="7">
        <v>8.0000000000000004E-4</v>
      </c>
    </row>
    <row r="729" spans="2:7" x14ac:dyDescent="0.2">
      <c r="B729" s="60">
        <v>36994</v>
      </c>
      <c r="C729" s="7">
        <v>4.8579999999999998E-2</v>
      </c>
      <c r="D729" s="7">
        <v>4.8579999999999998E-2</v>
      </c>
      <c r="E729" s="7">
        <v>4.8579999999999998E-2</v>
      </c>
      <c r="F729" s="7">
        <v>4.8579999999999998E-2</v>
      </c>
      <c r="G729" s="7">
        <v>8.0000000000000004E-4</v>
      </c>
    </row>
    <row r="730" spans="2:7" x14ac:dyDescent="0.2">
      <c r="B730" s="60">
        <v>36997</v>
      </c>
      <c r="C730" s="7">
        <v>4.8579999999999998E-2</v>
      </c>
      <c r="D730" s="7">
        <v>4.8579999999999998E-2</v>
      </c>
      <c r="E730" s="7">
        <v>4.8579999999999998E-2</v>
      </c>
      <c r="F730" s="7">
        <v>4.8579999999999998E-2</v>
      </c>
      <c r="G730" s="7">
        <v>0</v>
      </c>
    </row>
    <row r="731" spans="2:7" x14ac:dyDescent="0.2">
      <c r="B731" s="60">
        <v>36998</v>
      </c>
      <c r="C731" s="7">
        <v>4.8829999999999998E-2</v>
      </c>
      <c r="D731" s="7">
        <v>4.8829999999999998E-2</v>
      </c>
      <c r="E731" s="7">
        <v>4.8829999999999998E-2</v>
      </c>
      <c r="F731" s="7">
        <v>4.8829999999999998E-2</v>
      </c>
      <c r="G731" s="7">
        <v>5.1000000000000004E-3</v>
      </c>
    </row>
    <row r="732" spans="2:7" x14ac:dyDescent="0.2">
      <c r="B732" s="60">
        <v>36999</v>
      </c>
      <c r="C732" s="7">
        <v>4.9729999999999996E-2</v>
      </c>
      <c r="D732" s="7">
        <v>4.9729999999999996E-2</v>
      </c>
      <c r="E732" s="7">
        <v>4.9729999999999996E-2</v>
      </c>
      <c r="F732" s="7">
        <v>4.9729999999999996E-2</v>
      </c>
      <c r="G732" s="7">
        <v>1.84E-2</v>
      </c>
    </row>
    <row r="733" spans="2:7" x14ac:dyDescent="0.2">
      <c r="B733" s="60">
        <v>37000</v>
      </c>
      <c r="C733" s="7">
        <v>4.9409999999999996E-2</v>
      </c>
      <c r="D733" s="7">
        <v>4.9409999999999996E-2</v>
      </c>
      <c r="E733" s="7">
        <v>4.9409999999999996E-2</v>
      </c>
      <c r="F733" s="7">
        <v>4.9409999999999996E-2</v>
      </c>
      <c r="G733" s="7">
        <v>-6.4000000000000003E-3</v>
      </c>
    </row>
    <row r="734" spans="2:7" x14ac:dyDescent="0.2">
      <c r="B734" s="60">
        <v>37001</v>
      </c>
      <c r="C734" s="7">
        <v>4.9690000000000005E-2</v>
      </c>
      <c r="D734" s="7">
        <v>4.9690000000000005E-2</v>
      </c>
      <c r="E734" s="7">
        <v>4.9690000000000005E-2</v>
      </c>
      <c r="F734" s="7">
        <v>4.9690000000000005E-2</v>
      </c>
      <c r="G734" s="7">
        <v>5.7000000000000002E-3</v>
      </c>
    </row>
    <row r="735" spans="2:7" x14ac:dyDescent="0.2">
      <c r="B735" s="60">
        <v>37004</v>
      </c>
      <c r="C735" s="7">
        <v>4.9180000000000001E-2</v>
      </c>
      <c r="D735" s="7">
        <v>4.9180000000000001E-2</v>
      </c>
      <c r="E735" s="7">
        <v>4.9180000000000001E-2</v>
      </c>
      <c r="F735" s="7">
        <v>4.9180000000000001E-2</v>
      </c>
      <c r="G735" s="7">
        <v>-1.03E-2</v>
      </c>
    </row>
    <row r="736" spans="2:7" x14ac:dyDescent="0.2">
      <c r="B736" s="60">
        <v>37005</v>
      </c>
      <c r="C736" s="7">
        <v>4.9599999999999998E-2</v>
      </c>
      <c r="D736" s="7">
        <v>4.9599999999999998E-2</v>
      </c>
      <c r="E736" s="7">
        <v>4.9599999999999998E-2</v>
      </c>
      <c r="F736" s="7">
        <v>4.9599999999999998E-2</v>
      </c>
      <c r="G736" s="7">
        <v>8.5000000000000006E-3</v>
      </c>
    </row>
    <row r="737" spans="2:7" x14ac:dyDescent="0.2">
      <c r="B737" s="60">
        <v>37006</v>
      </c>
      <c r="C737" s="7">
        <v>4.9530000000000005E-2</v>
      </c>
      <c r="D737" s="7">
        <v>4.9530000000000005E-2</v>
      </c>
      <c r="E737" s="7">
        <v>4.9530000000000005E-2</v>
      </c>
      <c r="F737" s="7">
        <v>4.9530000000000005E-2</v>
      </c>
      <c r="G737" s="7">
        <v>-1.4E-3</v>
      </c>
    </row>
    <row r="738" spans="2:7" x14ac:dyDescent="0.2">
      <c r="B738" s="60">
        <v>37007</v>
      </c>
      <c r="C738" s="7">
        <v>4.9509999999999998E-2</v>
      </c>
      <c r="D738" s="7">
        <v>4.9509999999999998E-2</v>
      </c>
      <c r="E738" s="7">
        <v>4.9509999999999998E-2</v>
      </c>
      <c r="F738" s="7">
        <v>4.9509999999999998E-2</v>
      </c>
      <c r="G738" s="7">
        <v>-4.0000000000000002E-4</v>
      </c>
    </row>
    <row r="739" spans="2:7" x14ac:dyDescent="0.2">
      <c r="B739" s="60">
        <v>37008</v>
      </c>
      <c r="C739" s="7">
        <v>4.9749999999999996E-2</v>
      </c>
      <c r="D739" s="7">
        <v>4.9749999999999996E-2</v>
      </c>
      <c r="E739" s="7">
        <v>4.9749999999999996E-2</v>
      </c>
      <c r="F739" s="7">
        <v>4.9749999999999996E-2</v>
      </c>
      <c r="G739" s="7">
        <v>4.7999999999999996E-3</v>
      </c>
    </row>
    <row r="740" spans="2:7" x14ac:dyDescent="0.2">
      <c r="B740" s="60">
        <v>37011</v>
      </c>
      <c r="C740" s="7">
        <v>5.0130000000000001E-2</v>
      </c>
      <c r="D740" s="7">
        <v>5.0130000000000001E-2</v>
      </c>
      <c r="E740" s="7">
        <v>5.0130000000000001E-2</v>
      </c>
      <c r="F740" s="7">
        <v>5.0130000000000001E-2</v>
      </c>
      <c r="G740" s="7">
        <v>7.6E-3</v>
      </c>
    </row>
    <row r="741" spans="2:7" x14ac:dyDescent="0.2">
      <c r="B741" s="60">
        <v>37012</v>
      </c>
      <c r="C741" s="7">
        <v>5.0090000000000003E-2</v>
      </c>
      <c r="D741" s="7">
        <v>5.0090000000000003E-2</v>
      </c>
      <c r="E741" s="7">
        <v>5.0090000000000003E-2</v>
      </c>
      <c r="F741" s="7">
        <v>5.0090000000000003E-2</v>
      </c>
      <c r="G741" s="7">
        <v>-8.0000000000000004E-4</v>
      </c>
    </row>
    <row r="742" spans="2:7" x14ac:dyDescent="0.2">
      <c r="B742" s="60">
        <v>37013</v>
      </c>
      <c r="C742" s="7">
        <v>5.024E-2</v>
      </c>
      <c r="D742" s="7">
        <v>5.024E-2</v>
      </c>
      <c r="E742" s="7">
        <v>5.024E-2</v>
      </c>
      <c r="F742" s="7">
        <v>5.024E-2</v>
      </c>
      <c r="G742" s="7">
        <v>3.0000000000000001E-3</v>
      </c>
    </row>
    <row r="743" spans="2:7" x14ac:dyDescent="0.2">
      <c r="B743" s="60">
        <v>37014</v>
      </c>
      <c r="C743" s="7">
        <v>4.9759999999999999E-2</v>
      </c>
      <c r="D743" s="7">
        <v>4.9759999999999999E-2</v>
      </c>
      <c r="E743" s="7">
        <v>4.9759999999999999E-2</v>
      </c>
      <c r="F743" s="7">
        <v>4.9759999999999999E-2</v>
      </c>
      <c r="G743" s="7">
        <v>-9.5999999999999992E-3</v>
      </c>
    </row>
    <row r="744" spans="2:7" x14ac:dyDescent="0.2">
      <c r="B744" s="60">
        <v>37015</v>
      </c>
      <c r="C744" s="7">
        <v>4.9599999999999998E-2</v>
      </c>
      <c r="D744" s="7">
        <v>4.9599999999999998E-2</v>
      </c>
      <c r="E744" s="7">
        <v>4.9599999999999998E-2</v>
      </c>
      <c r="F744" s="7">
        <v>4.9599999999999998E-2</v>
      </c>
      <c r="G744" s="7">
        <v>-3.2000000000000002E-3</v>
      </c>
    </row>
    <row r="745" spans="2:7" x14ac:dyDescent="0.2">
      <c r="B745" s="60">
        <v>37018</v>
      </c>
      <c r="C745" s="7">
        <v>4.9530000000000005E-2</v>
      </c>
      <c r="D745" s="7">
        <v>4.9530000000000005E-2</v>
      </c>
      <c r="E745" s="7">
        <v>4.9530000000000005E-2</v>
      </c>
      <c r="F745" s="7">
        <v>4.9530000000000005E-2</v>
      </c>
      <c r="G745" s="7">
        <v>-1.4E-3</v>
      </c>
    </row>
    <row r="746" spans="2:7" x14ac:dyDescent="0.2">
      <c r="B746" s="60">
        <v>37019</v>
      </c>
      <c r="C746" s="7">
        <v>4.947E-2</v>
      </c>
      <c r="D746" s="7">
        <v>4.947E-2</v>
      </c>
      <c r="E746" s="7">
        <v>4.947E-2</v>
      </c>
      <c r="F746" s="7">
        <v>4.947E-2</v>
      </c>
      <c r="G746" s="7">
        <v>-1.1999999999999999E-3</v>
      </c>
    </row>
    <row r="747" spans="2:7" x14ac:dyDescent="0.2">
      <c r="B747" s="60">
        <v>37020</v>
      </c>
      <c r="C747" s="7">
        <v>4.9320000000000003E-2</v>
      </c>
      <c r="D747" s="7">
        <v>4.9320000000000003E-2</v>
      </c>
      <c r="E747" s="7">
        <v>4.9320000000000003E-2</v>
      </c>
      <c r="F747" s="7">
        <v>4.9320000000000003E-2</v>
      </c>
      <c r="G747" s="7">
        <v>-3.0000000000000001E-3</v>
      </c>
    </row>
    <row r="748" spans="2:7" x14ac:dyDescent="0.2">
      <c r="B748" s="60">
        <v>37021</v>
      </c>
      <c r="C748" s="7">
        <v>4.931E-2</v>
      </c>
      <c r="D748" s="7">
        <v>4.931E-2</v>
      </c>
      <c r="E748" s="7">
        <v>4.931E-2</v>
      </c>
      <c r="F748" s="7">
        <v>4.931E-2</v>
      </c>
      <c r="G748" s="7">
        <v>-2.0000000000000001E-4</v>
      </c>
    </row>
    <row r="749" spans="2:7" x14ac:dyDescent="0.2">
      <c r="B749" s="60">
        <v>37022</v>
      </c>
      <c r="C749" s="7">
        <v>5.0290000000000001E-2</v>
      </c>
      <c r="D749" s="7">
        <v>5.0290000000000001E-2</v>
      </c>
      <c r="E749" s="7">
        <v>5.0290000000000001E-2</v>
      </c>
      <c r="F749" s="7">
        <v>5.0290000000000001E-2</v>
      </c>
      <c r="G749" s="7">
        <v>1.9900000000000001E-2</v>
      </c>
    </row>
    <row r="750" spans="2:7" x14ac:dyDescent="0.2">
      <c r="B750" s="60">
        <v>37025</v>
      </c>
      <c r="C750" s="7">
        <v>5.0849999999999999E-2</v>
      </c>
      <c r="D750" s="7">
        <v>5.0849999999999999E-2</v>
      </c>
      <c r="E750" s="7">
        <v>5.0849999999999999E-2</v>
      </c>
      <c r="F750" s="7">
        <v>5.0849999999999999E-2</v>
      </c>
      <c r="G750" s="7">
        <v>1.11E-2</v>
      </c>
    </row>
    <row r="751" spans="2:7" x14ac:dyDescent="0.2">
      <c r="B751" s="60">
        <v>37026</v>
      </c>
      <c r="C751" s="7">
        <v>5.0940000000000006E-2</v>
      </c>
      <c r="D751" s="7">
        <v>5.0940000000000006E-2</v>
      </c>
      <c r="E751" s="7">
        <v>5.0940000000000006E-2</v>
      </c>
      <c r="F751" s="7">
        <v>5.0940000000000006E-2</v>
      </c>
      <c r="G751" s="7">
        <v>1.8E-3</v>
      </c>
    </row>
    <row r="752" spans="2:7" x14ac:dyDescent="0.2">
      <c r="B752" s="60">
        <v>37027</v>
      </c>
      <c r="C752" s="7">
        <v>5.0770000000000003E-2</v>
      </c>
      <c r="D752" s="7">
        <v>5.0770000000000003E-2</v>
      </c>
      <c r="E752" s="7">
        <v>5.0770000000000003E-2</v>
      </c>
      <c r="F752" s="7">
        <v>5.0770000000000003E-2</v>
      </c>
      <c r="G752" s="7">
        <v>-3.3E-3</v>
      </c>
    </row>
    <row r="753" spans="2:7" x14ac:dyDescent="0.2">
      <c r="B753" s="60">
        <v>37028</v>
      </c>
      <c r="C753" s="7">
        <v>5.0709999999999998E-2</v>
      </c>
      <c r="D753" s="7">
        <v>5.0709999999999998E-2</v>
      </c>
      <c r="E753" s="7">
        <v>5.0709999999999998E-2</v>
      </c>
      <c r="F753" s="7">
        <v>5.0709999999999998E-2</v>
      </c>
      <c r="G753" s="7">
        <v>-1.1999999999999999E-3</v>
      </c>
    </row>
    <row r="754" spans="2:7" x14ac:dyDescent="0.2">
      <c r="B754" s="60">
        <v>37029</v>
      </c>
      <c r="C754" s="7">
        <v>5.067E-2</v>
      </c>
      <c r="D754" s="7">
        <v>5.067E-2</v>
      </c>
      <c r="E754" s="7">
        <v>5.067E-2</v>
      </c>
      <c r="F754" s="7">
        <v>5.067E-2</v>
      </c>
      <c r="G754" s="7">
        <v>-8.0000000000000004E-4</v>
      </c>
    </row>
    <row r="755" spans="2:7" x14ac:dyDescent="0.2">
      <c r="B755" s="60">
        <v>37032</v>
      </c>
      <c r="C755" s="7">
        <v>5.0709999999999998E-2</v>
      </c>
      <c r="D755" s="7">
        <v>5.0709999999999998E-2</v>
      </c>
      <c r="E755" s="7">
        <v>5.0709999999999998E-2</v>
      </c>
      <c r="F755" s="7">
        <v>5.0709999999999998E-2</v>
      </c>
      <c r="G755" s="7">
        <v>8.0000000000000004E-4</v>
      </c>
    </row>
    <row r="756" spans="2:7" x14ac:dyDescent="0.2">
      <c r="B756" s="60">
        <v>37033</v>
      </c>
      <c r="C756" s="7">
        <v>5.117E-2</v>
      </c>
      <c r="D756" s="7">
        <v>5.117E-2</v>
      </c>
      <c r="E756" s="7">
        <v>5.117E-2</v>
      </c>
      <c r="F756" s="7">
        <v>5.117E-2</v>
      </c>
      <c r="G756" s="7">
        <v>9.1000000000000004E-3</v>
      </c>
    </row>
    <row r="757" spans="2:7" x14ac:dyDescent="0.2">
      <c r="B757" s="60">
        <v>37034</v>
      </c>
      <c r="C757" s="7">
        <v>5.1490000000000001E-2</v>
      </c>
      <c r="D757" s="7">
        <v>5.1490000000000001E-2</v>
      </c>
      <c r="E757" s="7">
        <v>5.1490000000000001E-2</v>
      </c>
      <c r="F757" s="7">
        <v>5.1490000000000001E-2</v>
      </c>
      <c r="G757" s="7">
        <v>6.3E-3</v>
      </c>
    </row>
    <row r="758" spans="2:7" x14ac:dyDescent="0.2">
      <c r="B758" s="60">
        <v>37035</v>
      </c>
      <c r="C758" s="7">
        <v>5.1729999999999998E-2</v>
      </c>
      <c r="D758" s="7">
        <v>5.1729999999999998E-2</v>
      </c>
      <c r="E758" s="7">
        <v>5.1729999999999998E-2</v>
      </c>
      <c r="F758" s="7">
        <v>5.1729999999999998E-2</v>
      </c>
      <c r="G758" s="7">
        <v>4.7000000000000002E-3</v>
      </c>
    </row>
    <row r="759" spans="2:7" x14ac:dyDescent="0.2">
      <c r="B759" s="60">
        <v>37036</v>
      </c>
      <c r="C759" s="7">
        <v>5.1980000000000005E-2</v>
      </c>
      <c r="D759" s="7">
        <v>5.1980000000000005E-2</v>
      </c>
      <c r="E759" s="7">
        <v>5.1980000000000005E-2</v>
      </c>
      <c r="F759" s="7">
        <v>5.1980000000000005E-2</v>
      </c>
      <c r="G759" s="7">
        <v>4.7999999999999996E-3</v>
      </c>
    </row>
    <row r="760" spans="2:7" x14ac:dyDescent="0.2">
      <c r="B760" s="60">
        <v>37037</v>
      </c>
      <c r="C760" s="7">
        <v>5.1990000000000001E-2</v>
      </c>
      <c r="D760" s="7">
        <v>5.1990000000000001E-2</v>
      </c>
      <c r="E760" s="7">
        <v>5.1990000000000001E-2</v>
      </c>
      <c r="F760" s="7">
        <v>5.1990000000000001E-2</v>
      </c>
      <c r="G760" s="7">
        <v>2.0000000000000001E-4</v>
      </c>
    </row>
    <row r="761" spans="2:7" x14ac:dyDescent="0.2">
      <c r="B761" s="60">
        <v>37038</v>
      </c>
      <c r="C761" s="7">
        <v>5.1990000000000001E-2</v>
      </c>
      <c r="D761" s="7">
        <v>5.1990000000000001E-2</v>
      </c>
      <c r="E761" s="7">
        <v>5.1990000000000001E-2</v>
      </c>
      <c r="F761" s="7">
        <v>5.1990000000000001E-2</v>
      </c>
      <c r="G761" s="7">
        <v>0</v>
      </c>
    </row>
    <row r="762" spans="2:7" x14ac:dyDescent="0.2">
      <c r="B762" s="60">
        <v>37039</v>
      </c>
      <c r="C762" s="7">
        <v>5.178E-2</v>
      </c>
      <c r="D762" s="7">
        <v>5.178E-2</v>
      </c>
      <c r="E762" s="7">
        <v>5.178E-2</v>
      </c>
      <c r="F762" s="7">
        <v>5.178E-2</v>
      </c>
      <c r="G762" s="7">
        <v>-4.0000000000000001E-3</v>
      </c>
    </row>
    <row r="763" spans="2:7" x14ac:dyDescent="0.2">
      <c r="B763" s="60">
        <v>37040</v>
      </c>
      <c r="C763" s="7">
        <v>5.1399999999999994E-2</v>
      </c>
      <c r="D763" s="7">
        <v>5.1399999999999994E-2</v>
      </c>
      <c r="E763" s="7">
        <v>5.1399999999999994E-2</v>
      </c>
      <c r="F763" s="7">
        <v>5.1399999999999994E-2</v>
      </c>
      <c r="G763" s="7">
        <v>-7.3000000000000001E-3</v>
      </c>
    </row>
    <row r="764" spans="2:7" x14ac:dyDescent="0.2">
      <c r="B764" s="60">
        <v>37041</v>
      </c>
      <c r="C764" s="7">
        <v>5.1529999999999992E-2</v>
      </c>
      <c r="D764" s="7">
        <v>5.1529999999999992E-2</v>
      </c>
      <c r="E764" s="7">
        <v>5.1529999999999992E-2</v>
      </c>
      <c r="F764" s="7">
        <v>5.1529999999999992E-2</v>
      </c>
      <c r="G764" s="7">
        <v>2.5000000000000001E-3</v>
      </c>
    </row>
    <row r="765" spans="2:7" x14ac:dyDescent="0.2">
      <c r="B765" s="60">
        <v>37042</v>
      </c>
      <c r="C765" s="7">
        <v>5.1559999999999995E-2</v>
      </c>
      <c r="D765" s="7">
        <v>5.1559999999999995E-2</v>
      </c>
      <c r="E765" s="7">
        <v>5.1559999999999995E-2</v>
      </c>
      <c r="F765" s="7">
        <v>5.1559999999999995E-2</v>
      </c>
      <c r="G765" s="7">
        <v>5.9999999999999995E-4</v>
      </c>
    </row>
    <row r="766" spans="2:7" x14ac:dyDescent="0.2">
      <c r="B766" s="60">
        <v>37043</v>
      </c>
      <c r="C766" s="7">
        <v>5.0689999999999999E-2</v>
      </c>
      <c r="D766" s="7">
        <v>5.0689999999999999E-2</v>
      </c>
      <c r="E766" s="7">
        <v>5.0689999999999999E-2</v>
      </c>
      <c r="F766" s="7">
        <v>5.0689999999999999E-2</v>
      </c>
      <c r="G766" s="7">
        <v>-1.6899999999999998E-2</v>
      </c>
    </row>
    <row r="767" spans="2:7" x14ac:dyDescent="0.2">
      <c r="B767" s="60">
        <v>37044</v>
      </c>
      <c r="C767" s="7">
        <v>5.0659999999999997E-2</v>
      </c>
      <c r="D767" s="7">
        <v>5.0659999999999997E-2</v>
      </c>
      <c r="E767" s="7">
        <v>5.0659999999999997E-2</v>
      </c>
      <c r="F767" s="7">
        <v>5.0659999999999997E-2</v>
      </c>
      <c r="G767" s="7">
        <v>-5.9999999999999995E-4</v>
      </c>
    </row>
    <row r="768" spans="2:7" x14ac:dyDescent="0.2">
      <c r="B768" s="60">
        <v>37045</v>
      </c>
      <c r="C768" s="7">
        <v>5.0659999999999997E-2</v>
      </c>
      <c r="D768" s="7">
        <v>5.0659999999999997E-2</v>
      </c>
      <c r="E768" s="7">
        <v>5.0659999999999997E-2</v>
      </c>
      <c r="F768" s="7">
        <v>5.0659999999999997E-2</v>
      </c>
      <c r="G768" s="7">
        <v>0</v>
      </c>
    </row>
    <row r="769" spans="2:7" x14ac:dyDescent="0.2">
      <c r="B769" s="60">
        <v>37046</v>
      </c>
      <c r="C769" s="7">
        <v>5.0650000000000001E-2</v>
      </c>
      <c r="D769" s="7">
        <v>5.0650000000000001E-2</v>
      </c>
      <c r="E769" s="7">
        <v>5.0650000000000001E-2</v>
      </c>
      <c r="F769" s="7">
        <v>5.0650000000000001E-2</v>
      </c>
      <c r="G769" s="7">
        <v>-2.0000000000000001E-4</v>
      </c>
    </row>
    <row r="770" spans="2:7" x14ac:dyDescent="0.2">
      <c r="B770" s="60">
        <v>37047</v>
      </c>
      <c r="C770" s="7">
        <v>5.0140000000000004E-2</v>
      </c>
      <c r="D770" s="7">
        <v>5.0140000000000004E-2</v>
      </c>
      <c r="E770" s="7">
        <v>5.0140000000000004E-2</v>
      </c>
      <c r="F770" s="7">
        <v>5.0140000000000004E-2</v>
      </c>
      <c r="G770" s="7">
        <v>-1.01E-2</v>
      </c>
    </row>
    <row r="771" spans="2:7" x14ac:dyDescent="0.2">
      <c r="B771" s="60">
        <v>37048</v>
      </c>
      <c r="C771" s="7">
        <v>5.0439999999999999E-2</v>
      </c>
      <c r="D771" s="7">
        <v>5.0439999999999999E-2</v>
      </c>
      <c r="E771" s="7">
        <v>5.0439999999999999E-2</v>
      </c>
      <c r="F771" s="7">
        <v>5.0439999999999999E-2</v>
      </c>
      <c r="G771" s="7">
        <v>6.0000000000000001E-3</v>
      </c>
    </row>
    <row r="772" spans="2:7" x14ac:dyDescent="0.2">
      <c r="B772" s="60">
        <v>37049</v>
      </c>
      <c r="C772" s="7">
        <v>5.0819999999999997E-2</v>
      </c>
      <c r="D772" s="7">
        <v>5.0819999999999997E-2</v>
      </c>
      <c r="E772" s="7">
        <v>5.0819999999999997E-2</v>
      </c>
      <c r="F772" s="7">
        <v>5.0819999999999997E-2</v>
      </c>
      <c r="G772" s="7">
        <v>7.4999999999999997E-3</v>
      </c>
    </row>
    <row r="773" spans="2:7" x14ac:dyDescent="0.2">
      <c r="B773" s="60">
        <v>37050</v>
      </c>
      <c r="C773" s="7">
        <v>5.067E-2</v>
      </c>
      <c r="D773" s="7">
        <v>5.067E-2</v>
      </c>
      <c r="E773" s="7">
        <v>5.067E-2</v>
      </c>
      <c r="F773" s="7">
        <v>5.067E-2</v>
      </c>
      <c r="G773" s="7">
        <v>-3.0000000000000001E-3</v>
      </c>
    </row>
    <row r="774" spans="2:7" x14ac:dyDescent="0.2">
      <c r="B774" s="60">
        <v>37051</v>
      </c>
      <c r="C774" s="7">
        <v>5.0650000000000001E-2</v>
      </c>
      <c r="D774" s="7">
        <v>5.0650000000000001E-2</v>
      </c>
      <c r="E774" s="7">
        <v>5.0650000000000001E-2</v>
      </c>
      <c r="F774" s="7">
        <v>5.0650000000000001E-2</v>
      </c>
      <c r="G774" s="7">
        <v>-4.0000000000000002E-4</v>
      </c>
    </row>
    <row r="775" spans="2:7" x14ac:dyDescent="0.2">
      <c r="B775" s="60">
        <v>37052</v>
      </c>
      <c r="C775" s="7">
        <v>5.0650000000000001E-2</v>
      </c>
      <c r="D775" s="7">
        <v>5.0650000000000001E-2</v>
      </c>
      <c r="E775" s="7">
        <v>5.0650000000000001E-2</v>
      </c>
      <c r="F775" s="7">
        <v>5.0650000000000001E-2</v>
      </c>
      <c r="G775" s="7">
        <v>0</v>
      </c>
    </row>
    <row r="776" spans="2:7" x14ac:dyDescent="0.2">
      <c r="B776" s="60">
        <v>37053</v>
      </c>
      <c r="C776" s="7">
        <v>5.0610000000000002E-2</v>
      </c>
      <c r="D776" s="7">
        <v>5.0610000000000002E-2</v>
      </c>
      <c r="E776" s="7">
        <v>5.0610000000000002E-2</v>
      </c>
      <c r="F776" s="7">
        <v>5.0610000000000002E-2</v>
      </c>
      <c r="G776" s="7">
        <v>-8.0000000000000004E-4</v>
      </c>
    </row>
    <row r="777" spans="2:7" x14ac:dyDescent="0.2">
      <c r="B777" s="60">
        <v>37054</v>
      </c>
      <c r="C777" s="7">
        <v>5.0700000000000002E-2</v>
      </c>
      <c r="D777" s="7">
        <v>5.0700000000000002E-2</v>
      </c>
      <c r="E777" s="7">
        <v>5.0700000000000002E-2</v>
      </c>
      <c r="F777" s="7">
        <v>5.0700000000000002E-2</v>
      </c>
      <c r="G777" s="7">
        <v>1.8E-3</v>
      </c>
    </row>
    <row r="778" spans="2:7" x14ac:dyDescent="0.2">
      <c r="B778" s="60">
        <v>37055</v>
      </c>
      <c r="C778" s="7">
        <v>5.0839999999999996E-2</v>
      </c>
      <c r="D778" s="7">
        <v>5.0839999999999996E-2</v>
      </c>
      <c r="E778" s="7">
        <v>5.0839999999999996E-2</v>
      </c>
      <c r="F778" s="7">
        <v>5.0839999999999996E-2</v>
      </c>
      <c r="G778" s="7">
        <v>2.8E-3</v>
      </c>
    </row>
    <row r="779" spans="2:7" x14ac:dyDescent="0.2">
      <c r="B779" s="60">
        <v>37056</v>
      </c>
      <c r="C779" s="7">
        <v>5.0189999999999999E-2</v>
      </c>
      <c r="D779" s="7">
        <v>5.0189999999999999E-2</v>
      </c>
      <c r="E779" s="7">
        <v>5.0189999999999999E-2</v>
      </c>
      <c r="F779" s="7">
        <v>5.0189999999999999E-2</v>
      </c>
      <c r="G779" s="7">
        <v>-1.2800000000000001E-2</v>
      </c>
    </row>
    <row r="780" spans="2:7" x14ac:dyDescent="0.2">
      <c r="B780" s="60">
        <v>37057</v>
      </c>
      <c r="C780" s="7">
        <v>5.0069999999999996E-2</v>
      </c>
      <c r="D780" s="7">
        <v>5.0069999999999996E-2</v>
      </c>
      <c r="E780" s="7">
        <v>5.0069999999999996E-2</v>
      </c>
      <c r="F780" s="7">
        <v>5.0069999999999996E-2</v>
      </c>
      <c r="G780" s="7">
        <v>-2.3999999999999998E-3</v>
      </c>
    </row>
    <row r="781" spans="2:7" x14ac:dyDescent="0.2">
      <c r="B781" s="60">
        <v>37058</v>
      </c>
      <c r="C781" s="7">
        <v>5.0160000000000003E-2</v>
      </c>
      <c r="D781" s="7">
        <v>5.0160000000000003E-2</v>
      </c>
      <c r="E781" s="7">
        <v>5.0160000000000003E-2</v>
      </c>
      <c r="F781" s="7">
        <v>5.0160000000000003E-2</v>
      </c>
      <c r="G781" s="7">
        <v>1.8E-3</v>
      </c>
    </row>
    <row r="782" spans="2:7" x14ac:dyDescent="0.2">
      <c r="B782" s="60">
        <v>37059</v>
      </c>
      <c r="C782" s="7">
        <v>5.0160000000000003E-2</v>
      </c>
      <c r="D782" s="7">
        <v>5.0160000000000003E-2</v>
      </c>
      <c r="E782" s="7">
        <v>5.0160000000000003E-2</v>
      </c>
      <c r="F782" s="7">
        <v>5.0160000000000003E-2</v>
      </c>
      <c r="G782" s="7">
        <v>0</v>
      </c>
    </row>
    <row r="783" spans="2:7" x14ac:dyDescent="0.2">
      <c r="B783" s="60">
        <v>37060</v>
      </c>
      <c r="C783" s="7">
        <v>4.9850000000000005E-2</v>
      </c>
      <c r="D783" s="7">
        <v>4.9850000000000005E-2</v>
      </c>
      <c r="E783" s="7">
        <v>4.9850000000000005E-2</v>
      </c>
      <c r="F783" s="7">
        <v>4.9850000000000005E-2</v>
      </c>
      <c r="G783" s="7">
        <v>-6.1999999999999998E-3</v>
      </c>
    </row>
    <row r="784" spans="2:7" x14ac:dyDescent="0.2">
      <c r="B784" s="60">
        <v>37061</v>
      </c>
      <c r="C784" s="7">
        <v>5.0140000000000004E-2</v>
      </c>
      <c r="D784" s="7">
        <v>5.0140000000000004E-2</v>
      </c>
      <c r="E784" s="7">
        <v>5.0140000000000004E-2</v>
      </c>
      <c r="F784" s="7">
        <v>5.0140000000000004E-2</v>
      </c>
      <c r="G784" s="7">
        <v>5.7999999999999996E-3</v>
      </c>
    </row>
    <row r="785" spans="2:7" x14ac:dyDescent="0.2">
      <c r="B785" s="60">
        <v>37062</v>
      </c>
      <c r="C785" s="7">
        <v>4.9779999999999998E-2</v>
      </c>
      <c r="D785" s="7">
        <v>4.9779999999999998E-2</v>
      </c>
      <c r="E785" s="7">
        <v>4.9779999999999998E-2</v>
      </c>
      <c r="F785" s="7">
        <v>4.9779999999999998E-2</v>
      </c>
      <c r="G785" s="7">
        <v>-7.1999999999999998E-3</v>
      </c>
    </row>
    <row r="786" spans="2:7" x14ac:dyDescent="0.2">
      <c r="B786" s="60">
        <v>37063</v>
      </c>
      <c r="C786" s="7">
        <v>4.9560000000000007E-2</v>
      </c>
      <c r="D786" s="7">
        <v>4.9560000000000007E-2</v>
      </c>
      <c r="E786" s="7">
        <v>4.9560000000000007E-2</v>
      </c>
      <c r="F786" s="7">
        <v>4.9560000000000007E-2</v>
      </c>
      <c r="G786" s="7">
        <v>-4.4000000000000003E-3</v>
      </c>
    </row>
    <row r="787" spans="2:7" x14ac:dyDescent="0.2">
      <c r="B787" s="60">
        <v>37064</v>
      </c>
      <c r="C787" s="7">
        <v>4.9160000000000002E-2</v>
      </c>
      <c r="D787" s="7">
        <v>4.9160000000000002E-2</v>
      </c>
      <c r="E787" s="7">
        <v>4.9160000000000002E-2</v>
      </c>
      <c r="F787" s="7">
        <v>4.9160000000000002E-2</v>
      </c>
      <c r="G787" s="7">
        <v>-8.0999999999999996E-3</v>
      </c>
    </row>
    <row r="788" spans="2:7" x14ac:dyDescent="0.2">
      <c r="B788" s="60">
        <v>37065</v>
      </c>
      <c r="C788" s="7">
        <v>4.9340000000000002E-2</v>
      </c>
      <c r="D788" s="7">
        <v>4.9340000000000002E-2</v>
      </c>
      <c r="E788" s="7">
        <v>4.9340000000000002E-2</v>
      </c>
      <c r="F788" s="7">
        <v>4.9340000000000002E-2</v>
      </c>
      <c r="G788" s="7">
        <v>3.7000000000000002E-3</v>
      </c>
    </row>
    <row r="789" spans="2:7" x14ac:dyDescent="0.2">
      <c r="B789" s="60">
        <v>37066</v>
      </c>
      <c r="C789" s="7">
        <v>4.9340000000000002E-2</v>
      </c>
      <c r="D789" s="7">
        <v>4.9340000000000002E-2</v>
      </c>
      <c r="E789" s="7">
        <v>4.9340000000000002E-2</v>
      </c>
      <c r="F789" s="7">
        <v>4.9340000000000002E-2</v>
      </c>
      <c r="G789" s="7">
        <v>0</v>
      </c>
    </row>
    <row r="790" spans="2:7" x14ac:dyDescent="0.2">
      <c r="B790" s="60">
        <v>37067</v>
      </c>
      <c r="C790" s="7">
        <v>4.9480000000000003E-2</v>
      </c>
      <c r="D790" s="7">
        <v>4.9480000000000003E-2</v>
      </c>
      <c r="E790" s="7">
        <v>4.9480000000000003E-2</v>
      </c>
      <c r="F790" s="7">
        <v>4.9480000000000003E-2</v>
      </c>
      <c r="G790" s="7">
        <v>2.8E-3</v>
      </c>
    </row>
    <row r="791" spans="2:7" x14ac:dyDescent="0.2">
      <c r="B791" s="60">
        <v>37068</v>
      </c>
      <c r="C791" s="7">
        <v>4.9919999999999999E-2</v>
      </c>
      <c r="D791" s="7">
        <v>4.9919999999999999E-2</v>
      </c>
      <c r="E791" s="7">
        <v>4.9919999999999999E-2</v>
      </c>
      <c r="F791" s="7">
        <v>4.9919999999999999E-2</v>
      </c>
      <c r="G791" s="7">
        <v>8.8999999999999999E-3</v>
      </c>
    </row>
    <row r="792" spans="2:7" x14ac:dyDescent="0.2">
      <c r="B792" s="60">
        <v>37069</v>
      </c>
      <c r="C792" s="7">
        <v>4.9680000000000002E-2</v>
      </c>
      <c r="D792" s="7">
        <v>4.9680000000000002E-2</v>
      </c>
      <c r="E792" s="7">
        <v>4.9680000000000002E-2</v>
      </c>
      <c r="F792" s="7">
        <v>4.9680000000000002E-2</v>
      </c>
      <c r="G792" s="7">
        <v>-4.7999999999999996E-3</v>
      </c>
    </row>
    <row r="793" spans="2:7" x14ac:dyDescent="0.2">
      <c r="B793" s="60">
        <v>37070</v>
      </c>
      <c r="C793" s="7">
        <v>5.0359999999999995E-2</v>
      </c>
      <c r="D793" s="7">
        <v>5.0359999999999995E-2</v>
      </c>
      <c r="E793" s="7">
        <v>5.0359999999999995E-2</v>
      </c>
      <c r="F793" s="7">
        <v>5.0359999999999995E-2</v>
      </c>
      <c r="G793" s="7">
        <v>1.37E-2</v>
      </c>
    </row>
    <row r="794" spans="2:7" x14ac:dyDescent="0.2">
      <c r="B794" s="60">
        <v>37071</v>
      </c>
      <c r="C794" s="7">
        <v>5.101E-2</v>
      </c>
      <c r="D794" s="7">
        <v>5.101E-2</v>
      </c>
      <c r="E794" s="7">
        <v>5.101E-2</v>
      </c>
      <c r="F794" s="7">
        <v>5.101E-2</v>
      </c>
      <c r="G794" s="7">
        <v>1.29E-2</v>
      </c>
    </row>
    <row r="795" spans="2:7" x14ac:dyDescent="0.2">
      <c r="B795" s="60">
        <v>37072</v>
      </c>
      <c r="C795" s="7">
        <v>5.0979999999999998E-2</v>
      </c>
      <c r="D795" s="7">
        <v>5.0979999999999998E-2</v>
      </c>
      <c r="E795" s="7">
        <v>5.0979999999999998E-2</v>
      </c>
      <c r="F795" s="7">
        <v>5.0979999999999998E-2</v>
      </c>
      <c r="G795" s="7">
        <v>-5.9999999999999995E-4</v>
      </c>
    </row>
    <row r="796" spans="2:7" x14ac:dyDescent="0.2">
      <c r="B796" s="60">
        <v>37074</v>
      </c>
      <c r="C796" s="7">
        <v>5.0849999999999999E-2</v>
      </c>
      <c r="D796" s="7">
        <v>5.0849999999999999E-2</v>
      </c>
      <c r="E796" s="7">
        <v>5.0849999999999999E-2</v>
      </c>
      <c r="F796" s="7">
        <v>5.0849999999999999E-2</v>
      </c>
      <c r="G796" s="7">
        <v>-2.5999999999999999E-3</v>
      </c>
    </row>
    <row r="797" spans="2:7" x14ac:dyDescent="0.2">
      <c r="B797" s="60">
        <v>37075</v>
      </c>
      <c r="C797" s="7">
        <v>5.1429999999999997E-2</v>
      </c>
      <c r="D797" s="7">
        <v>5.1429999999999997E-2</v>
      </c>
      <c r="E797" s="7">
        <v>5.1429999999999997E-2</v>
      </c>
      <c r="F797" s="7">
        <v>5.1429999999999997E-2</v>
      </c>
      <c r="G797" s="7">
        <v>1.14E-2</v>
      </c>
    </row>
    <row r="798" spans="2:7" x14ac:dyDescent="0.2">
      <c r="B798" s="60">
        <v>37076</v>
      </c>
      <c r="C798" s="7">
        <v>5.1109999999999996E-2</v>
      </c>
      <c r="D798" s="7">
        <v>5.1109999999999996E-2</v>
      </c>
      <c r="E798" s="7">
        <v>5.1109999999999996E-2</v>
      </c>
      <c r="F798" s="7">
        <v>5.1109999999999996E-2</v>
      </c>
      <c r="G798" s="7">
        <v>-6.1999999999999998E-3</v>
      </c>
    </row>
    <row r="799" spans="2:7" x14ac:dyDescent="0.2">
      <c r="B799" s="60">
        <v>37077</v>
      </c>
      <c r="C799" s="7">
        <v>5.1230000000000005E-2</v>
      </c>
      <c r="D799" s="7">
        <v>5.1230000000000005E-2</v>
      </c>
      <c r="E799" s="7">
        <v>5.1230000000000005E-2</v>
      </c>
      <c r="F799" s="7">
        <v>5.1230000000000005E-2</v>
      </c>
      <c r="G799" s="7">
        <v>2.3E-3</v>
      </c>
    </row>
    <row r="800" spans="2:7" x14ac:dyDescent="0.2">
      <c r="B800" s="60">
        <v>37078</v>
      </c>
      <c r="C800" s="7">
        <v>5.0810000000000001E-2</v>
      </c>
      <c r="D800" s="7">
        <v>5.0810000000000001E-2</v>
      </c>
      <c r="E800" s="7">
        <v>5.0810000000000001E-2</v>
      </c>
      <c r="F800" s="7">
        <v>5.0810000000000001E-2</v>
      </c>
      <c r="G800" s="7">
        <v>-8.2000000000000007E-3</v>
      </c>
    </row>
    <row r="801" spans="2:7" x14ac:dyDescent="0.2">
      <c r="B801" s="60">
        <v>37079</v>
      </c>
      <c r="C801" s="7">
        <v>5.0780000000000006E-2</v>
      </c>
      <c r="D801" s="7">
        <v>5.0780000000000006E-2</v>
      </c>
      <c r="E801" s="7">
        <v>5.0780000000000006E-2</v>
      </c>
      <c r="F801" s="7">
        <v>5.0780000000000006E-2</v>
      </c>
      <c r="G801" s="7">
        <v>-5.9999999999999995E-4</v>
      </c>
    </row>
    <row r="802" spans="2:7" x14ac:dyDescent="0.2">
      <c r="B802" s="60">
        <v>37080</v>
      </c>
      <c r="C802" s="7">
        <v>5.0780000000000006E-2</v>
      </c>
      <c r="D802" s="7">
        <v>5.0780000000000006E-2</v>
      </c>
      <c r="E802" s="7">
        <v>5.0780000000000006E-2</v>
      </c>
      <c r="F802" s="7">
        <v>5.0780000000000006E-2</v>
      </c>
      <c r="G802" s="7">
        <v>0</v>
      </c>
    </row>
    <row r="803" spans="2:7" x14ac:dyDescent="0.2">
      <c r="B803" s="60">
        <v>37081</v>
      </c>
      <c r="C803" s="7">
        <v>5.1100000000000007E-2</v>
      </c>
      <c r="D803" s="7">
        <v>5.1100000000000007E-2</v>
      </c>
      <c r="E803" s="7">
        <v>5.1100000000000007E-2</v>
      </c>
      <c r="F803" s="7">
        <v>5.1100000000000007E-2</v>
      </c>
      <c r="G803" s="7">
        <v>6.3E-3</v>
      </c>
    </row>
    <row r="804" spans="2:7" x14ac:dyDescent="0.2">
      <c r="B804" s="60">
        <v>37082</v>
      </c>
      <c r="C804" s="7">
        <v>5.0849999999999999E-2</v>
      </c>
      <c r="D804" s="7">
        <v>5.0849999999999999E-2</v>
      </c>
      <c r="E804" s="7">
        <v>5.0849999999999999E-2</v>
      </c>
      <c r="F804" s="7">
        <v>5.0849999999999999E-2</v>
      </c>
      <c r="G804" s="7">
        <v>-4.8999999999999998E-3</v>
      </c>
    </row>
    <row r="805" spans="2:7" x14ac:dyDescent="0.2">
      <c r="B805" s="60">
        <v>37083</v>
      </c>
      <c r="C805" s="7">
        <v>5.0720000000000001E-2</v>
      </c>
      <c r="D805" s="7">
        <v>5.0720000000000001E-2</v>
      </c>
      <c r="E805" s="7">
        <v>5.0720000000000001E-2</v>
      </c>
      <c r="F805" s="7">
        <v>5.0720000000000001E-2</v>
      </c>
      <c r="G805" s="7">
        <v>-2.5999999999999999E-3</v>
      </c>
    </row>
    <row r="806" spans="2:7" x14ac:dyDescent="0.2">
      <c r="B806" s="60">
        <v>37084</v>
      </c>
      <c r="C806" s="7">
        <v>5.0430000000000003E-2</v>
      </c>
      <c r="D806" s="7">
        <v>5.0430000000000003E-2</v>
      </c>
      <c r="E806" s="7">
        <v>5.0430000000000003E-2</v>
      </c>
      <c r="F806" s="7">
        <v>5.0430000000000003E-2</v>
      </c>
      <c r="G806" s="7">
        <v>-5.7000000000000002E-3</v>
      </c>
    </row>
    <row r="807" spans="2:7" x14ac:dyDescent="0.2">
      <c r="B807" s="60">
        <v>37085</v>
      </c>
      <c r="C807" s="7">
        <v>5.076E-2</v>
      </c>
      <c r="D807" s="7">
        <v>5.076E-2</v>
      </c>
      <c r="E807" s="7">
        <v>5.076E-2</v>
      </c>
      <c r="F807" s="7">
        <v>5.076E-2</v>
      </c>
      <c r="G807" s="7">
        <v>6.4999999999999997E-3</v>
      </c>
    </row>
    <row r="808" spans="2:7" x14ac:dyDescent="0.2">
      <c r="B808" s="60">
        <v>37086</v>
      </c>
      <c r="C808" s="7">
        <v>5.076E-2</v>
      </c>
      <c r="D808" s="7">
        <v>5.076E-2</v>
      </c>
      <c r="E808" s="7">
        <v>5.076E-2</v>
      </c>
      <c r="F808" s="7">
        <v>5.076E-2</v>
      </c>
      <c r="G808" s="7">
        <v>0</v>
      </c>
    </row>
    <row r="809" spans="2:7" x14ac:dyDescent="0.2">
      <c r="B809" s="60">
        <v>37087</v>
      </c>
      <c r="C809" s="7">
        <v>5.076E-2</v>
      </c>
      <c r="D809" s="7">
        <v>5.076E-2</v>
      </c>
      <c r="E809" s="7">
        <v>5.076E-2</v>
      </c>
      <c r="F809" s="7">
        <v>5.076E-2</v>
      </c>
      <c r="G809" s="7">
        <v>0</v>
      </c>
    </row>
    <row r="810" spans="2:7" x14ac:dyDescent="0.2">
      <c r="B810" s="60">
        <v>37088</v>
      </c>
      <c r="C810" s="7">
        <v>5.0220000000000001E-2</v>
      </c>
      <c r="D810" s="7">
        <v>5.0220000000000001E-2</v>
      </c>
      <c r="E810" s="7">
        <v>5.0220000000000001E-2</v>
      </c>
      <c r="F810" s="7">
        <v>5.0220000000000001E-2</v>
      </c>
      <c r="G810" s="7">
        <v>-1.06E-2</v>
      </c>
    </row>
    <row r="811" spans="2:7" x14ac:dyDescent="0.2">
      <c r="B811" s="60">
        <v>37089</v>
      </c>
      <c r="C811" s="7">
        <v>5.0330000000000007E-2</v>
      </c>
      <c r="D811" s="7">
        <v>5.0330000000000007E-2</v>
      </c>
      <c r="E811" s="7">
        <v>5.0330000000000007E-2</v>
      </c>
      <c r="F811" s="7">
        <v>5.0330000000000007E-2</v>
      </c>
      <c r="G811" s="7">
        <v>2.2000000000000001E-3</v>
      </c>
    </row>
    <row r="812" spans="2:7" x14ac:dyDescent="0.2">
      <c r="B812" s="60">
        <v>37090</v>
      </c>
      <c r="C812" s="7">
        <v>4.9919999999999999E-2</v>
      </c>
      <c r="D812" s="7">
        <v>4.9919999999999999E-2</v>
      </c>
      <c r="E812" s="7">
        <v>4.9919999999999999E-2</v>
      </c>
      <c r="F812" s="7">
        <v>4.9919999999999999E-2</v>
      </c>
      <c r="G812" s="7">
        <v>-8.0999999999999996E-3</v>
      </c>
    </row>
    <row r="813" spans="2:7" x14ac:dyDescent="0.2">
      <c r="B813" s="60">
        <v>37091</v>
      </c>
      <c r="C813" s="7">
        <v>4.9859999999999995E-2</v>
      </c>
      <c r="D813" s="7">
        <v>4.9859999999999995E-2</v>
      </c>
      <c r="E813" s="7">
        <v>4.9859999999999995E-2</v>
      </c>
      <c r="F813" s="7">
        <v>4.9859999999999995E-2</v>
      </c>
      <c r="G813" s="7">
        <v>-1.1999999999999999E-3</v>
      </c>
    </row>
    <row r="814" spans="2:7" x14ac:dyDescent="0.2">
      <c r="B814" s="60">
        <v>37092</v>
      </c>
      <c r="C814" s="7">
        <v>4.9569999999999996E-2</v>
      </c>
      <c r="D814" s="7">
        <v>4.9569999999999996E-2</v>
      </c>
      <c r="E814" s="7">
        <v>4.9569999999999996E-2</v>
      </c>
      <c r="F814" s="7">
        <v>4.9569999999999996E-2</v>
      </c>
      <c r="G814" s="7">
        <v>-5.7999999999999996E-3</v>
      </c>
    </row>
    <row r="815" spans="2:7" x14ac:dyDescent="0.2">
      <c r="B815" s="60">
        <v>37093</v>
      </c>
      <c r="C815" s="7">
        <v>4.9530000000000005E-2</v>
      </c>
      <c r="D815" s="7">
        <v>4.9530000000000005E-2</v>
      </c>
      <c r="E815" s="7">
        <v>4.9530000000000005E-2</v>
      </c>
      <c r="F815" s="7">
        <v>4.9530000000000005E-2</v>
      </c>
      <c r="G815" s="7">
        <v>-8.0000000000000004E-4</v>
      </c>
    </row>
    <row r="816" spans="2:7" x14ac:dyDescent="0.2">
      <c r="B816" s="60">
        <v>37094</v>
      </c>
      <c r="C816" s="7">
        <v>4.9530000000000005E-2</v>
      </c>
      <c r="D816" s="7">
        <v>4.9530000000000005E-2</v>
      </c>
      <c r="E816" s="7">
        <v>4.9530000000000005E-2</v>
      </c>
      <c r="F816" s="7">
        <v>4.9530000000000005E-2</v>
      </c>
      <c r="G816" s="7">
        <v>0</v>
      </c>
    </row>
    <row r="817" spans="2:7" x14ac:dyDescent="0.2">
      <c r="B817" s="60">
        <v>37095</v>
      </c>
      <c r="C817" s="7">
        <v>4.9530000000000005E-2</v>
      </c>
      <c r="D817" s="7">
        <v>4.9530000000000005E-2</v>
      </c>
      <c r="E817" s="7">
        <v>4.9530000000000005E-2</v>
      </c>
      <c r="F817" s="7">
        <v>4.9530000000000005E-2</v>
      </c>
      <c r="G817" s="7">
        <v>0</v>
      </c>
    </row>
    <row r="818" spans="2:7" x14ac:dyDescent="0.2">
      <c r="B818" s="60">
        <v>37096</v>
      </c>
      <c r="C818" s="7">
        <v>4.9489999999999999E-2</v>
      </c>
      <c r="D818" s="7">
        <v>4.9489999999999999E-2</v>
      </c>
      <c r="E818" s="7">
        <v>4.9489999999999999E-2</v>
      </c>
      <c r="F818" s="7">
        <v>4.9489999999999999E-2</v>
      </c>
      <c r="G818" s="7">
        <v>-8.0000000000000004E-4</v>
      </c>
    </row>
    <row r="819" spans="2:7" x14ac:dyDescent="0.2">
      <c r="B819" s="60">
        <v>37097</v>
      </c>
      <c r="C819" s="7">
        <v>4.9589999999999995E-2</v>
      </c>
      <c r="D819" s="7">
        <v>4.9589999999999995E-2</v>
      </c>
      <c r="E819" s="7">
        <v>4.9589999999999995E-2</v>
      </c>
      <c r="F819" s="7">
        <v>4.9589999999999995E-2</v>
      </c>
      <c r="G819" s="7">
        <v>2E-3</v>
      </c>
    </row>
    <row r="820" spans="2:7" x14ac:dyDescent="0.2">
      <c r="B820" s="60">
        <v>37098</v>
      </c>
      <c r="C820" s="7">
        <v>4.9400000000000006E-2</v>
      </c>
      <c r="D820" s="7">
        <v>4.9400000000000006E-2</v>
      </c>
      <c r="E820" s="7">
        <v>4.9400000000000006E-2</v>
      </c>
      <c r="F820" s="7">
        <v>4.9400000000000006E-2</v>
      </c>
      <c r="G820" s="7">
        <v>-3.8E-3</v>
      </c>
    </row>
    <row r="821" spans="2:7" x14ac:dyDescent="0.2">
      <c r="B821" s="60">
        <v>37099</v>
      </c>
      <c r="C821" s="7">
        <v>4.9000000000000002E-2</v>
      </c>
      <c r="D821" s="7">
        <v>4.9000000000000002E-2</v>
      </c>
      <c r="E821" s="7">
        <v>4.9000000000000002E-2</v>
      </c>
      <c r="F821" s="7">
        <v>4.9000000000000002E-2</v>
      </c>
      <c r="G821" s="7">
        <v>-8.0999999999999996E-3</v>
      </c>
    </row>
    <row r="822" spans="2:7" x14ac:dyDescent="0.2">
      <c r="B822" s="60">
        <v>37100</v>
      </c>
      <c r="C822" s="7">
        <v>4.897E-2</v>
      </c>
      <c r="D822" s="7">
        <v>4.897E-2</v>
      </c>
      <c r="E822" s="7">
        <v>4.897E-2</v>
      </c>
      <c r="F822" s="7">
        <v>4.897E-2</v>
      </c>
      <c r="G822" s="7">
        <v>-5.9999999999999995E-4</v>
      </c>
    </row>
    <row r="823" spans="2:7" x14ac:dyDescent="0.2">
      <c r="B823" s="60">
        <v>37101</v>
      </c>
      <c r="C823" s="7">
        <v>4.897E-2</v>
      </c>
      <c r="D823" s="7">
        <v>4.897E-2</v>
      </c>
      <c r="E823" s="7">
        <v>4.897E-2</v>
      </c>
      <c r="F823" s="7">
        <v>4.897E-2</v>
      </c>
      <c r="G823" s="7">
        <v>0</v>
      </c>
    </row>
    <row r="824" spans="2:7" x14ac:dyDescent="0.2">
      <c r="B824" s="60">
        <v>37102</v>
      </c>
      <c r="C824" s="7">
        <v>4.9020000000000001E-2</v>
      </c>
      <c r="D824" s="7">
        <v>4.9020000000000001E-2</v>
      </c>
      <c r="E824" s="7">
        <v>4.9020000000000001E-2</v>
      </c>
      <c r="F824" s="7">
        <v>4.9020000000000001E-2</v>
      </c>
      <c r="G824" s="7">
        <v>1E-3</v>
      </c>
    </row>
    <row r="825" spans="2:7" x14ac:dyDescent="0.2">
      <c r="B825" s="60">
        <v>37103</v>
      </c>
      <c r="C825" s="7">
        <v>4.8780000000000004E-2</v>
      </c>
      <c r="D825" s="7">
        <v>4.8780000000000004E-2</v>
      </c>
      <c r="E825" s="7">
        <v>4.8780000000000004E-2</v>
      </c>
      <c r="F825" s="7">
        <v>4.8780000000000004E-2</v>
      </c>
      <c r="G825" s="7">
        <v>-4.8999999999999998E-3</v>
      </c>
    </row>
    <row r="826" spans="2:7" x14ac:dyDescent="0.2">
      <c r="B826" s="60">
        <v>37104</v>
      </c>
      <c r="C826" s="7">
        <v>4.904E-2</v>
      </c>
      <c r="D826" s="7">
        <v>4.904E-2</v>
      </c>
      <c r="E826" s="7">
        <v>4.904E-2</v>
      </c>
      <c r="F826" s="7">
        <v>4.904E-2</v>
      </c>
      <c r="G826" s="7">
        <v>5.3E-3</v>
      </c>
    </row>
    <row r="827" spans="2:7" x14ac:dyDescent="0.2">
      <c r="B827" s="60">
        <v>37105</v>
      </c>
      <c r="C827" s="7">
        <v>4.9180000000000001E-2</v>
      </c>
      <c r="D827" s="7">
        <v>4.9180000000000001E-2</v>
      </c>
      <c r="E827" s="7">
        <v>4.9180000000000001E-2</v>
      </c>
      <c r="F827" s="7">
        <v>4.9180000000000001E-2</v>
      </c>
      <c r="G827" s="7">
        <v>2.8999999999999998E-3</v>
      </c>
    </row>
    <row r="828" spans="2:7" x14ac:dyDescent="0.2">
      <c r="B828" s="60">
        <v>37106</v>
      </c>
      <c r="C828" s="7">
        <v>4.8959999999999997E-2</v>
      </c>
      <c r="D828" s="7">
        <v>4.8959999999999997E-2</v>
      </c>
      <c r="E828" s="7">
        <v>4.8959999999999997E-2</v>
      </c>
      <c r="F828" s="7">
        <v>4.8959999999999997E-2</v>
      </c>
      <c r="G828" s="7">
        <v>-4.4999999999999997E-3</v>
      </c>
    </row>
    <row r="829" spans="2:7" x14ac:dyDescent="0.2">
      <c r="B829" s="60">
        <v>37107</v>
      </c>
      <c r="C829" s="7">
        <v>4.897E-2</v>
      </c>
      <c r="D829" s="7">
        <v>4.897E-2</v>
      </c>
      <c r="E829" s="7">
        <v>4.897E-2</v>
      </c>
      <c r="F829" s="7">
        <v>4.897E-2</v>
      </c>
      <c r="G829" s="7">
        <v>2.0000000000000001E-4</v>
      </c>
    </row>
    <row r="830" spans="2:7" x14ac:dyDescent="0.2">
      <c r="B830" s="60">
        <v>37108</v>
      </c>
      <c r="C830" s="7">
        <v>4.897E-2</v>
      </c>
      <c r="D830" s="7">
        <v>4.897E-2</v>
      </c>
      <c r="E830" s="7">
        <v>4.897E-2</v>
      </c>
      <c r="F830" s="7">
        <v>4.897E-2</v>
      </c>
      <c r="G830" s="7">
        <v>0</v>
      </c>
    </row>
    <row r="831" spans="2:7" x14ac:dyDescent="0.2">
      <c r="B831" s="60">
        <v>37109</v>
      </c>
      <c r="C831" s="7">
        <v>4.888E-2</v>
      </c>
      <c r="D831" s="7">
        <v>4.888E-2</v>
      </c>
      <c r="E831" s="7">
        <v>4.888E-2</v>
      </c>
      <c r="F831" s="7">
        <v>4.888E-2</v>
      </c>
      <c r="G831" s="7">
        <v>-1.8E-3</v>
      </c>
    </row>
    <row r="832" spans="2:7" x14ac:dyDescent="0.2">
      <c r="B832" s="60">
        <v>37110</v>
      </c>
      <c r="C832" s="7">
        <v>4.9009999999999998E-2</v>
      </c>
      <c r="D832" s="7">
        <v>4.9009999999999998E-2</v>
      </c>
      <c r="E832" s="7">
        <v>4.9009999999999998E-2</v>
      </c>
      <c r="F832" s="7">
        <v>4.9009999999999998E-2</v>
      </c>
      <c r="G832" s="7">
        <v>2.7000000000000001E-3</v>
      </c>
    </row>
    <row r="833" spans="2:7" x14ac:dyDescent="0.2">
      <c r="B833" s="60">
        <v>37111</v>
      </c>
      <c r="C833" s="7">
        <v>4.8899999999999999E-2</v>
      </c>
      <c r="D833" s="7">
        <v>4.8899999999999999E-2</v>
      </c>
      <c r="E833" s="7">
        <v>4.8899999999999999E-2</v>
      </c>
      <c r="F833" s="7">
        <v>4.8899999999999999E-2</v>
      </c>
      <c r="G833" s="7">
        <v>-2.2000000000000001E-3</v>
      </c>
    </row>
    <row r="834" spans="2:7" x14ac:dyDescent="0.2">
      <c r="B834" s="60">
        <v>37112</v>
      </c>
      <c r="C834" s="7">
        <v>4.827E-2</v>
      </c>
      <c r="D834" s="7">
        <v>4.827E-2</v>
      </c>
      <c r="E834" s="7">
        <v>4.827E-2</v>
      </c>
      <c r="F834" s="7">
        <v>4.827E-2</v>
      </c>
      <c r="G834" s="7">
        <v>-1.29E-2</v>
      </c>
    </row>
    <row r="835" spans="2:7" x14ac:dyDescent="0.2">
      <c r="B835" s="60">
        <v>37113</v>
      </c>
      <c r="C835" s="7">
        <v>4.7960000000000003E-2</v>
      </c>
      <c r="D835" s="7">
        <v>4.7960000000000003E-2</v>
      </c>
      <c r="E835" s="7">
        <v>4.7960000000000003E-2</v>
      </c>
      <c r="F835" s="7">
        <v>4.7960000000000003E-2</v>
      </c>
      <c r="G835" s="7">
        <v>-6.4000000000000003E-3</v>
      </c>
    </row>
    <row r="836" spans="2:7" x14ac:dyDescent="0.2">
      <c r="B836" s="60">
        <v>37114</v>
      </c>
      <c r="C836" s="7">
        <v>4.7980000000000002E-2</v>
      </c>
      <c r="D836" s="7">
        <v>4.7980000000000002E-2</v>
      </c>
      <c r="E836" s="7">
        <v>4.7980000000000002E-2</v>
      </c>
      <c r="F836" s="7">
        <v>4.7980000000000002E-2</v>
      </c>
      <c r="G836" s="7">
        <v>4.0000000000000002E-4</v>
      </c>
    </row>
    <row r="837" spans="2:7" x14ac:dyDescent="0.2">
      <c r="B837" s="60">
        <v>37115</v>
      </c>
      <c r="C837" s="7">
        <v>4.7980000000000002E-2</v>
      </c>
      <c r="D837" s="7">
        <v>4.7980000000000002E-2</v>
      </c>
      <c r="E837" s="7">
        <v>4.7980000000000002E-2</v>
      </c>
      <c r="F837" s="7">
        <v>4.7980000000000002E-2</v>
      </c>
      <c r="G837" s="7">
        <v>0</v>
      </c>
    </row>
    <row r="838" spans="2:7" x14ac:dyDescent="0.2">
      <c r="B838" s="60">
        <v>37116</v>
      </c>
      <c r="C838" s="7">
        <v>4.7960000000000003E-2</v>
      </c>
      <c r="D838" s="7">
        <v>4.7960000000000003E-2</v>
      </c>
      <c r="E838" s="7">
        <v>4.7960000000000003E-2</v>
      </c>
      <c r="F838" s="7">
        <v>4.7960000000000003E-2</v>
      </c>
      <c r="G838" s="7">
        <v>-4.0000000000000002E-4</v>
      </c>
    </row>
    <row r="839" spans="2:7" x14ac:dyDescent="0.2">
      <c r="B839" s="60">
        <v>37117</v>
      </c>
      <c r="C839" s="7">
        <v>4.8179999999999994E-2</v>
      </c>
      <c r="D839" s="7">
        <v>4.8179999999999994E-2</v>
      </c>
      <c r="E839" s="7">
        <v>4.8179999999999994E-2</v>
      </c>
      <c r="F839" s="7">
        <v>4.8179999999999994E-2</v>
      </c>
      <c r="G839" s="7">
        <v>4.5999999999999999E-3</v>
      </c>
    </row>
    <row r="840" spans="2:7" x14ac:dyDescent="0.2">
      <c r="B840" s="60">
        <v>37118</v>
      </c>
      <c r="C840" s="7">
        <v>4.8219999999999999E-2</v>
      </c>
      <c r="D840" s="7">
        <v>4.8219999999999999E-2</v>
      </c>
      <c r="E840" s="7">
        <v>4.8219999999999999E-2</v>
      </c>
      <c r="F840" s="7">
        <v>4.8219999999999999E-2</v>
      </c>
      <c r="G840" s="7">
        <v>8.0000000000000004E-4</v>
      </c>
    </row>
    <row r="841" spans="2:7" x14ac:dyDescent="0.2">
      <c r="B841" s="60">
        <v>37119</v>
      </c>
      <c r="C841" s="7">
        <v>4.7899999999999998E-2</v>
      </c>
      <c r="D841" s="7">
        <v>4.7899999999999998E-2</v>
      </c>
      <c r="E841" s="7">
        <v>4.7899999999999998E-2</v>
      </c>
      <c r="F841" s="7">
        <v>4.7899999999999998E-2</v>
      </c>
      <c r="G841" s="7">
        <v>-6.6E-3</v>
      </c>
    </row>
    <row r="842" spans="2:7" x14ac:dyDescent="0.2">
      <c r="B842" s="60">
        <v>37120</v>
      </c>
      <c r="C842" s="7">
        <v>4.7569999999999994E-2</v>
      </c>
      <c r="D842" s="7">
        <v>4.7569999999999994E-2</v>
      </c>
      <c r="E842" s="7">
        <v>4.7569999999999994E-2</v>
      </c>
      <c r="F842" s="7">
        <v>4.7569999999999994E-2</v>
      </c>
      <c r="G842" s="7">
        <v>-6.8999999999999999E-3</v>
      </c>
    </row>
    <row r="843" spans="2:7" x14ac:dyDescent="0.2">
      <c r="B843" s="60">
        <v>37121</v>
      </c>
      <c r="C843" s="7">
        <v>4.7569999999999994E-2</v>
      </c>
      <c r="D843" s="7">
        <v>4.7569999999999994E-2</v>
      </c>
      <c r="E843" s="7">
        <v>4.7569999999999994E-2</v>
      </c>
      <c r="F843" s="7">
        <v>4.7569999999999994E-2</v>
      </c>
      <c r="G843" s="7">
        <v>0</v>
      </c>
    </row>
    <row r="844" spans="2:7" x14ac:dyDescent="0.2">
      <c r="B844" s="60">
        <v>37122</v>
      </c>
      <c r="C844" s="7">
        <v>4.7569999999999994E-2</v>
      </c>
      <c r="D844" s="7">
        <v>4.7569999999999994E-2</v>
      </c>
      <c r="E844" s="7">
        <v>4.7569999999999994E-2</v>
      </c>
      <c r="F844" s="7">
        <v>4.7569999999999994E-2</v>
      </c>
      <c r="G844" s="7">
        <v>0</v>
      </c>
    </row>
    <row r="845" spans="2:7" x14ac:dyDescent="0.2">
      <c r="B845" s="60">
        <v>37123</v>
      </c>
      <c r="C845" s="7">
        <v>4.7710000000000002E-2</v>
      </c>
      <c r="D845" s="7">
        <v>4.7710000000000002E-2</v>
      </c>
      <c r="E845" s="7">
        <v>4.7710000000000002E-2</v>
      </c>
      <c r="F845" s="7">
        <v>4.7710000000000002E-2</v>
      </c>
      <c r="G845" s="7">
        <v>2.8999999999999998E-3</v>
      </c>
    </row>
    <row r="846" spans="2:7" x14ac:dyDescent="0.2">
      <c r="B846" s="60">
        <v>37124</v>
      </c>
      <c r="C846" s="7">
        <v>4.8179999999999994E-2</v>
      </c>
      <c r="D846" s="7">
        <v>4.8179999999999994E-2</v>
      </c>
      <c r="E846" s="7">
        <v>4.8179999999999994E-2</v>
      </c>
      <c r="F846" s="7">
        <v>4.8179999999999994E-2</v>
      </c>
      <c r="G846" s="7">
        <v>9.9000000000000008E-3</v>
      </c>
    </row>
    <row r="847" spans="2:7" x14ac:dyDescent="0.2">
      <c r="B847" s="60">
        <v>37125</v>
      </c>
      <c r="C847" s="7">
        <v>4.8440000000000004E-2</v>
      </c>
      <c r="D847" s="7">
        <v>4.8440000000000004E-2</v>
      </c>
      <c r="E847" s="7">
        <v>4.8440000000000004E-2</v>
      </c>
      <c r="F847" s="7">
        <v>4.8440000000000004E-2</v>
      </c>
      <c r="G847" s="7">
        <v>5.4000000000000003E-3</v>
      </c>
    </row>
    <row r="848" spans="2:7" x14ac:dyDescent="0.2">
      <c r="B848" s="60">
        <v>37126</v>
      </c>
      <c r="C848" s="7">
        <v>4.8399999999999999E-2</v>
      </c>
      <c r="D848" s="7">
        <v>4.8399999999999999E-2</v>
      </c>
      <c r="E848" s="7">
        <v>4.8399999999999999E-2</v>
      </c>
      <c r="F848" s="7">
        <v>4.8399999999999999E-2</v>
      </c>
      <c r="G848" s="7">
        <v>-8.0000000000000004E-4</v>
      </c>
    </row>
    <row r="849" spans="2:7" x14ac:dyDescent="0.2">
      <c r="B849" s="60">
        <v>37127</v>
      </c>
      <c r="C849" s="7">
        <v>4.8750000000000002E-2</v>
      </c>
      <c r="D849" s="7">
        <v>4.8750000000000002E-2</v>
      </c>
      <c r="E849" s="7">
        <v>4.8750000000000002E-2</v>
      </c>
      <c r="F849" s="7">
        <v>4.8750000000000002E-2</v>
      </c>
      <c r="G849" s="7">
        <v>7.1999999999999998E-3</v>
      </c>
    </row>
    <row r="850" spans="2:7" x14ac:dyDescent="0.2">
      <c r="B850" s="60">
        <v>37128</v>
      </c>
      <c r="C850" s="7">
        <v>4.8780000000000004E-2</v>
      </c>
      <c r="D850" s="7">
        <v>4.8780000000000004E-2</v>
      </c>
      <c r="E850" s="7">
        <v>4.8780000000000004E-2</v>
      </c>
      <c r="F850" s="7">
        <v>4.8780000000000004E-2</v>
      </c>
      <c r="G850" s="7">
        <v>5.9999999999999995E-4</v>
      </c>
    </row>
    <row r="851" spans="2:7" x14ac:dyDescent="0.2">
      <c r="B851" s="60">
        <v>37129</v>
      </c>
      <c r="C851" s="7">
        <v>4.8739999999999999E-2</v>
      </c>
      <c r="D851" s="7">
        <v>4.8739999999999999E-2</v>
      </c>
      <c r="E851" s="7">
        <v>4.8739999999999999E-2</v>
      </c>
      <c r="F851" s="7">
        <v>4.8739999999999999E-2</v>
      </c>
      <c r="G851" s="7">
        <v>-8.0000000000000004E-4</v>
      </c>
    </row>
    <row r="852" spans="2:7" x14ac:dyDescent="0.2">
      <c r="B852" s="60">
        <v>37130</v>
      </c>
      <c r="C852" s="7">
        <v>4.861E-2</v>
      </c>
      <c r="D852" s="7">
        <v>4.861E-2</v>
      </c>
      <c r="E852" s="7">
        <v>4.861E-2</v>
      </c>
      <c r="F852" s="7">
        <v>4.861E-2</v>
      </c>
      <c r="G852" s="7">
        <v>-2.7000000000000001E-3</v>
      </c>
    </row>
    <row r="853" spans="2:7" x14ac:dyDescent="0.2">
      <c r="B853" s="60">
        <v>37131</v>
      </c>
      <c r="C853" s="7">
        <v>4.811E-2</v>
      </c>
      <c r="D853" s="7">
        <v>4.811E-2</v>
      </c>
      <c r="E853" s="7">
        <v>4.811E-2</v>
      </c>
      <c r="F853" s="7">
        <v>4.811E-2</v>
      </c>
      <c r="G853" s="7">
        <v>-1.03E-2</v>
      </c>
    </row>
    <row r="854" spans="2:7" x14ac:dyDescent="0.2">
      <c r="B854" s="60">
        <v>37132</v>
      </c>
      <c r="C854" s="7">
        <v>4.8049999999999995E-2</v>
      </c>
      <c r="D854" s="7">
        <v>4.8049999999999995E-2</v>
      </c>
      <c r="E854" s="7">
        <v>4.8049999999999995E-2</v>
      </c>
      <c r="F854" s="7">
        <v>4.8049999999999995E-2</v>
      </c>
      <c r="G854" s="7">
        <v>-1.1999999999999999E-3</v>
      </c>
    </row>
    <row r="855" spans="2:7" x14ac:dyDescent="0.2">
      <c r="B855" s="60">
        <v>37133</v>
      </c>
      <c r="C855" s="7">
        <v>4.7649999999999998E-2</v>
      </c>
      <c r="D855" s="7">
        <v>4.7649999999999998E-2</v>
      </c>
      <c r="E855" s="7">
        <v>4.7649999999999998E-2</v>
      </c>
      <c r="F855" s="7">
        <v>4.7649999999999998E-2</v>
      </c>
      <c r="G855" s="7">
        <v>-8.3000000000000001E-3</v>
      </c>
    </row>
    <row r="856" spans="2:7" x14ac:dyDescent="0.2">
      <c r="B856" s="60">
        <v>37134</v>
      </c>
      <c r="C856" s="7">
        <v>4.7850000000000004E-2</v>
      </c>
      <c r="D856" s="7">
        <v>4.7850000000000004E-2</v>
      </c>
      <c r="E856" s="7">
        <v>4.7850000000000004E-2</v>
      </c>
      <c r="F856" s="7">
        <v>4.7850000000000004E-2</v>
      </c>
      <c r="G856" s="7">
        <v>4.1999999999999997E-3</v>
      </c>
    </row>
    <row r="857" spans="2:7" x14ac:dyDescent="0.2">
      <c r="B857" s="60">
        <v>37135</v>
      </c>
      <c r="C857" s="7">
        <v>4.7830000000000004E-2</v>
      </c>
      <c r="D857" s="7">
        <v>4.7830000000000004E-2</v>
      </c>
      <c r="E857" s="7">
        <v>4.7830000000000004E-2</v>
      </c>
      <c r="F857" s="7">
        <v>4.7830000000000004E-2</v>
      </c>
      <c r="G857" s="7">
        <v>-4.0000000000000002E-4</v>
      </c>
    </row>
    <row r="858" spans="2:7" x14ac:dyDescent="0.2">
      <c r="B858" s="60">
        <v>37136</v>
      </c>
      <c r="C858" s="7">
        <v>4.7830000000000004E-2</v>
      </c>
      <c r="D858" s="7">
        <v>4.7830000000000004E-2</v>
      </c>
      <c r="E858" s="7">
        <v>4.7830000000000004E-2</v>
      </c>
      <c r="F858" s="7">
        <v>4.7830000000000004E-2</v>
      </c>
      <c r="G858" s="7">
        <v>0</v>
      </c>
    </row>
    <row r="859" spans="2:7" x14ac:dyDescent="0.2">
      <c r="B859" s="60">
        <v>37137</v>
      </c>
      <c r="C859" s="7">
        <v>4.7850000000000004E-2</v>
      </c>
      <c r="D859" s="7">
        <v>4.7850000000000004E-2</v>
      </c>
      <c r="E859" s="7">
        <v>4.7850000000000004E-2</v>
      </c>
      <c r="F859" s="7">
        <v>4.7850000000000004E-2</v>
      </c>
      <c r="G859" s="7">
        <v>4.0000000000000002E-4</v>
      </c>
    </row>
    <row r="860" spans="2:7" x14ac:dyDescent="0.2">
      <c r="B860" s="60">
        <v>37138</v>
      </c>
      <c r="C860" s="7">
        <v>4.9089999999999995E-2</v>
      </c>
      <c r="D860" s="7">
        <v>4.9089999999999995E-2</v>
      </c>
      <c r="E860" s="7">
        <v>4.9089999999999995E-2</v>
      </c>
      <c r="F860" s="7">
        <v>4.9089999999999995E-2</v>
      </c>
      <c r="G860" s="7">
        <v>2.5899999999999999E-2</v>
      </c>
    </row>
    <row r="861" spans="2:7" x14ac:dyDescent="0.2">
      <c r="B861" s="60">
        <v>37139</v>
      </c>
      <c r="C861" s="7">
        <v>4.9009999999999998E-2</v>
      </c>
      <c r="D861" s="7">
        <v>4.9009999999999998E-2</v>
      </c>
      <c r="E861" s="7">
        <v>4.9009999999999998E-2</v>
      </c>
      <c r="F861" s="7">
        <v>4.9009999999999998E-2</v>
      </c>
      <c r="G861" s="7">
        <v>-1.6000000000000001E-3</v>
      </c>
    </row>
    <row r="862" spans="2:7" x14ac:dyDescent="0.2">
      <c r="B862" s="60">
        <v>37140</v>
      </c>
      <c r="C862" s="7">
        <v>4.8680000000000001E-2</v>
      </c>
      <c r="D862" s="7">
        <v>4.8680000000000001E-2</v>
      </c>
      <c r="E862" s="7">
        <v>4.8680000000000001E-2</v>
      </c>
      <c r="F862" s="7">
        <v>4.8680000000000001E-2</v>
      </c>
      <c r="G862" s="7">
        <v>-6.7000000000000002E-3</v>
      </c>
    </row>
    <row r="863" spans="2:7" x14ac:dyDescent="0.2">
      <c r="B863" s="60">
        <v>37141</v>
      </c>
      <c r="C863" s="7">
        <v>4.8140000000000002E-2</v>
      </c>
      <c r="D863" s="7">
        <v>4.8140000000000002E-2</v>
      </c>
      <c r="E863" s="7">
        <v>4.8140000000000002E-2</v>
      </c>
      <c r="F863" s="7">
        <v>4.8140000000000002E-2</v>
      </c>
      <c r="G863" s="7">
        <v>-1.11E-2</v>
      </c>
    </row>
    <row r="864" spans="2:7" x14ac:dyDescent="0.2">
      <c r="B864" s="60">
        <v>37142</v>
      </c>
      <c r="C864" s="7">
        <v>4.8129999999999999E-2</v>
      </c>
      <c r="D864" s="7">
        <v>4.8129999999999999E-2</v>
      </c>
      <c r="E864" s="7">
        <v>4.8129999999999999E-2</v>
      </c>
      <c r="F864" s="7">
        <v>4.8129999999999999E-2</v>
      </c>
      <c r="G864" s="7">
        <v>-2.0000000000000001E-4</v>
      </c>
    </row>
    <row r="865" spans="2:7" x14ac:dyDescent="0.2">
      <c r="B865" s="60">
        <v>37143</v>
      </c>
      <c r="C865" s="7">
        <v>4.8129999999999999E-2</v>
      </c>
      <c r="D865" s="7">
        <v>4.8129999999999999E-2</v>
      </c>
      <c r="E865" s="7">
        <v>4.8129999999999999E-2</v>
      </c>
      <c r="F865" s="7">
        <v>4.8129999999999999E-2</v>
      </c>
      <c r="G865" s="7">
        <v>0</v>
      </c>
    </row>
    <row r="866" spans="2:7" x14ac:dyDescent="0.2">
      <c r="B866" s="60">
        <v>37144</v>
      </c>
      <c r="C866" s="7">
        <v>4.861E-2</v>
      </c>
      <c r="D866" s="7">
        <v>4.861E-2</v>
      </c>
      <c r="E866" s="7">
        <v>4.861E-2</v>
      </c>
      <c r="F866" s="7">
        <v>4.861E-2</v>
      </c>
      <c r="G866" s="7">
        <v>0.01</v>
      </c>
    </row>
    <row r="867" spans="2:7" x14ac:dyDescent="0.2">
      <c r="B867" s="60">
        <v>37145</v>
      </c>
      <c r="C867" s="7">
        <v>4.7750000000000001E-2</v>
      </c>
      <c r="D867" s="7">
        <v>4.7750000000000001E-2</v>
      </c>
      <c r="E867" s="7">
        <v>4.7750000000000001E-2</v>
      </c>
      <c r="F867" s="7">
        <v>4.7750000000000001E-2</v>
      </c>
      <c r="G867" s="7">
        <v>-1.77E-2</v>
      </c>
    </row>
    <row r="868" spans="2:7" x14ac:dyDescent="0.2">
      <c r="B868" s="60">
        <v>37146</v>
      </c>
      <c r="C868" s="7">
        <v>4.8230000000000002E-2</v>
      </c>
      <c r="D868" s="7">
        <v>4.8230000000000002E-2</v>
      </c>
      <c r="E868" s="7">
        <v>4.8230000000000002E-2</v>
      </c>
      <c r="F868" s="7">
        <v>4.8230000000000002E-2</v>
      </c>
      <c r="G868" s="7">
        <v>1.01E-2</v>
      </c>
    </row>
    <row r="869" spans="2:7" x14ac:dyDescent="0.2">
      <c r="B869" s="60">
        <v>37147</v>
      </c>
      <c r="C869" s="7">
        <v>4.8230000000000002E-2</v>
      </c>
      <c r="D869" s="7">
        <v>4.8230000000000002E-2</v>
      </c>
      <c r="E869" s="7">
        <v>4.8230000000000002E-2</v>
      </c>
      <c r="F869" s="7">
        <v>4.8230000000000002E-2</v>
      </c>
      <c r="G869" s="7">
        <v>0</v>
      </c>
    </row>
    <row r="870" spans="2:7" x14ac:dyDescent="0.2">
      <c r="B870" s="60">
        <v>37148</v>
      </c>
      <c r="C870" s="7">
        <v>4.7720000000000005E-2</v>
      </c>
      <c r="D870" s="7">
        <v>4.7720000000000005E-2</v>
      </c>
      <c r="E870" s="7">
        <v>4.7720000000000005E-2</v>
      </c>
      <c r="F870" s="7">
        <v>4.7720000000000005E-2</v>
      </c>
      <c r="G870" s="7">
        <v>-1.06E-2</v>
      </c>
    </row>
    <row r="871" spans="2:7" x14ac:dyDescent="0.2">
      <c r="B871" s="60">
        <v>37149</v>
      </c>
      <c r="C871" s="7">
        <v>4.7660000000000001E-2</v>
      </c>
      <c r="D871" s="7">
        <v>4.7660000000000001E-2</v>
      </c>
      <c r="E871" s="7">
        <v>4.7660000000000001E-2</v>
      </c>
      <c r="F871" s="7">
        <v>4.7660000000000001E-2</v>
      </c>
      <c r="G871" s="7">
        <v>-1.2999999999999999E-3</v>
      </c>
    </row>
    <row r="872" spans="2:7" x14ac:dyDescent="0.2">
      <c r="B872" s="60">
        <v>37150</v>
      </c>
      <c r="C872" s="7">
        <v>4.7660000000000001E-2</v>
      </c>
      <c r="D872" s="7">
        <v>4.7660000000000001E-2</v>
      </c>
      <c r="E872" s="7">
        <v>4.7660000000000001E-2</v>
      </c>
      <c r="F872" s="7">
        <v>4.7660000000000001E-2</v>
      </c>
      <c r="G872" s="7">
        <v>0</v>
      </c>
    </row>
    <row r="873" spans="2:7" x14ac:dyDescent="0.2">
      <c r="B873" s="60">
        <v>37151</v>
      </c>
      <c r="C873" s="7">
        <v>4.8029999999999996E-2</v>
      </c>
      <c r="D873" s="7">
        <v>4.8029999999999996E-2</v>
      </c>
      <c r="E873" s="7">
        <v>4.8029999999999996E-2</v>
      </c>
      <c r="F873" s="7">
        <v>4.8029999999999996E-2</v>
      </c>
      <c r="G873" s="7">
        <v>7.7999999999999996E-3</v>
      </c>
    </row>
    <row r="874" spans="2:7" x14ac:dyDescent="0.2">
      <c r="B874" s="60">
        <v>37152</v>
      </c>
      <c r="C874" s="7">
        <v>4.8219999999999999E-2</v>
      </c>
      <c r="D874" s="7">
        <v>4.8219999999999999E-2</v>
      </c>
      <c r="E874" s="7">
        <v>4.8219999999999999E-2</v>
      </c>
      <c r="F874" s="7">
        <v>4.8219999999999999E-2</v>
      </c>
      <c r="G874" s="7">
        <v>4.0000000000000001E-3</v>
      </c>
    </row>
    <row r="875" spans="2:7" x14ac:dyDescent="0.2">
      <c r="B875" s="60">
        <v>37153</v>
      </c>
      <c r="C875" s="7">
        <v>4.8440000000000004E-2</v>
      </c>
      <c r="D875" s="7">
        <v>4.8440000000000004E-2</v>
      </c>
      <c r="E875" s="7">
        <v>4.8440000000000004E-2</v>
      </c>
      <c r="F875" s="7">
        <v>4.8440000000000004E-2</v>
      </c>
      <c r="G875" s="7">
        <v>4.5999999999999999E-3</v>
      </c>
    </row>
    <row r="876" spans="2:7" x14ac:dyDescent="0.2">
      <c r="B876" s="60">
        <v>37154</v>
      </c>
      <c r="C876" s="7">
        <v>4.8550000000000003E-2</v>
      </c>
      <c r="D876" s="7">
        <v>4.8550000000000003E-2</v>
      </c>
      <c r="E876" s="7">
        <v>4.8550000000000003E-2</v>
      </c>
      <c r="F876" s="7">
        <v>4.8550000000000003E-2</v>
      </c>
      <c r="G876" s="7">
        <v>2.3E-3</v>
      </c>
    </row>
    <row r="877" spans="2:7" x14ac:dyDescent="0.2">
      <c r="B877" s="60">
        <v>37155</v>
      </c>
      <c r="C877" s="7">
        <v>4.8920000000000005E-2</v>
      </c>
      <c r="D877" s="7">
        <v>4.8920000000000005E-2</v>
      </c>
      <c r="E877" s="7">
        <v>4.8920000000000005E-2</v>
      </c>
      <c r="F877" s="7">
        <v>4.8920000000000005E-2</v>
      </c>
      <c r="G877" s="7">
        <v>7.6E-3</v>
      </c>
    </row>
    <row r="878" spans="2:7" x14ac:dyDescent="0.2">
      <c r="B878" s="60">
        <v>37156</v>
      </c>
      <c r="C878" s="7">
        <v>4.8920000000000005E-2</v>
      </c>
      <c r="D878" s="7">
        <v>4.8920000000000005E-2</v>
      </c>
      <c r="E878" s="7">
        <v>4.8920000000000005E-2</v>
      </c>
      <c r="F878" s="7">
        <v>4.8920000000000005E-2</v>
      </c>
      <c r="G878" s="7">
        <v>0</v>
      </c>
    </row>
    <row r="879" spans="2:7" x14ac:dyDescent="0.2">
      <c r="B879" s="60">
        <v>37157</v>
      </c>
      <c r="C879" s="7">
        <v>4.8920000000000005E-2</v>
      </c>
      <c r="D879" s="7">
        <v>4.8920000000000005E-2</v>
      </c>
      <c r="E879" s="7">
        <v>4.8920000000000005E-2</v>
      </c>
      <c r="F879" s="7">
        <v>4.8920000000000005E-2</v>
      </c>
      <c r="G879" s="7">
        <v>0</v>
      </c>
    </row>
    <row r="880" spans="2:7" x14ac:dyDescent="0.2">
      <c r="B880" s="60">
        <v>37158</v>
      </c>
      <c r="C880" s="7">
        <v>4.8959999999999997E-2</v>
      </c>
      <c r="D880" s="7">
        <v>4.8959999999999997E-2</v>
      </c>
      <c r="E880" s="7">
        <v>4.8959999999999997E-2</v>
      </c>
      <c r="F880" s="7">
        <v>4.8959999999999997E-2</v>
      </c>
      <c r="G880" s="7">
        <v>8.0000000000000004E-4</v>
      </c>
    </row>
    <row r="881" spans="2:7" x14ac:dyDescent="0.2">
      <c r="B881" s="60">
        <v>37159</v>
      </c>
      <c r="C881" s="7">
        <v>4.8399999999999999E-2</v>
      </c>
      <c r="D881" s="7">
        <v>4.8399999999999999E-2</v>
      </c>
      <c r="E881" s="7">
        <v>4.8399999999999999E-2</v>
      </c>
      <c r="F881" s="7">
        <v>4.8399999999999999E-2</v>
      </c>
      <c r="G881" s="7">
        <v>-1.14E-2</v>
      </c>
    </row>
    <row r="882" spans="2:7" x14ac:dyDescent="0.2">
      <c r="B882" s="60">
        <v>37160</v>
      </c>
      <c r="C882" s="7">
        <v>4.7990000000000005E-2</v>
      </c>
      <c r="D882" s="7">
        <v>4.7990000000000005E-2</v>
      </c>
      <c r="E882" s="7">
        <v>4.7990000000000005E-2</v>
      </c>
      <c r="F882" s="7">
        <v>4.7990000000000005E-2</v>
      </c>
      <c r="G882" s="7">
        <v>-8.5000000000000006E-3</v>
      </c>
    </row>
    <row r="883" spans="2:7" x14ac:dyDescent="0.2">
      <c r="B883" s="60">
        <v>37161</v>
      </c>
      <c r="C883" s="7">
        <v>4.7820000000000001E-2</v>
      </c>
      <c r="D883" s="7">
        <v>4.7820000000000001E-2</v>
      </c>
      <c r="E883" s="7">
        <v>4.7820000000000001E-2</v>
      </c>
      <c r="F883" s="7">
        <v>4.7820000000000001E-2</v>
      </c>
      <c r="G883" s="7">
        <v>-3.5000000000000001E-3</v>
      </c>
    </row>
    <row r="884" spans="2:7" x14ac:dyDescent="0.2">
      <c r="B884" s="60">
        <v>37162</v>
      </c>
      <c r="C884" s="7">
        <v>4.8000000000000001E-2</v>
      </c>
      <c r="D884" s="7">
        <v>4.8000000000000001E-2</v>
      </c>
      <c r="E884" s="7">
        <v>4.8000000000000001E-2</v>
      </c>
      <c r="F884" s="7">
        <v>4.8000000000000001E-2</v>
      </c>
      <c r="G884" s="7">
        <v>3.8E-3</v>
      </c>
    </row>
    <row r="885" spans="2:7" x14ac:dyDescent="0.2">
      <c r="B885" s="60">
        <v>37163</v>
      </c>
      <c r="C885" s="7">
        <v>4.8010000000000004E-2</v>
      </c>
      <c r="D885" s="7">
        <v>4.8010000000000004E-2</v>
      </c>
      <c r="E885" s="7">
        <v>4.8010000000000004E-2</v>
      </c>
      <c r="F885" s="7">
        <v>4.8010000000000004E-2</v>
      </c>
      <c r="G885" s="7">
        <v>2.0000000000000001E-4</v>
      </c>
    </row>
    <row r="886" spans="2:7" x14ac:dyDescent="0.2">
      <c r="B886" s="60">
        <v>37164</v>
      </c>
      <c r="C886" s="7">
        <v>4.8010000000000004E-2</v>
      </c>
      <c r="D886" s="7">
        <v>4.8010000000000004E-2</v>
      </c>
      <c r="E886" s="7">
        <v>4.8010000000000004E-2</v>
      </c>
      <c r="F886" s="7">
        <v>4.8010000000000004E-2</v>
      </c>
      <c r="G886" s="7">
        <v>0</v>
      </c>
    </row>
    <row r="887" spans="2:7" x14ac:dyDescent="0.2">
      <c r="B887" s="60">
        <v>37165</v>
      </c>
      <c r="C887" s="7">
        <v>4.7619999999999996E-2</v>
      </c>
      <c r="D887" s="7">
        <v>4.7619999999999996E-2</v>
      </c>
      <c r="E887" s="7">
        <v>4.7619999999999996E-2</v>
      </c>
      <c r="F887" s="7">
        <v>4.7619999999999996E-2</v>
      </c>
      <c r="G887" s="7">
        <v>-8.0999999999999996E-3</v>
      </c>
    </row>
    <row r="888" spans="2:7" x14ac:dyDescent="0.2">
      <c r="B888" s="60">
        <v>37166</v>
      </c>
      <c r="C888" s="7">
        <v>4.7030000000000002E-2</v>
      </c>
      <c r="D888" s="7">
        <v>4.7030000000000002E-2</v>
      </c>
      <c r="E888" s="7">
        <v>4.7030000000000002E-2</v>
      </c>
      <c r="F888" s="7">
        <v>4.7030000000000002E-2</v>
      </c>
      <c r="G888" s="7">
        <v>-1.24E-2</v>
      </c>
    </row>
    <row r="889" spans="2:7" x14ac:dyDescent="0.2">
      <c r="B889" s="60">
        <v>37167</v>
      </c>
      <c r="C889" s="7">
        <v>4.6550000000000001E-2</v>
      </c>
      <c r="D889" s="7">
        <v>4.6550000000000001E-2</v>
      </c>
      <c r="E889" s="7">
        <v>4.6550000000000001E-2</v>
      </c>
      <c r="F889" s="7">
        <v>4.6550000000000001E-2</v>
      </c>
      <c r="G889" s="7">
        <v>-1.0200000000000001E-2</v>
      </c>
    </row>
    <row r="890" spans="2:7" x14ac:dyDescent="0.2">
      <c r="B890" s="60">
        <v>37168</v>
      </c>
      <c r="C890" s="7">
        <v>4.6829999999999997E-2</v>
      </c>
      <c r="D890" s="7">
        <v>4.6829999999999997E-2</v>
      </c>
      <c r="E890" s="7">
        <v>4.6829999999999997E-2</v>
      </c>
      <c r="F890" s="7">
        <v>4.6829999999999997E-2</v>
      </c>
      <c r="G890" s="7">
        <v>6.0000000000000001E-3</v>
      </c>
    </row>
    <row r="891" spans="2:7" x14ac:dyDescent="0.2">
      <c r="B891" s="60">
        <v>37169</v>
      </c>
      <c r="C891" s="7">
        <v>4.6460000000000001E-2</v>
      </c>
      <c r="D891" s="7">
        <v>4.6460000000000001E-2</v>
      </c>
      <c r="E891" s="7">
        <v>4.6460000000000001E-2</v>
      </c>
      <c r="F891" s="7">
        <v>4.6460000000000001E-2</v>
      </c>
      <c r="G891" s="7">
        <v>-7.9000000000000008E-3</v>
      </c>
    </row>
    <row r="892" spans="2:7" x14ac:dyDescent="0.2">
      <c r="B892" s="60">
        <v>37170</v>
      </c>
      <c r="C892" s="7">
        <v>4.6460000000000001E-2</v>
      </c>
      <c r="D892" s="7">
        <v>4.6460000000000001E-2</v>
      </c>
      <c r="E892" s="7">
        <v>4.6460000000000001E-2</v>
      </c>
      <c r="F892" s="7">
        <v>4.6460000000000001E-2</v>
      </c>
      <c r="G892" s="7">
        <v>0</v>
      </c>
    </row>
    <row r="893" spans="2:7" x14ac:dyDescent="0.2">
      <c r="B893" s="60">
        <v>37171</v>
      </c>
      <c r="C893" s="7">
        <v>4.6460000000000001E-2</v>
      </c>
      <c r="D893" s="7">
        <v>4.6460000000000001E-2</v>
      </c>
      <c r="E893" s="7">
        <v>4.6460000000000001E-2</v>
      </c>
      <c r="F893" s="7">
        <v>4.6460000000000001E-2</v>
      </c>
      <c r="G893" s="7">
        <v>0</v>
      </c>
    </row>
    <row r="894" spans="2:7" x14ac:dyDescent="0.2">
      <c r="B894" s="60">
        <v>37172</v>
      </c>
      <c r="C894" s="7">
        <v>4.6210000000000001E-2</v>
      </c>
      <c r="D894" s="7">
        <v>4.6210000000000001E-2</v>
      </c>
      <c r="E894" s="7">
        <v>4.6210000000000001E-2</v>
      </c>
      <c r="F894" s="7">
        <v>4.6210000000000001E-2</v>
      </c>
      <c r="G894" s="7">
        <v>-5.4000000000000003E-3</v>
      </c>
    </row>
    <row r="895" spans="2:7" x14ac:dyDescent="0.2">
      <c r="B895" s="60">
        <v>37173</v>
      </c>
      <c r="C895" s="7">
        <v>4.7019999999999999E-2</v>
      </c>
      <c r="D895" s="7">
        <v>4.7019999999999999E-2</v>
      </c>
      <c r="E895" s="7">
        <v>4.7019999999999999E-2</v>
      </c>
      <c r="F895" s="7">
        <v>4.7019999999999999E-2</v>
      </c>
      <c r="G895" s="7">
        <v>1.7500000000000002E-2</v>
      </c>
    </row>
    <row r="896" spans="2:7" x14ac:dyDescent="0.2">
      <c r="B896" s="60">
        <v>37174</v>
      </c>
      <c r="C896" s="7">
        <v>4.6849999999999996E-2</v>
      </c>
      <c r="D896" s="7">
        <v>4.6849999999999996E-2</v>
      </c>
      <c r="E896" s="7">
        <v>4.6849999999999996E-2</v>
      </c>
      <c r="F896" s="7">
        <v>4.6849999999999996E-2</v>
      </c>
      <c r="G896" s="7">
        <v>-3.5999999999999999E-3</v>
      </c>
    </row>
    <row r="897" spans="2:7" x14ac:dyDescent="0.2">
      <c r="B897" s="60">
        <v>37175</v>
      </c>
      <c r="C897" s="7">
        <v>4.718E-2</v>
      </c>
      <c r="D897" s="7">
        <v>4.718E-2</v>
      </c>
      <c r="E897" s="7">
        <v>4.718E-2</v>
      </c>
      <c r="F897" s="7">
        <v>4.718E-2</v>
      </c>
      <c r="G897" s="7">
        <v>7.0000000000000001E-3</v>
      </c>
    </row>
    <row r="898" spans="2:7" x14ac:dyDescent="0.2">
      <c r="B898" s="60">
        <v>37176</v>
      </c>
      <c r="C898" s="7">
        <v>4.6790000000000005E-2</v>
      </c>
      <c r="D898" s="7">
        <v>4.6790000000000005E-2</v>
      </c>
      <c r="E898" s="7">
        <v>4.6790000000000005E-2</v>
      </c>
      <c r="F898" s="7">
        <v>4.6790000000000005E-2</v>
      </c>
      <c r="G898" s="7">
        <v>-8.3000000000000001E-3</v>
      </c>
    </row>
    <row r="899" spans="2:7" x14ac:dyDescent="0.2">
      <c r="B899" s="60">
        <v>37177</v>
      </c>
      <c r="C899" s="7">
        <v>4.6799999999999994E-2</v>
      </c>
      <c r="D899" s="7">
        <v>4.6799999999999994E-2</v>
      </c>
      <c r="E899" s="7">
        <v>4.6799999999999994E-2</v>
      </c>
      <c r="F899" s="7">
        <v>4.6799999999999994E-2</v>
      </c>
      <c r="G899" s="7">
        <v>2.0000000000000001E-4</v>
      </c>
    </row>
    <row r="900" spans="2:7" x14ac:dyDescent="0.2">
      <c r="B900" s="60">
        <v>37178</v>
      </c>
      <c r="C900" s="7">
        <v>4.6799999999999994E-2</v>
      </c>
      <c r="D900" s="7">
        <v>4.6799999999999994E-2</v>
      </c>
      <c r="E900" s="7">
        <v>4.6799999999999994E-2</v>
      </c>
      <c r="F900" s="7">
        <v>4.6799999999999994E-2</v>
      </c>
      <c r="G900" s="7">
        <v>0</v>
      </c>
    </row>
    <row r="901" spans="2:7" x14ac:dyDescent="0.2">
      <c r="B901" s="60">
        <v>37179</v>
      </c>
      <c r="C901" s="7">
        <v>4.6490000000000004E-2</v>
      </c>
      <c r="D901" s="7">
        <v>4.6490000000000004E-2</v>
      </c>
      <c r="E901" s="7">
        <v>4.6490000000000004E-2</v>
      </c>
      <c r="F901" s="7">
        <v>4.6490000000000004E-2</v>
      </c>
      <c r="G901" s="7">
        <v>-6.6E-3</v>
      </c>
    </row>
    <row r="902" spans="2:7" x14ac:dyDescent="0.2">
      <c r="B902" s="60">
        <v>37180</v>
      </c>
      <c r="C902" s="7">
        <v>4.6470000000000004E-2</v>
      </c>
      <c r="D902" s="7">
        <v>4.6470000000000004E-2</v>
      </c>
      <c r="E902" s="7">
        <v>4.6470000000000004E-2</v>
      </c>
      <c r="F902" s="7">
        <v>4.6470000000000004E-2</v>
      </c>
      <c r="G902" s="7">
        <v>-4.0000000000000002E-4</v>
      </c>
    </row>
    <row r="903" spans="2:7" x14ac:dyDescent="0.2">
      <c r="B903" s="60">
        <v>37181</v>
      </c>
      <c r="C903" s="7">
        <v>4.6390000000000001E-2</v>
      </c>
      <c r="D903" s="7">
        <v>4.6390000000000001E-2</v>
      </c>
      <c r="E903" s="7">
        <v>4.6390000000000001E-2</v>
      </c>
      <c r="F903" s="7">
        <v>4.6390000000000001E-2</v>
      </c>
      <c r="G903" s="7">
        <v>-1.6999999999999999E-3</v>
      </c>
    </row>
    <row r="904" spans="2:7" x14ac:dyDescent="0.2">
      <c r="B904" s="60">
        <v>37182</v>
      </c>
      <c r="C904" s="7">
        <v>4.6109999999999998E-2</v>
      </c>
      <c r="D904" s="7">
        <v>4.6109999999999998E-2</v>
      </c>
      <c r="E904" s="7">
        <v>4.6109999999999998E-2</v>
      </c>
      <c r="F904" s="7">
        <v>4.6109999999999998E-2</v>
      </c>
      <c r="G904" s="7">
        <v>-6.0000000000000001E-3</v>
      </c>
    </row>
    <row r="905" spans="2:7" x14ac:dyDescent="0.2">
      <c r="B905" s="60">
        <v>37183</v>
      </c>
      <c r="C905" s="7">
        <v>4.6269999999999999E-2</v>
      </c>
      <c r="D905" s="7">
        <v>4.6269999999999999E-2</v>
      </c>
      <c r="E905" s="7">
        <v>4.6269999999999999E-2</v>
      </c>
      <c r="F905" s="7">
        <v>4.6269999999999999E-2</v>
      </c>
      <c r="G905" s="7">
        <v>3.5000000000000001E-3</v>
      </c>
    </row>
    <row r="906" spans="2:7" x14ac:dyDescent="0.2">
      <c r="B906" s="60">
        <v>37184</v>
      </c>
      <c r="C906" s="7">
        <v>4.6269999999999999E-2</v>
      </c>
      <c r="D906" s="7">
        <v>4.6269999999999999E-2</v>
      </c>
      <c r="E906" s="7">
        <v>4.6269999999999999E-2</v>
      </c>
      <c r="F906" s="7">
        <v>4.6269999999999999E-2</v>
      </c>
      <c r="G906" s="7">
        <v>0</v>
      </c>
    </row>
    <row r="907" spans="2:7" x14ac:dyDescent="0.2">
      <c r="B907" s="60">
        <v>37185</v>
      </c>
      <c r="C907" s="7">
        <v>4.6089999999999999E-2</v>
      </c>
      <c r="D907" s="7">
        <v>4.6089999999999999E-2</v>
      </c>
      <c r="E907" s="7">
        <v>4.6089999999999999E-2</v>
      </c>
      <c r="F907" s="7">
        <v>4.6089999999999999E-2</v>
      </c>
      <c r="G907" s="7">
        <v>-3.8999999999999998E-3</v>
      </c>
    </row>
    <row r="908" spans="2:7" x14ac:dyDescent="0.2">
      <c r="B908" s="60">
        <v>37186</v>
      </c>
      <c r="C908" s="7">
        <v>4.598E-2</v>
      </c>
      <c r="D908" s="7">
        <v>4.598E-2</v>
      </c>
      <c r="E908" s="7">
        <v>4.598E-2</v>
      </c>
      <c r="F908" s="7">
        <v>4.598E-2</v>
      </c>
      <c r="G908" s="7">
        <v>-2.3999999999999998E-3</v>
      </c>
    </row>
    <row r="909" spans="2:7" x14ac:dyDescent="0.2">
      <c r="B909" s="60">
        <v>37187</v>
      </c>
      <c r="C909" s="7">
        <v>4.6130000000000004E-2</v>
      </c>
      <c r="D909" s="7">
        <v>4.6130000000000004E-2</v>
      </c>
      <c r="E909" s="7">
        <v>4.6130000000000004E-2</v>
      </c>
      <c r="F909" s="7">
        <v>4.6130000000000004E-2</v>
      </c>
      <c r="G909" s="7">
        <v>3.3E-3</v>
      </c>
    </row>
    <row r="910" spans="2:7" x14ac:dyDescent="0.2">
      <c r="B910" s="60">
        <v>37188</v>
      </c>
      <c r="C910" s="7">
        <v>4.5700000000000005E-2</v>
      </c>
      <c r="D910" s="7">
        <v>4.5700000000000005E-2</v>
      </c>
      <c r="E910" s="7">
        <v>4.5700000000000005E-2</v>
      </c>
      <c r="F910" s="7">
        <v>4.5700000000000005E-2</v>
      </c>
      <c r="G910" s="7">
        <v>-9.2999999999999992E-3</v>
      </c>
    </row>
    <row r="911" spans="2:7" x14ac:dyDescent="0.2">
      <c r="B911" s="60">
        <v>37189</v>
      </c>
      <c r="C911" s="7">
        <v>4.4989999999999995E-2</v>
      </c>
      <c r="D911" s="7">
        <v>4.4989999999999995E-2</v>
      </c>
      <c r="E911" s="7">
        <v>4.4989999999999995E-2</v>
      </c>
      <c r="F911" s="7">
        <v>4.4989999999999995E-2</v>
      </c>
      <c r="G911" s="7">
        <v>-1.55E-2</v>
      </c>
    </row>
    <row r="912" spans="2:7" x14ac:dyDescent="0.2">
      <c r="B912" s="60">
        <v>37190</v>
      </c>
      <c r="C912" s="7">
        <v>4.4900000000000002E-2</v>
      </c>
      <c r="D912" s="7">
        <v>4.4900000000000002E-2</v>
      </c>
      <c r="E912" s="7">
        <v>4.4900000000000002E-2</v>
      </c>
      <c r="F912" s="7">
        <v>4.4900000000000002E-2</v>
      </c>
      <c r="G912" s="7">
        <v>-2E-3</v>
      </c>
    </row>
    <row r="913" spans="2:7" x14ac:dyDescent="0.2">
      <c r="B913" s="60">
        <v>37191</v>
      </c>
      <c r="C913" s="7">
        <v>4.4880000000000003E-2</v>
      </c>
      <c r="D913" s="7">
        <v>4.4880000000000003E-2</v>
      </c>
      <c r="E913" s="7">
        <v>4.4880000000000003E-2</v>
      </c>
      <c r="F913" s="7">
        <v>4.4880000000000003E-2</v>
      </c>
      <c r="G913" s="7">
        <v>-4.0000000000000002E-4</v>
      </c>
    </row>
    <row r="914" spans="2:7" x14ac:dyDescent="0.2">
      <c r="B914" s="60">
        <v>37192</v>
      </c>
      <c r="C914" s="7">
        <v>4.4880000000000003E-2</v>
      </c>
      <c r="D914" s="7">
        <v>4.4880000000000003E-2</v>
      </c>
      <c r="E914" s="7">
        <v>4.4880000000000003E-2</v>
      </c>
      <c r="F914" s="7">
        <v>4.4880000000000003E-2</v>
      </c>
      <c r="G914" s="7">
        <v>0</v>
      </c>
    </row>
    <row r="915" spans="2:7" x14ac:dyDescent="0.2">
      <c r="B915" s="60">
        <v>37193</v>
      </c>
      <c r="C915" s="7">
        <v>4.4589999999999998E-2</v>
      </c>
      <c r="D915" s="7">
        <v>4.4589999999999998E-2</v>
      </c>
      <c r="E915" s="7">
        <v>4.4589999999999998E-2</v>
      </c>
      <c r="F915" s="7">
        <v>4.4589999999999998E-2</v>
      </c>
      <c r="G915" s="7">
        <v>-6.4999999999999997E-3</v>
      </c>
    </row>
    <row r="916" spans="2:7" x14ac:dyDescent="0.2">
      <c r="B916" s="60">
        <v>37194</v>
      </c>
      <c r="C916" s="7">
        <v>4.4010000000000001E-2</v>
      </c>
      <c r="D916" s="7">
        <v>4.4010000000000001E-2</v>
      </c>
      <c r="E916" s="7">
        <v>4.4010000000000001E-2</v>
      </c>
      <c r="F916" s="7">
        <v>4.4010000000000001E-2</v>
      </c>
      <c r="G916" s="7">
        <v>-1.2999999999999999E-2</v>
      </c>
    </row>
    <row r="917" spans="2:7" x14ac:dyDescent="0.2">
      <c r="B917" s="60">
        <v>37195</v>
      </c>
      <c r="C917" s="7">
        <v>4.3730000000000005E-2</v>
      </c>
      <c r="D917" s="7">
        <v>4.3730000000000005E-2</v>
      </c>
      <c r="E917" s="7">
        <v>4.3730000000000005E-2</v>
      </c>
      <c r="F917" s="7">
        <v>4.3730000000000005E-2</v>
      </c>
      <c r="G917" s="7">
        <v>-6.4000000000000003E-3</v>
      </c>
    </row>
    <row r="918" spans="2:7" x14ac:dyDescent="0.2">
      <c r="B918" s="60">
        <v>37196</v>
      </c>
      <c r="C918" s="7">
        <v>4.2549999999999998E-2</v>
      </c>
      <c r="D918" s="7">
        <v>4.2549999999999998E-2</v>
      </c>
      <c r="E918" s="7">
        <v>4.2549999999999998E-2</v>
      </c>
      <c r="F918" s="7">
        <v>4.2549999999999998E-2</v>
      </c>
      <c r="G918" s="7">
        <v>-2.7E-2</v>
      </c>
    </row>
    <row r="919" spans="2:7" x14ac:dyDescent="0.2">
      <c r="B919" s="60">
        <v>37197</v>
      </c>
      <c r="C919" s="7">
        <v>4.3369999999999999E-2</v>
      </c>
      <c r="D919" s="7">
        <v>4.3369999999999999E-2</v>
      </c>
      <c r="E919" s="7">
        <v>4.3369999999999999E-2</v>
      </c>
      <c r="F919" s="7">
        <v>4.3369999999999999E-2</v>
      </c>
      <c r="G919" s="7">
        <v>1.9300000000000001E-2</v>
      </c>
    </row>
    <row r="920" spans="2:7" x14ac:dyDescent="0.2">
      <c r="B920" s="60">
        <v>37198</v>
      </c>
      <c r="C920" s="7">
        <v>4.3429999999999996E-2</v>
      </c>
      <c r="D920" s="7">
        <v>4.3429999999999996E-2</v>
      </c>
      <c r="E920" s="7">
        <v>4.3429999999999996E-2</v>
      </c>
      <c r="F920" s="7">
        <v>4.3429999999999996E-2</v>
      </c>
      <c r="G920" s="7">
        <v>1.4E-3</v>
      </c>
    </row>
    <row r="921" spans="2:7" x14ac:dyDescent="0.2">
      <c r="B921" s="60">
        <v>37199</v>
      </c>
      <c r="C921" s="7">
        <v>4.3429999999999996E-2</v>
      </c>
      <c r="D921" s="7">
        <v>4.3429999999999996E-2</v>
      </c>
      <c r="E921" s="7">
        <v>4.3429999999999996E-2</v>
      </c>
      <c r="F921" s="7">
        <v>4.3429999999999996E-2</v>
      </c>
      <c r="G921" s="7">
        <v>0</v>
      </c>
    </row>
    <row r="922" spans="2:7" x14ac:dyDescent="0.2">
      <c r="B922" s="60">
        <v>37200</v>
      </c>
      <c r="C922" s="7">
        <v>4.3070000000000004E-2</v>
      </c>
      <c r="D922" s="7">
        <v>4.3070000000000004E-2</v>
      </c>
      <c r="E922" s="7">
        <v>4.3070000000000004E-2</v>
      </c>
      <c r="F922" s="7">
        <v>4.3070000000000004E-2</v>
      </c>
      <c r="G922" s="7">
        <v>-8.3000000000000001E-3</v>
      </c>
    </row>
    <row r="923" spans="2:7" x14ac:dyDescent="0.2">
      <c r="B923" s="60">
        <v>37201</v>
      </c>
      <c r="C923" s="7">
        <v>4.3209999999999998E-2</v>
      </c>
      <c r="D923" s="7">
        <v>4.3209999999999998E-2</v>
      </c>
      <c r="E923" s="7">
        <v>4.3209999999999998E-2</v>
      </c>
      <c r="F923" s="7">
        <v>4.3209999999999998E-2</v>
      </c>
      <c r="G923" s="7">
        <v>3.3E-3</v>
      </c>
    </row>
    <row r="924" spans="2:7" x14ac:dyDescent="0.2">
      <c r="B924" s="60">
        <v>37202</v>
      </c>
      <c r="C924" s="7">
        <v>4.2649999999999993E-2</v>
      </c>
      <c r="D924" s="7">
        <v>4.2649999999999993E-2</v>
      </c>
      <c r="E924" s="7">
        <v>4.2649999999999993E-2</v>
      </c>
      <c r="F924" s="7">
        <v>4.2649999999999993E-2</v>
      </c>
      <c r="G924" s="7">
        <v>-1.2999999999999999E-2</v>
      </c>
    </row>
    <row r="925" spans="2:7" x14ac:dyDescent="0.2">
      <c r="B925" s="60">
        <v>37203</v>
      </c>
      <c r="C925" s="7">
        <v>4.2999999999999997E-2</v>
      </c>
      <c r="D925" s="7">
        <v>4.2999999999999997E-2</v>
      </c>
      <c r="E925" s="7">
        <v>4.2999999999999997E-2</v>
      </c>
      <c r="F925" s="7">
        <v>4.2999999999999997E-2</v>
      </c>
      <c r="G925" s="7">
        <v>8.2000000000000007E-3</v>
      </c>
    </row>
    <row r="926" spans="2:7" x14ac:dyDescent="0.2">
      <c r="B926" s="60">
        <v>37204</v>
      </c>
      <c r="C926" s="7">
        <v>4.3220000000000001E-2</v>
      </c>
      <c r="D926" s="7">
        <v>4.3220000000000001E-2</v>
      </c>
      <c r="E926" s="7">
        <v>4.3220000000000001E-2</v>
      </c>
      <c r="F926" s="7">
        <v>4.3220000000000001E-2</v>
      </c>
      <c r="G926" s="7">
        <v>5.1000000000000004E-3</v>
      </c>
    </row>
    <row r="927" spans="2:7" x14ac:dyDescent="0.2">
      <c r="B927" s="60">
        <v>37205</v>
      </c>
      <c r="C927" s="7">
        <v>4.3240000000000001E-2</v>
      </c>
      <c r="D927" s="7">
        <v>4.3240000000000001E-2</v>
      </c>
      <c r="E927" s="7">
        <v>4.3240000000000001E-2</v>
      </c>
      <c r="F927" s="7">
        <v>4.3240000000000001E-2</v>
      </c>
      <c r="G927" s="7">
        <v>5.0000000000000001E-4</v>
      </c>
    </row>
    <row r="928" spans="2:7" x14ac:dyDescent="0.2">
      <c r="B928" s="60">
        <v>37206</v>
      </c>
      <c r="C928" s="7">
        <v>4.3240000000000001E-2</v>
      </c>
      <c r="D928" s="7">
        <v>4.3240000000000001E-2</v>
      </c>
      <c r="E928" s="7">
        <v>4.3240000000000001E-2</v>
      </c>
      <c r="F928" s="7">
        <v>4.3240000000000001E-2</v>
      </c>
      <c r="G928" s="7">
        <v>0</v>
      </c>
    </row>
    <row r="929" spans="2:7" x14ac:dyDescent="0.2">
      <c r="B929" s="60">
        <v>37207</v>
      </c>
      <c r="C929" s="7">
        <v>4.3070000000000004E-2</v>
      </c>
      <c r="D929" s="7">
        <v>4.3070000000000004E-2</v>
      </c>
      <c r="E929" s="7">
        <v>4.3070000000000004E-2</v>
      </c>
      <c r="F929" s="7">
        <v>4.3070000000000004E-2</v>
      </c>
      <c r="G929" s="7">
        <v>-3.8999999999999998E-3</v>
      </c>
    </row>
    <row r="930" spans="2:7" x14ac:dyDescent="0.2">
      <c r="B930" s="60">
        <v>37208</v>
      </c>
      <c r="C930" s="7">
        <v>4.3990000000000001E-2</v>
      </c>
      <c r="D930" s="7">
        <v>4.3990000000000001E-2</v>
      </c>
      <c r="E930" s="7">
        <v>4.3990000000000001E-2</v>
      </c>
      <c r="F930" s="7">
        <v>4.3990000000000001E-2</v>
      </c>
      <c r="G930" s="7">
        <v>2.1399999999999999E-2</v>
      </c>
    </row>
    <row r="931" spans="2:7" x14ac:dyDescent="0.2">
      <c r="B931" s="60">
        <v>37209</v>
      </c>
      <c r="C931" s="7">
        <v>4.4930000000000005E-2</v>
      </c>
      <c r="D931" s="7">
        <v>4.4930000000000005E-2</v>
      </c>
      <c r="E931" s="7">
        <v>4.4930000000000005E-2</v>
      </c>
      <c r="F931" s="7">
        <v>4.4930000000000005E-2</v>
      </c>
      <c r="G931" s="7">
        <v>2.1399999999999999E-2</v>
      </c>
    </row>
    <row r="932" spans="2:7" x14ac:dyDescent="0.2">
      <c r="B932" s="60">
        <v>37210</v>
      </c>
      <c r="C932" s="7">
        <v>4.5570000000000006E-2</v>
      </c>
      <c r="D932" s="7">
        <v>4.5570000000000006E-2</v>
      </c>
      <c r="E932" s="7">
        <v>4.5570000000000006E-2</v>
      </c>
      <c r="F932" s="7">
        <v>4.5570000000000006E-2</v>
      </c>
      <c r="G932" s="7">
        <v>1.4200000000000001E-2</v>
      </c>
    </row>
    <row r="933" spans="2:7" x14ac:dyDescent="0.2">
      <c r="B933" s="60">
        <v>37211</v>
      </c>
      <c r="C933" s="7">
        <v>4.6130000000000004E-2</v>
      </c>
      <c r="D933" s="7">
        <v>4.6130000000000004E-2</v>
      </c>
      <c r="E933" s="7">
        <v>4.6130000000000004E-2</v>
      </c>
      <c r="F933" s="7">
        <v>4.6130000000000004E-2</v>
      </c>
      <c r="G933" s="7">
        <v>1.23E-2</v>
      </c>
    </row>
    <row r="934" spans="2:7" x14ac:dyDescent="0.2">
      <c r="B934" s="60">
        <v>37212</v>
      </c>
      <c r="C934" s="7">
        <v>4.6170000000000003E-2</v>
      </c>
      <c r="D934" s="7">
        <v>4.6170000000000003E-2</v>
      </c>
      <c r="E934" s="7">
        <v>4.6170000000000003E-2</v>
      </c>
      <c r="F934" s="7">
        <v>4.6170000000000003E-2</v>
      </c>
      <c r="G934" s="7">
        <v>8.9999999999999998E-4</v>
      </c>
    </row>
    <row r="935" spans="2:7" x14ac:dyDescent="0.2">
      <c r="B935" s="60">
        <v>37213</v>
      </c>
      <c r="C935" s="7">
        <v>4.6170000000000003E-2</v>
      </c>
      <c r="D935" s="7">
        <v>4.6170000000000003E-2</v>
      </c>
      <c r="E935" s="7">
        <v>4.6170000000000003E-2</v>
      </c>
      <c r="F935" s="7">
        <v>4.6170000000000003E-2</v>
      </c>
      <c r="G935" s="7">
        <v>0</v>
      </c>
    </row>
    <row r="936" spans="2:7" x14ac:dyDescent="0.2">
      <c r="B936" s="60">
        <v>37214</v>
      </c>
      <c r="C936" s="7">
        <v>4.5279999999999994E-2</v>
      </c>
      <c r="D936" s="7">
        <v>4.5279999999999994E-2</v>
      </c>
      <c r="E936" s="7">
        <v>4.5279999999999994E-2</v>
      </c>
      <c r="F936" s="7">
        <v>4.5279999999999994E-2</v>
      </c>
      <c r="G936" s="7">
        <v>-1.9300000000000001E-2</v>
      </c>
    </row>
    <row r="937" spans="2:7" x14ac:dyDescent="0.2">
      <c r="B937" s="60">
        <v>37215</v>
      </c>
      <c r="C937" s="7">
        <v>4.5490000000000003E-2</v>
      </c>
      <c r="D937" s="7">
        <v>4.5490000000000003E-2</v>
      </c>
      <c r="E937" s="7">
        <v>4.5490000000000003E-2</v>
      </c>
      <c r="F937" s="7">
        <v>4.5490000000000003E-2</v>
      </c>
      <c r="G937" s="7">
        <v>4.5999999999999999E-3</v>
      </c>
    </row>
    <row r="938" spans="2:7" x14ac:dyDescent="0.2">
      <c r="B938" s="60">
        <v>37216</v>
      </c>
      <c r="C938" s="7">
        <v>4.6330000000000003E-2</v>
      </c>
      <c r="D938" s="7">
        <v>4.6330000000000003E-2</v>
      </c>
      <c r="E938" s="7">
        <v>4.6330000000000003E-2</v>
      </c>
      <c r="F938" s="7">
        <v>4.6330000000000003E-2</v>
      </c>
      <c r="G938" s="7">
        <v>1.8499999999999999E-2</v>
      </c>
    </row>
    <row r="939" spans="2:7" x14ac:dyDescent="0.2">
      <c r="B939" s="60">
        <v>37217</v>
      </c>
      <c r="C939" s="7">
        <v>4.6359999999999998E-2</v>
      </c>
      <c r="D939" s="7">
        <v>4.6359999999999998E-2</v>
      </c>
      <c r="E939" s="7">
        <v>4.6359999999999998E-2</v>
      </c>
      <c r="F939" s="7">
        <v>4.6359999999999998E-2</v>
      </c>
      <c r="G939" s="7">
        <v>5.9999999999999995E-4</v>
      </c>
    </row>
    <row r="940" spans="2:7" x14ac:dyDescent="0.2">
      <c r="B940" s="60">
        <v>37218</v>
      </c>
      <c r="C940" s="7">
        <v>4.6100000000000002E-2</v>
      </c>
      <c r="D940" s="7">
        <v>4.6100000000000002E-2</v>
      </c>
      <c r="E940" s="7">
        <v>4.6100000000000002E-2</v>
      </c>
      <c r="F940" s="7">
        <v>4.6100000000000002E-2</v>
      </c>
      <c r="G940" s="7">
        <v>-5.5999999999999999E-3</v>
      </c>
    </row>
    <row r="941" spans="2:7" x14ac:dyDescent="0.2">
      <c r="B941" s="60">
        <v>37219</v>
      </c>
      <c r="C941" s="7">
        <v>4.6059999999999997E-2</v>
      </c>
      <c r="D941" s="7">
        <v>4.6059999999999997E-2</v>
      </c>
      <c r="E941" s="7">
        <v>4.6059999999999997E-2</v>
      </c>
      <c r="F941" s="7">
        <v>4.6059999999999997E-2</v>
      </c>
      <c r="G941" s="7">
        <v>-8.9999999999999998E-4</v>
      </c>
    </row>
    <row r="942" spans="2:7" x14ac:dyDescent="0.2">
      <c r="B942" s="60">
        <v>37220</v>
      </c>
      <c r="C942" s="7">
        <v>4.6059999999999997E-2</v>
      </c>
      <c r="D942" s="7">
        <v>4.6059999999999997E-2</v>
      </c>
      <c r="E942" s="7">
        <v>4.6059999999999997E-2</v>
      </c>
      <c r="F942" s="7">
        <v>4.6059999999999997E-2</v>
      </c>
      <c r="G942" s="7">
        <v>0</v>
      </c>
    </row>
    <row r="943" spans="2:7" x14ac:dyDescent="0.2">
      <c r="B943" s="60">
        <v>37221</v>
      </c>
      <c r="C943" s="7">
        <v>4.5749999999999999E-2</v>
      </c>
      <c r="D943" s="7">
        <v>4.5749999999999999E-2</v>
      </c>
      <c r="E943" s="7">
        <v>4.5749999999999999E-2</v>
      </c>
      <c r="F943" s="7">
        <v>4.5749999999999999E-2</v>
      </c>
      <c r="G943" s="7">
        <v>-6.7000000000000002E-3</v>
      </c>
    </row>
    <row r="944" spans="2:7" x14ac:dyDescent="0.2">
      <c r="B944" s="60">
        <v>37222</v>
      </c>
      <c r="C944" s="7">
        <v>4.6980000000000001E-2</v>
      </c>
      <c r="D944" s="7">
        <v>4.6980000000000001E-2</v>
      </c>
      <c r="E944" s="7">
        <v>4.6980000000000001E-2</v>
      </c>
      <c r="F944" s="7">
        <v>4.6980000000000001E-2</v>
      </c>
      <c r="G944" s="7">
        <v>2.69E-2</v>
      </c>
    </row>
    <row r="945" spans="2:7" x14ac:dyDescent="0.2">
      <c r="B945" s="60">
        <v>37223</v>
      </c>
      <c r="C945" s="7">
        <v>4.6479999999999994E-2</v>
      </c>
      <c r="D945" s="7">
        <v>4.6479999999999994E-2</v>
      </c>
      <c r="E945" s="7">
        <v>4.6479999999999994E-2</v>
      </c>
      <c r="F945" s="7">
        <v>4.6479999999999994E-2</v>
      </c>
      <c r="G945" s="7">
        <v>-1.06E-2</v>
      </c>
    </row>
    <row r="946" spans="2:7" x14ac:dyDescent="0.2">
      <c r="B946" s="60">
        <v>37224</v>
      </c>
      <c r="C946" s="7">
        <v>4.5890000000000007E-2</v>
      </c>
      <c r="D946" s="7">
        <v>4.5890000000000007E-2</v>
      </c>
      <c r="E946" s="7">
        <v>4.5890000000000007E-2</v>
      </c>
      <c r="F946" s="7">
        <v>4.5890000000000007E-2</v>
      </c>
      <c r="G946" s="7">
        <v>-1.2699999999999999E-2</v>
      </c>
    </row>
    <row r="947" spans="2:7" x14ac:dyDescent="0.2">
      <c r="B947" s="60">
        <v>37225</v>
      </c>
      <c r="C947" s="7">
        <v>4.5570000000000006E-2</v>
      </c>
      <c r="D947" s="7">
        <v>4.5570000000000006E-2</v>
      </c>
      <c r="E947" s="7">
        <v>4.5570000000000006E-2</v>
      </c>
      <c r="F947" s="7">
        <v>4.5570000000000006E-2</v>
      </c>
      <c r="G947" s="7">
        <v>-7.0000000000000001E-3</v>
      </c>
    </row>
    <row r="948" spans="2:7" x14ac:dyDescent="0.2">
      <c r="B948" s="60">
        <v>37227</v>
      </c>
      <c r="C948" s="7">
        <v>4.5570000000000006E-2</v>
      </c>
      <c r="D948" s="7">
        <v>4.5570000000000006E-2</v>
      </c>
      <c r="E948" s="7">
        <v>4.5570000000000006E-2</v>
      </c>
      <c r="F948" s="7">
        <v>4.5570000000000006E-2</v>
      </c>
      <c r="G948" s="7">
        <v>0</v>
      </c>
    </row>
    <row r="949" spans="2:7" x14ac:dyDescent="0.2">
      <c r="B949" s="60">
        <v>37228</v>
      </c>
      <c r="C949" s="7">
        <v>4.53E-2</v>
      </c>
      <c r="D949" s="7">
        <v>4.53E-2</v>
      </c>
      <c r="E949" s="7">
        <v>4.53E-2</v>
      </c>
      <c r="F949" s="7">
        <v>4.53E-2</v>
      </c>
      <c r="G949" s="7">
        <v>-5.8999999999999999E-3</v>
      </c>
    </row>
    <row r="950" spans="2:7" x14ac:dyDescent="0.2">
      <c r="B950" s="60">
        <v>37229</v>
      </c>
      <c r="C950" s="7">
        <v>4.4900000000000002E-2</v>
      </c>
      <c r="D950" s="7">
        <v>4.4900000000000002E-2</v>
      </c>
      <c r="E950" s="7">
        <v>4.4900000000000002E-2</v>
      </c>
      <c r="F950" s="7">
        <v>4.4900000000000002E-2</v>
      </c>
      <c r="G950" s="7">
        <v>-8.8000000000000005E-3</v>
      </c>
    </row>
    <row r="951" spans="2:7" x14ac:dyDescent="0.2">
      <c r="B951" s="60">
        <v>37230</v>
      </c>
      <c r="C951" s="7">
        <v>4.7060000000000005E-2</v>
      </c>
      <c r="D951" s="7">
        <v>4.7060000000000005E-2</v>
      </c>
      <c r="E951" s="7">
        <v>4.7060000000000005E-2</v>
      </c>
      <c r="F951" s="7">
        <v>4.7060000000000005E-2</v>
      </c>
      <c r="G951" s="7">
        <v>4.8099999999999997E-2</v>
      </c>
    </row>
    <row r="952" spans="2:7" x14ac:dyDescent="0.2">
      <c r="B952" s="60">
        <v>37231</v>
      </c>
      <c r="C952" s="7">
        <v>4.7579999999999997E-2</v>
      </c>
      <c r="D952" s="7">
        <v>4.7579999999999997E-2</v>
      </c>
      <c r="E952" s="7">
        <v>4.7579999999999997E-2</v>
      </c>
      <c r="F952" s="7">
        <v>4.7579999999999997E-2</v>
      </c>
      <c r="G952" s="7">
        <v>1.0999999999999999E-2</v>
      </c>
    </row>
    <row r="953" spans="2:7" x14ac:dyDescent="0.2">
      <c r="B953" s="60">
        <v>37232</v>
      </c>
      <c r="C953" s="7">
        <v>4.8600000000000004E-2</v>
      </c>
      <c r="D953" s="7">
        <v>4.8600000000000004E-2</v>
      </c>
      <c r="E953" s="7">
        <v>4.8600000000000004E-2</v>
      </c>
      <c r="F953" s="7">
        <v>4.8600000000000004E-2</v>
      </c>
      <c r="G953" s="7">
        <v>2.1399999999999999E-2</v>
      </c>
    </row>
    <row r="954" spans="2:7" x14ac:dyDescent="0.2">
      <c r="B954" s="60">
        <v>37234</v>
      </c>
      <c r="C954" s="7">
        <v>4.8600000000000004E-2</v>
      </c>
      <c r="D954" s="7">
        <v>4.8600000000000004E-2</v>
      </c>
      <c r="E954" s="7">
        <v>4.8600000000000004E-2</v>
      </c>
      <c r="F954" s="7">
        <v>4.8600000000000004E-2</v>
      </c>
      <c r="G954" s="7">
        <v>0</v>
      </c>
    </row>
    <row r="955" spans="2:7" x14ac:dyDescent="0.2">
      <c r="B955" s="60">
        <v>37235</v>
      </c>
      <c r="C955" s="7">
        <v>4.8330000000000005E-2</v>
      </c>
      <c r="D955" s="7">
        <v>4.8330000000000005E-2</v>
      </c>
      <c r="E955" s="7">
        <v>4.8330000000000005E-2</v>
      </c>
      <c r="F955" s="7">
        <v>4.8330000000000005E-2</v>
      </c>
      <c r="G955" s="7">
        <v>-5.5999999999999999E-3</v>
      </c>
    </row>
    <row r="956" spans="2:7" x14ac:dyDescent="0.2">
      <c r="B956" s="60">
        <v>37236</v>
      </c>
      <c r="C956" s="7">
        <v>4.7939999999999997E-2</v>
      </c>
      <c r="D956" s="7">
        <v>4.7939999999999997E-2</v>
      </c>
      <c r="E956" s="7">
        <v>4.7939999999999997E-2</v>
      </c>
      <c r="F956" s="7">
        <v>4.7939999999999997E-2</v>
      </c>
      <c r="G956" s="7">
        <v>-8.0999999999999996E-3</v>
      </c>
    </row>
    <row r="957" spans="2:7" x14ac:dyDescent="0.2">
      <c r="B957" s="60">
        <v>37237</v>
      </c>
      <c r="C957" s="7">
        <v>4.7060000000000005E-2</v>
      </c>
      <c r="D957" s="7">
        <v>4.7060000000000005E-2</v>
      </c>
      <c r="E957" s="7">
        <v>4.7060000000000005E-2</v>
      </c>
      <c r="F957" s="7">
        <v>4.7060000000000005E-2</v>
      </c>
      <c r="G957" s="7">
        <v>-1.84E-2</v>
      </c>
    </row>
    <row r="958" spans="2:7" x14ac:dyDescent="0.2">
      <c r="B958" s="60">
        <v>37238</v>
      </c>
      <c r="C958" s="7">
        <v>4.768E-2</v>
      </c>
      <c r="D958" s="7">
        <v>4.768E-2</v>
      </c>
      <c r="E958" s="7">
        <v>4.768E-2</v>
      </c>
      <c r="F958" s="7">
        <v>4.768E-2</v>
      </c>
      <c r="G958" s="7">
        <v>1.32E-2</v>
      </c>
    </row>
    <row r="959" spans="2:7" x14ac:dyDescent="0.2">
      <c r="B959" s="60">
        <v>37239</v>
      </c>
      <c r="C959" s="7">
        <v>4.7539999999999999E-2</v>
      </c>
      <c r="D959" s="7">
        <v>4.7539999999999999E-2</v>
      </c>
      <c r="E959" s="7">
        <v>4.7539999999999999E-2</v>
      </c>
      <c r="F959" s="7">
        <v>4.7539999999999999E-2</v>
      </c>
      <c r="G959" s="7">
        <v>-2.8999999999999998E-3</v>
      </c>
    </row>
    <row r="960" spans="2:7" x14ac:dyDescent="0.2">
      <c r="B960" s="60">
        <v>37241</v>
      </c>
      <c r="C960" s="7">
        <v>4.7510000000000004E-2</v>
      </c>
      <c r="D960" s="7">
        <v>4.7510000000000004E-2</v>
      </c>
      <c r="E960" s="7">
        <v>4.7510000000000004E-2</v>
      </c>
      <c r="F960" s="7">
        <v>4.7510000000000004E-2</v>
      </c>
      <c r="G960" s="7">
        <v>-5.9999999999999995E-4</v>
      </c>
    </row>
    <row r="961" spans="2:7" x14ac:dyDescent="0.2">
      <c r="B961" s="60">
        <v>37242</v>
      </c>
      <c r="C961" s="7">
        <v>4.8659999999999995E-2</v>
      </c>
      <c r="D961" s="7">
        <v>4.8659999999999995E-2</v>
      </c>
      <c r="E961" s="7">
        <v>4.8659999999999995E-2</v>
      </c>
      <c r="F961" s="7">
        <v>4.8659999999999995E-2</v>
      </c>
      <c r="G961" s="7">
        <v>2.4199999999999999E-2</v>
      </c>
    </row>
    <row r="962" spans="2:7" x14ac:dyDescent="0.2">
      <c r="B962" s="60">
        <v>37243</v>
      </c>
      <c r="C962" s="7">
        <v>4.8160000000000001E-2</v>
      </c>
      <c r="D962" s="7">
        <v>4.8160000000000001E-2</v>
      </c>
      <c r="E962" s="7">
        <v>4.8160000000000001E-2</v>
      </c>
      <c r="F962" s="7">
        <v>4.8160000000000001E-2</v>
      </c>
      <c r="G962" s="7">
        <v>-1.03E-2</v>
      </c>
    </row>
    <row r="963" spans="2:7" x14ac:dyDescent="0.2">
      <c r="B963" s="60">
        <v>37244</v>
      </c>
      <c r="C963" s="7">
        <v>4.777E-2</v>
      </c>
      <c r="D963" s="7">
        <v>4.777E-2</v>
      </c>
      <c r="E963" s="7">
        <v>4.777E-2</v>
      </c>
      <c r="F963" s="7">
        <v>4.777E-2</v>
      </c>
      <c r="G963" s="7">
        <v>-8.0999999999999996E-3</v>
      </c>
    </row>
    <row r="964" spans="2:7" x14ac:dyDescent="0.2">
      <c r="B964" s="60">
        <v>37245</v>
      </c>
      <c r="C964" s="7">
        <v>4.8129999999999999E-2</v>
      </c>
      <c r="D964" s="7">
        <v>4.8129999999999999E-2</v>
      </c>
      <c r="E964" s="7">
        <v>4.8129999999999999E-2</v>
      </c>
      <c r="F964" s="7">
        <v>4.8129999999999999E-2</v>
      </c>
      <c r="G964" s="7">
        <v>7.4999999999999997E-3</v>
      </c>
    </row>
    <row r="965" spans="2:7" x14ac:dyDescent="0.2">
      <c r="B965" s="60">
        <v>37246</v>
      </c>
      <c r="C965" s="7">
        <v>4.8819999999999995E-2</v>
      </c>
      <c r="D965" s="7">
        <v>4.8819999999999995E-2</v>
      </c>
      <c r="E965" s="7">
        <v>4.8819999999999995E-2</v>
      </c>
      <c r="F965" s="7">
        <v>4.8819999999999995E-2</v>
      </c>
      <c r="G965" s="7">
        <v>1.43E-2</v>
      </c>
    </row>
    <row r="966" spans="2:7" x14ac:dyDescent="0.2">
      <c r="B966" s="60">
        <v>37247</v>
      </c>
      <c r="C966" s="7">
        <v>4.888E-2</v>
      </c>
      <c r="D966" s="7">
        <v>4.888E-2</v>
      </c>
      <c r="E966" s="7">
        <v>4.888E-2</v>
      </c>
      <c r="F966" s="7">
        <v>4.888E-2</v>
      </c>
      <c r="G966" s="7">
        <v>1.1999999999999999E-3</v>
      </c>
    </row>
    <row r="967" spans="2:7" x14ac:dyDescent="0.2">
      <c r="B967" s="60">
        <v>37248</v>
      </c>
      <c r="C967" s="7">
        <v>4.888E-2</v>
      </c>
      <c r="D967" s="7">
        <v>4.888E-2</v>
      </c>
      <c r="E967" s="7">
        <v>4.888E-2</v>
      </c>
      <c r="F967" s="7">
        <v>4.888E-2</v>
      </c>
      <c r="G967" s="7">
        <v>0</v>
      </c>
    </row>
    <row r="968" spans="2:7" x14ac:dyDescent="0.2">
      <c r="B968" s="60">
        <v>37249</v>
      </c>
      <c r="C968" s="7">
        <v>4.8829999999999998E-2</v>
      </c>
      <c r="D968" s="7">
        <v>4.8829999999999998E-2</v>
      </c>
      <c r="E968" s="7">
        <v>4.8829999999999998E-2</v>
      </c>
      <c r="F968" s="7">
        <v>4.8829999999999998E-2</v>
      </c>
      <c r="G968" s="7">
        <v>-1E-3</v>
      </c>
    </row>
    <row r="969" spans="2:7" x14ac:dyDescent="0.2">
      <c r="B969" s="60">
        <v>37250</v>
      </c>
      <c r="C969" s="7">
        <v>4.8739999999999999E-2</v>
      </c>
      <c r="D969" s="7">
        <v>4.8739999999999999E-2</v>
      </c>
      <c r="E969" s="7">
        <v>4.8739999999999999E-2</v>
      </c>
      <c r="F969" s="7">
        <v>4.8739999999999999E-2</v>
      </c>
      <c r="G969" s="7">
        <v>-1.8E-3</v>
      </c>
    </row>
    <row r="970" spans="2:7" x14ac:dyDescent="0.2">
      <c r="B970" s="60">
        <v>37252</v>
      </c>
      <c r="C970" s="7">
        <v>4.9589999999999995E-2</v>
      </c>
      <c r="D970" s="7">
        <v>4.9589999999999995E-2</v>
      </c>
      <c r="E970" s="7">
        <v>4.9589999999999995E-2</v>
      </c>
      <c r="F970" s="7">
        <v>4.9589999999999995E-2</v>
      </c>
      <c r="G970" s="7">
        <v>1.7399999999999999E-2</v>
      </c>
    </row>
    <row r="971" spans="2:7" x14ac:dyDescent="0.2">
      <c r="B971" s="60">
        <v>37253</v>
      </c>
      <c r="C971" s="7">
        <v>4.9980000000000004E-2</v>
      </c>
      <c r="D971" s="7">
        <v>4.9980000000000004E-2</v>
      </c>
      <c r="E971" s="7">
        <v>4.9980000000000004E-2</v>
      </c>
      <c r="F971" s="7">
        <v>4.9980000000000004E-2</v>
      </c>
      <c r="G971" s="7">
        <v>7.9000000000000008E-3</v>
      </c>
    </row>
    <row r="972" spans="2:7" x14ac:dyDescent="0.2">
      <c r="B972" s="60">
        <v>37254</v>
      </c>
      <c r="C972" s="7">
        <v>4.9980000000000004E-2</v>
      </c>
      <c r="D972" s="7">
        <v>4.9980000000000004E-2</v>
      </c>
      <c r="E972" s="7">
        <v>4.9980000000000004E-2</v>
      </c>
      <c r="F972" s="7">
        <v>4.9980000000000004E-2</v>
      </c>
      <c r="G972" s="7">
        <v>0</v>
      </c>
    </row>
    <row r="973" spans="2:7" x14ac:dyDescent="0.2">
      <c r="B973" s="60">
        <v>37255</v>
      </c>
      <c r="C973" s="7">
        <v>4.9980000000000004E-2</v>
      </c>
      <c r="D973" s="7">
        <v>4.9980000000000004E-2</v>
      </c>
      <c r="E973" s="7">
        <v>4.9980000000000004E-2</v>
      </c>
      <c r="F973" s="7">
        <v>4.9980000000000004E-2</v>
      </c>
      <c r="G973" s="7">
        <v>0</v>
      </c>
    </row>
    <row r="974" spans="2:7" x14ac:dyDescent="0.2">
      <c r="B974" s="60">
        <v>37256</v>
      </c>
      <c r="C974" s="7">
        <v>4.9970000000000001E-2</v>
      </c>
      <c r="D974" s="7">
        <v>4.9970000000000001E-2</v>
      </c>
      <c r="E974" s="7">
        <v>4.9970000000000001E-2</v>
      </c>
      <c r="F974" s="7">
        <v>4.9970000000000001E-2</v>
      </c>
      <c r="G974" s="7">
        <v>-2.0000000000000001E-4</v>
      </c>
    </row>
    <row r="975" spans="2:7" x14ac:dyDescent="0.2">
      <c r="B975" s="60">
        <v>37258</v>
      </c>
      <c r="C975" s="7">
        <v>4.9520000000000002E-2</v>
      </c>
      <c r="D975" s="7">
        <v>4.9520000000000002E-2</v>
      </c>
      <c r="E975" s="7">
        <v>4.9520000000000002E-2</v>
      </c>
      <c r="F975" s="7">
        <v>4.9520000000000002E-2</v>
      </c>
      <c r="G975" s="7">
        <v>-8.9999999999999993E-3</v>
      </c>
    </row>
    <row r="976" spans="2:7" x14ac:dyDescent="0.2">
      <c r="B976" s="60">
        <v>37259</v>
      </c>
      <c r="C976" s="7">
        <v>4.904E-2</v>
      </c>
      <c r="D976" s="7">
        <v>4.904E-2</v>
      </c>
      <c r="E976" s="7">
        <v>4.904E-2</v>
      </c>
      <c r="F976" s="7">
        <v>4.904E-2</v>
      </c>
      <c r="G976" s="7">
        <v>-9.7000000000000003E-3</v>
      </c>
    </row>
    <row r="977" spans="2:7" x14ac:dyDescent="0.2">
      <c r="B977" s="60">
        <v>37260</v>
      </c>
      <c r="C977" s="7">
        <v>4.9349999999999998E-2</v>
      </c>
      <c r="D977" s="7">
        <v>4.9349999999999998E-2</v>
      </c>
      <c r="E977" s="7">
        <v>4.9349999999999998E-2</v>
      </c>
      <c r="F977" s="7">
        <v>4.9349999999999998E-2</v>
      </c>
      <c r="G977" s="7">
        <v>6.3E-3</v>
      </c>
    </row>
    <row r="978" spans="2:7" x14ac:dyDescent="0.2">
      <c r="B978" s="60">
        <v>37262</v>
      </c>
      <c r="C978" s="7">
        <v>4.9390000000000003E-2</v>
      </c>
      <c r="D978" s="7">
        <v>4.9390000000000003E-2</v>
      </c>
      <c r="E978" s="7">
        <v>4.9390000000000003E-2</v>
      </c>
      <c r="F978" s="7">
        <v>4.9390000000000003E-2</v>
      </c>
      <c r="G978" s="7">
        <v>8.0000000000000004E-4</v>
      </c>
    </row>
    <row r="979" spans="2:7" x14ac:dyDescent="0.2">
      <c r="B979" s="60">
        <v>37263</v>
      </c>
      <c r="C979" s="7">
        <v>4.82E-2</v>
      </c>
      <c r="D979" s="7">
        <v>4.82E-2</v>
      </c>
      <c r="E979" s="7">
        <v>4.82E-2</v>
      </c>
      <c r="F979" s="7">
        <v>4.82E-2</v>
      </c>
      <c r="G979" s="7">
        <v>-2.41E-2</v>
      </c>
    </row>
    <row r="980" spans="2:7" x14ac:dyDescent="0.2">
      <c r="B980" s="60">
        <v>37264</v>
      </c>
      <c r="C980" s="7">
        <v>4.8479999999999995E-2</v>
      </c>
      <c r="D980" s="7">
        <v>4.8479999999999995E-2</v>
      </c>
      <c r="E980" s="7">
        <v>4.8479999999999995E-2</v>
      </c>
      <c r="F980" s="7">
        <v>4.8479999999999995E-2</v>
      </c>
      <c r="G980" s="7">
        <v>5.7999999999999996E-3</v>
      </c>
    </row>
    <row r="981" spans="2:7" x14ac:dyDescent="0.2">
      <c r="B981" s="60">
        <v>37265</v>
      </c>
      <c r="C981" s="7">
        <v>4.9080000000000006E-2</v>
      </c>
      <c r="D981" s="7">
        <v>4.9080000000000006E-2</v>
      </c>
      <c r="E981" s="7">
        <v>4.9080000000000006E-2</v>
      </c>
      <c r="F981" s="7">
        <v>4.9080000000000006E-2</v>
      </c>
      <c r="G981" s="7">
        <v>1.24E-2</v>
      </c>
    </row>
    <row r="982" spans="2:7" x14ac:dyDescent="0.2">
      <c r="B982" s="60">
        <v>37266</v>
      </c>
      <c r="C982" s="7">
        <v>4.8579999999999998E-2</v>
      </c>
      <c r="D982" s="7">
        <v>4.8579999999999998E-2</v>
      </c>
      <c r="E982" s="7">
        <v>4.8579999999999998E-2</v>
      </c>
      <c r="F982" s="7">
        <v>4.8579999999999998E-2</v>
      </c>
      <c r="G982" s="7">
        <v>-1.0200000000000001E-2</v>
      </c>
    </row>
    <row r="983" spans="2:7" x14ac:dyDescent="0.2">
      <c r="B983" s="60">
        <v>37267</v>
      </c>
      <c r="C983" s="7">
        <v>4.8129999999999999E-2</v>
      </c>
      <c r="D983" s="7">
        <v>4.8129999999999999E-2</v>
      </c>
      <c r="E983" s="7">
        <v>4.8129999999999999E-2</v>
      </c>
      <c r="F983" s="7">
        <v>4.8129999999999999E-2</v>
      </c>
      <c r="G983" s="7">
        <v>-9.2999999999999992E-3</v>
      </c>
    </row>
    <row r="984" spans="2:7" x14ac:dyDescent="0.2">
      <c r="B984" s="60">
        <v>37270</v>
      </c>
      <c r="C984" s="7">
        <v>4.7489999999999997E-2</v>
      </c>
      <c r="D984" s="7">
        <v>4.7489999999999997E-2</v>
      </c>
      <c r="E984" s="7">
        <v>4.7489999999999997E-2</v>
      </c>
      <c r="F984" s="7">
        <v>4.7489999999999997E-2</v>
      </c>
      <c r="G984" s="7">
        <v>-1.3299999999999999E-2</v>
      </c>
    </row>
    <row r="985" spans="2:7" x14ac:dyDescent="0.2">
      <c r="B985" s="60">
        <v>37271</v>
      </c>
      <c r="C985" s="7">
        <v>4.7640000000000002E-2</v>
      </c>
      <c r="D985" s="7">
        <v>4.7640000000000002E-2</v>
      </c>
      <c r="E985" s="7">
        <v>4.7640000000000002E-2</v>
      </c>
      <c r="F985" s="7">
        <v>4.7640000000000002E-2</v>
      </c>
      <c r="G985" s="7">
        <v>3.2000000000000002E-3</v>
      </c>
    </row>
    <row r="986" spans="2:7" x14ac:dyDescent="0.2">
      <c r="B986" s="60">
        <v>37272</v>
      </c>
      <c r="C986" s="7">
        <v>4.7690000000000003E-2</v>
      </c>
      <c r="D986" s="7">
        <v>4.7690000000000003E-2</v>
      </c>
      <c r="E986" s="7">
        <v>4.7690000000000003E-2</v>
      </c>
      <c r="F986" s="7">
        <v>4.7690000000000003E-2</v>
      </c>
      <c r="G986" s="7">
        <v>1E-3</v>
      </c>
    </row>
    <row r="987" spans="2:7" x14ac:dyDescent="0.2">
      <c r="B987" s="60">
        <v>37273</v>
      </c>
      <c r="C987" s="7">
        <v>4.8239999999999998E-2</v>
      </c>
      <c r="D987" s="7">
        <v>4.8239999999999998E-2</v>
      </c>
      <c r="E987" s="7">
        <v>4.8239999999999998E-2</v>
      </c>
      <c r="F987" s="7">
        <v>4.8239999999999998E-2</v>
      </c>
      <c r="G987" s="7">
        <v>1.15E-2</v>
      </c>
    </row>
    <row r="988" spans="2:7" x14ac:dyDescent="0.2">
      <c r="B988" s="60">
        <v>37274</v>
      </c>
      <c r="C988" s="7">
        <v>4.8239999999999998E-2</v>
      </c>
      <c r="D988" s="7">
        <v>4.8239999999999998E-2</v>
      </c>
      <c r="E988" s="7">
        <v>4.8239999999999998E-2</v>
      </c>
      <c r="F988" s="7">
        <v>4.8239999999999998E-2</v>
      </c>
      <c r="G988" s="7">
        <v>0</v>
      </c>
    </row>
    <row r="989" spans="2:7" x14ac:dyDescent="0.2">
      <c r="B989" s="60">
        <v>37277</v>
      </c>
      <c r="C989" s="7">
        <v>4.8049999999999995E-2</v>
      </c>
      <c r="D989" s="7">
        <v>4.8049999999999995E-2</v>
      </c>
      <c r="E989" s="7">
        <v>4.8049999999999995E-2</v>
      </c>
      <c r="F989" s="7">
        <v>4.8049999999999995E-2</v>
      </c>
      <c r="G989" s="7">
        <v>-3.8999999999999998E-3</v>
      </c>
    </row>
    <row r="990" spans="2:7" x14ac:dyDescent="0.2">
      <c r="B990" s="60">
        <v>37278</v>
      </c>
      <c r="C990" s="7">
        <v>4.854E-2</v>
      </c>
      <c r="D990" s="7">
        <v>4.854E-2</v>
      </c>
      <c r="E990" s="7">
        <v>4.854E-2</v>
      </c>
      <c r="F990" s="7">
        <v>4.854E-2</v>
      </c>
      <c r="G990" s="7">
        <v>1.0200000000000001E-2</v>
      </c>
    </row>
    <row r="991" spans="2:7" x14ac:dyDescent="0.2">
      <c r="B991" s="60">
        <v>37279</v>
      </c>
      <c r="C991" s="7">
        <v>4.8129999999999999E-2</v>
      </c>
      <c r="D991" s="7">
        <v>4.8129999999999999E-2</v>
      </c>
      <c r="E991" s="7">
        <v>4.8129999999999999E-2</v>
      </c>
      <c r="F991" s="7">
        <v>4.8129999999999999E-2</v>
      </c>
      <c r="G991" s="7">
        <v>-8.3999999999999995E-3</v>
      </c>
    </row>
    <row r="992" spans="2:7" x14ac:dyDescent="0.2">
      <c r="B992" s="60">
        <v>37280</v>
      </c>
      <c r="C992" s="7">
        <v>4.888E-2</v>
      </c>
      <c r="D992" s="7">
        <v>4.888E-2</v>
      </c>
      <c r="E992" s="7">
        <v>4.888E-2</v>
      </c>
      <c r="F992" s="7">
        <v>4.888E-2</v>
      </c>
      <c r="G992" s="7">
        <v>1.5599999999999999E-2</v>
      </c>
    </row>
    <row r="993" spans="2:7" x14ac:dyDescent="0.2">
      <c r="B993" s="60">
        <v>37281</v>
      </c>
      <c r="C993" s="7">
        <v>4.9859999999999995E-2</v>
      </c>
      <c r="D993" s="7">
        <v>4.9859999999999995E-2</v>
      </c>
      <c r="E993" s="7">
        <v>4.9859999999999995E-2</v>
      </c>
      <c r="F993" s="7">
        <v>4.9859999999999995E-2</v>
      </c>
      <c r="G993" s="7">
        <v>0.02</v>
      </c>
    </row>
    <row r="994" spans="2:7" x14ac:dyDescent="0.2">
      <c r="B994" s="60">
        <v>37284</v>
      </c>
      <c r="C994" s="7">
        <v>4.9660000000000003E-2</v>
      </c>
      <c r="D994" s="7">
        <v>4.9660000000000003E-2</v>
      </c>
      <c r="E994" s="7">
        <v>4.9660000000000003E-2</v>
      </c>
      <c r="F994" s="7">
        <v>4.9660000000000003E-2</v>
      </c>
      <c r="G994" s="7">
        <v>-4.0000000000000001E-3</v>
      </c>
    </row>
    <row r="995" spans="2:7" x14ac:dyDescent="0.2">
      <c r="B995" s="60">
        <v>37285</v>
      </c>
      <c r="C995" s="7">
        <v>4.9429999999999995E-2</v>
      </c>
      <c r="D995" s="7">
        <v>4.9429999999999995E-2</v>
      </c>
      <c r="E995" s="7">
        <v>4.9429999999999995E-2</v>
      </c>
      <c r="F995" s="7">
        <v>4.9429999999999995E-2</v>
      </c>
      <c r="G995" s="7">
        <v>-4.5999999999999999E-3</v>
      </c>
    </row>
    <row r="996" spans="2:7" x14ac:dyDescent="0.2">
      <c r="B996" s="60">
        <v>37286</v>
      </c>
      <c r="C996" s="7">
        <v>4.9230000000000003E-2</v>
      </c>
      <c r="D996" s="7">
        <v>4.9230000000000003E-2</v>
      </c>
      <c r="E996" s="7">
        <v>4.9230000000000003E-2</v>
      </c>
      <c r="F996" s="7">
        <v>4.9230000000000003E-2</v>
      </c>
      <c r="G996" s="7">
        <v>-4.0000000000000001E-3</v>
      </c>
    </row>
    <row r="997" spans="2:7" x14ac:dyDescent="0.2">
      <c r="B997" s="60">
        <v>37287</v>
      </c>
      <c r="C997" s="7">
        <v>4.8989999999999999E-2</v>
      </c>
      <c r="D997" s="7">
        <v>4.8989999999999999E-2</v>
      </c>
      <c r="E997" s="7">
        <v>4.8989999999999999E-2</v>
      </c>
      <c r="F997" s="7">
        <v>4.8989999999999999E-2</v>
      </c>
      <c r="G997" s="7">
        <v>-4.8999999999999998E-3</v>
      </c>
    </row>
    <row r="998" spans="2:7" x14ac:dyDescent="0.2">
      <c r="B998" s="60">
        <v>37288</v>
      </c>
      <c r="C998" s="7">
        <v>4.8719999999999999E-2</v>
      </c>
      <c r="D998" s="7">
        <v>4.8719999999999999E-2</v>
      </c>
      <c r="E998" s="7">
        <v>4.8719999999999999E-2</v>
      </c>
      <c r="F998" s="7">
        <v>4.8719999999999999E-2</v>
      </c>
      <c r="G998" s="7">
        <v>-5.4999999999999997E-3</v>
      </c>
    </row>
    <row r="999" spans="2:7" x14ac:dyDescent="0.2">
      <c r="B999" s="60">
        <v>37291</v>
      </c>
      <c r="C999" s="7">
        <v>4.8239999999999998E-2</v>
      </c>
      <c r="D999" s="7">
        <v>4.8239999999999998E-2</v>
      </c>
      <c r="E999" s="7">
        <v>4.8239999999999998E-2</v>
      </c>
      <c r="F999" s="7">
        <v>4.8239999999999998E-2</v>
      </c>
      <c r="G999" s="7">
        <v>-9.9000000000000008E-3</v>
      </c>
    </row>
    <row r="1000" spans="2:7" x14ac:dyDescent="0.2">
      <c r="B1000" s="60">
        <v>37292</v>
      </c>
      <c r="C1000" s="7">
        <v>4.8120000000000003E-2</v>
      </c>
      <c r="D1000" s="7">
        <v>4.8120000000000003E-2</v>
      </c>
      <c r="E1000" s="7">
        <v>4.8120000000000003E-2</v>
      </c>
      <c r="F1000" s="7">
        <v>4.8120000000000003E-2</v>
      </c>
      <c r="G1000" s="7">
        <v>-2.5000000000000001E-3</v>
      </c>
    </row>
    <row r="1001" spans="2:7" x14ac:dyDescent="0.2">
      <c r="B1001" s="60">
        <v>37293</v>
      </c>
      <c r="C1001" s="7">
        <v>4.8349999999999997E-2</v>
      </c>
      <c r="D1001" s="7">
        <v>4.8349999999999997E-2</v>
      </c>
      <c r="E1001" s="7">
        <v>4.8349999999999997E-2</v>
      </c>
      <c r="F1001" s="7">
        <v>4.8349999999999997E-2</v>
      </c>
      <c r="G1001" s="7">
        <v>4.7999999999999996E-3</v>
      </c>
    </row>
    <row r="1002" spans="2:7" x14ac:dyDescent="0.2">
      <c r="B1002" s="60">
        <v>37294</v>
      </c>
      <c r="C1002" s="7">
        <v>4.9299999999999997E-2</v>
      </c>
      <c r="D1002" s="7">
        <v>4.9299999999999997E-2</v>
      </c>
      <c r="E1002" s="7">
        <v>4.9299999999999997E-2</v>
      </c>
      <c r="F1002" s="7">
        <v>4.9299999999999997E-2</v>
      </c>
      <c r="G1002" s="7">
        <v>1.9599999999999999E-2</v>
      </c>
    </row>
    <row r="1003" spans="2:7" x14ac:dyDescent="0.2">
      <c r="B1003" s="60">
        <v>37295</v>
      </c>
      <c r="C1003" s="7">
        <v>4.9100000000000005E-2</v>
      </c>
      <c r="D1003" s="7">
        <v>4.9100000000000005E-2</v>
      </c>
      <c r="E1003" s="7">
        <v>4.9100000000000005E-2</v>
      </c>
      <c r="F1003" s="7">
        <v>4.9100000000000005E-2</v>
      </c>
      <c r="G1003" s="7">
        <v>-4.1000000000000003E-3</v>
      </c>
    </row>
    <row r="1004" spans="2:7" x14ac:dyDescent="0.2">
      <c r="B1004" s="60">
        <v>37298</v>
      </c>
      <c r="C1004" s="7">
        <v>4.9269999999999994E-2</v>
      </c>
      <c r="D1004" s="7">
        <v>4.9269999999999994E-2</v>
      </c>
      <c r="E1004" s="7">
        <v>4.9269999999999994E-2</v>
      </c>
      <c r="F1004" s="7">
        <v>4.9269999999999994E-2</v>
      </c>
      <c r="G1004" s="7">
        <v>3.5000000000000001E-3</v>
      </c>
    </row>
    <row r="1005" spans="2:7" x14ac:dyDescent="0.2">
      <c r="B1005" s="60">
        <v>37299</v>
      </c>
      <c r="C1005" s="7">
        <v>4.9669999999999999E-2</v>
      </c>
      <c r="D1005" s="7">
        <v>4.9669999999999999E-2</v>
      </c>
      <c r="E1005" s="7">
        <v>4.9669999999999999E-2</v>
      </c>
      <c r="F1005" s="7">
        <v>4.9669999999999999E-2</v>
      </c>
      <c r="G1005" s="7">
        <v>8.0999999999999996E-3</v>
      </c>
    </row>
    <row r="1006" spans="2:7" x14ac:dyDescent="0.2">
      <c r="B1006" s="60">
        <v>37300</v>
      </c>
      <c r="C1006" s="7">
        <v>4.9889999999999997E-2</v>
      </c>
      <c r="D1006" s="7">
        <v>4.9889999999999997E-2</v>
      </c>
      <c r="E1006" s="7">
        <v>4.9889999999999997E-2</v>
      </c>
      <c r="F1006" s="7">
        <v>4.9889999999999997E-2</v>
      </c>
      <c r="G1006" s="7">
        <v>4.4000000000000003E-3</v>
      </c>
    </row>
    <row r="1007" spans="2:7" x14ac:dyDescent="0.2">
      <c r="B1007" s="60">
        <v>37301</v>
      </c>
      <c r="C1007" s="7">
        <v>4.9599999999999998E-2</v>
      </c>
      <c r="D1007" s="7">
        <v>4.9599999999999998E-2</v>
      </c>
      <c r="E1007" s="7">
        <v>4.9599999999999998E-2</v>
      </c>
      <c r="F1007" s="7">
        <v>4.9599999999999998E-2</v>
      </c>
      <c r="G1007" s="7">
        <v>-5.7999999999999996E-3</v>
      </c>
    </row>
    <row r="1008" spans="2:7" x14ac:dyDescent="0.2">
      <c r="B1008" s="60">
        <v>37302</v>
      </c>
      <c r="C1008" s="7">
        <v>4.9180000000000001E-2</v>
      </c>
      <c r="D1008" s="7">
        <v>4.9180000000000001E-2</v>
      </c>
      <c r="E1008" s="7">
        <v>4.9180000000000001E-2</v>
      </c>
      <c r="F1008" s="7">
        <v>4.9180000000000001E-2</v>
      </c>
      <c r="G1008" s="7">
        <v>-8.5000000000000006E-3</v>
      </c>
    </row>
    <row r="1009" spans="2:7" x14ac:dyDescent="0.2">
      <c r="B1009" s="60">
        <v>37305</v>
      </c>
      <c r="C1009" s="7">
        <v>4.9200000000000001E-2</v>
      </c>
      <c r="D1009" s="7">
        <v>4.9200000000000001E-2</v>
      </c>
      <c r="E1009" s="7">
        <v>4.9200000000000001E-2</v>
      </c>
      <c r="F1009" s="7">
        <v>4.9200000000000001E-2</v>
      </c>
      <c r="G1009" s="7">
        <v>4.0000000000000002E-4</v>
      </c>
    </row>
    <row r="1010" spans="2:7" x14ac:dyDescent="0.2">
      <c r="B1010" s="60">
        <v>37306</v>
      </c>
      <c r="C1010" s="7">
        <v>4.9459999999999997E-2</v>
      </c>
      <c r="D1010" s="7">
        <v>4.9459999999999997E-2</v>
      </c>
      <c r="E1010" s="7">
        <v>4.9459999999999997E-2</v>
      </c>
      <c r="F1010" s="7">
        <v>4.9459999999999997E-2</v>
      </c>
      <c r="G1010" s="7">
        <v>5.3E-3</v>
      </c>
    </row>
    <row r="1011" spans="2:7" x14ac:dyDescent="0.2">
      <c r="B1011" s="60">
        <v>37307</v>
      </c>
      <c r="C1011" s="7">
        <v>4.9459999999999997E-2</v>
      </c>
      <c r="D1011" s="7">
        <v>4.9459999999999997E-2</v>
      </c>
      <c r="E1011" s="7">
        <v>4.9459999999999997E-2</v>
      </c>
      <c r="F1011" s="7">
        <v>4.9459999999999997E-2</v>
      </c>
      <c r="G1011" s="7">
        <v>0</v>
      </c>
    </row>
    <row r="1012" spans="2:7" x14ac:dyDescent="0.2">
      <c r="B1012" s="60">
        <v>37308</v>
      </c>
      <c r="C1012" s="7">
        <v>4.9770000000000002E-2</v>
      </c>
      <c r="D1012" s="7">
        <v>4.9770000000000002E-2</v>
      </c>
      <c r="E1012" s="7">
        <v>4.9770000000000002E-2</v>
      </c>
      <c r="F1012" s="7">
        <v>4.9770000000000002E-2</v>
      </c>
      <c r="G1012" s="7">
        <v>6.3E-3</v>
      </c>
    </row>
    <row r="1013" spans="2:7" x14ac:dyDescent="0.2">
      <c r="B1013" s="60">
        <v>37309</v>
      </c>
      <c r="C1013" s="7">
        <v>4.9180000000000001E-2</v>
      </c>
      <c r="D1013" s="7">
        <v>4.9180000000000001E-2</v>
      </c>
      <c r="E1013" s="7">
        <v>4.9180000000000001E-2</v>
      </c>
      <c r="F1013" s="7">
        <v>4.9180000000000001E-2</v>
      </c>
      <c r="G1013" s="7">
        <v>-1.1900000000000001E-2</v>
      </c>
    </row>
    <row r="1014" spans="2:7" x14ac:dyDescent="0.2">
      <c r="B1014" s="60">
        <v>37312</v>
      </c>
      <c r="C1014" s="7">
        <v>4.9710000000000004E-2</v>
      </c>
      <c r="D1014" s="7">
        <v>4.9710000000000004E-2</v>
      </c>
      <c r="E1014" s="7">
        <v>4.9710000000000004E-2</v>
      </c>
      <c r="F1014" s="7">
        <v>4.9710000000000004E-2</v>
      </c>
      <c r="G1014" s="7">
        <v>1.0800000000000001E-2</v>
      </c>
    </row>
    <row r="1015" spans="2:7" x14ac:dyDescent="0.2">
      <c r="B1015" s="60">
        <v>37313</v>
      </c>
      <c r="C1015" s="7">
        <v>4.9930000000000002E-2</v>
      </c>
      <c r="D1015" s="7">
        <v>4.9930000000000002E-2</v>
      </c>
      <c r="E1015" s="7">
        <v>4.9930000000000002E-2</v>
      </c>
      <c r="F1015" s="7">
        <v>4.9930000000000002E-2</v>
      </c>
      <c r="G1015" s="7">
        <v>4.4000000000000003E-3</v>
      </c>
    </row>
    <row r="1016" spans="2:7" x14ac:dyDescent="0.2">
      <c r="B1016" s="60">
        <v>37314</v>
      </c>
      <c r="C1016" s="7">
        <v>4.9699999999999994E-2</v>
      </c>
      <c r="D1016" s="7">
        <v>4.9699999999999994E-2</v>
      </c>
      <c r="E1016" s="7">
        <v>4.9699999999999994E-2</v>
      </c>
      <c r="F1016" s="7">
        <v>4.9699999999999994E-2</v>
      </c>
      <c r="G1016" s="7">
        <v>-4.5999999999999999E-3</v>
      </c>
    </row>
    <row r="1017" spans="2:7" x14ac:dyDescent="0.2">
      <c r="B1017" s="60">
        <v>37315</v>
      </c>
      <c r="C1017" s="7">
        <v>4.9509999999999998E-2</v>
      </c>
      <c r="D1017" s="7">
        <v>4.9509999999999998E-2</v>
      </c>
      <c r="E1017" s="7">
        <v>4.9509999999999998E-2</v>
      </c>
      <c r="F1017" s="7">
        <v>4.9509999999999998E-2</v>
      </c>
      <c r="G1017" s="7">
        <v>-3.8E-3</v>
      </c>
    </row>
    <row r="1018" spans="2:7" x14ac:dyDescent="0.2">
      <c r="B1018" s="60">
        <v>37316</v>
      </c>
      <c r="C1018" s="7">
        <v>5.0110000000000002E-2</v>
      </c>
      <c r="D1018" s="7">
        <v>5.0110000000000002E-2</v>
      </c>
      <c r="E1018" s="7">
        <v>5.0110000000000002E-2</v>
      </c>
      <c r="F1018" s="7">
        <v>5.0110000000000002E-2</v>
      </c>
      <c r="G1018" s="7">
        <v>1.21E-2</v>
      </c>
    </row>
    <row r="1019" spans="2:7" x14ac:dyDescent="0.2">
      <c r="B1019" s="60">
        <v>37319</v>
      </c>
      <c r="C1019" s="7">
        <v>5.0330000000000007E-2</v>
      </c>
      <c r="D1019" s="7">
        <v>5.0330000000000007E-2</v>
      </c>
      <c r="E1019" s="7">
        <v>5.0330000000000007E-2</v>
      </c>
      <c r="F1019" s="7">
        <v>5.0330000000000007E-2</v>
      </c>
      <c r="G1019" s="7">
        <v>4.4000000000000003E-3</v>
      </c>
    </row>
    <row r="1020" spans="2:7" x14ac:dyDescent="0.2">
      <c r="B1020" s="60">
        <v>37320</v>
      </c>
      <c r="C1020" s="7">
        <v>5.0810000000000001E-2</v>
      </c>
      <c r="D1020" s="7">
        <v>5.0810000000000001E-2</v>
      </c>
      <c r="E1020" s="7">
        <v>5.0810000000000001E-2</v>
      </c>
      <c r="F1020" s="7">
        <v>5.0810000000000001E-2</v>
      </c>
      <c r="G1020" s="7">
        <v>9.4999999999999998E-3</v>
      </c>
    </row>
    <row r="1021" spans="2:7" x14ac:dyDescent="0.2">
      <c r="B1021" s="60">
        <v>37321</v>
      </c>
      <c r="C1021" s="7">
        <v>5.1459999999999999E-2</v>
      </c>
      <c r="D1021" s="7">
        <v>5.1459999999999999E-2</v>
      </c>
      <c r="E1021" s="7">
        <v>5.1459999999999999E-2</v>
      </c>
      <c r="F1021" s="7">
        <v>5.1459999999999999E-2</v>
      </c>
      <c r="G1021" s="7">
        <v>1.2800000000000001E-2</v>
      </c>
    </row>
    <row r="1022" spans="2:7" x14ac:dyDescent="0.2">
      <c r="B1022" s="60">
        <v>37322</v>
      </c>
      <c r="C1022" s="7">
        <v>5.1799999999999999E-2</v>
      </c>
      <c r="D1022" s="7">
        <v>5.1799999999999999E-2</v>
      </c>
      <c r="E1022" s="7">
        <v>5.1799999999999999E-2</v>
      </c>
      <c r="F1022" s="7">
        <v>5.1799999999999999E-2</v>
      </c>
      <c r="G1022" s="7">
        <v>6.6E-3</v>
      </c>
    </row>
    <row r="1023" spans="2:7" x14ac:dyDescent="0.2">
      <c r="B1023" s="60">
        <v>37323</v>
      </c>
      <c r="C1023" s="7">
        <v>5.178E-2</v>
      </c>
      <c r="D1023" s="7">
        <v>5.178E-2</v>
      </c>
      <c r="E1023" s="7">
        <v>5.178E-2</v>
      </c>
      <c r="F1023" s="7">
        <v>5.178E-2</v>
      </c>
      <c r="G1023" s="7">
        <v>-4.0000000000000002E-4</v>
      </c>
    </row>
    <row r="1024" spans="2:7" x14ac:dyDescent="0.2">
      <c r="B1024" s="60">
        <v>37326</v>
      </c>
      <c r="C1024" s="7">
        <v>5.1630000000000002E-2</v>
      </c>
      <c r="D1024" s="7">
        <v>5.1630000000000002E-2</v>
      </c>
      <c r="E1024" s="7">
        <v>5.1630000000000002E-2</v>
      </c>
      <c r="F1024" s="7">
        <v>5.1630000000000002E-2</v>
      </c>
      <c r="G1024" s="7">
        <v>-2.8999999999999998E-3</v>
      </c>
    </row>
    <row r="1025" spans="2:7" x14ac:dyDescent="0.2">
      <c r="B1025" s="60">
        <v>37327</v>
      </c>
      <c r="C1025" s="7">
        <v>5.1749999999999997E-2</v>
      </c>
      <c r="D1025" s="7">
        <v>5.1749999999999997E-2</v>
      </c>
      <c r="E1025" s="7">
        <v>5.1749999999999997E-2</v>
      </c>
      <c r="F1025" s="7">
        <v>5.1749999999999997E-2</v>
      </c>
      <c r="G1025" s="7">
        <v>2.3E-3</v>
      </c>
    </row>
    <row r="1026" spans="2:7" x14ac:dyDescent="0.2">
      <c r="B1026" s="60">
        <v>37328</v>
      </c>
      <c r="C1026" s="7">
        <v>5.1869999999999999E-2</v>
      </c>
      <c r="D1026" s="7">
        <v>5.1869999999999999E-2</v>
      </c>
      <c r="E1026" s="7">
        <v>5.1869999999999999E-2</v>
      </c>
      <c r="F1026" s="7">
        <v>5.1869999999999999E-2</v>
      </c>
      <c r="G1026" s="7">
        <v>2.3E-3</v>
      </c>
    </row>
    <row r="1027" spans="2:7" x14ac:dyDescent="0.2">
      <c r="B1027" s="60">
        <v>37329</v>
      </c>
      <c r="C1027" s="7">
        <v>5.2220000000000003E-2</v>
      </c>
      <c r="D1027" s="7">
        <v>5.2220000000000003E-2</v>
      </c>
      <c r="E1027" s="7">
        <v>5.2220000000000003E-2</v>
      </c>
      <c r="F1027" s="7">
        <v>5.2220000000000003E-2</v>
      </c>
      <c r="G1027" s="7">
        <v>6.7000000000000002E-3</v>
      </c>
    </row>
    <row r="1028" spans="2:7" x14ac:dyDescent="0.2">
      <c r="B1028" s="60">
        <v>37330</v>
      </c>
      <c r="C1028" s="7">
        <v>5.2260000000000001E-2</v>
      </c>
      <c r="D1028" s="7">
        <v>5.2260000000000001E-2</v>
      </c>
      <c r="E1028" s="7">
        <v>5.2260000000000001E-2</v>
      </c>
      <c r="F1028" s="7">
        <v>5.2260000000000001E-2</v>
      </c>
      <c r="G1028" s="7">
        <v>8.0000000000000004E-4</v>
      </c>
    </row>
    <row r="1029" spans="2:7" x14ac:dyDescent="0.2">
      <c r="B1029" s="60">
        <v>37333</v>
      </c>
      <c r="C1029" s="7">
        <v>5.2060000000000002E-2</v>
      </c>
      <c r="D1029" s="7">
        <v>5.2060000000000002E-2</v>
      </c>
      <c r="E1029" s="7">
        <v>5.2060000000000002E-2</v>
      </c>
      <c r="F1029" s="7">
        <v>5.2060000000000002E-2</v>
      </c>
      <c r="G1029" s="7">
        <v>-3.8E-3</v>
      </c>
    </row>
    <row r="1030" spans="2:7" x14ac:dyDescent="0.2">
      <c r="B1030" s="60">
        <v>37334</v>
      </c>
      <c r="C1030" s="7">
        <v>5.1990000000000001E-2</v>
      </c>
      <c r="D1030" s="7">
        <v>5.1990000000000001E-2</v>
      </c>
      <c r="E1030" s="7">
        <v>5.1990000000000001E-2</v>
      </c>
      <c r="F1030" s="7">
        <v>5.1990000000000001E-2</v>
      </c>
      <c r="G1030" s="7">
        <v>-1.2999999999999999E-3</v>
      </c>
    </row>
    <row r="1031" spans="2:7" x14ac:dyDescent="0.2">
      <c r="B1031" s="60">
        <v>37335</v>
      </c>
      <c r="C1031" s="7">
        <v>5.2359999999999997E-2</v>
      </c>
      <c r="D1031" s="7">
        <v>5.2359999999999997E-2</v>
      </c>
      <c r="E1031" s="7">
        <v>5.2359999999999997E-2</v>
      </c>
      <c r="F1031" s="7">
        <v>5.2359999999999997E-2</v>
      </c>
      <c r="G1031" s="7">
        <v>7.1000000000000004E-3</v>
      </c>
    </row>
    <row r="1032" spans="2:7" x14ac:dyDescent="0.2">
      <c r="B1032" s="60">
        <v>37336</v>
      </c>
      <c r="C1032" s="7">
        <v>5.2199999999999996E-2</v>
      </c>
      <c r="D1032" s="7">
        <v>5.2199999999999996E-2</v>
      </c>
      <c r="E1032" s="7">
        <v>5.2199999999999996E-2</v>
      </c>
      <c r="F1032" s="7">
        <v>5.2199999999999996E-2</v>
      </c>
      <c r="G1032" s="7">
        <v>-3.0999999999999999E-3</v>
      </c>
    </row>
    <row r="1033" spans="2:7" x14ac:dyDescent="0.2">
      <c r="B1033" s="60">
        <v>37337</v>
      </c>
      <c r="C1033" s="7">
        <v>5.2549999999999999E-2</v>
      </c>
      <c r="D1033" s="7">
        <v>5.2549999999999999E-2</v>
      </c>
      <c r="E1033" s="7">
        <v>5.2549999999999999E-2</v>
      </c>
      <c r="F1033" s="7">
        <v>5.2549999999999999E-2</v>
      </c>
      <c r="G1033" s="7">
        <v>6.7000000000000002E-3</v>
      </c>
    </row>
    <row r="1034" spans="2:7" x14ac:dyDescent="0.2">
      <c r="B1034" s="60">
        <v>37340</v>
      </c>
      <c r="C1034" s="7">
        <v>5.2779999999999994E-2</v>
      </c>
      <c r="D1034" s="7">
        <v>5.2779999999999994E-2</v>
      </c>
      <c r="E1034" s="7">
        <v>5.2779999999999994E-2</v>
      </c>
      <c r="F1034" s="7">
        <v>5.2779999999999994E-2</v>
      </c>
      <c r="G1034" s="7">
        <v>4.4000000000000003E-3</v>
      </c>
    </row>
    <row r="1035" spans="2:7" x14ac:dyDescent="0.2">
      <c r="B1035" s="60">
        <v>37341</v>
      </c>
      <c r="C1035" s="7">
        <v>5.2329999999999995E-2</v>
      </c>
      <c r="D1035" s="7">
        <v>5.2329999999999995E-2</v>
      </c>
      <c r="E1035" s="7">
        <v>5.2329999999999995E-2</v>
      </c>
      <c r="F1035" s="7">
        <v>5.2329999999999995E-2</v>
      </c>
      <c r="G1035" s="7">
        <v>-8.5000000000000006E-3</v>
      </c>
    </row>
    <row r="1036" spans="2:7" x14ac:dyDescent="0.2">
      <c r="B1036" s="60">
        <v>37342</v>
      </c>
      <c r="C1036" s="7">
        <v>5.2249999999999998E-2</v>
      </c>
      <c r="D1036" s="7">
        <v>5.2249999999999998E-2</v>
      </c>
      <c r="E1036" s="7">
        <v>5.2249999999999998E-2</v>
      </c>
      <c r="F1036" s="7">
        <v>5.2249999999999998E-2</v>
      </c>
      <c r="G1036" s="7">
        <v>-1.5E-3</v>
      </c>
    </row>
    <row r="1037" spans="2:7" x14ac:dyDescent="0.2">
      <c r="B1037" s="60">
        <v>37343</v>
      </c>
      <c r="C1037" s="7">
        <v>5.2519999999999997E-2</v>
      </c>
      <c r="D1037" s="7">
        <v>5.2519999999999997E-2</v>
      </c>
      <c r="E1037" s="7">
        <v>5.2519999999999997E-2</v>
      </c>
      <c r="F1037" s="7">
        <v>5.2519999999999997E-2</v>
      </c>
      <c r="G1037" s="7">
        <v>5.1999999999999998E-3</v>
      </c>
    </row>
    <row r="1038" spans="2:7" x14ac:dyDescent="0.2">
      <c r="B1038" s="60">
        <v>37344</v>
      </c>
      <c r="C1038" s="7">
        <v>5.2389999999999999E-2</v>
      </c>
      <c r="D1038" s="7">
        <v>5.2389999999999999E-2</v>
      </c>
      <c r="E1038" s="7">
        <v>5.2389999999999999E-2</v>
      </c>
      <c r="F1038" s="7">
        <v>5.2389999999999999E-2</v>
      </c>
      <c r="G1038" s="7">
        <v>-2.5000000000000001E-3</v>
      </c>
    </row>
    <row r="1039" spans="2:7" x14ac:dyDescent="0.2">
      <c r="B1039" s="60">
        <v>37347</v>
      </c>
      <c r="C1039" s="7">
        <v>5.2549999999999999E-2</v>
      </c>
      <c r="D1039" s="7">
        <v>5.2549999999999999E-2</v>
      </c>
      <c r="E1039" s="7">
        <v>5.2549999999999999E-2</v>
      </c>
      <c r="F1039" s="7">
        <v>5.2549999999999999E-2</v>
      </c>
      <c r="G1039" s="7">
        <v>3.0999999999999999E-3</v>
      </c>
    </row>
    <row r="1040" spans="2:7" x14ac:dyDescent="0.2">
      <c r="B1040" s="60">
        <v>37348</v>
      </c>
      <c r="C1040" s="7">
        <v>5.2430000000000004E-2</v>
      </c>
      <c r="D1040" s="7">
        <v>5.2430000000000004E-2</v>
      </c>
      <c r="E1040" s="7">
        <v>5.2430000000000004E-2</v>
      </c>
      <c r="F1040" s="7">
        <v>5.2430000000000004E-2</v>
      </c>
      <c r="G1040" s="7">
        <v>-2.3E-3</v>
      </c>
    </row>
    <row r="1041" spans="2:7" x14ac:dyDescent="0.2">
      <c r="B1041" s="60">
        <v>37349</v>
      </c>
      <c r="C1041" s="7">
        <v>5.194E-2</v>
      </c>
      <c r="D1041" s="7">
        <v>5.194E-2</v>
      </c>
      <c r="E1041" s="7">
        <v>5.194E-2</v>
      </c>
      <c r="F1041" s="7">
        <v>5.194E-2</v>
      </c>
      <c r="G1041" s="7">
        <v>-9.2999999999999992E-3</v>
      </c>
    </row>
    <row r="1042" spans="2:7" x14ac:dyDescent="0.2">
      <c r="B1042" s="60">
        <v>37350</v>
      </c>
      <c r="C1042" s="7">
        <v>5.1360000000000003E-2</v>
      </c>
      <c r="D1042" s="7">
        <v>5.1360000000000003E-2</v>
      </c>
      <c r="E1042" s="7">
        <v>5.1360000000000003E-2</v>
      </c>
      <c r="F1042" s="7">
        <v>5.1360000000000003E-2</v>
      </c>
      <c r="G1042" s="7">
        <v>-1.12E-2</v>
      </c>
    </row>
    <row r="1043" spans="2:7" x14ac:dyDescent="0.2">
      <c r="B1043" s="60">
        <v>37351</v>
      </c>
      <c r="C1043" s="7">
        <v>5.1299999999999998E-2</v>
      </c>
      <c r="D1043" s="7">
        <v>5.1299999999999998E-2</v>
      </c>
      <c r="E1043" s="7">
        <v>5.1299999999999998E-2</v>
      </c>
      <c r="F1043" s="7">
        <v>5.1299999999999998E-2</v>
      </c>
      <c r="G1043" s="7">
        <v>-1.1999999999999999E-3</v>
      </c>
    </row>
    <row r="1044" spans="2:7" x14ac:dyDescent="0.2">
      <c r="B1044" s="60">
        <v>37354</v>
      </c>
      <c r="C1044" s="7">
        <v>5.1660000000000005E-2</v>
      </c>
      <c r="D1044" s="7">
        <v>5.1660000000000005E-2</v>
      </c>
      <c r="E1044" s="7">
        <v>5.1660000000000005E-2</v>
      </c>
      <c r="F1044" s="7">
        <v>5.1660000000000005E-2</v>
      </c>
      <c r="G1044" s="7">
        <v>7.0000000000000001E-3</v>
      </c>
    </row>
    <row r="1045" spans="2:7" x14ac:dyDescent="0.2">
      <c r="B1045" s="60">
        <v>37355</v>
      </c>
      <c r="C1045" s="7">
        <v>5.1689999999999993E-2</v>
      </c>
      <c r="D1045" s="7">
        <v>5.1689999999999993E-2</v>
      </c>
      <c r="E1045" s="7">
        <v>5.1689999999999993E-2</v>
      </c>
      <c r="F1045" s="7">
        <v>5.1689999999999993E-2</v>
      </c>
      <c r="G1045" s="7">
        <v>5.9999999999999995E-4</v>
      </c>
    </row>
    <row r="1046" spans="2:7" x14ac:dyDescent="0.2">
      <c r="B1046" s="60">
        <v>37356</v>
      </c>
      <c r="C1046" s="7">
        <v>5.1840000000000004E-2</v>
      </c>
      <c r="D1046" s="7">
        <v>5.1840000000000004E-2</v>
      </c>
      <c r="E1046" s="7">
        <v>5.1840000000000004E-2</v>
      </c>
      <c r="F1046" s="7">
        <v>5.1840000000000004E-2</v>
      </c>
      <c r="G1046" s="7">
        <v>2.8999999999999998E-3</v>
      </c>
    </row>
    <row r="1047" spans="2:7" x14ac:dyDescent="0.2">
      <c r="B1047" s="60">
        <v>37357</v>
      </c>
      <c r="C1047" s="7">
        <v>5.1449999999999996E-2</v>
      </c>
      <c r="D1047" s="7">
        <v>5.1449999999999996E-2</v>
      </c>
      <c r="E1047" s="7">
        <v>5.1449999999999996E-2</v>
      </c>
      <c r="F1047" s="7">
        <v>5.1449999999999996E-2</v>
      </c>
      <c r="G1047" s="7">
        <v>-7.4999999999999997E-3</v>
      </c>
    </row>
    <row r="1048" spans="2:7" x14ac:dyDescent="0.2">
      <c r="B1048" s="60">
        <v>37358</v>
      </c>
      <c r="C1048" s="7">
        <v>5.1459999999999999E-2</v>
      </c>
      <c r="D1048" s="7">
        <v>5.1459999999999999E-2</v>
      </c>
      <c r="E1048" s="7">
        <v>5.1459999999999999E-2</v>
      </c>
      <c r="F1048" s="7">
        <v>5.1459999999999999E-2</v>
      </c>
      <c r="G1048" s="7">
        <v>2.0000000000000001E-4</v>
      </c>
    </row>
    <row r="1049" spans="2:7" x14ac:dyDescent="0.2">
      <c r="B1049" s="60">
        <v>37361</v>
      </c>
      <c r="C1049" s="7">
        <v>5.1060000000000001E-2</v>
      </c>
      <c r="D1049" s="7">
        <v>5.1060000000000001E-2</v>
      </c>
      <c r="E1049" s="7">
        <v>5.1060000000000001E-2</v>
      </c>
      <c r="F1049" s="7">
        <v>5.1060000000000001E-2</v>
      </c>
      <c r="G1049" s="7">
        <v>-7.7999999999999996E-3</v>
      </c>
    </row>
    <row r="1050" spans="2:7" x14ac:dyDescent="0.2">
      <c r="B1050" s="60">
        <v>37362</v>
      </c>
      <c r="C1050" s="7">
        <v>5.1799999999999999E-2</v>
      </c>
      <c r="D1050" s="7">
        <v>5.1799999999999999E-2</v>
      </c>
      <c r="E1050" s="7">
        <v>5.1799999999999999E-2</v>
      </c>
      <c r="F1050" s="7">
        <v>5.1799999999999999E-2</v>
      </c>
      <c r="G1050" s="7">
        <v>1.4500000000000001E-2</v>
      </c>
    </row>
    <row r="1051" spans="2:7" x14ac:dyDescent="0.2">
      <c r="B1051" s="60">
        <v>37363</v>
      </c>
      <c r="C1051" s="7">
        <v>5.1920000000000001E-2</v>
      </c>
      <c r="D1051" s="7">
        <v>5.1920000000000001E-2</v>
      </c>
      <c r="E1051" s="7">
        <v>5.1920000000000001E-2</v>
      </c>
      <c r="F1051" s="7">
        <v>5.1920000000000001E-2</v>
      </c>
      <c r="G1051" s="7">
        <v>2.3E-3</v>
      </c>
    </row>
    <row r="1052" spans="2:7" x14ac:dyDescent="0.2">
      <c r="B1052" s="60">
        <v>37364</v>
      </c>
      <c r="C1052" s="7">
        <v>5.1929999999999997E-2</v>
      </c>
      <c r="D1052" s="7">
        <v>5.1929999999999997E-2</v>
      </c>
      <c r="E1052" s="7">
        <v>5.1929999999999997E-2</v>
      </c>
      <c r="F1052" s="7">
        <v>5.1929999999999997E-2</v>
      </c>
      <c r="G1052" s="7">
        <v>2.0000000000000001E-4</v>
      </c>
    </row>
    <row r="1053" spans="2:7" x14ac:dyDescent="0.2">
      <c r="B1053" s="60">
        <v>37365</v>
      </c>
      <c r="C1053" s="7">
        <v>5.203E-2</v>
      </c>
      <c r="D1053" s="7">
        <v>5.203E-2</v>
      </c>
      <c r="E1053" s="7">
        <v>5.203E-2</v>
      </c>
      <c r="F1053" s="7">
        <v>5.203E-2</v>
      </c>
      <c r="G1053" s="7">
        <v>1.9E-3</v>
      </c>
    </row>
    <row r="1054" spans="2:7" x14ac:dyDescent="0.2">
      <c r="B1054" s="60">
        <v>37368</v>
      </c>
      <c r="C1054" s="7">
        <v>5.16E-2</v>
      </c>
      <c r="D1054" s="7">
        <v>5.16E-2</v>
      </c>
      <c r="E1054" s="7">
        <v>5.16E-2</v>
      </c>
      <c r="F1054" s="7">
        <v>5.16E-2</v>
      </c>
      <c r="G1054" s="7">
        <v>-8.3000000000000001E-3</v>
      </c>
    </row>
    <row r="1055" spans="2:7" x14ac:dyDescent="0.2">
      <c r="B1055" s="60">
        <v>37369</v>
      </c>
      <c r="C1055" s="7">
        <v>5.1909999999999998E-2</v>
      </c>
      <c r="D1055" s="7">
        <v>5.1909999999999998E-2</v>
      </c>
      <c r="E1055" s="7">
        <v>5.1909999999999998E-2</v>
      </c>
      <c r="F1055" s="7">
        <v>5.1909999999999998E-2</v>
      </c>
      <c r="G1055" s="7">
        <v>6.0000000000000001E-3</v>
      </c>
    </row>
    <row r="1056" spans="2:7" x14ac:dyDescent="0.2">
      <c r="B1056" s="60">
        <v>37370</v>
      </c>
      <c r="C1056" s="7">
        <v>5.1520000000000003E-2</v>
      </c>
      <c r="D1056" s="7">
        <v>5.1520000000000003E-2</v>
      </c>
      <c r="E1056" s="7">
        <v>5.1520000000000003E-2</v>
      </c>
      <c r="F1056" s="7">
        <v>5.1520000000000003E-2</v>
      </c>
      <c r="G1056" s="7">
        <v>-7.4999999999999997E-3</v>
      </c>
    </row>
    <row r="1057" spans="2:7" x14ac:dyDescent="0.2">
      <c r="B1057" s="60">
        <v>37371</v>
      </c>
      <c r="C1057" s="7">
        <v>5.1040000000000002E-2</v>
      </c>
      <c r="D1057" s="7">
        <v>5.1040000000000002E-2</v>
      </c>
      <c r="E1057" s="7">
        <v>5.1040000000000002E-2</v>
      </c>
      <c r="F1057" s="7">
        <v>5.1040000000000002E-2</v>
      </c>
      <c r="G1057" s="7">
        <v>-9.2999999999999992E-3</v>
      </c>
    </row>
    <row r="1058" spans="2:7" x14ac:dyDescent="0.2">
      <c r="B1058" s="60">
        <v>37372</v>
      </c>
      <c r="C1058" s="7">
        <v>5.0900000000000001E-2</v>
      </c>
      <c r="D1058" s="7">
        <v>5.0900000000000001E-2</v>
      </c>
      <c r="E1058" s="7">
        <v>5.0900000000000001E-2</v>
      </c>
      <c r="F1058" s="7">
        <v>5.0900000000000001E-2</v>
      </c>
      <c r="G1058" s="7">
        <v>-2.7000000000000001E-3</v>
      </c>
    </row>
    <row r="1059" spans="2:7" x14ac:dyDescent="0.2">
      <c r="B1059" s="60">
        <v>37375</v>
      </c>
      <c r="C1059" s="7">
        <v>5.135E-2</v>
      </c>
      <c r="D1059" s="7">
        <v>5.135E-2</v>
      </c>
      <c r="E1059" s="7">
        <v>5.135E-2</v>
      </c>
      <c r="F1059" s="7">
        <v>5.135E-2</v>
      </c>
      <c r="G1059" s="7">
        <v>8.8000000000000005E-3</v>
      </c>
    </row>
    <row r="1060" spans="2:7" x14ac:dyDescent="0.2">
      <c r="B1060" s="60">
        <v>37376</v>
      </c>
      <c r="C1060" s="7">
        <v>5.1249999999999997E-2</v>
      </c>
      <c r="D1060" s="7">
        <v>5.1249999999999997E-2</v>
      </c>
      <c r="E1060" s="7">
        <v>5.1249999999999997E-2</v>
      </c>
      <c r="F1060" s="7">
        <v>5.1249999999999997E-2</v>
      </c>
      <c r="G1060" s="7">
        <v>-1.9E-3</v>
      </c>
    </row>
    <row r="1061" spans="2:7" x14ac:dyDescent="0.2">
      <c r="B1061" s="60">
        <v>37377</v>
      </c>
      <c r="C1061" s="7">
        <v>5.1210000000000006E-2</v>
      </c>
      <c r="D1061" s="7">
        <v>5.1210000000000006E-2</v>
      </c>
      <c r="E1061" s="7">
        <v>5.1210000000000006E-2</v>
      </c>
      <c r="F1061" s="7">
        <v>5.1210000000000006E-2</v>
      </c>
      <c r="G1061" s="7">
        <v>-8.0000000000000004E-4</v>
      </c>
    </row>
    <row r="1062" spans="2:7" x14ac:dyDescent="0.2">
      <c r="B1062" s="60">
        <v>37378</v>
      </c>
      <c r="C1062" s="7">
        <v>5.1799999999999999E-2</v>
      </c>
      <c r="D1062" s="7">
        <v>5.1799999999999999E-2</v>
      </c>
      <c r="E1062" s="7">
        <v>5.1799999999999999E-2</v>
      </c>
      <c r="F1062" s="7">
        <v>5.1799999999999999E-2</v>
      </c>
      <c r="G1062" s="7">
        <v>1.15E-2</v>
      </c>
    </row>
    <row r="1063" spans="2:7" x14ac:dyDescent="0.2">
      <c r="B1063" s="60">
        <v>37379</v>
      </c>
      <c r="C1063" s="7">
        <v>5.1029999999999999E-2</v>
      </c>
      <c r="D1063" s="7">
        <v>5.1029999999999999E-2</v>
      </c>
      <c r="E1063" s="7">
        <v>5.1029999999999999E-2</v>
      </c>
      <c r="F1063" s="7">
        <v>5.1029999999999999E-2</v>
      </c>
      <c r="G1063" s="7">
        <v>-1.49E-2</v>
      </c>
    </row>
    <row r="1064" spans="2:7" x14ac:dyDescent="0.2">
      <c r="B1064" s="60">
        <v>37382</v>
      </c>
      <c r="C1064" s="7">
        <v>5.1150000000000001E-2</v>
      </c>
      <c r="D1064" s="7">
        <v>5.1150000000000001E-2</v>
      </c>
      <c r="E1064" s="7">
        <v>5.1150000000000001E-2</v>
      </c>
      <c r="F1064" s="7">
        <v>5.1150000000000001E-2</v>
      </c>
      <c r="G1064" s="7">
        <v>2.3999999999999998E-3</v>
      </c>
    </row>
    <row r="1065" spans="2:7" x14ac:dyDescent="0.2">
      <c r="B1065" s="60">
        <v>37383</v>
      </c>
      <c r="C1065" s="7">
        <v>5.101E-2</v>
      </c>
      <c r="D1065" s="7">
        <v>5.101E-2</v>
      </c>
      <c r="E1065" s="7">
        <v>5.101E-2</v>
      </c>
      <c r="F1065" s="7">
        <v>5.101E-2</v>
      </c>
      <c r="G1065" s="7">
        <v>-2.7000000000000001E-3</v>
      </c>
    </row>
    <row r="1066" spans="2:7" x14ac:dyDescent="0.2">
      <c r="B1066" s="60">
        <v>37384</v>
      </c>
      <c r="C1066" s="7">
        <v>5.1639999999999998E-2</v>
      </c>
      <c r="D1066" s="7">
        <v>5.1639999999999998E-2</v>
      </c>
      <c r="E1066" s="7">
        <v>5.1639999999999998E-2</v>
      </c>
      <c r="F1066" s="7">
        <v>5.1639999999999998E-2</v>
      </c>
      <c r="G1066" s="7">
        <v>1.24E-2</v>
      </c>
    </row>
    <row r="1067" spans="2:7" x14ac:dyDescent="0.2">
      <c r="B1067" s="60">
        <v>37385</v>
      </c>
      <c r="C1067" s="7">
        <v>5.194E-2</v>
      </c>
      <c r="D1067" s="7">
        <v>5.194E-2</v>
      </c>
      <c r="E1067" s="7">
        <v>5.194E-2</v>
      </c>
      <c r="F1067" s="7">
        <v>5.194E-2</v>
      </c>
      <c r="G1067" s="7">
        <v>5.7999999999999996E-3</v>
      </c>
    </row>
    <row r="1068" spans="2:7" x14ac:dyDescent="0.2">
      <c r="B1068" s="60">
        <v>37386</v>
      </c>
      <c r="C1068" s="7">
        <v>5.1920000000000001E-2</v>
      </c>
      <c r="D1068" s="7">
        <v>5.1920000000000001E-2</v>
      </c>
      <c r="E1068" s="7">
        <v>5.1920000000000001E-2</v>
      </c>
      <c r="F1068" s="7">
        <v>5.1920000000000001E-2</v>
      </c>
      <c r="G1068" s="7">
        <v>-4.0000000000000002E-4</v>
      </c>
    </row>
    <row r="1069" spans="2:7" x14ac:dyDescent="0.2">
      <c r="B1069" s="60">
        <v>37389</v>
      </c>
      <c r="C1069" s="7">
        <v>5.2019999999999997E-2</v>
      </c>
      <c r="D1069" s="7">
        <v>5.2019999999999997E-2</v>
      </c>
      <c r="E1069" s="7">
        <v>5.2019999999999997E-2</v>
      </c>
      <c r="F1069" s="7">
        <v>5.2019999999999997E-2</v>
      </c>
      <c r="G1069" s="7">
        <v>1.9E-3</v>
      </c>
    </row>
    <row r="1070" spans="2:7" x14ac:dyDescent="0.2">
      <c r="B1070" s="60">
        <v>37390</v>
      </c>
      <c r="C1070" s="7">
        <v>5.2539999999999996E-2</v>
      </c>
      <c r="D1070" s="7">
        <v>5.2539999999999996E-2</v>
      </c>
      <c r="E1070" s="7">
        <v>5.2539999999999996E-2</v>
      </c>
      <c r="F1070" s="7">
        <v>5.2539999999999996E-2</v>
      </c>
      <c r="G1070" s="7">
        <v>0.01</v>
      </c>
    </row>
    <row r="1071" spans="2:7" x14ac:dyDescent="0.2">
      <c r="B1071" s="60">
        <v>37391</v>
      </c>
      <c r="C1071" s="7">
        <v>5.253E-2</v>
      </c>
      <c r="D1071" s="7">
        <v>5.253E-2</v>
      </c>
      <c r="E1071" s="7">
        <v>5.253E-2</v>
      </c>
      <c r="F1071" s="7">
        <v>5.253E-2</v>
      </c>
      <c r="G1071" s="7">
        <v>-2.0000000000000001E-4</v>
      </c>
    </row>
    <row r="1072" spans="2:7" x14ac:dyDescent="0.2">
      <c r="B1072" s="60">
        <v>37392</v>
      </c>
      <c r="C1072" s="7">
        <v>5.2339999999999998E-2</v>
      </c>
      <c r="D1072" s="7">
        <v>5.2339999999999998E-2</v>
      </c>
      <c r="E1072" s="7">
        <v>5.2339999999999998E-2</v>
      </c>
      <c r="F1072" s="7">
        <v>5.2339999999999998E-2</v>
      </c>
      <c r="G1072" s="7">
        <v>-3.5999999999999999E-3</v>
      </c>
    </row>
    <row r="1073" spans="2:7" x14ac:dyDescent="0.2">
      <c r="B1073" s="60">
        <v>37393</v>
      </c>
      <c r="C1073" s="7">
        <v>5.2569999999999999E-2</v>
      </c>
      <c r="D1073" s="7">
        <v>5.2569999999999999E-2</v>
      </c>
      <c r="E1073" s="7">
        <v>5.2569999999999999E-2</v>
      </c>
      <c r="F1073" s="7">
        <v>5.2569999999999999E-2</v>
      </c>
      <c r="G1073" s="7">
        <v>4.4000000000000003E-3</v>
      </c>
    </row>
    <row r="1074" spans="2:7" x14ac:dyDescent="0.2">
      <c r="B1074" s="60">
        <v>37396</v>
      </c>
      <c r="C1074" s="7">
        <v>5.1869999999999999E-2</v>
      </c>
      <c r="D1074" s="7">
        <v>5.1869999999999999E-2</v>
      </c>
      <c r="E1074" s="7">
        <v>5.1869999999999999E-2</v>
      </c>
      <c r="F1074" s="7">
        <v>5.1869999999999999E-2</v>
      </c>
      <c r="G1074" s="7">
        <v>-1.3299999999999999E-2</v>
      </c>
    </row>
    <row r="1075" spans="2:7" x14ac:dyDescent="0.2">
      <c r="B1075" s="60">
        <v>37397</v>
      </c>
      <c r="C1075" s="7">
        <v>5.1790000000000003E-2</v>
      </c>
      <c r="D1075" s="7">
        <v>5.1790000000000003E-2</v>
      </c>
      <c r="E1075" s="7">
        <v>5.1790000000000003E-2</v>
      </c>
      <c r="F1075" s="7">
        <v>5.1790000000000003E-2</v>
      </c>
      <c r="G1075" s="7">
        <v>-1.5E-3</v>
      </c>
    </row>
    <row r="1076" spans="2:7" x14ac:dyDescent="0.2">
      <c r="B1076" s="60">
        <v>37398</v>
      </c>
      <c r="C1076" s="7">
        <v>5.1639999999999998E-2</v>
      </c>
      <c r="D1076" s="7">
        <v>5.1639999999999998E-2</v>
      </c>
      <c r="E1076" s="7">
        <v>5.1639999999999998E-2</v>
      </c>
      <c r="F1076" s="7">
        <v>5.1639999999999998E-2</v>
      </c>
      <c r="G1076" s="7">
        <v>-2.8999999999999998E-3</v>
      </c>
    </row>
    <row r="1077" spans="2:7" x14ac:dyDescent="0.2">
      <c r="B1077" s="60">
        <v>37399</v>
      </c>
      <c r="C1077" s="7">
        <v>5.1360000000000003E-2</v>
      </c>
      <c r="D1077" s="7">
        <v>5.1360000000000003E-2</v>
      </c>
      <c r="E1077" s="7">
        <v>5.1360000000000003E-2</v>
      </c>
      <c r="F1077" s="7">
        <v>5.1360000000000003E-2</v>
      </c>
      <c r="G1077" s="7">
        <v>-5.4000000000000003E-3</v>
      </c>
    </row>
    <row r="1078" spans="2:7" x14ac:dyDescent="0.2">
      <c r="B1078" s="60">
        <v>37400</v>
      </c>
      <c r="C1078" s="7">
        <v>5.1619999999999999E-2</v>
      </c>
      <c r="D1078" s="7">
        <v>5.1619999999999999E-2</v>
      </c>
      <c r="E1078" s="7">
        <v>5.1619999999999999E-2</v>
      </c>
      <c r="F1078" s="7">
        <v>5.1619999999999999E-2</v>
      </c>
      <c r="G1078" s="7">
        <v>5.1000000000000004E-3</v>
      </c>
    </row>
    <row r="1079" spans="2:7" x14ac:dyDescent="0.2">
      <c r="B1079" s="60">
        <v>37403</v>
      </c>
      <c r="C1079" s="7">
        <v>5.1859999999999996E-2</v>
      </c>
      <c r="D1079" s="7">
        <v>5.1859999999999996E-2</v>
      </c>
      <c r="E1079" s="7">
        <v>5.1859999999999996E-2</v>
      </c>
      <c r="F1079" s="7">
        <v>5.1859999999999996E-2</v>
      </c>
      <c r="G1079" s="7">
        <v>4.5999999999999999E-3</v>
      </c>
    </row>
    <row r="1080" spans="2:7" x14ac:dyDescent="0.2">
      <c r="B1080" s="60">
        <v>37404</v>
      </c>
      <c r="C1080" s="7">
        <v>5.1680000000000004E-2</v>
      </c>
      <c r="D1080" s="7">
        <v>5.1680000000000004E-2</v>
      </c>
      <c r="E1080" s="7">
        <v>5.1680000000000004E-2</v>
      </c>
      <c r="F1080" s="7">
        <v>5.1680000000000004E-2</v>
      </c>
      <c r="G1080" s="7">
        <v>-3.5000000000000001E-3</v>
      </c>
    </row>
    <row r="1081" spans="2:7" x14ac:dyDescent="0.2">
      <c r="B1081" s="60">
        <v>37405</v>
      </c>
      <c r="C1081" s="7">
        <v>5.1550000000000006E-2</v>
      </c>
      <c r="D1081" s="7">
        <v>5.1550000000000006E-2</v>
      </c>
      <c r="E1081" s="7">
        <v>5.1550000000000006E-2</v>
      </c>
      <c r="F1081" s="7">
        <v>5.1550000000000006E-2</v>
      </c>
      <c r="G1081" s="7">
        <v>-2.5000000000000001E-3</v>
      </c>
    </row>
    <row r="1082" spans="2:7" x14ac:dyDescent="0.2">
      <c r="B1082" s="60">
        <v>37406</v>
      </c>
      <c r="C1082" s="7">
        <v>5.1360000000000003E-2</v>
      </c>
      <c r="D1082" s="7">
        <v>5.1360000000000003E-2</v>
      </c>
      <c r="E1082" s="7">
        <v>5.1360000000000003E-2</v>
      </c>
      <c r="F1082" s="7">
        <v>5.1360000000000003E-2</v>
      </c>
      <c r="G1082" s="7">
        <v>-3.7000000000000002E-3</v>
      </c>
    </row>
    <row r="1083" spans="2:7" x14ac:dyDescent="0.2">
      <c r="B1083" s="60">
        <v>37407</v>
      </c>
      <c r="C1083" s="7">
        <v>5.1729999999999998E-2</v>
      </c>
      <c r="D1083" s="7">
        <v>5.1729999999999998E-2</v>
      </c>
      <c r="E1083" s="7">
        <v>5.1729999999999998E-2</v>
      </c>
      <c r="F1083" s="7">
        <v>5.1729999999999998E-2</v>
      </c>
      <c r="G1083" s="7">
        <v>7.1999999999999998E-3</v>
      </c>
    </row>
    <row r="1084" spans="2:7" x14ac:dyDescent="0.2">
      <c r="B1084" s="60">
        <v>37410</v>
      </c>
      <c r="C1084" s="7">
        <v>5.1540000000000002E-2</v>
      </c>
      <c r="D1084" s="7">
        <v>5.1540000000000002E-2</v>
      </c>
      <c r="E1084" s="7">
        <v>5.1540000000000002E-2</v>
      </c>
      <c r="F1084" s="7">
        <v>5.1540000000000002E-2</v>
      </c>
      <c r="G1084" s="7">
        <v>-3.7000000000000002E-3</v>
      </c>
    </row>
    <row r="1085" spans="2:7" x14ac:dyDescent="0.2">
      <c r="B1085" s="60">
        <v>37411</v>
      </c>
      <c r="C1085" s="7">
        <v>5.1159999999999997E-2</v>
      </c>
      <c r="D1085" s="7">
        <v>5.1159999999999997E-2</v>
      </c>
      <c r="E1085" s="7">
        <v>5.1159999999999997E-2</v>
      </c>
      <c r="F1085" s="7">
        <v>5.1159999999999997E-2</v>
      </c>
      <c r="G1085" s="7">
        <v>-7.4000000000000003E-3</v>
      </c>
    </row>
    <row r="1086" spans="2:7" x14ac:dyDescent="0.2">
      <c r="B1086" s="60">
        <v>37412</v>
      </c>
      <c r="C1086" s="7">
        <v>5.1230000000000005E-2</v>
      </c>
      <c r="D1086" s="7">
        <v>5.1230000000000005E-2</v>
      </c>
      <c r="E1086" s="7">
        <v>5.1230000000000005E-2</v>
      </c>
      <c r="F1086" s="7">
        <v>5.1230000000000005E-2</v>
      </c>
      <c r="G1086" s="7">
        <v>1.4E-3</v>
      </c>
    </row>
    <row r="1087" spans="2:7" x14ac:dyDescent="0.2">
      <c r="B1087" s="60">
        <v>37413</v>
      </c>
      <c r="C1087" s="7">
        <v>5.1239999999999994E-2</v>
      </c>
      <c r="D1087" s="7">
        <v>5.1239999999999994E-2</v>
      </c>
      <c r="E1087" s="7">
        <v>5.1239999999999994E-2</v>
      </c>
      <c r="F1087" s="7">
        <v>5.1239999999999994E-2</v>
      </c>
      <c r="G1087" s="7">
        <v>2.0000000000000001E-4</v>
      </c>
    </row>
    <row r="1088" spans="2:7" x14ac:dyDescent="0.2">
      <c r="B1088" s="60">
        <v>37414</v>
      </c>
      <c r="C1088" s="7">
        <v>5.1310000000000001E-2</v>
      </c>
      <c r="D1088" s="7">
        <v>5.1310000000000001E-2</v>
      </c>
      <c r="E1088" s="7">
        <v>5.1310000000000001E-2</v>
      </c>
      <c r="F1088" s="7">
        <v>5.1310000000000001E-2</v>
      </c>
      <c r="G1088" s="7">
        <v>1.4E-3</v>
      </c>
    </row>
    <row r="1089" spans="2:7" x14ac:dyDescent="0.2">
      <c r="B1089" s="60">
        <v>37417</v>
      </c>
      <c r="C1089" s="7">
        <v>5.1050000000000005E-2</v>
      </c>
      <c r="D1089" s="7">
        <v>5.1050000000000005E-2</v>
      </c>
      <c r="E1089" s="7">
        <v>5.1050000000000005E-2</v>
      </c>
      <c r="F1089" s="7">
        <v>5.1050000000000005E-2</v>
      </c>
      <c r="G1089" s="7">
        <v>-5.1000000000000004E-3</v>
      </c>
    </row>
    <row r="1090" spans="2:7" x14ac:dyDescent="0.2">
      <c r="B1090" s="60">
        <v>37418</v>
      </c>
      <c r="C1090" s="7">
        <v>5.1189999999999999E-2</v>
      </c>
      <c r="D1090" s="7">
        <v>5.1189999999999999E-2</v>
      </c>
      <c r="E1090" s="7">
        <v>5.1189999999999999E-2</v>
      </c>
      <c r="F1090" s="7">
        <v>5.1189999999999999E-2</v>
      </c>
      <c r="G1090" s="7">
        <v>2.7000000000000001E-3</v>
      </c>
    </row>
    <row r="1091" spans="2:7" x14ac:dyDescent="0.2">
      <c r="B1091" s="60">
        <v>37419</v>
      </c>
      <c r="C1091" s="7">
        <v>5.083E-2</v>
      </c>
      <c r="D1091" s="7">
        <v>5.083E-2</v>
      </c>
      <c r="E1091" s="7">
        <v>5.083E-2</v>
      </c>
      <c r="F1091" s="7">
        <v>5.083E-2</v>
      </c>
      <c r="G1091" s="7">
        <v>-7.0000000000000001E-3</v>
      </c>
    </row>
    <row r="1092" spans="2:7" x14ac:dyDescent="0.2">
      <c r="B1092" s="60">
        <v>37420</v>
      </c>
      <c r="C1092" s="7">
        <v>5.0199999999999995E-2</v>
      </c>
      <c r="D1092" s="7">
        <v>5.0199999999999995E-2</v>
      </c>
      <c r="E1092" s="7">
        <v>5.0199999999999995E-2</v>
      </c>
      <c r="F1092" s="7">
        <v>5.0199999999999995E-2</v>
      </c>
      <c r="G1092" s="7">
        <v>-1.24E-2</v>
      </c>
    </row>
    <row r="1093" spans="2:7" x14ac:dyDescent="0.2">
      <c r="B1093" s="60">
        <v>37421</v>
      </c>
      <c r="C1093" s="7">
        <v>4.9729999999999996E-2</v>
      </c>
      <c r="D1093" s="7">
        <v>4.9729999999999996E-2</v>
      </c>
      <c r="E1093" s="7">
        <v>4.9729999999999996E-2</v>
      </c>
      <c r="F1093" s="7">
        <v>4.9729999999999996E-2</v>
      </c>
      <c r="G1093" s="7">
        <v>-9.4000000000000004E-3</v>
      </c>
    </row>
    <row r="1094" spans="2:7" x14ac:dyDescent="0.2">
      <c r="B1094" s="60">
        <v>37424</v>
      </c>
      <c r="C1094" s="7">
        <v>5.0110000000000002E-2</v>
      </c>
      <c r="D1094" s="7">
        <v>5.0110000000000002E-2</v>
      </c>
      <c r="E1094" s="7">
        <v>5.0110000000000002E-2</v>
      </c>
      <c r="F1094" s="7">
        <v>5.0110000000000002E-2</v>
      </c>
      <c r="G1094" s="7">
        <v>7.6E-3</v>
      </c>
    </row>
    <row r="1095" spans="2:7" x14ac:dyDescent="0.2">
      <c r="B1095" s="60">
        <v>37425</v>
      </c>
      <c r="C1095" s="7">
        <v>4.9800000000000004E-2</v>
      </c>
      <c r="D1095" s="7">
        <v>4.9800000000000004E-2</v>
      </c>
      <c r="E1095" s="7">
        <v>4.9800000000000004E-2</v>
      </c>
      <c r="F1095" s="7">
        <v>4.9800000000000004E-2</v>
      </c>
      <c r="G1095" s="7">
        <v>-6.1999999999999998E-3</v>
      </c>
    </row>
    <row r="1096" spans="2:7" x14ac:dyDescent="0.2">
      <c r="B1096" s="60">
        <v>37426</v>
      </c>
      <c r="C1096" s="7">
        <v>4.9530000000000005E-2</v>
      </c>
      <c r="D1096" s="7">
        <v>4.9530000000000005E-2</v>
      </c>
      <c r="E1096" s="7">
        <v>4.9530000000000005E-2</v>
      </c>
      <c r="F1096" s="7">
        <v>4.9530000000000005E-2</v>
      </c>
      <c r="G1096" s="7">
        <v>-5.4000000000000003E-3</v>
      </c>
    </row>
    <row r="1097" spans="2:7" x14ac:dyDescent="0.2">
      <c r="B1097" s="60">
        <v>37427</v>
      </c>
      <c r="C1097" s="7">
        <v>4.9729999999999996E-2</v>
      </c>
      <c r="D1097" s="7">
        <v>4.9729999999999996E-2</v>
      </c>
      <c r="E1097" s="7">
        <v>4.9729999999999996E-2</v>
      </c>
      <c r="F1097" s="7">
        <v>4.9729999999999996E-2</v>
      </c>
      <c r="G1097" s="7">
        <v>4.0000000000000001E-3</v>
      </c>
    </row>
    <row r="1098" spans="2:7" x14ac:dyDescent="0.2">
      <c r="B1098" s="60">
        <v>37428</v>
      </c>
      <c r="C1098" s="7">
        <v>4.9640000000000004E-2</v>
      </c>
      <c r="D1098" s="7">
        <v>4.9640000000000004E-2</v>
      </c>
      <c r="E1098" s="7">
        <v>4.9640000000000004E-2</v>
      </c>
      <c r="F1098" s="7">
        <v>4.9640000000000004E-2</v>
      </c>
      <c r="G1098" s="7">
        <v>-1.8E-3</v>
      </c>
    </row>
    <row r="1099" spans="2:7" x14ac:dyDescent="0.2">
      <c r="B1099" s="60">
        <v>37431</v>
      </c>
      <c r="C1099" s="7">
        <v>4.9259999999999998E-2</v>
      </c>
      <c r="D1099" s="7">
        <v>4.9259999999999998E-2</v>
      </c>
      <c r="E1099" s="7">
        <v>4.9259999999999998E-2</v>
      </c>
      <c r="F1099" s="7">
        <v>4.9259999999999998E-2</v>
      </c>
      <c r="G1099" s="7">
        <v>-7.7000000000000002E-3</v>
      </c>
    </row>
    <row r="1100" spans="2:7" x14ac:dyDescent="0.2">
      <c r="B1100" s="60">
        <v>37432</v>
      </c>
      <c r="C1100" s="7">
        <v>4.9729999999999996E-2</v>
      </c>
      <c r="D1100" s="7">
        <v>4.9729999999999996E-2</v>
      </c>
      <c r="E1100" s="7">
        <v>4.9729999999999996E-2</v>
      </c>
      <c r="F1100" s="7">
        <v>4.9729999999999996E-2</v>
      </c>
      <c r="G1100" s="7">
        <v>9.4999999999999998E-3</v>
      </c>
    </row>
    <row r="1101" spans="2:7" x14ac:dyDescent="0.2">
      <c r="B1101" s="60">
        <v>37433</v>
      </c>
      <c r="C1101" s="7">
        <v>4.897E-2</v>
      </c>
      <c r="D1101" s="7">
        <v>4.897E-2</v>
      </c>
      <c r="E1101" s="7">
        <v>4.897E-2</v>
      </c>
      <c r="F1101" s="7">
        <v>4.897E-2</v>
      </c>
      <c r="G1101" s="7">
        <v>-1.5299999999999999E-2</v>
      </c>
    </row>
    <row r="1102" spans="2:7" x14ac:dyDescent="0.2">
      <c r="B1102" s="60">
        <v>37434</v>
      </c>
      <c r="C1102" s="7">
        <v>4.9249999999999995E-2</v>
      </c>
      <c r="D1102" s="7">
        <v>4.9249999999999995E-2</v>
      </c>
      <c r="E1102" s="7">
        <v>4.9249999999999995E-2</v>
      </c>
      <c r="F1102" s="7">
        <v>4.9249999999999995E-2</v>
      </c>
      <c r="G1102" s="7">
        <v>5.7000000000000002E-3</v>
      </c>
    </row>
    <row r="1103" spans="2:7" x14ac:dyDescent="0.2">
      <c r="B1103" s="60">
        <v>37435</v>
      </c>
      <c r="C1103" s="7">
        <v>4.9439999999999998E-2</v>
      </c>
      <c r="D1103" s="7">
        <v>4.9439999999999998E-2</v>
      </c>
      <c r="E1103" s="7">
        <v>4.9439999999999998E-2</v>
      </c>
      <c r="F1103" s="7">
        <v>4.9439999999999998E-2</v>
      </c>
      <c r="G1103" s="7">
        <v>3.8999999999999998E-3</v>
      </c>
    </row>
    <row r="1104" spans="2:7" x14ac:dyDescent="0.2">
      <c r="B1104" s="60">
        <v>37438</v>
      </c>
      <c r="C1104" s="7">
        <v>4.9720000000000007E-2</v>
      </c>
      <c r="D1104" s="7">
        <v>4.9720000000000007E-2</v>
      </c>
      <c r="E1104" s="7">
        <v>4.9720000000000007E-2</v>
      </c>
      <c r="F1104" s="7">
        <v>4.9720000000000007E-2</v>
      </c>
      <c r="G1104" s="7">
        <v>5.7000000000000002E-3</v>
      </c>
    </row>
    <row r="1105" spans="2:7" x14ac:dyDescent="0.2">
      <c r="B1105" s="60">
        <v>37439</v>
      </c>
      <c r="C1105" s="7">
        <v>4.9139999999999996E-2</v>
      </c>
      <c r="D1105" s="7">
        <v>4.9139999999999996E-2</v>
      </c>
      <c r="E1105" s="7">
        <v>4.9139999999999996E-2</v>
      </c>
      <c r="F1105" s="7">
        <v>4.9139999999999996E-2</v>
      </c>
      <c r="G1105" s="7">
        <v>-1.17E-2</v>
      </c>
    </row>
    <row r="1106" spans="2:7" x14ac:dyDescent="0.2">
      <c r="B1106" s="60">
        <v>37440</v>
      </c>
      <c r="C1106" s="7">
        <v>4.9349999999999998E-2</v>
      </c>
      <c r="D1106" s="7">
        <v>4.9349999999999998E-2</v>
      </c>
      <c r="E1106" s="7">
        <v>4.9349999999999998E-2</v>
      </c>
      <c r="F1106" s="7">
        <v>4.9349999999999998E-2</v>
      </c>
      <c r="G1106" s="7">
        <v>4.3E-3</v>
      </c>
    </row>
    <row r="1107" spans="2:7" x14ac:dyDescent="0.2">
      <c r="B1107" s="60">
        <v>37441</v>
      </c>
      <c r="C1107" s="7">
        <v>4.9739999999999999E-2</v>
      </c>
      <c r="D1107" s="7">
        <v>4.9739999999999999E-2</v>
      </c>
      <c r="E1107" s="7">
        <v>4.9739999999999999E-2</v>
      </c>
      <c r="F1107" s="7">
        <v>4.9739999999999999E-2</v>
      </c>
      <c r="G1107" s="7">
        <v>7.9000000000000008E-3</v>
      </c>
    </row>
    <row r="1108" spans="2:7" x14ac:dyDescent="0.2">
      <c r="B1108" s="60">
        <v>37442</v>
      </c>
      <c r="C1108" s="7">
        <v>5.0209999999999998E-2</v>
      </c>
      <c r="D1108" s="7">
        <v>5.0209999999999998E-2</v>
      </c>
      <c r="E1108" s="7">
        <v>5.0209999999999998E-2</v>
      </c>
      <c r="F1108" s="7">
        <v>5.0209999999999998E-2</v>
      </c>
      <c r="G1108" s="7">
        <v>9.4000000000000004E-3</v>
      </c>
    </row>
    <row r="1109" spans="2:7" x14ac:dyDescent="0.2">
      <c r="B1109" s="60">
        <v>37445</v>
      </c>
      <c r="C1109" s="7">
        <v>5.0019999999999995E-2</v>
      </c>
      <c r="D1109" s="7">
        <v>5.0019999999999995E-2</v>
      </c>
      <c r="E1109" s="7">
        <v>5.0019999999999995E-2</v>
      </c>
      <c r="F1109" s="7">
        <v>5.0019999999999995E-2</v>
      </c>
      <c r="G1109" s="7">
        <v>-3.8E-3</v>
      </c>
    </row>
    <row r="1110" spans="2:7" x14ac:dyDescent="0.2">
      <c r="B1110" s="60">
        <v>37446</v>
      </c>
      <c r="C1110" s="7">
        <v>5.0039999999999994E-2</v>
      </c>
      <c r="D1110" s="7">
        <v>5.0039999999999994E-2</v>
      </c>
      <c r="E1110" s="7">
        <v>5.0039999999999994E-2</v>
      </c>
      <c r="F1110" s="7">
        <v>5.0039999999999994E-2</v>
      </c>
      <c r="G1110" s="7">
        <v>4.0000000000000002E-4</v>
      </c>
    </row>
    <row r="1111" spans="2:7" x14ac:dyDescent="0.2">
      <c r="B1111" s="60">
        <v>37447</v>
      </c>
      <c r="C1111" s="7">
        <v>4.9409999999999996E-2</v>
      </c>
      <c r="D1111" s="7">
        <v>4.9409999999999996E-2</v>
      </c>
      <c r="E1111" s="7">
        <v>4.9409999999999996E-2</v>
      </c>
      <c r="F1111" s="7">
        <v>4.9409999999999996E-2</v>
      </c>
      <c r="G1111" s="7">
        <v>-1.26E-2</v>
      </c>
    </row>
    <row r="1112" spans="2:7" x14ac:dyDescent="0.2">
      <c r="B1112" s="60">
        <v>37448</v>
      </c>
      <c r="C1112" s="7">
        <v>4.8949999999999994E-2</v>
      </c>
      <c r="D1112" s="7">
        <v>4.8949999999999994E-2</v>
      </c>
      <c r="E1112" s="7">
        <v>4.8949999999999994E-2</v>
      </c>
      <c r="F1112" s="7">
        <v>4.8949999999999994E-2</v>
      </c>
      <c r="G1112" s="7">
        <v>-9.2999999999999992E-3</v>
      </c>
    </row>
    <row r="1113" spans="2:7" x14ac:dyDescent="0.2">
      <c r="B1113" s="60">
        <v>37449</v>
      </c>
      <c r="C1113" s="7">
        <v>4.8689999999999997E-2</v>
      </c>
      <c r="D1113" s="7">
        <v>4.8689999999999997E-2</v>
      </c>
      <c r="E1113" s="7">
        <v>4.8689999999999997E-2</v>
      </c>
      <c r="F1113" s="7">
        <v>4.8689999999999997E-2</v>
      </c>
      <c r="G1113" s="7">
        <v>-5.3E-3</v>
      </c>
    </row>
    <row r="1114" spans="2:7" x14ac:dyDescent="0.2">
      <c r="B1114" s="60">
        <v>37452</v>
      </c>
      <c r="C1114" s="7">
        <v>4.8330000000000005E-2</v>
      </c>
      <c r="D1114" s="7">
        <v>4.8330000000000005E-2</v>
      </c>
      <c r="E1114" s="7">
        <v>4.8330000000000005E-2</v>
      </c>
      <c r="F1114" s="7">
        <v>4.8330000000000005E-2</v>
      </c>
      <c r="G1114" s="7">
        <v>-7.4000000000000003E-3</v>
      </c>
    </row>
    <row r="1115" spans="2:7" x14ac:dyDescent="0.2">
      <c r="B1115" s="60">
        <v>37453</v>
      </c>
      <c r="C1115" s="7">
        <v>4.8750000000000002E-2</v>
      </c>
      <c r="D1115" s="7">
        <v>4.8750000000000002E-2</v>
      </c>
      <c r="E1115" s="7">
        <v>4.8750000000000002E-2</v>
      </c>
      <c r="F1115" s="7">
        <v>4.8750000000000002E-2</v>
      </c>
      <c r="G1115" s="7">
        <v>8.6999999999999994E-3</v>
      </c>
    </row>
    <row r="1116" spans="2:7" x14ac:dyDescent="0.2">
      <c r="B1116" s="60">
        <v>37454</v>
      </c>
      <c r="C1116" s="7">
        <v>4.888E-2</v>
      </c>
      <c r="D1116" s="7">
        <v>4.888E-2</v>
      </c>
      <c r="E1116" s="7">
        <v>4.888E-2</v>
      </c>
      <c r="F1116" s="7">
        <v>4.888E-2</v>
      </c>
      <c r="G1116" s="7">
        <v>2.7000000000000001E-3</v>
      </c>
    </row>
    <row r="1117" spans="2:7" x14ac:dyDescent="0.2">
      <c r="B1117" s="60">
        <v>37455</v>
      </c>
      <c r="C1117" s="7">
        <v>4.8799999999999996E-2</v>
      </c>
      <c r="D1117" s="7">
        <v>4.8799999999999996E-2</v>
      </c>
      <c r="E1117" s="7">
        <v>4.8799999999999996E-2</v>
      </c>
      <c r="F1117" s="7">
        <v>4.8799999999999996E-2</v>
      </c>
      <c r="G1117" s="7">
        <v>-1.6000000000000001E-3</v>
      </c>
    </row>
    <row r="1118" spans="2:7" x14ac:dyDescent="0.2">
      <c r="B1118" s="60">
        <v>37456</v>
      </c>
      <c r="C1118" s="7">
        <v>4.8390000000000002E-2</v>
      </c>
      <c r="D1118" s="7">
        <v>4.8390000000000002E-2</v>
      </c>
      <c r="E1118" s="7">
        <v>4.8390000000000002E-2</v>
      </c>
      <c r="F1118" s="7">
        <v>4.8390000000000002E-2</v>
      </c>
      <c r="G1118" s="7">
        <v>-8.3999999999999995E-3</v>
      </c>
    </row>
    <row r="1119" spans="2:7" x14ac:dyDescent="0.2">
      <c r="B1119" s="60">
        <v>37459</v>
      </c>
      <c r="C1119" s="7">
        <v>4.8019999999999993E-2</v>
      </c>
      <c r="D1119" s="7">
        <v>4.8019999999999993E-2</v>
      </c>
      <c r="E1119" s="7">
        <v>4.8019999999999993E-2</v>
      </c>
      <c r="F1119" s="7">
        <v>4.8019999999999993E-2</v>
      </c>
      <c r="G1119" s="7">
        <v>-7.6E-3</v>
      </c>
    </row>
    <row r="1120" spans="2:7" x14ac:dyDescent="0.2">
      <c r="B1120" s="60">
        <v>37460</v>
      </c>
      <c r="C1120" s="7">
        <v>4.8150000000000005E-2</v>
      </c>
      <c r="D1120" s="7">
        <v>4.8150000000000005E-2</v>
      </c>
      <c r="E1120" s="7">
        <v>4.8150000000000005E-2</v>
      </c>
      <c r="F1120" s="7">
        <v>4.8150000000000005E-2</v>
      </c>
      <c r="G1120" s="7">
        <v>2.7000000000000001E-3</v>
      </c>
    </row>
    <row r="1121" spans="2:7" x14ac:dyDescent="0.2">
      <c r="B1121" s="60">
        <v>37461</v>
      </c>
      <c r="C1121" s="7">
        <v>4.7270000000000006E-2</v>
      </c>
      <c r="D1121" s="7">
        <v>4.7270000000000006E-2</v>
      </c>
      <c r="E1121" s="7">
        <v>4.7270000000000006E-2</v>
      </c>
      <c r="F1121" s="7">
        <v>4.7270000000000006E-2</v>
      </c>
      <c r="G1121" s="7">
        <v>-1.83E-2</v>
      </c>
    </row>
    <row r="1122" spans="2:7" x14ac:dyDescent="0.2">
      <c r="B1122" s="60">
        <v>37462</v>
      </c>
      <c r="C1122" s="7">
        <v>4.7439999999999996E-2</v>
      </c>
      <c r="D1122" s="7">
        <v>4.7439999999999996E-2</v>
      </c>
      <c r="E1122" s="7">
        <v>4.7439999999999996E-2</v>
      </c>
      <c r="F1122" s="7">
        <v>4.7439999999999996E-2</v>
      </c>
      <c r="G1122" s="7">
        <v>3.5999999999999999E-3</v>
      </c>
    </row>
    <row r="1123" spans="2:7" x14ac:dyDescent="0.2">
      <c r="B1123" s="60">
        <v>37463</v>
      </c>
      <c r="C1123" s="7">
        <v>4.7249999999999993E-2</v>
      </c>
      <c r="D1123" s="7">
        <v>4.7249999999999993E-2</v>
      </c>
      <c r="E1123" s="7">
        <v>4.7249999999999993E-2</v>
      </c>
      <c r="F1123" s="7">
        <v>4.7249999999999993E-2</v>
      </c>
      <c r="G1123" s="7">
        <v>-4.0000000000000001E-3</v>
      </c>
    </row>
    <row r="1124" spans="2:7" x14ac:dyDescent="0.2">
      <c r="B1124" s="60">
        <v>37466</v>
      </c>
      <c r="C1124" s="7">
        <v>4.7889999999999995E-2</v>
      </c>
      <c r="D1124" s="7">
        <v>4.7889999999999995E-2</v>
      </c>
      <c r="E1124" s="7">
        <v>4.7889999999999995E-2</v>
      </c>
      <c r="F1124" s="7">
        <v>4.7889999999999995E-2</v>
      </c>
      <c r="G1124" s="7">
        <v>1.35E-2</v>
      </c>
    </row>
    <row r="1125" spans="2:7" x14ac:dyDescent="0.2">
      <c r="B1125" s="60">
        <v>37467</v>
      </c>
      <c r="C1125" s="7">
        <v>4.8029999999999996E-2</v>
      </c>
      <c r="D1125" s="7">
        <v>4.8029999999999996E-2</v>
      </c>
      <c r="E1125" s="7">
        <v>4.8029999999999996E-2</v>
      </c>
      <c r="F1125" s="7">
        <v>4.8029999999999996E-2</v>
      </c>
      <c r="G1125" s="7">
        <v>2.8999999999999998E-3</v>
      </c>
    </row>
    <row r="1126" spans="2:7" x14ac:dyDescent="0.2">
      <c r="B1126" s="60">
        <v>37468</v>
      </c>
      <c r="C1126" s="7">
        <v>4.752E-2</v>
      </c>
      <c r="D1126" s="7">
        <v>4.752E-2</v>
      </c>
      <c r="E1126" s="7">
        <v>4.752E-2</v>
      </c>
      <c r="F1126" s="7">
        <v>4.752E-2</v>
      </c>
      <c r="G1126" s="7">
        <v>-1.06E-2</v>
      </c>
    </row>
    <row r="1127" spans="2:7" x14ac:dyDescent="0.2">
      <c r="B1127" s="60">
        <v>37469</v>
      </c>
      <c r="C1127" s="7">
        <v>4.6969999999999998E-2</v>
      </c>
      <c r="D1127" s="7">
        <v>4.6969999999999998E-2</v>
      </c>
      <c r="E1127" s="7">
        <v>4.6969999999999998E-2</v>
      </c>
      <c r="F1127" s="7">
        <v>4.6969999999999998E-2</v>
      </c>
      <c r="G1127" s="7">
        <v>-1.1599999999999999E-2</v>
      </c>
    </row>
    <row r="1128" spans="2:7" x14ac:dyDescent="0.2">
      <c r="B1128" s="60">
        <v>37470</v>
      </c>
      <c r="C1128" s="7">
        <v>4.6300000000000001E-2</v>
      </c>
      <c r="D1128" s="7">
        <v>4.6300000000000001E-2</v>
      </c>
      <c r="E1128" s="7">
        <v>4.6300000000000001E-2</v>
      </c>
      <c r="F1128" s="7">
        <v>4.6300000000000001E-2</v>
      </c>
      <c r="G1128" s="7">
        <v>-1.43E-2</v>
      </c>
    </row>
    <row r="1129" spans="2:7" x14ac:dyDescent="0.2">
      <c r="B1129" s="60">
        <v>37473</v>
      </c>
      <c r="C1129" s="7">
        <v>4.5609999999999998E-2</v>
      </c>
      <c r="D1129" s="7">
        <v>4.5609999999999998E-2</v>
      </c>
      <c r="E1129" s="7">
        <v>4.5609999999999998E-2</v>
      </c>
      <c r="F1129" s="7">
        <v>4.5609999999999998E-2</v>
      </c>
      <c r="G1129" s="7">
        <v>-1.49E-2</v>
      </c>
    </row>
    <row r="1130" spans="2:7" x14ac:dyDescent="0.2">
      <c r="B1130" s="60">
        <v>37474</v>
      </c>
      <c r="C1130" s="7">
        <v>4.6130000000000004E-2</v>
      </c>
      <c r="D1130" s="7">
        <v>4.6130000000000004E-2</v>
      </c>
      <c r="E1130" s="7">
        <v>4.6130000000000004E-2</v>
      </c>
      <c r="F1130" s="7">
        <v>4.6130000000000004E-2</v>
      </c>
      <c r="G1130" s="7">
        <v>1.14E-2</v>
      </c>
    </row>
    <row r="1131" spans="2:7" x14ac:dyDescent="0.2">
      <c r="B1131" s="60">
        <v>37475</v>
      </c>
      <c r="C1131" s="7">
        <v>4.555E-2</v>
      </c>
      <c r="D1131" s="7">
        <v>4.555E-2</v>
      </c>
      <c r="E1131" s="7">
        <v>4.555E-2</v>
      </c>
      <c r="F1131" s="7">
        <v>4.555E-2</v>
      </c>
      <c r="G1131" s="7">
        <v>-1.26E-2</v>
      </c>
    </row>
    <row r="1132" spans="2:7" x14ac:dyDescent="0.2">
      <c r="B1132" s="60">
        <v>37476</v>
      </c>
      <c r="C1132" s="7">
        <v>4.5899999999999996E-2</v>
      </c>
      <c r="D1132" s="7">
        <v>4.5899999999999996E-2</v>
      </c>
      <c r="E1132" s="7">
        <v>4.5899999999999996E-2</v>
      </c>
      <c r="F1132" s="7">
        <v>4.5899999999999996E-2</v>
      </c>
      <c r="G1132" s="7">
        <v>7.7000000000000002E-3</v>
      </c>
    </row>
    <row r="1133" spans="2:7" x14ac:dyDescent="0.2">
      <c r="B1133" s="60">
        <v>37477</v>
      </c>
      <c r="C1133" s="7">
        <v>4.5620000000000001E-2</v>
      </c>
      <c r="D1133" s="7">
        <v>4.5620000000000001E-2</v>
      </c>
      <c r="E1133" s="7">
        <v>4.5620000000000001E-2</v>
      </c>
      <c r="F1133" s="7">
        <v>4.5620000000000001E-2</v>
      </c>
      <c r="G1133" s="7">
        <v>-6.1000000000000004E-3</v>
      </c>
    </row>
    <row r="1134" spans="2:7" x14ac:dyDescent="0.2">
      <c r="B1134" s="60">
        <v>37480</v>
      </c>
      <c r="C1134" s="7">
        <v>4.5339999999999998E-2</v>
      </c>
      <c r="D1134" s="7">
        <v>4.5339999999999998E-2</v>
      </c>
      <c r="E1134" s="7">
        <v>4.5339999999999998E-2</v>
      </c>
      <c r="F1134" s="7">
        <v>4.5339999999999998E-2</v>
      </c>
      <c r="G1134" s="7">
        <v>-6.1000000000000004E-3</v>
      </c>
    </row>
    <row r="1135" spans="2:7" x14ac:dyDescent="0.2">
      <c r="B1135" s="60">
        <v>37481</v>
      </c>
      <c r="C1135" s="7">
        <v>4.4989999999999995E-2</v>
      </c>
      <c r="D1135" s="7">
        <v>4.4989999999999995E-2</v>
      </c>
      <c r="E1135" s="7">
        <v>4.4989999999999995E-2</v>
      </c>
      <c r="F1135" s="7">
        <v>4.4989999999999995E-2</v>
      </c>
      <c r="G1135" s="7">
        <v>-7.7000000000000002E-3</v>
      </c>
    </row>
    <row r="1136" spans="2:7" x14ac:dyDescent="0.2">
      <c r="B1136" s="60">
        <v>37482</v>
      </c>
      <c r="C1136" s="7">
        <v>4.4500000000000005E-2</v>
      </c>
      <c r="D1136" s="7">
        <v>4.4500000000000005E-2</v>
      </c>
      <c r="E1136" s="7">
        <v>4.4500000000000005E-2</v>
      </c>
      <c r="F1136" s="7">
        <v>4.4500000000000005E-2</v>
      </c>
      <c r="G1136" s="7">
        <v>-1.09E-2</v>
      </c>
    </row>
    <row r="1137" spans="2:7" x14ac:dyDescent="0.2">
      <c r="B1137" s="60">
        <v>37483</v>
      </c>
      <c r="C1137" s="7">
        <v>4.5620000000000001E-2</v>
      </c>
      <c r="D1137" s="7">
        <v>4.5620000000000001E-2</v>
      </c>
      <c r="E1137" s="7">
        <v>4.5620000000000001E-2</v>
      </c>
      <c r="F1137" s="7">
        <v>4.5620000000000001E-2</v>
      </c>
      <c r="G1137" s="7">
        <v>2.52E-2</v>
      </c>
    </row>
    <row r="1138" spans="2:7" x14ac:dyDescent="0.2">
      <c r="B1138" s="60">
        <v>37484</v>
      </c>
      <c r="C1138" s="7">
        <v>4.5679999999999998E-2</v>
      </c>
      <c r="D1138" s="7">
        <v>4.5679999999999998E-2</v>
      </c>
      <c r="E1138" s="7">
        <v>4.5679999999999998E-2</v>
      </c>
      <c r="F1138" s="7">
        <v>4.5679999999999998E-2</v>
      </c>
      <c r="G1138" s="7">
        <v>1.2999999999999999E-3</v>
      </c>
    </row>
    <row r="1139" spans="2:7" x14ac:dyDescent="0.2">
      <c r="B1139" s="60">
        <v>37487</v>
      </c>
      <c r="C1139" s="7">
        <v>4.6079999999999996E-2</v>
      </c>
      <c r="D1139" s="7">
        <v>4.6079999999999996E-2</v>
      </c>
      <c r="E1139" s="7">
        <v>4.6079999999999996E-2</v>
      </c>
      <c r="F1139" s="7">
        <v>4.6079999999999996E-2</v>
      </c>
      <c r="G1139" s="7">
        <v>8.8000000000000005E-3</v>
      </c>
    </row>
    <row r="1140" spans="2:7" x14ac:dyDescent="0.2">
      <c r="B1140" s="60">
        <v>37488</v>
      </c>
      <c r="C1140" s="7">
        <v>4.5540000000000004E-2</v>
      </c>
      <c r="D1140" s="7">
        <v>4.5540000000000004E-2</v>
      </c>
      <c r="E1140" s="7">
        <v>4.5540000000000004E-2</v>
      </c>
      <c r="F1140" s="7">
        <v>4.5540000000000004E-2</v>
      </c>
      <c r="G1140" s="7">
        <v>-1.17E-2</v>
      </c>
    </row>
    <row r="1141" spans="2:7" x14ac:dyDescent="0.2">
      <c r="B1141" s="60">
        <v>37489</v>
      </c>
      <c r="C1141" s="7">
        <v>4.6539999999999998E-2</v>
      </c>
      <c r="D1141" s="7">
        <v>4.6539999999999998E-2</v>
      </c>
      <c r="E1141" s="7">
        <v>4.6539999999999998E-2</v>
      </c>
      <c r="F1141" s="7">
        <v>4.6539999999999998E-2</v>
      </c>
      <c r="G1141" s="7">
        <v>2.1999999999999999E-2</v>
      </c>
    </row>
    <row r="1142" spans="2:7" x14ac:dyDescent="0.2">
      <c r="B1142" s="60">
        <v>37490</v>
      </c>
      <c r="C1142" s="7">
        <v>4.6859999999999999E-2</v>
      </c>
      <c r="D1142" s="7">
        <v>4.6859999999999999E-2</v>
      </c>
      <c r="E1142" s="7">
        <v>4.6859999999999999E-2</v>
      </c>
      <c r="F1142" s="7">
        <v>4.6859999999999999E-2</v>
      </c>
      <c r="G1142" s="7">
        <v>6.8999999999999999E-3</v>
      </c>
    </row>
    <row r="1143" spans="2:7" x14ac:dyDescent="0.2">
      <c r="B1143" s="60">
        <v>37491</v>
      </c>
      <c r="C1143" s="7">
        <v>4.6519999999999999E-2</v>
      </c>
      <c r="D1143" s="7">
        <v>4.6519999999999999E-2</v>
      </c>
      <c r="E1143" s="7">
        <v>4.6519999999999999E-2</v>
      </c>
      <c r="F1143" s="7">
        <v>4.6519999999999999E-2</v>
      </c>
      <c r="G1143" s="7">
        <v>-7.3000000000000001E-3</v>
      </c>
    </row>
    <row r="1144" spans="2:7" x14ac:dyDescent="0.2">
      <c r="B1144" s="60">
        <v>37494</v>
      </c>
      <c r="C1144" s="7">
        <v>4.6519999999999999E-2</v>
      </c>
      <c r="D1144" s="7">
        <v>4.6519999999999999E-2</v>
      </c>
      <c r="E1144" s="7">
        <v>4.6519999999999999E-2</v>
      </c>
      <c r="F1144" s="7">
        <v>4.6519999999999999E-2</v>
      </c>
      <c r="G1144" s="7">
        <v>0</v>
      </c>
    </row>
    <row r="1145" spans="2:7" x14ac:dyDescent="0.2">
      <c r="B1145" s="60">
        <v>37495</v>
      </c>
      <c r="C1145" s="7">
        <v>4.6509999999999996E-2</v>
      </c>
      <c r="D1145" s="7">
        <v>4.6509999999999996E-2</v>
      </c>
      <c r="E1145" s="7">
        <v>4.6509999999999996E-2</v>
      </c>
      <c r="F1145" s="7">
        <v>4.6509999999999996E-2</v>
      </c>
      <c r="G1145" s="7">
        <v>-2.0000000000000001E-4</v>
      </c>
    </row>
    <row r="1146" spans="2:7" x14ac:dyDescent="0.2">
      <c r="B1146" s="60">
        <v>37496</v>
      </c>
      <c r="C1146" s="7">
        <v>4.58E-2</v>
      </c>
      <c r="D1146" s="7">
        <v>4.58E-2</v>
      </c>
      <c r="E1146" s="7">
        <v>4.58E-2</v>
      </c>
      <c r="F1146" s="7">
        <v>4.58E-2</v>
      </c>
      <c r="G1146" s="7">
        <v>-1.5299999999999999E-2</v>
      </c>
    </row>
    <row r="1147" spans="2:7" x14ac:dyDescent="0.2">
      <c r="B1147" s="60">
        <v>37497</v>
      </c>
      <c r="C1147" s="7">
        <v>4.5659999999999999E-2</v>
      </c>
      <c r="D1147" s="7">
        <v>4.5659999999999999E-2</v>
      </c>
      <c r="E1147" s="7">
        <v>4.5659999999999999E-2</v>
      </c>
      <c r="F1147" s="7">
        <v>4.5659999999999999E-2</v>
      </c>
      <c r="G1147" s="7">
        <v>-3.0999999999999999E-3</v>
      </c>
    </row>
    <row r="1148" spans="2:7" x14ac:dyDescent="0.2">
      <c r="B1148" s="60">
        <v>37498</v>
      </c>
      <c r="C1148" s="7">
        <v>4.5629999999999997E-2</v>
      </c>
      <c r="D1148" s="7">
        <v>4.5629999999999997E-2</v>
      </c>
      <c r="E1148" s="7">
        <v>4.5629999999999997E-2</v>
      </c>
      <c r="F1148" s="7">
        <v>4.5629999999999997E-2</v>
      </c>
      <c r="G1148" s="7">
        <v>-6.9999999999999999E-4</v>
      </c>
    </row>
    <row r="1149" spans="2:7" x14ac:dyDescent="0.2">
      <c r="B1149" s="60">
        <v>37501</v>
      </c>
      <c r="C1149" s="7">
        <v>4.505E-2</v>
      </c>
      <c r="D1149" s="7">
        <v>4.505E-2</v>
      </c>
      <c r="E1149" s="7">
        <v>4.505E-2</v>
      </c>
      <c r="F1149" s="7">
        <v>4.505E-2</v>
      </c>
      <c r="G1149" s="7">
        <v>-1.2699999999999999E-2</v>
      </c>
    </row>
    <row r="1150" spans="2:7" x14ac:dyDescent="0.2">
      <c r="B1150" s="60">
        <v>37502</v>
      </c>
      <c r="C1150" s="7">
        <v>4.4260000000000001E-2</v>
      </c>
      <c r="D1150" s="7">
        <v>4.4260000000000001E-2</v>
      </c>
      <c r="E1150" s="7">
        <v>4.4260000000000001E-2</v>
      </c>
      <c r="F1150" s="7">
        <v>4.4260000000000001E-2</v>
      </c>
      <c r="G1150" s="7">
        <v>-1.7500000000000002E-2</v>
      </c>
    </row>
    <row r="1151" spans="2:7" x14ac:dyDescent="0.2">
      <c r="B1151" s="60">
        <v>37503</v>
      </c>
      <c r="C1151" s="7">
        <v>4.4320000000000005E-2</v>
      </c>
      <c r="D1151" s="7">
        <v>4.4320000000000005E-2</v>
      </c>
      <c r="E1151" s="7">
        <v>4.4320000000000005E-2</v>
      </c>
      <c r="F1151" s="7">
        <v>4.4320000000000005E-2</v>
      </c>
      <c r="G1151" s="7">
        <v>1.4E-3</v>
      </c>
    </row>
    <row r="1152" spans="2:7" x14ac:dyDescent="0.2">
      <c r="B1152" s="60">
        <v>37504</v>
      </c>
      <c r="C1152" s="7">
        <v>4.4029999999999993E-2</v>
      </c>
      <c r="D1152" s="7">
        <v>4.4029999999999993E-2</v>
      </c>
      <c r="E1152" s="7">
        <v>4.4029999999999993E-2</v>
      </c>
      <c r="F1152" s="7">
        <v>4.4029999999999993E-2</v>
      </c>
      <c r="G1152" s="7">
        <v>-6.4999999999999997E-3</v>
      </c>
    </row>
    <row r="1153" spans="2:7" x14ac:dyDescent="0.2">
      <c r="B1153" s="60">
        <v>37505</v>
      </c>
      <c r="C1153" s="7">
        <v>4.41E-2</v>
      </c>
      <c r="D1153" s="7">
        <v>4.41E-2</v>
      </c>
      <c r="E1153" s="7">
        <v>4.41E-2</v>
      </c>
      <c r="F1153" s="7">
        <v>4.41E-2</v>
      </c>
      <c r="G1153" s="7">
        <v>1.6000000000000001E-3</v>
      </c>
    </row>
    <row r="1154" spans="2:7" x14ac:dyDescent="0.2">
      <c r="B1154" s="60">
        <v>37508</v>
      </c>
      <c r="C1154" s="7">
        <v>4.4139999999999999E-2</v>
      </c>
      <c r="D1154" s="7">
        <v>4.4139999999999999E-2</v>
      </c>
      <c r="E1154" s="7">
        <v>4.4139999999999999E-2</v>
      </c>
      <c r="F1154" s="7">
        <v>4.4139999999999999E-2</v>
      </c>
      <c r="G1154" s="7">
        <v>8.9999999999999998E-4</v>
      </c>
    </row>
    <row r="1155" spans="2:7" x14ac:dyDescent="0.2">
      <c r="B1155" s="60">
        <v>37509</v>
      </c>
      <c r="C1155" s="7">
        <v>4.4569999999999999E-2</v>
      </c>
      <c r="D1155" s="7">
        <v>4.4569999999999999E-2</v>
      </c>
      <c r="E1155" s="7">
        <v>4.4569999999999999E-2</v>
      </c>
      <c r="F1155" s="7">
        <v>4.4569999999999999E-2</v>
      </c>
      <c r="G1155" s="7">
        <v>9.7000000000000003E-3</v>
      </c>
    </row>
    <row r="1156" spans="2:7" x14ac:dyDescent="0.2">
      <c r="B1156" s="60">
        <v>37511</v>
      </c>
      <c r="C1156" s="7">
        <v>4.4519999999999997E-2</v>
      </c>
      <c r="D1156" s="7">
        <v>4.4519999999999997E-2</v>
      </c>
      <c r="E1156" s="7">
        <v>4.4519999999999997E-2</v>
      </c>
      <c r="F1156" s="7">
        <v>4.4519999999999997E-2</v>
      </c>
      <c r="G1156" s="7">
        <v>-1.1000000000000001E-3</v>
      </c>
    </row>
    <row r="1157" spans="2:7" x14ac:dyDescent="0.2">
      <c r="B1157" s="60">
        <v>37512</v>
      </c>
      <c r="C1157" s="7">
        <v>4.4180000000000004E-2</v>
      </c>
      <c r="D1157" s="7">
        <v>4.4180000000000004E-2</v>
      </c>
      <c r="E1157" s="7">
        <v>4.4180000000000004E-2</v>
      </c>
      <c r="F1157" s="7">
        <v>4.4180000000000004E-2</v>
      </c>
      <c r="G1157" s="7">
        <v>-7.6E-3</v>
      </c>
    </row>
    <row r="1158" spans="2:7" x14ac:dyDescent="0.2">
      <c r="B1158" s="60">
        <v>37515</v>
      </c>
      <c r="C1158" s="7">
        <v>4.3570000000000005E-2</v>
      </c>
      <c r="D1158" s="7">
        <v>4.3570000000000005E-2</v>
      </c>
      <c r="E1158" s="7">
        <v>4.3570000000000005E-2</v>
      </c>
      <c r="F1158" s="7">
        <v>4.3570000000000005E-2</v>
      </c>
      <c r="G1158" s="7">
        <v>-1.38E-2</v>
      </c>
    </row>
    <row r="1159" spans="2:7" x14ac:dyDescent="0.2">
      <c r="B1159" s="60">
        <v>37516</v>
      </c>
      <c r="C1159" s="7">
        <v>4.3630000000000002E-2</v>
      </c>
      <c r="D1159" s="7">
        <v>4.3630000000000002E-2</v>
      </c>
      <c r="E1159" s="7">
        <v>4.3630000000000002E-2</v>
      </c>
      <c r="F1159" s="7">
        <v>4.3630000000000002E-2</v>
      </c>
      <c r="G1159" s="7">
        <v>1.4E-3</v>
      </c>
    </row>
    <row r="1160" spans="2:7" x14ac:dyDescent="0.2">
      <c r="B1160" s="60">
        <v>37517</v>
      </c>
      <c r="C1160" s="7">
        <v>4.335E-2</v>
      </c>
      <c r="D1160" s="7">
        <v>4.335E-2</v>
      </c>
      <c r="E1160" s="7">
        <v>4.335E-2</v>
      </c>
      <c r="F1160" s="7">
        <v>4.335E-2</v>
      </c>
      <c r="G1160" s="7">
        <v>-6.4000000000000003E-3</v>
      </c>
    </row>
    <row r="1161" spans="2:7" x14ac:dyDescent="0.2">
      <c r="B1161" s="60">
        <v>37518</v>
      </c>
      <c r="C1161" s="7">
        <v>4.3129999999999995E-2</v>
      </c>
      <c r="D1161" s="7">
        <v>4.3129999999999995E-2</v>
      </c>
      <c r="E1161" s="7">
        <v>4.3129999999999995E-2</v>
      </c>
      <c r="F1161" s="7">
        <v>4.3129999999999995E-2</v>
      </c>
      <c r="G1161" s="7">
        <v>-5.1000000000000004E-3</v>
      </c>
    </row>
    <row r="1162" spans="2:7" x14ac:dyDescent="0.2">
      <c r="B1162" s="60">
        <v>37519</v>
      </c>
      <c r="C1162" s="7">
        <v>4.3560000000000001E-2</v>
      </c>
      <c r="D1162" s="7">
        <v>4.3560000000000001E-2</v>
      </c>
      <c r="E1162" s="7">
        <v>4.3560000000000001E-2</v>
      </c>
      <c r="F1162" s="7">
        <v>4.3560000000000001E-2</v>
      </c>
      <c r="G1162" s="7">
        <v>0.01</v>
      </c>
    </row>
    <row r="1163" spans="2:7" x14ac:dyDescent="0.2">
      <c r="B1163" s="60">
        <v>37522</v>
      </c>
      <c r="C1163" s="7">
        <v>4.3110000000000002E-2</v>
      </c>
      <c r="D1163" s="7">
        <v>4.3110000000000002E-2</v>
      </c>
      <c r="E1163" s="7">
        <v>4.3110000000000002E-2</v>
      </c>
      <c r="F1163" s="7">
        <v>4.3110000000000002E-2</v>
      </c>
      <c r="G1163" s="7">
        <v>-1.03E-2</v>
      </c>
    </row>
    <row r="1164" spans="2:7" x14ac:dyDescent="0.2">
      <c r="B1164" s="60">
        <v>37523</v>
      </c>
      <c r="C1164" s="7">
        <v>4.2790000000000002E-2</v>
      </c>
      <c r="D1164" s="7">
        <v>4.2790000000000002E-2</v>
      </c>
      <c r="E1164" s="7">
        <v>4.2790000000000002E-2</v>
      </c>
      <c r="F1164" s="7">
        <v>4.2790000000000002E-2</v>
      </c>
      <c r="G1164" s="7">
        <v>-7.4000000000000003E-3</v>
      </c>
    </row>
    <row r="1165" spans="2:7" x14ac:dyDescent="0.2">
      <c r="B1165" s="60">
        <v>37524</v>
      </c>
      <c r="C1165" s="7">
        <v>4.3139999999999998E-2</v>
      </c>
      <c r="D1165" s="7">
        <v>4.3139999999999998E-2</v>
      </c>
      <c r="E1165" s="7">
        <v>4.3139999999999998E-2</v>
      </c>
      <c r="F1165" s="7">
        <v>4.3139999999999998E-2</v>
      </c>
      <c r="G1165" s="7">
        <v>8.2000000000000007E-3</v>
      </c>
    </row>
    <row r="1166" spans="2:7" x14ac:dyDescent="0.2">
      <c r="B1166" s="60">
        <v>37525</v>
      </c>
      <c r="C1166" s="7">
        <v>4.3449999999999996E-2</v>
      </c>
      <c r="D1166" s="7">
        <v>4.3449999999999996E-2</v>
      </c>
      <c r="E1166" s="7">
        <v>4.3449999999999996E-2</v>
      </c>
      <c r="F1166" s="7">
        <v>4.3449999999999996E-2</v>
      </c>
      <c r="G1166" s="7">
        <v>7.1999999999999998E-3</v>
      </c>
    </row>
    <row r="1167" spans="2:7" x14ac:dyDescent="0.2">
      <c r="B1167" s="60">
        <v>37526</v>
      </c>
      <c r="C1167" s="7">
        <v>4.3400000000000001E-2</v>
      </c>
      <c r="D1167" s="7">
        <v>4.3400000000000001E-2</v>
      </c>
      <c r="E1167" s="7">
        <v>4.3400000000000001E-2</v>
      </c>
      <c r="F1167" s="7">
        <v>4.3400000000000001E-2</v>
      </c>
      <c r="G1167" s="7">
        <v>-1.1999999999999999E-3</v>
      </c>
    </row>
    <row r="1168" spans="2:7" x14ac:dyDescent="0.2">
      <c r="B1168" s="60">
        <v>37529</v>
      </c>
      <c r="C1168" s="7">
        <v>4.2720000000000001E-2</v>
      </c>
      <c r="D1168" s="7">
        <v>4.2720000000000001E-2</v>
      </c>
      <c r="E1168" s="7">
        <v>4.2720000000000001E-2</v>
      </c>
      <c r="F1168" s="7">
        <v>4.2720000000000001E-2</v>
      </c>
      <c r="G1168" s="7">
        <v>-1.5699999999999999E-2</v>
      </c>
    </row>
    <row r="1169" spans="2:7" x14ac:dyDescent="0.2">
      <c r="B1169" s="60">
        <v>37530</v>
      </c>
      <c r="C1169" s="7">
        <v>4.3049999999999998E-2</v>
      </c>
      <c r="D1169" s="7">
        <v>4.3049999999999998E-2</v>
      </c>
      <c r="E1169" s="7">
        <v>4.3049999999999998E-2</v>
      </c>
      <c r="F1169" s="7">
        <v>4.3049999999999998E-2</v>
      </c>
      <c r="G1169" s="7">
        <v>7.7000000000000002E-3</v>
      </c>
    </row>
    <row r="1170" spans="2:7" x14ac:dyDescent="0.2">
      <c r="B1170" s="60">
        <v>37531</v>
      </c>
      <c r="C1170" s="7">
        <v>4.3840000000000004E-2</v>
      </c>
      <c r="D1170" s="7">
        <v>4.3840000000000004E-2</v>
      </c>
      <c r="E1170" s="7">
        <v>4.3840000000000004E-2</v>
      </c>
      <c r="F1170" s="7">
        <v>4.3840000000000004E-2</v>
      </c>
      <c r="G1170" s="7">
        <v>1.84E-2</v>
      </c>
    </row>
    <row r="1171" spans="2:7" x14ac:dyDescent="0.2">
      <c r="B1171" s="60">
        <v>37532</v>
      </c>
      <c r="C1171" s="7">
        <v>4.3830000000000001E-2</v>
      </c>
      <c r="D1171" s="7">
        <v>4.3830000000000001E-2</v>
      </c>
      <c r="E1171" s="7">
        <v>4.3830000000000001E-2</v>
      </c>
      <c r="F1171" s="7">
        <v>4.3830000000000001E-2</v>
      </c>
      <c r="G1171" s="7">
        <v>-2.0000000000000001E-4</v>
      </c>
    </row>
    <row r="1172" spans="2:7" x14ac:dyDescent="0.2">
      <c r="B1172" s="60">
        <v>37533</v>
      </c>
      <c r="C1172" s="7">
        <v>4.36E-2</v>
      </c>
      <c r="D1172" s="7">
        <v>4.36E-2</v>
      </c>
      <c r="E1172" s="7">
        <v>4.36E-2</v>
      </c>
      <c r="F1172" s="7">
        <v>4.36E-2</v>
      </c>
      <c r="G1172" s="7">
        <v>-5.1999999999999998E-3</v>
      </c>
    </row>
    <row r="1173" spans="2:7" x14ac:dyDescent="0.2">
      <c r="B1173" s="60">
        <v>37536</v>
      </c>
      <c r="C1173" s="7">
        <v>4.3209999999999998E-2</v>
      </c>
      <c r="D1173" s="7">
        <v>4.3209999999999998E-2</v>
      </c>
      <c r="E1173" s="7">
        <v>4.3209999999999998E-2</v>
      </c>
      <c r="F1173" s="7">
        <v>4.3209999999999998E-2</v>
      </c>
      <c r="G1173" s="7">
        <v>-8.8999999999999999E-3</v>
      </c>
    </row>
    <row r="1174" spans="2:7" x14ac:dyDescent="0.2">
      <c r="B1174" s="60">
        <v>37537</v>
      </c>
      <c r="C1174" s="7">
        <v>4.3099999999999999E-2</v>
      </c>
      <c r="D1174" s="7">
        <v>4.3099999999999999E-2</v>
      </c>
      <c r="E1174" s="7">
        <v>4.3099999999999999E-2</v>
      </c>
      <c r="F1174" s="7">
        <v>4.3099999999999999E-2</v>
      </c>
      <c r="G1174" s="7">
        <v>-2.5000000000000001E-3</v>
      </c>
    </row>
    <row r="1175" spans="2:7" x14ac:dyDescent="0.2">
      <c r="B1175" s="60">
        <v>37538</v>
      </c>
      <c r="C1175" s="7">
        <v>4.2969999999999994E-2</v>
      </c>
      <c r="D1175" s="7">
        <v>4.2969999999999994E-2</v>
      </c>
      <c r="E1175" s="7">
        <v>4.2969999999999994E-2</v>
      </c>
      <c r="F1175" s="7">
        <v>4.2969999999999994E-2</v>
      </c>
      <c r="G1175" s="7">
        <v>-3.0000000000000001E-3</v>
      </c>
    </row>
    <row r="1176" spans="2:7" x14ac:dyDescent="0.2">
      <c r="B1176" s="60">
        <v>37539</v>
      </c>
      <c r="C1176" s="7">
        <v>4.3570000000000005E-2</v>
      </c>
      <c r="D1176" s="7">
        <v>4.3570000000000005E-2</v>
      </c>
      <c r="E1176" s="7">
        <v>4.3570000000000005E-2</v>
      </c>
      <c r="F1176" s="7">
        <v>4.3570000000000005E-2</v>
      </c>
      <c r="G1176" s="7">
        <v>1.4E-2</v>
      </c>
    </row>
    <row r="1177" spans="2:7" x14ac:dyDescent="0.2">
      <c r="B1177" s="60">
        <v>37540</v>
      </c>
      <c r="C1177" s="7">
        <v>4.4429999999999997E-2</v>
      </c>
      <c r="D1177" s="7">
        <v>4.4429999999999997E-2</v>
      </c>
      <c r="E1177" s="7">
        <v>4.4429999999999997E-2</v>
      </c>
      <c r="F1177" s="7">
        <v>4.4429999999999997E-2</v>
      </c>
      <c r="G1177" s="7">
        <v>1.9699999999999999E-2</v>
      </c>
    </row>
    <row r="1178" spans="2:7" x14ac:dyDescent="0.2">
      <c r="B1178" s="60">
        <v>37543</v>
      </c>
      <c r="C1178" s="7">
        <v>4.4610000000000004E-2</v>
      </c>
      <c r="D1178" s="7">
        <v>4.4610000000000004E-2</v>
      </c>
      <c r="E1178" s="7">
        <v>4.4610000000000004E-2</v>
      </c>
      <c r="F1178" s="7">
        <v>4.4610000000000004E-2</v>
      </c>
      <c r="G1178" s="7">
        <v>4.1000000000000003E-3</v>
      </c>
    </row>
    <row r="1179" spans="2:7" x14ac:dyDescent="0.2">
      <c r="B1179" s="60">
        <v>37544</v>
      </c>
      <c r="C1179" s="7">
        <v>4.5749999999999999E-2</v>
      </c>
      <c r="D1179" s="7">
        <v>4.5749999999999999E-2</v>
      </c>
      <c r="E1179" s="7">
        <v>4.5749999999999999E-2</v>
      </c>
      <c r="F1179" s="7">
        <v>4.5749999999999999E-2</v>
      </c>
      <c r="G1179" s="7">
        <v>2.5600000000000001E-2</v>
      </c>
    </row>
    <row r="1180" spans="2:7" x14ac:dyDescent="0.2">
      <c r="B1180" s="60">
        <v>37545</v>
      </c>
      <c r="C1180" s="7">
        <v>4.5999999999999999E-2</v>
      </c>
      <c r="D1180" s="7">
        <v>4.5999999999999999E-2</v>
      </c>
      <c r="E1180" s="7">
        <v>4.5999999999999999E-2</v>
      </c>
      <c r="F1180" s="7">
        <v>4.5999999999999999E-2</v>
      </c>
      <c r="G1180" s="7">
        <v>5.4999999999999997E-3</v>
      </c>
    </row>
    <row r="1181" spans="2:7" x14ac:dyDescent="0.2">
      <c r="B1181" s="60">
        <v>37546</v>
      </c>
      <c r="C1181" s="7">
        <v>4.5899999999999996E-2</v>
      </c>
      <c r="D1181" s="7">
        <v>4.5899999999999996E-2</v>
      </c>
      <c r="E1181" s="7">
        <v>4.5899999999999996E-2</v>
      </c>
      <c r="F1181" s="7">
        <v>4.5899999999999996E-2</v>
      </c>
      <c r="G1181" s="7">
        <v>-2.2000000000000001E-3</v>
      </c>
    </row>
    <row r="1182" spans="2:7" x14ac:dyDescent="0.2">
      <c r="B1182" s="60">
        <v>37547</v>
      </c>
      <c r="C1182" s="7">
        <v>4.5999999999999999E-2</v>
      </c>
      <c r="D1182" s="7">
        <v>4.5999999999999999E-2</v>
      </c>
      <c r="E1182" s="7">
        <v>4.5999999999999999E-2</v>
      </c>
      <c r="F1182" s="7">
        <v>4.5999999999999999E-2</v>
      </c>
      <c r="G1182" s="7">
        <v>2.2000000000000001E-3</v>
      </c>
    </row>
    <row r="1183" spans="2:7" x14ac:dyDescent="0.2">
      <c r="B1183" s="60">
        <v>37550</v>
      </c>
      <c r="C1183" s="7">
        <v>4.6170000000000003E-2</v>
      </c>
      <c r="D1183" s="7">
        <v>4.6170000000000003E-2</v>
      </c>
      <c r="E1183" s="7">
        <v>4.6170000000000003E-2</v>
      </c>
      <c r="F1183" s="7">
        <v>4.6170000000000003E-2</v>
      </c>
      <c r="G1183" s="7">
        <v>3.7000000000000002E-3</v>
      </c>
    </row>
    <row r="1184" spans="2:7" x14ac:dyDescent="0.2">
      <c r="B1184" s="60">
        <v>37551</v>
      </c>
      <c r="C1184" s="7">
        <v>4.6449999999999998E-2</v>
      </c>
      <c r="D1184" s="7">
        <v>4.6449999999999998E-2</v>
      </c>
      <c r="E1184" s="7">
        <v>4.6449999999999998E-2</v>
      </c>
      <c r="F1184" s="7">
        <v>4.6449999999999998E-2</v>
      </c>
      <c r="G1184" s="7">
        <v>6.1000000000000004E-3</v>
      </c>
    </row>
    <row r="1185" spans="2:7" x14ac:dyDescent="0.2">
      <c r="B1185" s="60">
        <v>37552</v>
      </c>
      <c r="C1185" s="7">
        <v>4.5940000000000002E-2</v>
      </c>
      <c r="D1185" s="7">
        <v>4.5940000000000002E-2</v>
      </c>
      <c r="E1185" s="7">
        <v>4.5940000000000002E-2</v>
      </c>
      <c r="F1185" s="7">
        <v>4.5940000000000002E-2</v>
      </c>
      <c r="G1185" s="7">
        <v>-1.0999999999999999E-2</v>
      </c>
    </row>
    <row r="1186" spans="2:7" x14ac:dyDescent="0.2">
      <c r="B1186" s="60">
        <v>37553</v>
      </c>
      <c r="C1186" s="7">
        <v>4.6359999999999998E-2</v>
      </c>
      <c r="D1186" s="7">
        <v>4.6359999999999998E-2</v>
      </c>
      <c r="E1186" s="7">
        <v>4.6359999999999998E-2</v>
      </c>
      <c r="F1186" s="7">
        <v>4.6359999999999998E-2</v>
      </c>
      <c r="G1186" s="7">
        <v>9.1000000000000004E-3</v>
      </c>
    </row>
    <row r="1187" spans="2:7" x14ac:dyDescent="0.2">
      <c r="B1187" s="60">
        <v>37554</v>
      </c>
      <c r="C1187" s="7">
        <v>4.5919999999999996E-2</v>
      </c>
      <c r="D1187" s="7">
        <v>4.5919999999999996E-2</v>
      </c>
      <c r="E1187" s="7">
        <v>4.5919999999999996E-2</v>
      </c>
      <c r="F1187" s="7">
        <v>4.5919999999999996E-2</v>
      </c>
      <c r="G1187" s="7">
        <v>-9.4999999999999998E-3</v>
      </c>
    </row>
    <row r="1188" spans="2:7" x14ac:dyDescent="0.2">
      <c r="B1188" s="60">
        <v>37557</v>
      </c>
      <c r="C1188" s="7">
        <v>4.5530000000000001E-2</v>
      </c>
      <c r="D1188" s="7">
        <v>4.5530000000000001E-2</v>
      </c>
      <c r="E1188" s="7">
        <v>4.5530000000000001E-2</v>
      </c>
      <c r="F1188" s="7">
        <v>4.5530000000000001E-2</v>
      </c>
      <c r="G1188" s="7">
        <v>-8.5000000000000006E-3</v>
      </c>
    </row>
    <row r="1189" spans="2:7" x14ac:dyDescent="0.2">
      <c r="B1189" s="60">
        <v>37558</v>
      </c>
      <c r="C1189" s="7">
        <v>4.5010000000000001E-2</v>
      </c>
      <c r="D1189" s="7">
        <v>4.5010000000000001E-2</v>
      </c>
      <c r="E1189" s="7">
        <v>4.5010000000000001E-2</v>
      </c>
      <c r="F1189" s="7">
        <v>4.5010000000000001E-2</v>
      </c>
      <c r="G1189" s="7">
        <v>-1.14E-2</v>
      </c>
    </row>
    <row r="1190" spans="2:7" x14ac:dyDescent="0.2">
      <c r="B1190" s="60">
        <v>37559</v>
      </c>
      <c r="C1190" s="7">
        <v>4.5469999999999997E-2</v>
      </c>
      <c r="D1190" s="7">
        <v>4.5469999999999997E-2</v>
      </c>
      <c r="E1190" s="7">
        <v>4.5469999999999997E-2</v>
      </c>
      <c r="F1190" s="7">
        <v>4.5469999999999997E-2</v>
      </c>
      <c r="G1190" s="7">
        <v>1.0200000000000001E-2</v>
      </c>
    </row>
    <row r="1191" spans="2:7" x14ac:dyDescent="0.2">
      <c r="B1191" s="60">
        <v>37560</v>
      </c>
      <c r="C1191" s="7">
        <v>4.5060000000000003E-2</v>
      </c>
      <c r="D1191" s="7">
        <v>4.5060000000000003E-2</v>
      </c>
      <c r="E1191" s="7">
        <v>4.5060000000000003E-2</v>
      </c>
      <c r="F1191" s="7">
        <v>4.5060000000000003E-2</v>
      </c>
      <c r="G1191" s="7">
        <v>-8.9999999999999993E-3</v>
      </c>
    </row>
    <row r="1192" spans="2:7" x14ac:dyDescent="0.2">
      <c r="B1192" s="60">
        <v>37561</v>
      </c>
      <c r="C1192" s="7">
        <v>4.5560000000000003E-2</v>
      </c>
      <c r="D1192" s="7">
        <v>4.5560000000000003E-2</v>
      </c>
      <c r="E1192" s="7">
        <v>4.5560000000000003E-2</v>
      </c>
      <c r="F1192" s="7">
        <v>4.5560000000000003E-2</v>
      </c>
      <c r="G1192" s="7">
        <v>1.11E-2</v>
      </c>
    </row>
    <row r="1193" spans="2:7" x14ac:dyDescent="0.2">
      <c r="B1193" s="60">
        <v>37564</v>
      </c>
      <c r="C1193" s="7">
        <v>4.5670000000000002E-2</v>
      </c>
      <c r="D1193" s="7">
        <v>4.5670000000000002E-2</v>
      </c>
      <c r="E1193" s="7">
        <v>4.5670000000000002E-2</v>
      </c>
      <c r="F1193" s="7">
        <v>4.5670000000000002E-2</v>
      </c>
      <c r="G1193" s="7">
        <v>2.3999999999999998E-3</v>
      </c>
    </row>
    <row r="1194" spans="2:7" x14ac:dyDescent="0.2">
      <c r="B1194" s="60">
        <v>37565</v>
      </c>
      <c r="C1194" s="7">
        <v>4.607E-2</v>
      </c>
      <c r="D1194" s="7">
        <v>4.607E-2</v>
      </c>
      <c r="E1194" s="7">
        <v>4.607E-2</v>
      </c>
      <c r="F1194" s="7">
        <v>4.607E-2</v>
      </c>
      <c r="G1194" s="7">
        <v>8.8000000000000005E-3</v>
      </c>
    </row>
    <row r="1195" spans="2:7" x14ac:dyDescent="0.2">
      <c r="B1195" s="60">
        <v>37566</v>
      </c>
      <c r="C1195" s="7">
        <v>4.616E-2</v>
      </c>
      <c r="D1195" s="7">
        <v>4.616E-2</v>
      </c>
      <c r="E1195" s="7">
        <v>4.616E-2</v>
      </c>
      <c r="F1195" s="7">
        <v>4.616E-2</v>
      </c>
      <c r="G1195" s="7">
        <v>2E-3</v>
      </c>
    </row>
    <row r="1196" spans="2:7" x14ac:dyDescent="0.2">
      <c r="B1196" s="60">
        <v>37567</v>
      </c>
      <c r="C1196" s="7">
        <v>4.5380000000000004E-2</v>
      </c>
      <c r="D1196" s="7">
        <v>4.5380000000000004E-2</v>
      </c>
      <c r="E1196" s="7">
        <v>4.5380000000000004E-2</v>
      </c>
      <c r="F1196" s="7">
        <v>4.5380000000000004E-2</v>
      </c>
      <c r="G1196" s="7">
        <v>-1.6899999999999998E-2</v>
      </c>
    </row>
    <row r="1197" spans="2:7" x14ac:dyDescent="0.2">
      <c r="B1197" s="60">
        <v>37568</v>
      </c>
      <c r="C1197" s="7">
        <v>4.4580000000000002E-2</v>
      </c>
      <c r="D1197" s="7">
        <v>4.4580000000000002E-2</v>
      </c>
      <c r="E1197" s="7">
        <v>4.4580000000000002E-2</v>
      </c>
      <c r="F1197" s="7">
        <v>4.4580000000000002E-2</v>
      </c>
      <c r="G1197" s="7">
        <v>-1.7600000000000001E-2</v>
      </c>
    </row>
    <row r="1198" spans="2:7" x14ac:dyDescent="0.2">
      <c r="B1198" s="60">
        <v>37571</v>
      </c>
      <c r="C1198" s="7">
        <v>4.4330000000000001E-2</v>
      </c>
      <c r="D1198" s="7">
        <v>4.4330000000000001E-2</v>
      </c>
      <c r="E1198" s="7">
        <v>4.4330000000000001E-2</v>
      </c>
      <c r="F1198" s="7">
        <v>4.4330000000000001E-2</v>
      </c>
      <c r="G1198" s="7">
        <v>-5.5999999999999999E-3</v>
      </c>
    </row>
    <row r="1199" spans="2:7" x14ac:dyDescent="0.2">
      <c r="B1199" s="60">
        <v>37572</v>
      </c>
      <c r="C1199" s="7">
        <v>4.3890000000000005E-2</v>
      </c>
      <c r="D1199" s="7">
        <v>4.3890000000000005E-2</v>
      </c>
      <c r="E1199" s="7">
        <v>4.3890000000000005E-2</v>
      </c>
      <c r="F1199" s="7">
        <v>4.3890000000000005E-2</v>
      </c>
      <c r="G1199" s="7">
        <v>-9.9000000000000008E-3</v>
      </c>
    </row>
    <row r="1200" spans="2:7" x14ac:dyDescent="0.2">
      <c r="B1200" s="60">
        <v>37573</v>
      </c>
      <c r="C1200" s="7">
        <v>4.4039999999999996E-2</v>
      </c>
      <c r="D1200" s="7">
        <v>4.4039999999999996E-2</v>
      </c>
      <c r="E1200" s="7">
        <v>4.4039999999999996E-2</v>
      </c>
      <c r="F1200" s="7">
        <v>4.4039999999999996E-2</v>
      </c>
      <c r="G1200" s="7">
        <v>3.3999999999999998E-3</v>
      </c>
    </row>
    <row r="1201" spans="2:7" x14ac:dyDescent="0.2">
      <c r="B1201" s="60">
        <v>37574</v>
      </c>
      <c r="C1201" s="7">
        <v>4.4660000000000005E-2</v>
      </c>
      <c r="D1201" s="7">
        <v>4.4660000000000005E-2</v>
      </c>
      <c r="E1201" s="7">
        <v>4.4660000000000005E-2</v>
      </c>
      <c r="F1201" s="7">
        <v>4.4660000000000005E-2</v>
      </c>
      <c r="G1201" s="7">
        <v>1.41E-2</v>
      </c>
    </row>
    <row r="1202" spans="2:7" x14ac:dyDescent="0.2">
      <c r="B1202" s="60">
        <v>37575</v>
      </c>
      <c r="C1202" s="7">
        <v>4.4569999999999999E-2</v>
      </c>
      <c r="D1202" s="7">
        <v>4.4569999999999999E-2</v>
      </c>
      <c r="E1202" s="7">
        <v>4.4569999999999999E-2</v>
      </c>
      <c r="F1202" s="7">
        <v>4.4569999999999999E-2</v>
      </c>
      <c r="G1202" s="7">
        <v>-2E-3</v>
      </c>
    </row>
    <row r="1203" spans="2:7" x14ac:dyDescent="0.2">
      <c r="B1203" s="60">
        <v>37578</v>
      </c>
      <c r="C1203" s="7">
        <v>4.4660000000000005E-2</v>
      </c>
      <c r="D1203" s="7">
        <v>4.4660000000000005E-2</v>
      </c>
      <c r="E1203" s="7">
        <v>4.4660000000000005E-2</v>
      </c>
      <c r="F1203" s="7">
        <v>4.4660000000000005E-2</v>
      </c>
      <c r="G1203" s="7">
        <v>2E-3</v>
      </c>
    </row>
    <row r="1204" spans="2:7" x14ac:dyDescent="0.2">
      <c r="B1204" s="60">
        <v>37579</v>
      </c>
      <c r="C1204" s="7">
        <v>4.444E-2</v>
      </c>
      <c r="D1204" s="7">
        <v>4.444E-2</v>
      </c>
      <c r="E1204" s="7">
        <v>4.444E-2</v>
      </c>
      <c r="F1204" s="7">
        <v>4.444E-2</v>
      </c>
      <c r="G1204" s="7">
        <v>-4.8999999999999998E-3</v>
      </c>
    </row>
    <row r="1205" spans="2:7" x14ac:dyDescent="0.2">
      <c r="B1205" s="60">
        <v>37580</v>
      </c>
      <c r="C1205" s="7">
        <v>4.4199999999999996E-2</v>
      </c>
      <c r="D1205" s="7">
        <v>4.4199999999999996E-2</v>
      </c>
      <c r="E1205" s="7">
        <v>4.4199999999999996E-2</v>
      </c>
      <c r="F1205" s="7">
        <v>4.4199999999999996E-2</v>
      </c>
      <c r="G1205" s="7">
        <v>-5.4000000000000003E-3</v>
      </c>
    </row>
    <row r="1206" spans="2:7" x14ac:dyDescent="0.2">
      <c r="B1206" s="60">
        <v>37581</v>
      </c>
      <c r="C1206" s="7">
        <v>4.5019999999999998E-2</v>
      </c>
      <c r="D1206" s="7">
        <v>4.5019999999999998E-2</v>
      </c>
      <c r="E1206" s="7">
        <v>4.5019999999999998E-2</v>
      </c>
      <c r="F1206" s="7">
        <v>4.5019999999999998E-2</v>
      </c>
      <c r="G1206" s="7">
        <v>1.8599999999999998E-2</v>
      </c>
    </row>
    <row r="1207" spans="2:7" x14ac:dyDescent="0.2">
      <c r="B1207" s="60">
        <v>37582</v>
      </c>
      <c r="C1207" s="7">
        <v>4.5110000000000004E-2</v>
      </c>
      <c r="D1207" s="7">
        <v>4.5110000000000004E-2</v>
      </c>
      <c r="E1207" s="7">
        <v>4.5110000000000004E-2</v>
      </c>
      <c r="F1207" s="7">
        <v>4.5110000000000004E-2</v>
      </c>
      <c r="G1207" s="7">
        <v>2E-3</v>
      </c>
    </row>
    <row r="1208" spans="2:7" x14ac:dyDescent="0.2">
      <c r="B1208" s="60">
        <v>37585</v>
      </c>
      <c r="C1208" s="7">
        <v>4.5400000000000003E-2</v>
      </c>
      <c r="D1208" s="7">
        <v>4.5400000000000003E-2</v>
      </c>
      <c r="E1208" s="7">
        <v>4.5400000000000003E-2</v>
      </c>
      <c r="F1208" s="7">
        <v>4.5400000000000003E-2</v>
      </c>
      <c r="G1208" s="7">
        <v>6.4000000000000003E-3</v>
      </c>
    </row>
    <row r="1209" spans="2:7" x14ac:dyDescent="0.2">
      <c r="B1209" s="60">
        <v>37586</v>
      </c>
      <c r="C1209" s="7">
        <v>4.4809999999999996E-2</v>
      </c>
      <c r="D1209" s="7">
        <v>4.4809999999999996E-2</v>
      </c>
      <c r="E1209" s="7">
        <v>4.4809999999999996E-2</v>
      </c>
      <c r="F1209" s="7">
        <v>4.4809999999999996E-2</v>
      </c>
      <c r="G1209" s="7">
        <v>-1.2999999999999999E-2</v>
      </c>
    </row>
    <row r="1210" spans="2:7" x14ac:dyDescent="0.2">
      <c r="B1210" s="60">
        <v>37587</v>
      </c>
      <c r="C1210" s="7">
        <v>4.5380000000000004E-2</v>
      </c>
      <c r="D1210" s="7">
        <v>4.5380000000000004E-2</v>
      </c>
      <c r="E1210" s="7">
        <v>4.5380000000000004E-2</v>
      </c>
      <c r="F1210" s="7">
        <v>4.5380000000000004E-2</v>
      </c>
      <c r="G1210" s="7">
        <v>1.2699999999999999E-2</v>
      </c>
    </row>
    <row r="1211" spans="2:7" x14ac:dyDescent="0.2">
      <c r="B1211" s="60">
        <v>37588</v>
      </c>
      <c r="C1211" s="7">
        <v>4.5250000000000005E-2</v>
      </c>
      <c r="D1211" s="7">
        <v>4.5250000000000005E-2</v>
      </c>
      <c r="E1211" s="7">
        <v>4.5250000000000005E-2</v>
      </c>
      <c r="F1211" s="7">
        <v>4.5250000000000005E-2</v>
      </c>
      <c r="G1211" s="7">
        <v>-2.8999999999999998E-3</v>
      </c>
    </row>
    <row r="1212" spans="2:7" x14ac:dyDescent="0.2">
      <c r="B1212" s="60">
        <v>37589</v>
      </c>
      <c r="C1212" s="7">
        <v>4.4880000000000003E-2</v>
      </c>
      <c r="D1212" s="7">
        <v>4.4880000000000003E-2</v>
      </c>
      <c r="E1212" s="7">
        <v>4.4880000000000003E-2</v>
      </c>
      <c r="F1212" s="7">
        <v>4.4880000000000003E-2</v>
      </c>
      <c r="G1212" s="7">
        <v>-8.2000000000000007E-3</v>
      </c>
    </row>
    <row r="1213" spans="2:7" x14ac:dyDescent="0.2">
      <c r="B1213" s="60">
        <v>37592</v>
      </c>
      <c r="C1213" s="7">
        <v>4.5190000000000001E-2</v>
      </c>
      <c r="D1213" s="7">
        <v>4.5190000000000001E-2</v>
      </c>
      <c r="E1213" s="7">
        <v>4.5190000000000001E-2</v>
      </c>
      <c r="F1213" s="7">
        <v>4.5190000000000001E-2</v>
      </c>
      <c r="G1213" s="7">
        <v>6.8999999999999999E-3</v>
      </c>
    </row>
    <row r="1214" spans="2:7" x14ac:dyDescent="0.2">
      <c r="B1214" s="60">
        <v>37593</v>
      </c>
      <c r="C1214" s="7">
        <v>4.4740000000000002E-2</v>
      </c>
      <c r="D1214" s="7">
        <v>4.4740000000000002E-2</v>
      </c>
      <c r="E1214" s="7">
        <v>4.4740000000000002E-2</v>
      </c>
      <c r="F1214" s="7">
        <v>4.4740000000000002E-2</v>
      </c>
      <c r="G1214" s="7">
        <v>-0.01</v>
      </c>
    </row>
    <row r="1215" spans="2:7" x14ac:dyDescent="0.2">
      <c r="B1215" s="60">
        <v>37594</v>
      </c>
      <c r="C1215" s="7">
        <v>4.4720000000000003E-2</v>
      </c>
      <c r="D1215" s="7">
        <v>4.4720000000000003E-2</v>
      </c>
      <c r="E1215" s="7">
        <v>4.4720000000000003E-2</v>
      </c>
      <c r="F1215" s="7">
        <v>4.4720000000000003E-2</v>
      </c>
      <c r="G1215" s="7">
        <v>-4.0000000000000002E-4</v>
      </c>
    </row>
    <row r="1216" spans="2:7" x14ac:dyDescent="0.2">
      <c r="B1216" s="60">
        <v>37595</v>
      </c>
      <c r="C1216" s="7">
        <v>4.4500000000000005E-2</v>
      </c>
      <c r="D1216" s="7">
        <v>4.4500000000000005E-2</v>
      </c>
      <c r="E1216" s="7">
        <v>4.4500000000000005E-2</v>
      </c>
      <c r="F1216" s="7">
        <v>4.4500000000000005E-2</v>
      </c>
      <c r="G1216" s="7">
        <v>-4.8999999999999998E-3</v>
      </c>
    </row>
    <row r="1217" spans="2:7" x14ac:dyDescent="0.2">
      <c r="B1217" s="60">
        <v>37596</v>
      </c>
      <c r="C1217" s="7">
        <v>4.4130000000000003E-2</v>
      </c>
      <c r="D1217" s="7">
        <v>4.4130000000000003E-2</v>
      </c>
      <c r="E1217" s="7">
        <v>4.4130000000000003E-2</v>
      </c>
      <c r="F1217" s="7">
        <v>4.4130000000000003E-2</v>
      </c>
      <c r="G1217" s="7">
        <v>-8.3000000000000001E-3</v>
      </c>
    </row>
    <row r="1218" spans="2:7" x14ac:dyDescent="0.2">
      <c r="B1218" s="60">
        <v>37599</v>
      </c>
      <c r="C1218" s="7">
        <v>4.3869999999999992E-2</v>
      </c>
      <c r="D1218" s="7">
        <v>4.3869999999999992E-2</v>
      </c>
      <c r="E1218" s="7">
        <v>4.3869999999999992E-2</v>
      </c>
      <c r="F1218" s="7">
        <v>4.3869999999999992E-2</v>
      </c>
      <c r="G1218" s="7">
        <v>-5.8999999999999999E-3</v>
      </c>
    </row>
    <row r="1219" spans="2:7" x14ac:dyDescent="0.2">
      <c r="B1219" s="60">
        <v>37600</v>
      </c>
      <c r="C1219" s="7">
        <v>4.3789999999999996E-2</v>
      </c>
      <c r="D1219" s="7">
        <v>4.3789999999999996E-2</v>
      </c>
      <c r="E1219" s="7">
        <v>4.3789999999999996E-2</v>
      </c>
      <c r="F1219" s="7">
        <v>4.3789999999999996E-2</v>
      </c>
      <c r="G1219" s="7">
        <v>-1.8E-3</v>
      </c>
    </row>
    <row r="1220" spans="2:7" x14ac:dyDescent="0.2">
      <c r="B1220" s="60">
        <v>37601</v>
      </c>
      <c r="C1220" s="7">
        <v>4.36E-2</v>
      </c>
      <c r="D1220" s="7">
        <v>4.36E-2</v>
      </c>
      <c r="E1220" s="7">
        <v>4.36E-2</v>
      </c>
      <c r="F1220" s="7">
        <v>4.36E-2</v>
      </c>
      <c r="G1220" s="7">
        <v>-4.3E-3</v>
      </c>
    </row>
    <row r="1221" spans="2:7" x14ac:dyDescent="0.2">
      <c r="B1221" s="60">
        <v>37602</v>
      </c>
      <c r="C1221" s="7">
        <v>4.3120000000000006E-2</v>
      </c>
      <c r="D1221" s="7">
        <v>4.3120000000000006E-2</v>
      </c>
      <c r="E1221" s="7">
        <v>4.3120000000000006E-2</v>
      </c>
      <c r="F1221" s="7">
        <v>4.3120000000000006E-2</v>
      </c>
      <c r="G1221" s="7">
        <v>-1.0999999999999999E-2</v>
      </c>
    </row>
    <row r="1222" spans="2:7" x14ac:dyDescent="0.2">
      <c r="B1222" s="60">
        <v>37603</v>
      </c>
      <c r="C1222" s="7">
        <v>4.3220000000000001E-2</v>
      </c>
      <c r="D1222" s="7">
        <v>4.3220000000000001E-2</v>
      </c>
      <c r="E1222" s="7">
        <v>4.3220000000000001E-2</v>
      </c>
      <c r="F1222" s="7">
        <v>4.3220000000000001E-2</v>
      </c>
      <c r="G1222" s="7">
        <v>2.3E-3</v>
      </c>
    </row>
    <row r="1223" spans="2:7" x14ac:dyDescent="0.2">
      <c r="B1223" s="60">
        <v>37606</v>
      </c>
      <c r="C1223" s="7">
        <v>4.3529999999999999E-2</v>
      </c>
      <c r="D1223" s="7">
        <v>4.3529999999999999E-2</v>
      </c>
      <c r="E1223" s="7">
        <v>4.3529999999999999E-2</v>
      </c>
      <c r="F1223" s="7">
        <v>4.3529999999999999E-2</v>
      </c>
      <c r="G1223" s="7">
        <v>7.1999999999999998E-3</v>
      </c>
    </row>
    <row r="1224" spans="2:7" x14ac:dyDescent="0.2">
      <c r="B1224" s="60">
        <v>37607</v>
      </c>
      <c r="C1224" s="7">
        <v>4.3299999999999998E-2</v>
      </c>
      <c r="D1224" s="7">
        <v>4.3299999999999998E-2</v>
      </c>
      <c r="E1224" s="7">
        <v>4.3299999999999998E-2</v>
      </c>
      <c r="F1224" s="7">
        <v>4.3299999999999998E-2</v>
      </c>
      <c r="G1224" s="7">
        <v>-5.3E-3</v>
      </c>
    </row>
    <row r="1225" spans="2:7" x14ac:dyDescent="0.2">
      <c r="B1225" s="60">
        <v>37608</v>
      </c>
      <c r="C1225" s="7">
        <v>4.2869999999999998E-2</v>
      </c>
      <c r="D1225" s="7">
        <v>4.2869999999999998E-2</v>
      </c>
      <c r="E1225" s="7">
        <v>4.2869999999999998E-2</v>
      </c>
      <c r="F1225" s="7">
        <v>4.2869999999999998E-2</v>
      </c>
      <c r="G1225" s="7">
        <v>-9.9000000000000008E-3</v>
      </c>
    </row>
    <row r="1226" spans="2:7" x14ac:dyDescent="0.2">
      <c r="B1226" s="60">
        <v>37609</v>
      </c>
      <c r="C1226" s="7">
        <v>4.2849999999999999E-2</v>
      </c>
      <c r="D1226" s="7">
        <v>4.2849999999999999E-2</v>
      </c>
      <c r="E1226" s="7">
        <v>4.2849999999999999E-2</v>
      </c>
      <c r="F1226" s="7">
        <v>4.2849999999999999E-2</v>
      </c>
      <c r="G1226" s="7">
        <v>-5.0000000000000001E-4</v>
      </c>
    </row>
    <row r="1227" spans="2:7" x14ac:dyDescent="0.2">
      <c r="B1227" s="60">
        <v>37610</v>
      </c>
      <c r="C1227" s="7">
        <v>4.292E-2</v>
      </c>
      <c r="D1227" s="7">
        <v>4.292E-2</v>
      </c>
      <c r="E1227" s="7">
        <v>4.292E-2</v>
      </c>
      <c r="F1227" s="7">
        <v>4.292E-2</v>
      </c>
      <c r="G1227" s="7">
        <v>1.6000000000000001E-3</v>
      </c>
    </row>
    <row r="1228" spans="2:7" x14ac:dyDescent="0.2">
      <c r="B1228" s="60">
        <v>37613</v>
      </c>
      <c r="C1228" s="7">
        <v>4.2839999999999996E-2</v>
      </c>
      <c r="D1228" s="7">
        <v>4.2839999999999996E-2</v>
      </c>
      <c r="E1228" s="7">
        <v>4.2839999999999996E-2</v>
      </c>
      <c r="F1228" s="7">
        <v>4.2839999999999996E-2</v>
      </c>
      <c r="G1228" s="7">
        <v>-1.9E-3</v>
      </c>
    </row>
    <row r="1229" spans="2:7" x14ac:dyDescent="0.2">
      <c r="B1229" s="60">
        <v>37614</v>
      </c>
      <c r="C1229" s="7">
        <v>4.2800000000000005E-2</v>
      </c>
      <c r="D1229" s="7">
        <v>4.2800000000000005E-2</v>
      </c>
      <c r="E1229" s="7">
        <v>4.2800000000000005E-2</v>
      </c>
      <c r="F1229" s="7">
        <v>4.2800000000000005E-2</v>
      </c>
      <c r="G1229" s="7">
        <v>-8.9999999999999998E-4</v>
      </c>
    </row>
    <row r="1230" spans="2:7" x14ac:dyDescent="0.2">
      <c r="B1230" s="60">
        <v>37615</v>
      </c>
      <c r="C1230" s="7">
        <v>4.2630000000000001E-2</v>
      </c>
      <c r="D1230" s="7">
        <v>4.2630000000000001E-2</v>
      </c>
      <c r="E1230" s="7">
        <v>4.2630000000000001E-2</v>
      </c>
      <c r="F1230" s="7">
        <v>4.2630000000000001E-2</v>
      </c>
      <c r="G1230" s="7">
        <v>-4.0000000000000001E-3</v>
      </c>
    </row>
    <row r="1231" spans="2:7" x14ac:dyDescent="0.2">
      <c r="B1231" s="60">
        <v>37616</v>
      </c>
      <c r="C1231" s="7">
        <v>4.2839999999999996E-2</v>
      </c>
      <c r="D1231" s="7">
        <v>4.2839999999999996E-2</v>
      </c>
      <c r="E1231" s="7">
        <v>4.2839999999999996E-2</v>
      </c>
      <c r="F1231" s="7">
        <v>4.2839999999999996E-2</v>
      </c>
      <c r="G1231" s="7">
        <v>4.8999999999999998E-3</v>
      </c>
    </row>
    <row r="1232" spans="2:7" x14ac:dyDescent="0.2">
      <c r="B1232" s="60">
        <v>37617</v>
      </c>
      <c r="C1232" s="7">
        <v>4.199E-2</v>
      </c>
      <c r="D1232" s="7">
        <v>4.199E-2</v>
      </c>
      <c r="E1232" s="7">
        <v>4.199E-2</v>
      </c>
      <c r="F1232" s="7">
        <v>4.199E-2</v>
      </c>
      <c r="G1232" s="7">
        <v>-1.9800000000000002E-2</v>
      </c>
    </row>
    <row r="1233" spans="2:7" x14ac:dyDescent="0.2">
      <c r="B1233" s="60">
        <v>37620</v>
      </c>
      <c r="C1233" s="7">
        <v>4.2050000000000004E-2</v>
      </c>
      <c r="D1233" s="7">
        <v>4.2050000000000004E-2</v>
      </c>
      <c r="E1233" s="7">
        <v>4.2050000000000004E-2</v>
      </c>
      <c r="F1233" s="7">
        <v>4.2050000000000004E-2</v>
      </c>
      <c r="G1233" s="7">
        <v>1.4E-3</v>
      </c>
    </row>
    <row r="1234" spans="2:7" x14ac:dyDescent="0.2">
      <c r="B1234" s="60">
        <v>37621</v>
      </c>
      <c r="C1234" s="7">
        <v>4.1939999999999998E-2</v>
      </c>
      <c r="D1234" s="7">
        <v>4.1939999999999998E-2</v>
      </c>
      <c r="E1234" s="7">
        <v>4.1939999999999998E-2</v>
      </c>
      <c r="F1234" s="7">
        <v>4.1939999999999998E-2</v>
      </c>
      <c r="G1234" s="7">
        <v>-2.5999999999999999E-3</v>
      </c>
    </row>
    <row r="1235" spans="2:7" x14ac:dyDescent="0.2">
      <c r="B1235" s="60">
        <v>37622</v>
      </c>
      <c r="C1235" s="7">
        <v>4.199E-2</v>
      </c>
      <c r="D1235" s="7">
        <v>4.199E-2</v>
      </c>
      <c r="E1235" s="7">
        <v>4.199E-2</v>
      </c>
      <c r="F1235" s="7">
        <v>4.199E-2</v>
      </c>
      <c r="G1235" s="7">
        <v>1.1999999999999999E-3</v>
      </c>
    </row>
    <row r="1236" spans="2:7" x14ac:dyDescent="0.2">
      <c r="B1236" s="60">
        <v>37623</v>
      </c>
      <c r="C1236" s="7">
        <v>4.301E-2</v>
      </c>
      <c r="D1236" s="7">
        <v>4.301E-2</v>
      </c>
      <c r="E1236" s="7">
        <v>4.301E-2</v>
      </c>
      <c r="F1236" s="7">
        <v>4.301E-2</v>
      </c>
      <c r="G1236" s="7">
        <v>2.4299999999999999E-2</v>
      </c>
    </row>
    <row r="1237" spans="2:7" x14ac:dyDescent="0.2">
      <c r="B1237" s="60">
        <v>37624</v>
      </c>
      <c r="C1237" s="7">
        <v>4.3060000000000001E-2</v>
      </c>
      <c r="D1237" s="7">
        <v>4.3060000000000001E-2</v>
      </c>
      <c r="E1237" s="7">
        <v>4.3060000000000001E-2</v>
      </c>
      <c r="F1237" s="7">
        <v>4.3060000000000001E-2</v>
      </c>
      <c r="G1237" s="7">
        <v>1.1999999999999999E-3</v>
      </c>
    </row>
    <row r="1238" spans="2:7" x14ac:dyDescent="0.2">
      <c r="B1238" s="60">
        <v>37627</v>
      </c>
      <c r="C1238" s="7">
        <v>4.3040000000000002E-2</v>
      </c>
      <c r="D1238" s="7">
        <v>4.3040000000000002E-2</v>
      </c>
      <c r="E1238" s="7">
        <v>4.3040000000000002E-2</v>
      </c>
      <c r="F1238" s="7">
        <v>4.3040000000000002E-2</v>
      </c>
      <c r="G1238" s="7">
        <v>-5.0000000000000001E-4</v>
      </c>
    </row>
    <row r="1239" spans="2:7" x14ac:dyDescent="0.2">
      <c r="B1239" s="60">
        <v>37628</v>
      </c>
      <c r="C1239" s="7">
        <v>4.2750000000000003E-2</v>
      </c>
      <c r="D1239" s="7">
        <v>4.2750000000000003E-2</v>
      </c>
      <c r="E1239" s="7">
        <v>4.2750000000000003E-2</v>
      </c>
      <c r="F1239" s="7">
        <v>4.2750000000000003E-2</v>
      </c>
      <c r="G1239" s="7">
        <v>-6.7000000000000002E-3</v>
      </c>
    </row>
    <row r="1240" spans="2:7" x14ac:dyDescent="0.2">
      <c r="B1240" s="60">
        <v>37629</v>
      </c>
      <c r="C1240" s="7">
        <v>4.2039999999999994E-2</v>
      </c>
      <c r="D1240" s="7">
        <v>4.2039999999999994E-2</v>
      </c>
      <c r="E1240" s="7">
        <v>4.2039999999999994E-2</v>
      </c>
      <c r="F1240" s="7">
        <v>4.2039999999999994E-2</v>
      </c>
      <c r="G1240" s="7">
        <v>-1.66E-2</v>
      </c>
    </row>
    <row r="1241" spans="2:7" x14ac:dyDescent="0.2">
      <c r="B1241" s="60">
        <v>37630</v>
      </c>
      <c r="C1241" s="7">
        <v>4.2130000000000001E-2</v>
      </c>
      <c r="D1241" s="7">
        <v>4.2130000000000001E-2</v>
      </c>
      <c r="E1241" s="7">
        <v>4.2130000000000001E-2</v>
      </c>
      <c r="F1241" s="7">
        <v>4.2130000000000001E-2</v>
      </c>
      <c r="G1241" s="7">
        <v>2.0999999999999999E-3</v>
      </c>
    </row>
    <row r="1242" spans="2:7" x14ac:dyDescent="0.2">
      <c r="B1242" s="60">
        <v>37631</v>
      </c>
      <c r="C1242" s="7">
        <v>4.258E-2</v>
      </c>
      <c r="D1242" s="7">
        <v>4.258E-2</v>
      </c>
      <c r="E1242" s="7">
        <v>4.258E-2</v>
      </c>
      <c r="F1242" s="7">
        <v>4.258E-2</v>
      </c>
      <c r="G1242" s="7">
        <v>1.0699999999999999E-2</v>
      </c>
    </row>
    <row r="1243" spans="2:7" x14ac:dyDescent="0.2">
      <c r="B1243" s="60">
        <v>37634</v>
      </c>
      <c r="C1243" s="7">
        <v>4.2549999999999998E-2</v>
      </c>
      <c r="D1243" s="7">
        <v>4.2549999999999998E-2</v>
      </c>
      <c r="E1243" s="7">
        <v>4.2549999999999998E-2</v>
      </c>
      <c r="F1243" s="7">
        <v>4.2549999999999998E-2</v>
      </c>
      <c r="G1243" s="7">
        <v>-6.9999999999999999E-4</v>
      </c>
    </row>
    <row r="1244" spans="2:7" x14ac:dyDescent="0.2">
      <c r="B1244" s="60">
        <v>37635</v>
      </c>
      <c r="C1244" s="7">
        <v>4.2649999999999993E-2</v>
      </c>
      <c r="D1244" s="7">
        <v>4.2649999999999993E-2</v>
      </c>
      <c r="E1244" s="7">
        <v>4.2649999999999993E-2</v>
      </c>
      <c r="F1244" s="7">
        <v>4.2649999999999993E-2</v>
      </c>
      <c r="G1244" s="7">
        <v>2.3999999999999998E-3</v>
      </c>
    </row>
    <row r="1245" spans="2:7" x14ac:dyDescent="0.2">
      <c r="B1245" s="60">
        <v>37636</v>
      </c>
      <c r="C1245" s="7">
        <v>4.2549999999999998E-2</v>
      </c>
      <c r="D1245" s="7">
        <v>4.2549999999999998E-2</v>
      </c>
      <c r="E1245" s="7">
        <v>4.2549999999999998E-2</v>
      </c>
      <c r="F1245" s="7">
        <v>4.2549999999999998E-2</v>
      </c>
      <c r="G1245" s="7">
        <v>-2.3E-3</v>
      </c>
    </row>
    <row r="1246" spans="2:7" x14ac:dyDescent="0.2">
      <c r="B1246" s="60">
        <v>37637</v>
      </c>
      <c r="C1246" s="7">
        <v>4.2480000000000004E-2</v>
      </c>
      <c r="D1246" s="7">
        <v>4.2480000000000004E-2</v>
      </c>
      <c r="E1246" s="7">
        <v>4.2480000000000004E-2</v>
      </c>
      <c r="F1246" s="7">
        <v>4.2480000000000004E-2</v>
      </c>
      <c r="G1246" s="7">
        <v>-1.6000000000000001E-3</v>
      </c>
    </row>
    <row r="1247" spans="2:7" x14ac:dyDescent="0.2">
      <c r="B1247" s="60">
        <v>37638</v>
      </c>
      <c r="C1247" s="7">
        <v>4.1740000000000006E-2</v>
      </c>
      <c r="D1247" s="7">
        <v>4.1740000000000006E-2</v>
      </c>
      <c r="E1247" s="7">
        <v>4.1740000000000006E-2</v>
      </c>
      <c r="F1247" s="7">
        <v>4.1740000000000006E-2</v>
      </c>
      <c r="G1247" s="7">
        <v>-1.7399999999999999E-2</v>
      </c>
    </row>
    <row r="1248" spans="2:7" x14ac:dyDescent="0.2">
      <c r="B1248" s="60">
        <v>37641</v>
      </c>
      <c r="C1248" s="7">
        <v>4.1440000000000005E-2</v>
      </c>
      <c r="D1248" s="7">
        <v>4.1440000000000005E-2</v>
      </c>
      <c r="E1248" s="7">
        <v>4.1440000000000005E-2</v>
      </c>
      <c r="F1248" s="7">
        <v>4.1440000000000005E-2</v>
      </c>
      <c r="G1248" s="7">
        <v>-7.1999999999999998E-3</v>
      </c>
    </row>
    <row r="1249" spans="2:7" x14ac:dyDescent="0.2">
      <c r="B1249" s="60">
        <v>37642</v>
      </c>
      <c r="C1249" s="7">
        <v>4.1180000000000001E-2</v>
      </c>
      <c r="D1249" s="7">
        <v>4.1180000000000001E-2</v>
      </c>
      <c r="E1249" s="7">
        <v>4.1180000000000001E-2</v>
      </c>
      <c r="F1249" s="7">
        <v>4.1180000000000001E-2</v>
      </c>
      <c r="G1249" s="7">
        <v>-6.3E-3</v>
      </c>
    </row>
    <row r="1250" spans="2:7" x14ac:dyDescent="0.2">
      <c r="B1250" s="60">
        <v>37643</v>
      </c>
      <c r="C1250" s="7">
        <v>4.1120000000000004E-2</v>
      </c>
      <c r="D1250" s="7">
        <v>4.1120000000000004E-2</v>
      </c>
      <c r="E1250" s="7">
        <v>4.1120000000000004E-2</v>
      </c>
      <c r="F1250" s="7">
        <v>4.1120000000000004E-2</v>
      </c>
      <c r="G1250" s="7">
        <v>-1.5E-3</v>
      </c>
    </row>
    <row r="1251" spans="2:7" x14ac:dyDescent="0.2">
      <c r="B1251" s="60">
        <v>37644</v>
      </c>
      <c r="C1251" s="7">
        <v>4.0759999999999998E-2</v>
      </c>
      <c r="D1251" s="7">
        <v>4.0759999999999998E-2</v>
      </c>
      <c r="E1251" s="7">
        <v>4.0759999999999998E-2</v>
      </c>
      <c r="F1251" s="7">
        <v>4.0759999999999998E-2</v>
      </c>
      <c r="G1251" s="7">
        <v>-8.8000000000000005E-3</v>
      </c>
    </row>
    <row r="1252" spans="2:7" x14ac:dyDescent="0.2">
      <c r="B1252" s="60">
        <v>37645</v>
      </c>
      <c r="C1252" s="7">
        <v>4.0060000000000005E-2</v>
      </c>
      <c r="D1252" s="7">
        <v>4.0060000000000005E-2</v>
      </c>
      <c r="E1252" s="7">
        <v>4.0060000000000005E-2</v>
      </c>
      <c r="F1252" s="7">
        <v>4.0060000000000005E-2</v>
      </c>
      <c r="G1252" s="7">
        <v>-1.72E-2</v>
      </c>
    </row>
    <row r="1253" spans="2:7" x14ac:dyDescent="0.2">
      <c r="B1253" s="60">
        <v>37648</v>
      </c>
      <c r="C1253" s="7">
        <v>3.9890000000000002E-2</v>
      </c>
      <c r="D1253" s="7">
        <v>3.9890000000000002E-2</v>
      </c>
      <c r="E1253" s="7">
        <v>3.9890000000000002E-2</v>
      </c>
      <c r="F1253" s="7">
        <v>3.9890000000000002E-2</v>
      </c>
      <c r="G1253" s="7">
        <v>-4.1999999999999997E-3</v>
      </c>
    </row>
    <row r="1254" spans="2:7" x14ac:dyDescent="0.2">
      <c r="B1254" s="60">
        <v>37649</v>
      </c>
      <c r="C1254" s="7">
        <v>4.0410000000000001E-2</v>
      </c>
      <c r="D1254" s="7">
        <v>4.0410000000000001E-2</v>
      </c>
      <c r="E1254" s="7">
        <v>4.0410000000000001E-2</v>
      </c>
      <c r="F1254" s="7">
        <v>4.0410000000000001E-2</v>
      </c>
      <c r="G1254" s="7">
        <v>1.2999999999999999E-2</v>
      </c>
    </row>
    <row r="1255" spans="2:7" x14ac:dyDescent="0.2">
      <c r="B1255" s="60">
        <v>37650</v>
      </c>
      <c r="C1255" s="7">
        <v>4.0350000000000004E-2</v>
      </c>
      <c r="D1255" s="7">
        <v>4.0350000000000004E-2</v>
      </c>
      <c r="E1255" s="7">
        <v>4.0350000000000004E-2</v>
      </c>
      <c r="F1255" s="7">
        <v>4.0350000000000004E-2</v>
      </c>
      <c r="G1255" s="7">
        <v>-1.5E-3</v>
      </c>
    </row>
    <row r="1256" spans="2:7" x14ac:dyDescent="0.2">
      <c r="B1256" s="60">
        <v>37651</v>
      </c>
      <c r="C1256" s="7">
        <v>4.0490000000000005E-2</v>
      </c>
      <c r="D1256" s="7">
        <v>4.0490000000000005E-2</v>
      </c>
      <c r="E1256" s="7">
        <v>4.0490000000000005E-2</v>
      </c>
      <c r="F1256" s="7">
        <v>4.0490000000000005E-2</v>
      </c>
      <c r="G1256" s="7">
        <v>3.5000000000000001E-3</v>
      </c>
    </row>
    <row r="1257" spans="2:7" x14ac:dyDescent="0.2">
      <c r="B1257" s="60">
        <v>37652</v>
      </c>
      <c r="C1257" s="7">
        <v>4.0579999999999998E-2</v>
      </c>
      <c r="D1257" s="7">
        <v>4.0579999999999998E-2</v>
      </c>
      <c r="E1257" s="7">
        <v>4.0579999999999998E-2</v>
      </c>
      <c r="F1257" s="7">
        <v>4.0579999999999998E-2</v>
      </c>
      <c r="G1257" s="7">
        <v>2.2000000000000001E-3</v>
      </c>
    </row>
    <row r="1258" spans="2:7" x14ac:dyDescent="0.2">
      <c r="B1258" s="60">
        <v>37655</v>
      </c>
      <c r="C1258" s="7">
        <v>4.0469999999999999E-2</v>
      </c>
      <c r="D1258" s="7">
        <v>4.0469999999999999E-2</v>
      </c>
      <c r="E1258" s="7">
        <v>4.0469999999999999E-2</v>
      </c>
      <c r="F1258" s="7">
        <v>4.0469999999999999E-2</v>
      </c>
      <c r="G1258" s="7">
        <v>-2.7000000000000001E-3</v>
      </c>
    </row>
    <row r="1259" spans="2:7" x14ac:dyDescent="0.2">
      <c r="B1259" s="60">
        <v>37656</v>
      </c>
      <c r="C1259" s="7">
        <v>4.0079999999999998E-2</v>
      </c>
      <c r="D1259" s="7">
        <v>4.0079999999999998E-2</v>
      </c>
      <c r="E1259" s="7">
        <v>4.0079999999999998E-2</v>
      </c>
      <c r="F1259" s="7">
        <v>4.0079999999999998E-2</v>
      </c>
      <c r="G1259" s="7">
        <v>-9.5999999999999992E-3</v>
      </c>
    </row>
    <row r="1260" spans="2:7" x14ac:dyDescent="0.2">
      <c r="B1260" s="60">
        <v>37657</v>
      </c>
      <c r="C1260" s="7">
        <v>4.0099999999999997E-2</v>
      </c>
      <c r="D1260" s="7">
        <v>4.0099999999999997E-2</v>
      </c>
      <c r="E1260" s="7">
        <v>4.0099999999999997E-2</v>
      </c>
      <c r="F1260" s="7">
        <v>4.0099999999999997E-2</v>
      </c>
      <c r="G1260" s="7">
        <v>5.0000000000000001E-4</v>
      </c>
    </row>
    <row r="1261" spans="2:7" x14ac:dyDescent="0.2">
      <c r="B1261" s="60">
        <v>37658</v>
      </c>
      <c r="C1261" s="7">
        <v>4.0190000000000003E-2</v>
      </c>
      <c r="D1261" s="7">
        <v>4.0190000000000003E-2</v>
      </c>
      <c r="E1261" s="7">
        <v>4.0190000000000003E-2</v>
      </c>
      <c r="F1261" s="7">
        <v>4.0190000000000003E-2</v>
      </c>
      <c r="G1261" s="7">
        <v>2.2000000000000001E-3</v>
      </c>
    </row>
    <row r="1262" spans="2:7" x14ac:dyDescent="0.2">
      <c r="B1262" s="60">
        <v>37659</v>
      </c>
      <c r="C1262" s="7">
        <v>3.9900000000000005E-2</v>
      </c>
      <c r="D1262" s="7">
        <v>3.9900000000000005E-2</v>
      </c>
      <c r="E1262" s="7">
        <v>3.9900000000000005E-2</v>
      </c>
      <c r="F1262" s="7">
        <v>3.9900000000000005E-2</v>
      </c>
      <c r="G1262" s="7">
        <v>-7.1999999999999998E-3</v>
      </c>
    </row>
    <row r="1263" spans="2:7" x14ac:dyDescent="0.2">
      <c r="B1263" s="60">
        <v>37662</v>
      </c>
      <c r="C1263" s="7">
        <v>3.9960000000000002E-2</v>
      </c>
      <c r="D1263" s="7">
        <v>3.9960000000000002E-2</v>
      </c>
      <c r="E1263" s="7">
        <v>3.9960000000000002E-2</v>
      </c>
      <c r="F1263" s="7">
        <v>3.9960000000000002E-2</v>
      </c>
      <c r="G1263" s="7">
        <v>1.5E-3</v>
      </c>
    </row>
    <row r="1264" spans="2:7" x14ac:dyDescent="0.2">
      <c r="B1264" s="60">
        <v>37663</v>
      </c>
      <c r="C1264" s="7">
        <v>3.984E-2</v>
      </c>
      <c r="D1264" s="7">
        <v>3.984E-2</v>
      </c>
      <c r="E1264" s="7">
        <v>3.984E-2</v>
      </c>
      <c r="F1264" s="7">
        <v>3.984E-2</v>
      </c>
      <c r="G1264" s="7">
        <v>-3.0000000000000001E-3</v>
      </c>
    </row>
    <row r="1265" spans="2:7" x14ac:dyDescent="0.2">
      <c r="B1265" s="60">
        <v>37664</v>
      </c>
      <c r="C1265" s="7">
        <v>3.9550000000000002E-2</v>
      </c>
      <c r="D1265" s="7">
        <v>3.9550000000000002E-2</v>
      </c>
      <c r="E1265" s="7">
        <v>3.9550000000000002E-2</v>
      </c>
      <c r="F1265" s="7">
        <v>3.9550000000000002E-2</v>
      </c>
      <c r="G1265" s="7">
        <v>-7.3000000000000001E-3</v>
      </c>
    </row>
    <row r="1266" spans="2:7" x14ac:dyDescent="0.2">
      <c r="B1266" s="60">
        <v>37665</v>
      </c>
      <c r="C1266" s="7">
        <v>3.9109999999999999E-2</v>
      </c>
      <c r="D1266" s="7">
        <v>3.9109999999999999E-2</v>
      </c>
      <c r="E1266" s="7">
        <v>3.9109999999999999E-2</v>
      </c>
      <c r="F1266" s="7">
        <v>3.9109999999999999E-2</v>
      </c>
      <c r="G1266" s="7">
        <v>-1.11E-2</v>
      </c>
    </row>
    <row r="1267" spans="2:7" x14ac:dyDescent="0.2">
      <c r="B1267" s="60">
        <v>37666</v>
      </c>
      <c r="C1267" s="7">
        <v>3.9629999999999999E-2</v>
      </c>
      <c r="D1267" s="7">
        <v>3.9629999999999999E-2</v>
      </c>
      <c r="E1267" s="7">
        <v>3.9629999999999999E-2</v>
      </c>
      <c r="F1267" s="7">
        <v>3.9629999999999999E-2</v>
      </c>
      <c r="G1267" s="7">
        <v>1.3299999999999999E-2</v>
      </c>
    </row>
    <row r="1268" spans="2:7" x14ac:dyDescent="0.2">
      <c r="B1268" s="60">
        <v>37669</v>
      </c>
      <c r="C1268" s="7">
        <v>3.9529999999999996E-2</v>
      </c>
      <c r="D1268" s="7">
        <v>3.9529999999999996E-2</v>
      </c>
      <c r="E1268" s="7">
        <v>3.9529999999999996E-2</v>
      </c>
      <c r="F1268" s="7">
        <v>3.9529999999999996E-2</v>
      </c>
      <c r="G1268" s="7">
        <v>-2.5000000000000001E-3</v>
      </c>
    </row>
    <row r="1269" spans="2:7" x14ac:dyDescent="0.2">
      <c r="B1269" s="60">
        <v>37670</v>
      </c>
      <c r="C1269" s="7">
        <v>3.9800000000000002E-2</v>
      </c>
      <c r="D1269" s="7">
        <v>3.9800000000000002E-2</v>
      </c>
      <c r="E1269" s="7">
        <v>3.9800000000000002E-2</v>
      </c>
      <c r="F1269" s="7">
        <v>3.9800000000000002E-2</v>
      </c>
      <c r="G1269" s="7">
        <v>6.7999999999999996E-3</v>
      </c>
    </row>
    <row r="1270" spans="2:7" x14ac:dyDescent="0.2">
      <c r="B1270" s="60">
        <v>37671</v>
      </c>
      <c r="C1270" s="7">
        <v>3.916E-2</v>
      </c>
      <c r="D1270" s="7">
        <v>3.916E-2</v>
      </c>
      <c r="E1270" s="7">
        <v>3.916E-2</v>
      </c>
      <c r="F1270" s="7">
        <v>3.916E-2</v>
      </c>
      <c r="G1270" s="7">
        <v>-1.61E-2</v>
      </c>
    </row>
    <row r="1271" spans="2:7" x14ac:dyDescent="0.2">
      <c r="B1271" s="60">
        <v>37672</v>
      </c>
      <c r="C1271" s="7">
        <v>3.9E-2</v>
      </c>
      <c r="D1271" s="7">
        <v>3.9E-2</v>
      </c>
      <c r="E1271" s="7">
        <v>3.9E-2</v>
      </c>
      <c r="F1271" s="7">
        <v>3.9E-2</v>
      </c>
      <c r="G1271" s="7">
        <v>-4.1000000000000003E-3</v>
      </c>
    </row>
    <row r="1272" spans="2:7" x14ac:dyDescent="0.2">
      <c r="B1272" s="60">
        <v>37673</v>
      </c>
      <c r="C1272" s="7">
        <v>3.9030000000000002E-2</v>
      </c>
      <c r="D1272" s="7">
        <v>3.9030000000000002E-2</v>
      </c>
      <c r="E1272" s="7">
        <v>3.9030000000000002E-2</v>
      </c>
      <c r="F1272" s="7">
        <v>3.9030000000000002E-2</v>
      </c>
      <c r="G1272" s="7">
        <v>8.0000000000000004E-4</v>
      </c>
    </row>
    <row r="1273" spans="2:7" x14ac:dyDescent="0.2">
      <c r="B1273" s="60">
        <v>37676</v>
      </c>
      <c r="C1273" s="7">
        <v>3.8809999999999997E-2</v>
      </c>
      <c r="D1273" s="7">
        <v>3.8809999999999997E-2</v>
      </c>
      <c r="E1273" s="7">
        <v>3.8809999999999997E-2</v>
      </c>
      <c r="F1273" s="7">
        <v>3.8809999999999997E-2</v>
      </c>
      <c r="G1273" s="7">
        <v>-5.5999999999999999E-3</v>
      </c>
    </row>
    <row r="1274" spans="2:7" x14ac:dyDescent="0.2">
      <c r="B1274" s="60">
        <v>37677</v>
      </c>
      <c r="C1274" s="7">
        <v>3.8550000000000001E-2</v>
      </c>
      <c r="D1274" s="7">
        <v>3.8550000000000001E-2</v>
      </c>
      <c r="E1274" s="7">
        <v>3.8550000000000001E-2</v>
      </c>
      <c r="F1274" s="7">
        <v>3.8550000000000001E-2</v>
      </c>
      <c r="G1274" s="7">
        <v>-6.7000000000000002E-3</v>
      </c>
    </row>
    <row r="1275" spans="2:7" x14ac:dyDescent="0.2">
      <c r="B1275" s="60">
        <v>37678</v>
      </c>
      <c r="C1275" s="7">
        <v>3.8550000000000001E-2</v>
      </c>
      <c r="D1275" s="7">
        <v>3.8550000000000001E-2</v>
      </c>
      <c r="E1275" s="7">
        <v>3.8550000000000001E-2</v>
      </c>
      <c r="F1275" s="7">
        <v>3.8550000000000001E-2</v>
      </c>
      <c r="G1275" s="7">
        <v>0</v>
      </c>
    </row>
    <row r="1276" spans="2:7" x14ac:dyDescent="0.2">
      <c r="B1276" s="60">
        <v>37679</v>
      </c>
      <c r="C1276" s="7">
        <v>3.909E-2</v>
      </c>
      <c r="D1276" s="7">
        <v>3.909E-2</v>
      </c>
      <c r="E1276" s="7">
        <v>3.909E-2</v>
      </c>
      <c r="F1276" s="7">
        <v>3.909E-2</v>
      </c>
      <c r="G1276" s="7">
        <v>1.4E-2</v>
      </c>
    </row>
    <row r="1277" spans="2:7" x14ac:dyDescent="0.2">
      <c r="B1277" s="60">
        <v>37680</v>
      </c>
      <c r="C1277" s="7">
        <v>3.8960000000000002E-2</v>
      </c>
      <c r="D1277" s="7">
        <v>3.8960000000000002E-2</v>
      </c>
      <c r="E1277" s="7">
        <v>3.8960000000000002E-2</v>
      </c>
      <c r="F1277" s="7">
        <v>3.8960000000000002E-2</v>
      </c>
      <c r="G1277" s="7">
        <v>-3.3E-3</v>
      </c>
    </row>
    <row r="1278" spans="2:7" x14ac:dyDescent="0.2">
      <c r="B1278" s="60">
        <v>37683</v>
      </c>
      <c r="C1278" s="7">
        <v>3.8849999999999996E-2</v>
      </c>
      <c r="D1278" s="7">
        <v>3.8849999999999996E-2</v>
      </c>
      <c r="E1278" s="7">
        <v>3.8849999999999996E-2</v>
      </c>
      <c r="F1278" s="7">
        <v>3.8849999999999996E-2</v>
      </c>
      <c r="G1278" s="7">
        <v>-2.8E-3</v>
      </c>
    </row>
    <row r="1279" spans="2:7" x14ac:dyDescent="0.2">
      <c r="B1279" s="60">
        <v>37684</v>
      </c>
      <c r="C1279" s="7">
        <v>3.882E-2</v>
      </c>
      <c r="D1279" s="7">
        <v>3.882E-2</v>
      </c>
      <c r="E1279" s="7">
        <v>3.882E-2</v>
      </c>
      <c r="F1279" s="7">
        <v>3.882E-2</v>
      </c>
      <c r="G1279" s="7">
        <v>-8.0000000000000004E-4</v>
      </c>
    </row>
    <row r="1280" spans="2:7" x14ac:dyDescent="0.2">
      <c r="B1280" s="60">
        <v>37685</v>
      </c>
      <c r="C1280" s="7">
        <v>3.8730000000000001E-2</v>
      </c>
      <c r="D1280" s="7">
        <v>3.8730000000000001E-2</v>
      </c>
      <c r="E1280" s="7">
        <v>3.8730000000000001E-2</v>
      </c>
      <c r="F1280" s="7">
        <v>3.8730000000000001E-2</v>
      </c>
      <c r="G1280" s="7">
        <v>-2.3E-3</v>
      </c>
    </row>
    <row r="1281" spans="2:7" x14ac:dyDescent="0.2">
      <c r="B1281" s="60">
        <v>37686</v>
      </c>
      <c r="C1281" s="7">
        <v>3.848E-2</v>
      </c>
      <c r="D1281" s="7">
        <v>3.848E-2</v>
      </c>
      <c r="E1281" s="7">
        <v>3.848E-2</v>
      </c>
      <c r="F1281" s="7">
        <v>3.848E-2</v>
      </c>
      <c r="G1281" s="7">
        <v>-6.4999999999999997E-3</v>
      </c>
    </row>
    <row r="1282" spans="2:7" x14ac:dyDescent="0.2">
      <c r="B1282" s="60">
        <v>37687</v>
      </c>
      <c r="C1282" s="7">
        <v>3.8339999999999999E-2</v>
      </c>
      <c r="D1282" s="7">
        <v>3.8339999999999999E-2</v>
      </c>
      <c r="E1282" s="7">
        <v>3.8339999999999999E-2</v>
      </c>
      <c r="F1282" s="7">
        <v>3.8339999999999999E-2</v>
      </c>
      <c r="G1282" s="7">
        <v>-3.5999999999999999E-3</v>
      </c>
    </row>
    <row r="1283" spans="2:7" x14ac:dyDescent="0.2">
      <c r="B1283" s="60">
        <v>37690</v>
      </c>
      <c r="C1283" s="7">
        <v>3.7940000000000002E-2</v>
      </c>
      <c r="D1283" s="7">
        <v>3.7940000000000002E-2</v>
      </c>
      <c r="E1283" s="7">
        <v>3.7940000000000002E-2</v>
      </c>
      <c r="F1283" s="7">
        <v>3.7940000000000002E-2</v>
      </c>
      <c r="G1283" s="7">
        <v>-1.04E-2</v>
      </c>
    </row>
    <row r="1284" spans="2:7" x14ac:dyDescent="0.2">
      <c r="B1284" s="60">
        <v>37691</v>
      </c>
      <c r="C1284" s="7">
        <v>3.8039999999999997E-2</v>
      </c>
      <c r="D1284" s="7">
        <v>3.8039999999999997E-2</v>
      </c>
      <c r="E1284" s="7">
        <v>3.8039999999999997E-2</v>
      </c>
      <c r="F1284" s="7">
        <v>3.8039999999999997E-2</v>
      </c>
      <c r="G1284" s="7">
        <v>2.5999999999999999E-3</v>
      </c>
    </row>
    <row r="1285" spans="2:7" x14ac:dyDescent="0.2">
      <c r="B1285" s="60">
        <v>37692</v>
      </c>
      <c r="C1285" s="7">
        <v>3.8089999999999999E-2</v>
      </c>
      <c r="D1285" s="7">
        <v>3.8089999999999999E-2</v>
      </c>
      <c r="E1285" s="7">
        <v>3.8089999999999999E-2</v>
      </c>
      <c r="F1285" s="7">
        <v>3.8089999999999999E-2</v>
      </c>
      <c r="G1285" s="7">
        <v>1.2999999999999999E-3</v>
      </c>
    </row>
    <row r="1286" spans="2:7" x14ac:dyDescent="0.2">
      <c r="B1286" s="60">
        <v>37693</v>
      </c>
      <c r="C1286" s="7">
        <v>3.9449999999999999E-2</v>
      </c>
      <c r="D1286" s="7">
        <v>3.9449999999999999E-2</v>
      </c>
      <c r="E1286" s="7">
        <v>3.9449999999999999E-2</v>
      </c>
      <c r="F1286" s="7">
        <v>3.9449999999999999E-2</v>
      </c>
      <c r="G1286" s="7">
        <v>3.5700000000000003E-2</v>
      </c>
    </row>
    <row r="1287" spans="2:7" x14ac:dyDescent="0.2">
      <c r="B1287" s="60">
        <v>37694</v>
      </c>
      <c r="C1287" s="7">
        <v>3.977E-2</v>
      </c>
      <c r="D1287" s="7">
        <v>3.977E-2</v>
      </c>
      <c r="E1287" s="7">
        <v>3.977E-2</v>
      </c>
      <c r="F1287" s="7">
        <v>3.977E-2</v>
      </c>
      <c r="G1287" s="7">
        <v>8.0999999999999996E-3</v>
      </c>
    </row>
    <row r="1288" spans="2:7" x14ac:dyDescent="0.2">
      <c r="B1288" s="60">
        <v>37697</v>
      </c>
      <c r="C1288" s="7">
        <v>4.086E-2</v>
      </c>
      <c r="D1288" s="7">
        <v>4.086E-2</v>
      </c>
      <c r="E1288" s="7">
        <v>4.086E-2</v>
      </c>
      <c r="F1288" s="7">
        <v>4.086E-2</v>
      </c>
      <c r="G1288" s="7">
        <v>2.7400000000000001E-2</v>
      </c>
    </row>
    <row r="1289" spans="2:7" x14ac:dyDescent="0.2">
      <c r="B1289" s="60">
        <v>37698</v>
      </c>
      <c r="C1289" s="7">
        <v>4.1169999999999998E-2</v>
      </c>
      <c r="D1289" s="7">
        <v>4.1169999999999998E-2</v>
      </c>
      <c r="E1289" s="7">
        <v>4.1169999999999998E-2</v>
      </c>
      <c r="F1289" s="7">
        <v>4.1169999999999998E-2</v>
      </c>
      <c r="G1289" s="7">
        <v>7.6E-3</v>
      </c>
    </row>
    <row r="1290" spans="2:7" x14ac:dyDescent="0.2">
      <c r="B1290" s="60">
        <v>37699</v>
      </c>
      <c r="C1290" s="7">
        <v>4.2099999999999999E-2</v>
      </c>
      <c r="D1290" s="7">
        <v>4.2099999999999999E-2</v>
      </c>
      <c r="E1290" s="7">
        <v>4.2099999999999999E-2</v>
      </c>
      <c r="F1290" s="7">
        <v>4.2099999999999999E-2</v>
      </c>
      <c r="G1290" s="7">
        <v>2.2599999999999999E-2</v>
      </c>
    </row>
    <row r="1291" spans="2:7" x14ac:dyDescent="0.2">
      <c r="B1291" s="60">
        <v>37700</v>
      </c>
      <c r="C1291" s="7">
        <v>4.1550000000000004E-2</v>
      </c>
      <c r="D1291" s="7">
        <v>4.1550000000000004E-2</v>
      </c>
      <c r="E1291" s="7">
        <v>4.1550000000000004E-2</v>
      </c>
      <c r="F1291" s="7">
        <v>4.1550000000000004E-2</v>
      </c>
      <c r="G1291" s="7">
        <v>-1.3100000000000001E-2</v>
      </c>
    </row>
    <row r="1292" spans="2:7" x14ac:dyDescent="0.2">
      <c r="B1292" s="60">
        <v>37701</v>
      </c>
      <c r="C1292" s="7">
        <v>4.2640000000000004E-2</v>
      </c>
      <c r="D1292" s="7">
        <v>4.2640000000000004E-2</v>
      </c>
      <c r="E1292" s="7">
        <v>4.2640000000000004E-2</v>
      </c>
      <c r="F1292" s="7">
        <v>4.2640000000000004E-2</v>
      </c>
      <c r="G1292" s="7">
        <v>2.6200000000000001E-2</v>
      </c>
    </row>
    <row r="1293" spans="2:7" x14ac:dyDescent="0.2">
      <c r="B1293" s="60">
        <v>37704</v>
      </c>
      <c r="C1293" s="7">
        <v>4.1939999999999998E-2</v>
      </c>
      <c r="D1293" s="7">
        <v>4.1939999999999998E-2</v>
      </c>
      <c r="E1293" s="7">
        <v>4.1939999999999998E-2</v>
      </c>
      <c r="F1293" s="7">
        <v>4.1939999999999998E-2</v>
      </c>
      <c r="G1293" s="7">
        <v>-1.6400000000000001E-2</v>
      </c>
    </row>
    <row r="1294" spans="2:7" x14ac:dyDescent="0.2">
      <c r="B1294" s="60">
        <v>37705</v>
      </c>
      <c r="C1294" s="7">
        <v>4.1529999999999997E-2</v>
      </c>
      <c r="D1294" s="7">
        <v>4.1529999999999997E-2</v>
      </c>
      <c r="E1294" s="7">
        <v>4.1529999999999997E-2</v>
      </c>
      <c r="F1294" s="7">
        <v>4.1529999999999997E-2</v>
      </c>
      <c r="G1294" s="7">
        <v>-9.7999999999999997E-3</v>
      </c>
    </row>
    <row r="1295" spans="2:7" x14ac:dyDescent="0.2">
      <c r="B1295" s="60">
        <v>37706</v>
      </c>
      <c r="C1295" s="7">
        <v>4.1919999999999999E-2</v>
      </c>
      <c r="D1295" s="7">
        <v>4.1919999999999999E-2</v>
      </c>
      <c r="E1295" s="7">
        <v>4.1919999999999999E-2</v>
      </c>
      <c r="F1295" s="7">
        <v>4.1919999999999999E-2</v>
      </c>
      <c r="G1295" s="7">
        <v>9.4000000000000004E-3</v>
      </c>
    </row>
    <row r="1296" spans="2:7" x14ac:dyDescent="0.2">
      <c r="B1296" s="60">
        <v>37707</v>
      </c>
      <c r="C1296" s="7">
        <v>4.1399999999999999E-2</v>
      </c>
      <c r="D1296" s="7">
        <v>4.1399999999999999E-2</v>
      </c>
      <c r="E1296" s="7">
        <v>4.1399999999999999E-2</v>
      </c>
      <c r="F1296" s="7">
        <v>4.1399999999999999E-2</v>
      </c>
      <c r="G1296" s="7">
        <v>-1.24E-2</v>
      </c>
    </row>
    <row r="1297" spans="2:7" x14ac:dyDescent="0.2">
      <c r="B1297" s="60">
        <v>37708</v>
      </c>
      <c r="C1297" s="7">
        <v>4.1130000000000007E-2</v>
      </c>
      <c r="D1297" s="7">
        <v>4.1130000000000007E-2</v>
      </c>
      <c r="E1297" s="7">
        <v>4.1130000000000007E-2</v>
      </c>
      <c r="F1297" s="7">
        <v>4.1130000000000007E-2</v>
      </c>
      <c r="G1297" s="7">
        <v>-6.4999999999999997E-3</v>
      </c>
    </row>
    <row r="1298" spans="2:7" x14ac:dyDescent="0.2">
      <c r="B1298" s="60">
        <v>37711</v>
      </c>
      <c r="C1298" s="7">
        <v>4.0330000000000005E-2</v>
      </c>
      <c r="D1298" s="7">
        <v>4.0330000000000005E-2</v>
      </c>
      <c r="E1298" s="7">
        <v>4.0330000000000005E-2</v>
      </c>
      <c r="F1298" s="7">
        <v>4.0330000000000005E-2</v>
      </c>
      <c r="G1298" s="7">
        <v>-1.95E-2</v>
      </c>
    </row>
    <row r="1299" spans="2:7" x14ac:dyDescent="0.2">
      <c r="B1299" s="60">
        <v>37712</v>
      </c>
      <c r="C1299" s="7">
        <v>4.0209999999999996E-2</v>
      </c>
      <c r="D1299" s="7">
        <v>4.0209999999999996E-2</v>
      </c>
      <c r="E1299" s="7">
        <v>4.0209999999999996E-2</v>
      </c>
      <c r="F1299" s="7">
        <v>4.0209999999999996E-2</v>
      </c>
      <c r="G1299" s="7">
        <v>-3.0000000000000001E-3</v>
      </c>
    </row>
    <row r="1300" spans="2:7" x14ac:dyDescent="0.2">
      <c r="B1300" s="60">
        <v>37713</v>
      </c>
      <c r="C1300" s="7">
        <v>4.1349999999999998E-2</v>
      </c>
      <c r="D1300" s="7">
        <v>4.1349999999999998E-2</v>
      </c>
      <c r="E1300" s="7">
        <v>4.1349999999999998E-2</v>
      </c>
      <c r="F1300" s="7">
        <v>4.1349999999999998E-2</v>
      </c>
      <c r="G1300" s="7">
        <v>2.8400000000000002E-2</v>
      </c>
    </row>
    <row r="1301" spans="2:7" x14ac:dyDescent="0.2">
      <c r="B1301" s="60">
        <v>37714</v>
      </c>
      <c r="C1301" s="7">
        <v>4.1360000000000001E-2</v>
      </c>
      <c r="D1301" s="7">
        <v>4.1360000000000001E-2</v>
      </c>
      <c r="E1301" s="7">
        <v>4.1360000000000001E-2</v>
      </c>
      <c r="F1301" s="7">
        <v>4.1360000000000001E-2</v>
      </c>
      <c r="G1301" s="7">
        <v>2.0000000000000001E-4</v>
      </c>
    </row>
    <row r="1302" spans="2:7" x14ac:dyDescent="0.2">
      <c r="B1302" s="60">
        <v>37715</v>
      </c>
      <c r="C1302" s="7">
        <v>4.1779999999999998E-2</v>
      </c>
      <c r="D1302" s="7">
        <v>4.1779999999999998E-2</v>
      </c>
      <c r="E1302" s="7">
        <v>4.1779999999999998E-2</v>
      </c>
      <c r="F1302" s="7">
        <v>4.1779999999999998E-2</v>
      </c>
      <c r="G1302" s="7">
        <v>1.0200000000000001E-2</v>
      </c>
    </row>
    <row r="1303" spans="2:7" x14ac:dyDescent="0.2">
      <c r="B1303" s="60">
        <v>37718</v>
      </c>
      <c r="C1303" s="7">
        <v>4.199E-2</v>
      </c>
      <c r="D1303" s="7">
        <v>4.199E-2</v>
      </c>
      <c r="E1303" s="7">
        <v>4.199E-2</v>
      </c>
      <c r="F1303" s="7">
        <v>4.199E-2</v>
      </c>
      <c r="G1303" s="7">
        <v>5.0000000000000001E-3</v>
      </c>
    </row>
    <row r="1304" spans="2:7" x14ac:dyDescent="0.2">
      <c r="B1304" s="60">
        <v>37719</v>
      </c>
      <c r="C1304" s="7">
        <v>4.2140000000000004E-2</v>
      </c>
      <c r="D1304" s="7">
        <v>4.2140000000000004E-2</v>
      </c>
      <c r="E1304" s="7">
        <v>4.2140000000000004E-2</v>
      </c>
      <c r="F1304" s="7">
        <v>4.2140000000000004E-2</v>
      </c>
      <c r="G1304" s="7">
        <v>3.5999999999999999E-3</v>
      </c>
    </row>
    <row r="1305" spans="2:7" x14ac:dyDescent="0.2">
      <c r="B1305" s="60">
        <v>37720</v>
      </c>
      <c r="C1305" s="7">
        <v>4.1479999999999996E-2</v>
      </c>
      <c r="D1305" s="7">
        <v>4.1479999999999996E-2</v>
      </c>
      <c r="E1305" s="7">
        <v>4.1479999999999996E-2</v>
      </c>
      <c r="F1305" s="7">
        <v>4.1479999999999996E-2</v>
      </c>
      <c r="G1305" s="7">
        <v>-1.5699999999999999E-2</v>
      </c>
    </row>
    <row r="1306" spans="2:7" x14ac:dyDescent="0.2">
      <c r="B1306" s="60">
        <v>37721</v>
      </c>
      <c r="C1306" s="7">
        <v>4.1319999999999996E-2</v>
      </c>
      <c r="D1306" s="7">
        <v>4.1319999999999996E-2</v>
      </c>
      <c r="E1306" s="7">
        <v>4.1319999999999996E-2</v>
      </c>
      <c r="F1306" s="7">
        <v>4.1319999999999996E-2</v>
      </c>
      <c r="G1306" s="7">
        <v>-3.8999999999999998E-3</v>
      </c>
    </row>
    <row r="1307" spans="2:7" x14ac:dyDescent="0.2">
      <c r="B1307" s="60">
        <v>37722</v>
      </c>
      <c r="C1307" s="7">
        <v>4.1689999999999998E-2</v>
      </c>
      <c r="D1307" s="7">
        <v>4.1689999999999998E-2</v>
      </c>
      <c r="E1307" s="7">
        <v>4.1689999999999998E-2</v>
      </c>
      <c r="F1307" s="7">
        <v>4.1689999999999998E-2</v>
      </c>
      <c r="G1307" s="7">
        <v>8.9999999999999993E-3</v>
      </c>
    </row>
    <row r="1308" spans="2:7" x14ac:dyDescent="0.2">
      <c r="B1308" s="60">
        <v>37725</v>
      </c>
      <c r="C1308" s="7">
        <v>4.2229999999999997E-2</v>
      </c>
      <c r="D1308" s="7">
        <v>4.2229999999999997E-2</v>
      </c>
      <c r="E1308" s="7">
        <v>4.2229999999999997E-2</v>
      </c>
      <c r="F1308" s="7">
        <v>4.2229999999999997E-2</v>
      </c>
      <c r="G1308" s="7">
        <v>1.2999999999999999E-2</v>
      </c>
    </row>
    <row r="1309" spans="2:7" x14ac:dyDescent="0.2">
      <c r="B1309" s="60">
        <v>37726</v>
      </c>
      <c r="C1309" s="7">
        <v>4.2000000000000003E-2</v>
      </c>
      <c r="D1309" s="7">
        <v>4.2000000000000003E-2</v>
      </c>
      <c r="E1309" s="7">
        <v>4.2000000000000003E-2</v>
      </c>
      <c r="F1309" s="7">
        <v>4.2000000000000003E-2</v>
      </c>
      <c r="G1309" s="7">
        <v>-5.4000000000000003E-3</v>
      </c>
    </row>
    <row r="1310" spans="2:7" x14ac:dyDescent="0.2">
      <c r="B1310" s="60">
        <v>37727</v>
      </c>
      <c r="C1310" s="7">
        <v>4.147E-2</v>
      </c>
      <c r="D1310" s="7">
        <v>4.147E-2</v>
      </c>
      <c r="E1310" s="7">
        <v>4.147E-2</v>
      </c>
      <c r="F1310" s="7">
        <v>4.147E-2</v>
      </c>
      <c r="G1310" s="7">
        <v>-1.26E-2</v>
      </c>
    </row>
    <row r="1311" spans="2:7" x14ac:dyDescent="0.2">
      <c r="B1311" s="60">
        <v>37728</v>
      </c>
      <c r="C1311" s="7">
        <v>4.1139999999999996E-2</v>
      </c>
      <c r="D1311" s="7">
        <v>4.1139999999999996E-2</v>
      </c>
      <c r="E1311" s="7">
        <v>4.1139999999999996E-2</v>
      </c>
      <c r="F1311" s="7">
        <v>4.1139999999999996E-2</v>
      </c>
      <c r="G1311" s="7">
        <v>-8.0000000000000002E-3</v>
      </c>
    </row>
    <row r="1312" spans="2:7" x14ac:dyDescent="0.2">
      <c r="B1312" s="60">
        <v>37729</v>
      </c>
      <c r="C1312" s="7">
        <v>4.181E-2</v>
      </c>
      <c r="D1312" s="7">
        <v>4.181E-2</v>
      </c>
      <c r="E1312" s="7">
        <v>4.181E-2</v>
      </c>
      <c r="F1312" s="7">
        <v>4.181E-2</v>
      </c>
      <c r="G1312" s="7">
        <v>1.6299999999999999E-2</v>
      </c>
    </row>
    <row r="1313" spans="2:7" x14ac:dyDescent="0.2">
      <c r="B1313" s="60">
        <v>37732</v>
      </c>
      <c r="C1313" s="7">
        <v>4.1139999999999996E-2</v>
      </c>
      <c r="D1313" s="7">
        <v>4.1139999999999996E-2</v>
      </c>
      <c r="E1313" s="7">
        <v>4.1139999999999996E-2</v>
      </c>
      <c r="F1313" s="7">
        <v>4.1139999999999996E-2</v>
      </c>
      <c r="G1313" s="7">
        <v>-1.6E-2</v>
      </c>
    </row>
    <row r="1314" spans="2:7" x14ac:dyDescent="0.2">
      <c r="B1314" s="60">
        <v>37733</v>
      </c>
      <c r="C1314" s="7">
        <v>4.1139999999999996E-2</v>
      </c>
      <c r="D1314" s="7">
        <v>4.1139999999999996E-2</v>
      </c>
      <c r="E1314" s="7">
        <v>4.1139999999999996E-2</v>
      </c>
      <c r="F1314" s="7">
        <v>4.1139999999999996E-2</v>
      </c>
      <c r="G1314" s="7">
        <v>0</v>
      </c>
    </row>
    <row r="1315" spans="2:7" x14ac:dyDescent="0.2">
      <c r="B1315" s="60">
        <v>37734</v>
      </c>
      <c r="C1315" s="7">
        <v>4.1550000000000004E-2</v>
      </c>
      <c r="D1315" s="7">
        <v>4.1550000000000004E-2</v>
      </c>
      <c r="E1315" s="7">
        <v>4.1550000000000004E-2</v>
      </c>
      <c r="F1315" s="7">
        <v>4.1550000000000004E-2</v>
      </c>
      <c r="G1315" s="7">
        <v>0.01</v>
      </c>
    </row>
    <row r="1316" spans="2:7" x14ac:dyDescent="0.2">
      <c r="B1316" s="60">
        <v>37735</v>
      </c>
      <c r="C1316" s="7">
        <v>4.095E-2</v>
      </c>
      <c r="D1316" s="7">
        <v>4.095E-2</v>
      </c>
      <c r="E1316" s="7">
        <v>4.095E-2</v>
      </c>
      <c r="F1316" s="7">
        <v>4.095E-2</v>
      </c>
      <c r="G1316" s="7">
        <v>-1.44E-2</v>
      </c>
    </row>
    <row r="1317" spans="2:7" x14ac:dyDescent="0.2">
      <c r="B1317" s="60">
        <v>37736</v>
      </c>
      <c r="C1317" s="7">
        <v>4.0890000000000003E-2</v>
      </c>
      <c r="D1317" s="7">
        <v>4.0890000000000003E-2</v>
      </c>
      <c r="E1317" s="7">
        <v>4.0890000000000003E-2</v>
      </c>
      <c r="F1317" s="7">
        <v>4.0890000000000003E-2</v>
      </c>
      <c r="G1317" s="7">
        <v>-1.5E-3</v>
      </c>
    </row>
    <row r="1318" spans="2:7" x14ac:dyDescent="0.2">
      <c r="B1318" s="60">
        <v>37739</v>
      </c>
      <c r="C1318" s="7">
        <v>4.1079999999999998E-2</v>
      </c>
      <c r="D1318" s="7">
        <v>4.1079999999999998E-2</v>
      </c>
      <c r="E1318" s="7">
        <v>4.1079999999999998E-2</v>
      </c>
      <c r="F1318" s="7">
        <v>4.1079999999999998E-2</v>
      </c>
      <c r="G1318" s="7">
        <v>4.5999999999999999E-3</v>
      </c>
    </row>
    <row r="1319" spans="2:7" x14ac:dyDescent="0.2">
      <c r="B1319" s="60">
        <v>37740</v>
      </c>
      <c r="C1319" s="7">
        <v>4.1360000000000001E-2</v>
      </c>
      <c r="D1319" s="7">
        <v>4.1360000000000001E-2</v>
      </c>
      <c r="E1319" s="7">
        <v>4.1360000000000001E-2</v>
      </c>
      <c r="F1319" s="7">
        <v>4.1360000000000001E-2</v>
      </c>
      <c r="G1319" s="7">
        <v>6.7999999999999996E-3</v>
      </c>
    </row>
    <row r="1320" spans="2:7" x14ac:dyDescent="0.2">
      <c r="B1320" s="60">
        <v>37741</v>
      </c>
      <c r="C1320" s="7">
        <v>4.0650000000000006E-2</v>
      </c>
      <c r="D1320" s="7">
        <v>4.0650000000000006E-2</v>
      </c>
      <c r="E1320" s="7">
        <v>4.0650000000000006E-2</v>
      </c>
      <c r="F1320" s="7">
        <v>4.0650000000000006E-2</v>
      </c>
      <c r="G1320" s="7">
        <v>-1.72E-2</v>
      </c>
    </row>
    <row r="1321" spans="2:7" x14ac:dyDescent="0.2">
      <c r="B1321" s="60">
        <v>37742</v>
      </c>
      <c r="C1321" s="7">
        <v>4.0430000000000001E-2</v>
      </c>
      <c r="D1321" s="7">
        <v>4.0430000000000001E-2</v>
      </c>
      <c r="E1321" s="7">
        <v>4.0430000000000001E-2</v>
      </c>
      <c r="F1321" s="7">
        <v>4.0430000000000001E-2</v>
      </c>
      <c r="G1321" s="7">
        <v>-5.4000000000000003E-3</v>
      </c>
    </row>
    <row r="1322" spans="2:7" x14ac:dyDescent="0.2">
      <c r="B1322" s="60">
        <v>37743</v>
      </c>
      <c r="C1322" s="7">
        <v>4.0590000000000001E-2</v>
      </c>
      <c r="D1322" s="7">
        <v>4.0590000000000001E-2</v>
      </c>
      <c r="E1322" s="7">
        <v>4.0590000000000001E-2</v>
      </c>
      <c r="F1322" s="7">
        <v>4.0590000000000001E-2</v>
      </c>
      <c r="G1322" s="7">
        <v>4.0000000000000001E-3</v>
      </c>
    </row>
    <row r="1323" spans="2:7" x14ac:dyDescent="0.2">
      <c r="B1323" s="60">
        <v>37746</v>
      </c>
      <c r="C1323" s="7">
        <v>4.0650000000000006E-2</v>
      </c>
      <c r="D1323" s="7">
        <v>4.0650000000000006E-2</v>
      </c>
      <c r="E1323" s="7">
        <v>4.0650000000000006E-2</v>
      </c>
      <c r="F1323" s="7">
        <v>4.0650000000000006E-2</v>
      </c>
      <c r="G1323" s="7">
        <v>1.5E-3</v>
      </c>
    </row>
    <row r="1324" spans="2:7" x14ac:dyDescent="0.2">
      <c r="B1324" s="60">
        <v>37747</v>
      </c>
      <c r="C1324" s="7">
        <v>4.07E-2</v>
      </c>
      <c r="D1324" s="7">
        <v>4.07E-2</v>
      </c>
      <c r="E1324" s="7">
        <v>4.07E-2</v>
      </c>
      <c r="F1324" s="7">
        <v>4.07E-2</v>
      </c>
      <c r="G1324" s="7">
        <v>1.1999999999999999E-3</v>
      </c>
    </row>
    <row r="1325" spans="2:7" x14ac:dyDescent="0.2">
      <c r="B1325" s="60">
        <v>37748</v>
      </c>
      <c r="C1325" s="7">
        <v>3.9640000000000002E-2</v>
      </c>
      <c r="D1325" s="7">
        <v>3.9640000000000002E-2</v>
      </c>
      <c r="E1325" s="7">
        <v>3.9640000000000002E-2</v>
      </c>
      <c r="F1325" s="7">
        <v>3.9640000000000002E-2</v>
      </c>
      <c r="G1325" s="7">
        <v>-2.5999999999999999E-2</v>
      </c>
    </row>
    <row r="1326" spans="2:7" x14ac:dyDescent="0.2">
      <c r="B1326" s="60">
        <v>37749</v>
      </c>
      <c r="C1326" s="7">
        <v>3.9129999999999998E-2</v>
      </c>
      <c r="D1326" s="7">
        <v>3.9129999999999998E-2</v>
      </c>
      <c r="E1326" s="7">
        <v>3.9129999999999998E-2</v>
      </c>
      <c r="F1326" s="7">
        <v>3.9129999999999998E-2</v>
      </c>
      <c r="G1326" s="7">
        <v>-1.29E-2</v>
      </c>
    </row>
    <row r="1327" spans="2:7" x14ac:dyDescent="0.2">
      <c r="B1327" s="60">
        <v>37750</v>
      </c>
      <c r="C1327" s="7">
        <v>3.916E-2</v>
      </c>
      <c r="D1327" s="7">
        <v>3.916E-2</v>
      </c>
      <c r="E1327" s="7">
        <v>3.916E-2</v>
      </c>
      <c r="F1327" s="7">
        <v>3.916E-2</v>
      </c>
      <c r="G1327" s="7">
        <v>8.0000000000000004E-4</v>
      </c>
    </row>
    <row r="1328" spans="2:7" x14ac:dyDescent="0.2">
      <c r="B1328" s="60">
        <v>37753</v>
      </c>
      <c r="C1328" s="7">
        <v>3.8800000000000001E-2</v>
      </c>
      <c r="D1328" s="7">
        <v>3.8800000000000001E-2</v>
      </c>
      <c r="E1328" s="7">
        <v>3.8800000000000001E-2</v>
      </c>
      <c r="F1328" s="7">
        <v>3.8800000000000001E-2</v>
      </c>
      <c r="G1328" s="7">
        <v>-9.1999999999999998E-3</v>
      </c>
    </row>
    <row r="1329" spans="2:7" x14ac:dyDescent="0.2">
      <c r="B1329" s="60">
        <v>37754</v>
      </c>
      <c r="C1329" s="7">
        <v>3.8870000000000002E-2</v>
      </c>
      <c r="D1329" s="7">
        <v>3.8870000000000002E-2</v>
      </c>
      <c r="E1329" s="7">
        <v>3.8870000000000002E-2</v>
      </c>
      <c r="F1329" s="7">
        <v>3.8870000000000002E-2</v>
      </c>
      <c r="G1329" s="7">
        <v>1.8E-3</v>
      </c>
    </row>
    <row r="1330" spans="2:7" x14ac:dyDescent="0.2">
      <c r="B1330" s="60">
        <v>37755</v>
      </c>
      <c r="C1330" s="7">
        <v>3.9E-2</v>
      </c>
      <c r="D1330" s="7">
        <v>3.9E-2</v>
      </c>
      <c r="E1330" s="7">
        <v>3.9E-2</v>
      </c>
      <c r="F1330" s="7">
        <v>3.9E-2</v>
      </c>
      <c r="G1330" s="7">
        <v>3.3E-3</v>
      </c>
    </row>
    <row r="1331" spans="2:7" x14ac:dyDescent="0.2">
      <c r="B1331" s="60">
        <v>37756</v>
      </c>
      <c r="C1331" s="7">
        <v>3.8559999999999997E-2</v>
      </c>
      <c r="D1331" s="7">
        <v>3.8559999999999997E-2</v>
      </c>
      <c r="E1331" s="7">
        <v>3.8559999999999997E-2</v>
      </c>
      <c r="F1331" s="7">
        <v>3.8559999999999997E-2</v>
      </c>
      <c r="G1331" s="7">
        <v>-1.1299999999999999E-2</v>
      </c>
    </row>
    <row r="1332" spans="2:7" x14ac:dyDescent="0.2">
      <c r="B1332" s="60">
        <v>37757</v>
      </c>
      <c r="C1332" s="7">
        <v>3.8120000000000001E-2</v>
      </c>
      <c r="D1332" s="7">
        <v>3.8120000000000001E-2</v>
      </c>
      <c r="E1332" s="7">
        <v>3.8120000000000001E-2</v>
      </c>
      <c r="F1332" s="7">
        <v>3.8120000000000001E-2</v>
      </c>
      <c r="G1332" s="7">
        <v>-1.14E-2</v>
      </c>
    </row>
    <row r="1333" spans="2:7" x14ac:dyDescent="0.2">
      <c r="B1333" s="60">
        <v>37760</v>
      </c>
      <c r="C1333" s="7">
        <v>3.7409999999999999E-2</v>
      </c>
      <c r="D1333" s="7">
        <v>3.7409999999999999E-2</v>
      </c>
      <c r="E1333" s="7">
        <v>3.7409999999999999E-2</v>
      </c>
      <c r="F1333" s="7">
        <v>3.7409999999999999E-2</v>
      </c>
      <c r="G1333" s="7">
        <v>-1.8599999999999998E-2</v>
      </c>
    </row>
    <row r="1334" spans="2:7" x14ac:dyDescent="0.2">
      <c r="B1334" s="60">
        <v>37761</v>
      </c>
      <c r="C1334" s="7">
        <v>3.7269999999999998E-2</v>
      </c>
      <c r="D1334" s="7">
        <v>3.7269999999999998E-2</v>
      </c>
      <c r="E1334" s="7">
        <v>3.7269999999999998E-2</v>
      </c>
      <c r="F1334" s="7">
        <v>3.7269999999999998E-2</v>
      </c>
      <c r="G1334" s="7">
        <v>-3.7000000000000002E-3</v>
      </c>
    </row>
    <row r="1335" spans="2:7" x14ac:dyDescent="0.2">
      <c r="B1335" s="60">
        <v>37762</v>
      </c>
      <c r="C1335" s="7">
        <v>3.7060000000000003E-2</v>
      </c>
      <c r="D1335" s="7">
        <v>3.7060000000000003E-2</v>
      </c>
      <c r="E1335" s="7">
        <v>3.7060000000000003E-2</v>
      </c>
      <c r="F1335" s="7">
        <v>3.7060000000000003E-2</v>
      </c>
      <c r="G1335" s="7">
        <v>-5.5999999999999999E-3</v>
      </c>
    </row>
    <row r="1336" spans="2:7" x14ac:dyDescent="0.2">
      <c r="B1336" s="60">
        <v>37763</v>
      </c>
      <c r="C1336" s="7">
        <v>3.6889999999999999E-2</v>
      </c>
      <c r="D1336" s="7">
        <v>3.6889999999999999E-2</v>
      </c>
      <c r="E1336" s="7">
        <v>3.6889999999999999E-2</v>
      </c>
      <c r="F1336" s="7">
        <v>3.6889999999999999E-2</v>
      </c>
      <c r="G1336" s="7">
        <v>-4.5999999999999999E-3</v>
      </c>
    </row>
    <row r="1337" spans="2:7" x14ac:dyDescent="0.2">
      <c r="B1337" s="60">
        <v>37764</v>
      </c>
      <c r="C1337" s="7">
        <v>3.6269999999999997E-2</v>
      </c>
      <c r="D1337" s="7">
        <v>3.6269999999999997E-2</v>
      </c>
      <c r="E1337" s="7">
        <v>3.6269999999999997E-2</v>
      </c>
      <c r="F1337" s="7">
        <v>3.6269999999999997E-2</v>
      </c>
      <c r="G1337" s="7">
        <v>-1.6799999999999999E-2</v>
      </c>
    </row>
    <row r="1338" spans="2:7" x14ac:dyDescent="0.2">
      <c r="B1338" s="60">
        <v>37767</v>
      </c>
      <c r="C1338" s="7">
        <v>3.5790000000000002E-2</v>
      </c>
      <c r="D1338" s="7">
        <v>3.5790000000000002E-2</v>
      </c>
      <c r="E1338" s="7">
        <v>3.5790000000000002E-2</v>
      </c>
      <c r="F1338" s="7">
        <v>3.5790000000000002E-2</v>
      </c>
      <c r="G1338" s="7">
        <v>-1.32E-2</v>
      </c>
    </row>
    <row r="1339" spans="2:7" x14ac:dyDescent="0.2">
      <c r="B1339" s="60">
        <v>37768</v>
      </c>
      <c r="C1339" s="7">
        <v>3.678E-2</v>
      </c>
      <c r="D1339" s="7">
        <v>3.678E-2</v>
      </c>
      <c r="E1339" s="7">
        <v>3.678E-2</v>
      </c>
      <c r="F1339" s="7">
        <v>3.678E-2</v>
      </c>
      <c r="G1339" s="7">
        <v>2.7699999999999999E-2</v>
      </c>
    </row>
    <row r="1340" spans="2:7" x14ac:dyDescent="0.2">
      <c r="B1340" s="60">
        <v>37769</v>
      </c>
      <c r="C1340" s="7">
        <v>3.7610000000000005E-2</v>
      </c>
      <c r="D1340" s="7">
        <v>3.7610000000000005E-2</v>
      </c>
      <c r="E1340" s="7">
        <v>3.7610000000000005E-2</v>
      </c>
      <c r="F1340" s="7">
        <v>3.7610000000000005E-2</v>
      </c>
      <c r="G1340" s="7">
        <v>2.2599999999999999E-2</v>
      </c>
    </row>
    <row r="1341" spans="2:7" x14ac:dyDescent="0.2">
      <c r="B1341" s="60">
        <v>37770</v>
      </c>
      <c r="C1341" s="7">
        <v>3.6880000000000003E-2</v>
      </c>
      <c r="D1341" s="7">
        <v>3.6880000000000003E-2</v>
      </c>
      <c r="E1341" s="7">
        <v>3.6880000000000003E-2</v>
      </c>
      <c r="F1341" s="7">
        <v>3.6880000000000003E-2</v>
      </c>
      <c r="G1341" s="7">
        <v>-1.9400000000000001E-2</v>
      </c>
    </row>
    <row r="1342" spans="2:7" x14ac:dyDescent="0.2">
      <c r="B1342" s="60">
        <v>37771</v>
      </c>
      <c r="C1342" s="7">
        <v>3.6749999999999998E-2</v>
      </c>
      <c r="D1342" s="7">
        <v>3.6749999999999998E-2</v>
      </c>
      <c r="E1342" s="7">
        <v>3.6749999999999998E-2</v>
      </c>
      <c r="F1342" s="7">
        <v>3.6749999999999998E-2</v>
      </c>
      <c r="G1342" s="7">
        <v>-3.5000000000000001E-3</v>
      </c>
    </row>
    <row r="1343" spans="2:7" x14ac:dyDescent="0.2">
      <c r="B1343" s="60">
        <v>37774</v>
      </c>
      <c r="C1343" s="7">
        <v>3.737E-2</v>
      </c>
      <c r="D1343" s="7">
        <v>3.737E-2</v>
      </c>
      <c r="E1343" s="7">
        <v>3.737E-2</v>
      </c>
      <c r="F1343" s="7">
        <v>3.737E-2</v>
      </c>
      <c r="G1343" s="7">
        <v>1.6899999999999998E-2</v>
      </c>
    </row>
    <row r="1344" spans="2:7" x14ac:dyDescent="0.2">
      <c r="B1344" s="60">
        <v>37775</v>
      </c>
      <c r="C1344" s="7">
        <v>3.6150000000000002E-2</v>
      </c>
      <c r="D1344" s="7">
        <v>3.6150000000000002E-2</v>
      </c>
      <c r="E1344" s="7">
        <v>3.6150000000000002E-2</v>
      </c>
      <c r="F1344" s="7">
        <v>3.6150000000000002E-2</v>
      </c>
      <c r="G1344" s="7">
        <v>-3.2599999999999997E-2</v>
      </c>
    </row>
    <row r="1345" spans="2:7" x14ac:dyDescent="0.2">
      <c r="B1345" s="60">
        <v>37776</v>
      </c>
      <c r="C1345" s="7">
        <v>3.6220000000000002E-2</v>
      </c>
      <c r="D1345" s="7">
        <v>3.6220000000000002E-2</v>
      </c>
      <c r="E1345" s="7">
        <v>3.6220000000000002E-2</v>
      </c>
      <c r="F1345" s="7">
        <v>3.6220000000000002E-2</v>
      </c>
      <c r="G1345" s="7">
        <v>1.9E-3</v>
      </c>
    </row>
    <row r="1346" spans="2:7" x14ac:dyDescent="0.2">
      <c r="B1346" s="60">
        <v>37777</v>
      </c>
      <c r="C1346" s="7">
        <v>3.5979999999999998E-2</v>
      </c>
      <c r="D1346" s="7">
        <v>3.5979999999999998E-2</v>
      </c>
      <c r="E1346" s="7">
        <v>3.5979999999999998E-2</v>
      </c>
      <c r="F1346" s="7">
        <v>3.5979999999999998E-2</v>
      </c>
      <c r="G1346" s="7">
        <v>-6.6E-3</v>
      </c>
    </row>
    <row r="1347" spans="2:7" x14ac:dyDescent="0.2">
      <c r="B1347" s="60">
        <v>37778</v>
      </c>
      <c r="C1347" s="7">
        <v>3.6569999999999998E-2</v>
      </c>
      <c r="D1347" s="7">
        <v>3.6569999999999998E-2</v>
      </c>
      <c r="E1347" s="7">
        <v>3.6569999999999998E-2</v>
      </c>
      <c r="F1347" s="7">
        <v>3.6569999999999998E-2</v>
      </c>
      <c r="G1347" s="7">
        <v>1.6400000000000001E-2</v>
      </c>
    </row>
    <row r="1348" spans="2:7" x14ac:dyDescent="0.2">
      <c r="B1348" s="60">
        <v>37781</v>
      </c>
      <c r="C1348" s="7">
        <v>3.5810000000000002E-2</v>
      </c>
      <c r="D1348" s="7">
        <v>3.5810000000000002E-2</v>
      </c>
      <c r="E1348" s="7">
        <v>3.5810000000000002E-2</v>
      </c>
      <c r="F1348" s="7">
        <v>3.5810000000000002E-2</v>
      </c>
      <c r="G1348" s="7">
        <v>-2.0799999999999999E-2</v>
      </c>
    </row>
    <row r="1349" spans="2:7" x14ac:dyDescent="0.2">
      <c r="B1349" s="60">
        <v>37782</v>
      </c>
      <c r="C1349" s="7">
        <v>3.524E-2</v>
      </c>
      <c r="D1349" s="7">
        <v>3.524E-2</v>
      </c>
      <c r="E1349" s="7">
        <v>3.524E-2</v>
      </c>
      <c r="F1349" s="7">
        <v>3.524E-2</v>
      </c>
      <c r="G1349" s="7">
        <v>-1.5900000000000001E-2</v>
      </c>
    </row>
    <row r="1350" spans="2:7" x14ac:dyDescent="0.2">
      <c r="B1350" s="60">
        <v>37783</v>
      </c>
      <c r="C1350" s="7">
        <v>3.5110000000000002E-2</v>
      </c>
      <c r="D1350" s="7">
        <v>3.5110000000000002E-2</v>
      </c>
      <c r="E1350" s="7">
        <v>3.5110000000000002E-2</v>
      </c>
      <c r="F1350" s="7">
        <v>3.5110000000000002E-2</v>
      </c>
      <c r="G1350" s="7">
        <v>-3.7000000000000002E-3</v>
      </c>
    </row>
    <row r="1351" spans="2:7" x14ac:dyDescent="0.2">
      <c r="B1351" s="60">
        <v>37784</v>
      </c>
      <c r="C1351" s="7">
        <v>3.5130000000000002E-2</v>
      </c>
      <c r="D1351" s="7">
        <v>3.5130000000000002E-2</v>
      </c>
      <c r="E1351" s="7">
        <v>3.5130000000000002E-2</v>
      </c>
      <c r="F1351" s="7">
        <v>3.5130000000000002E-2</v>
      </c>
      <c r="G1351" s="7">
        <v>5.9999999999999995E-4</v>
      </c>
    </row>
    <row r="1352" spans="2:7" x14ac:dyDescent="0.2">
      <c r="B1352" s="60">
        <v>37785</v>
      </c>
      <c r="C1352" s="7">
        <v>3.4569999999999997E-2</v>
      </c>
      <c r="D1352" s="7">
        <v>3.4569999999999997E-2</v>
      </c>
      <c r="E1352" s="7">
        <v>3.4569999999999997E-2</v>
      </c>
      <c r="F1352" s="7">
        <v>3.4569999999999997E-2</v>
      </c>
      <c r="G1352" s="7">
        <v>-1.5900000000000001E-2</v>
      </c>
    </row>
    <row r="1353" spans="2:7" x14ac:dyDescent="0.2">
      <c r="B1353" s="60">
        <v>37788</v>
      </c>
      <c r="C1353" s="7">
        <v>3.4680000000000002E-2</v>
      </c>
      <c r="D1353" s="7">
        <v>3.4680000000000002E-2</v>
      </c>
      <c r="E1353" s="7">
        <v>3.4680000000000002E-2</v>
      </c>
      <c r="F1353" s="7">
        <v>3.4680000000000002E-2</v>
      </c>
      <c r="G1353" s="7">
        <v>3.2000000000000002E-3</v>
      </c>
    </row>
    <row r="1354" spans="2:7" x14ac:dyDescent="0.2">
      <c r="B1354" s="60">
        <v>37789</v>
      </c>
      <c r="C1354" s="7">
        <v>3.5369999999999999E-2</v>
      </c>
      <c r="D1354" s="7">
        <v>3.5369999999999999E-2</v>
      </c>
      <c r="E1354" s="7">
        <v>3.5369999999999999E-2</v>
      </c>
      <c r="F1354" s="7">
        <v>3.5369999999999999E-2</v>
      </c>
      <c r="G1354" s="7">
        <v>1.9900000000000001E-2</v>
      </c>
    </row>
    <row r="1355" spans="2:7" x14ac:dyDescent="0.2">
      <c r="B1355" s="60">
        <v>37790</v>
      </c>
      <c r="C1355" s="7">
        <v>3.6639999999999999E-2</v>
      </c>
      <c r="D1355" s="7">
        <v>3.6639999999999999E-2</v>
      </c>
      <c r="E1355" s="7">
        <v>3.6639999999999999E-2</v>
      </c>
      <c r="F1355" s="7">
        <v>3.6639999999999999E-2</v>
      </c>
      <c r="G1355" s="7">
        <v>3.5900000000000001E-2</v>
      </c>
    </row>
    <row r="1356" spans="2:7" x14ac:dyDescent="0.2">
      <c r="B1356" s="60">
        <v>37791</v>
      </c>
      <c r="C1356" s="7">
        <v>3.6560000000000002E-2</v>
      </c>
      <c r="D1356" s="7">
        <v>3.6560000000000002E-2</v>
      </c>
      <c r="E1356" s="7">
        <v>3.6560000000000002E-2</v>
      </c>
      <c r="F1356" s="7">
        <v>3.6560000000000002E-2</v>
      </c>
      <c r="G1356" s="7">
        <v>-2.2000000000000001E-3</v>
      </c>
    </row>
    <row r="1357" spans="2:7" x14ac:dyDescent="0.2">
      <c r="B1357" s="60">
        <v>37792</v>
      </c>
      <c r="C1357" s="7">
        <v>3.6670000000000001E-2</v>
      </c>
      <c r="D1357" s="7">
        <v>3.6670000000000001E-2</v>
      </c>
      <c r="E1357" s="7">
        <v>3.6670000000000001E-2</v>
      </c>
      <c r="F1357" s="7">
        <v>3.6670000000000001E-2</v>
      </c>
      <c r="G1357" s="7">
        <v>3.0000000000000001E-3</v>
      </c>
    </row>
    <row r="1358" spans="2:7" x14ac:dyDescent="0.2">
      <c r="B1358" s="60">
        <v>37795</v>
      </c>
      <c r="C1358" s="7">
        <v>3.671E-2</v>
      </c>
      <c r="D1358" s="7">
        <v>3.671E-2</v>
      </c>
      <c r="E1358" s="7">
        <v>3.671E-2</v>
      </c>
      <c r="F1358" s="7">
        <v>3.671E-2</v>
      </c>
      <c r="G1358" s="7">
        <v>1.1000000000000001E-3</v>
      </c>
    </row>
    <row r="1359" spans="2:7" x14ac:dyDescent="0.2">
      <c r="B1359" s="60">
        <v>37796</v>
      </c>
      <c r="C1359" s="7">
        <v>3.6600000000000001E-2</v>
      </c>
      <c r="D1359" s="7">
        <v>3.6600000000000001E-2</v>
      </c>
      <c r="E1359" s="7">
        <v>3.6600000000000001E-2</v>
      </c>
      <c r="F1359" s="7">
        <v>3.6600000000000001E-2</v>
      </c>
      <c r="G1359" s="7">
        <v>-3.0000000000000001E-3</v>
      </c>
    </row>
    <row r="1360" spans="2:7" x14ac:dyDescent="0.2">
      <c r="B1360" s="60">
        <v>37797</v>
      </c>
      <c r="C1360" s="7">
        <v>3.6000000000000004E-2</v>
      </c>
      <c r="D1360" s="7">
        <v>3.6000000000000004E-2</v>
      </c>
      <c r="E1360" s="7">
        <v>3.6000000000000004E-2</v>
      </c>
      <c r="F1360" s="7">
        <v>3.6000000000000004E-2</v>
      </c>
      <c r="G1360" s="7">
        <v>-1.6400000000000001E-2</v>
      </c>
    </row>
    <row r="1361" spans="2:7" x14ac:dyDescent="0.2">
      <c r="B1361" s="60">
        <v>37798</v>
      </c>
      <c r="C1361" s="7">
        <v>3.7929999999999998E-2</v>
      </c>
      <c r="D1361" s="7">
        <v>3.7929999999999998E-2</v>
      </c>
      <c r="E1361" s="7">
        <v>3.7929999999999998E-2</v>
      </c>
      <c r="F1361" s="7">
        <v>3.7929999999999998E-2</v>
      </c>
      <c r="G1361" s="7">
        <v>5.3600000000000002E-2</v>
      </c>
    </row>
    <row r="1362" spans="2:7" x14ac:dyDescent="0.2">
      <c r="B1362" s="60">
        <v>37799</v>
      </c>
      <c r="C1362" s="7">
        <v>3.8550000000000001E-2</v>
      </c>
      <c r="D1362" s="7">
        <v>3.8550000000000001E-2</v>
      </c>
      <c r="E1362" s="7">
        <v>3.8550000000000001E-2</v>
      </c>
      <c r="F1362" s="7">
        <v>3.8550000000000001E-2</v>
      </c>
      <c r="G1362" s="7">
        <v>1.6299999999999999E-2</v>
      </c>
    </row>
    <row r="1363" spans="2:7" x14ac:dyDescent="0.2">
      <c r="B1363" s="60">
        <v>37802</v>
      </c>
      <c r="C1363" s="7">
        <v>3.8010000000000002E-2</v>
      </c>
      <c r="D1363" s="7">
        <v>3.8010000000000002E-2</v>
      </c>
      <c r="E1363" s="7">
        <v>3.8010000000000002E-2</v>
      </c>
      <c r="F1363" s="7">
        <v>3.8010000000000002E-2</v>
      </c>
      <c r="G1363" s="7">
        <v>-1.4E-2</v>
      </c>
    </row>
    <row r="1364" spans="2:7" x14ac:dyDescent="0.2">
      <c r="B1364" s="60">
        <v>37803</v>
      </c>
      <c r="C1364" s="7">
        <v>3.8010000000000002E-2</v>
      </c>
      <c r="D1364" s="7">
        <v>3.8010000000000002E-2</v>
      </c>
      <c r="E1364" s="7">
        <v>3.8010000000000002E-2</v>
      </c>
      <c r="F1364" s="7">
        <v>3.8010000000000002E-2</v>
      </c>
      <c r="G1364" s="7">
        <v>0</v>
      </c>
    </row>
    <row r="1365" spans="2:7" x14ac:dyDescent="0.2">
      <c r="B1365" s="60">
        <v>37804</v>
      </c>
      <c r="C1365" s="7">
        <v>3.8650000000000004E-2</v>
      </c>
      <c r="D1365" s="7">
        <v>3.8650000000000004E-2</v>
      </c>
      <c r="E1365" s="7">
        <v>3.8650000000000004E-2</v>
      </c>
      <c r="F1365" s="7">
        <v>3.8650000000000004E-2</v>
      </c>
      <c r="G1365" s="7">
        <v>1.6799999999999999E-2</v>
      </c>
    </row>
    <row r="1366" spans="2:7" x14ac:dyDescent="0.2">
      <c r="B1366" s="60">
        <v>37805</v>
      </c>
      <c r="C1366" s="7">
        <v>3.925E-2</v>
      </c>
      <c r="D1366" s="7">
        <v>3.925E-2</v>
      </c>
      <c r="E1366" s="7">
        <v>3.925E-2</v>
      </c>
      <c r="F1366" s="7">
        <v>3.925E-2</v>
      </c>
      <c r="G1366" s="7">
        <v>1.55E-2</v>
      </c>
    </row>
    <row r="1367" spans="2:7" x14ac:dyDescent="0.2">
      <c r="B1367" s="60">
        <v>37806</v>
      </c>
      <c r="C1367" s="7">
        <v>3.9289999999999999E-2</v>
      </c>
      <c r="D1367" s="7">
        <v>3.9289999999999999E-2</v>
      </c>
      <c r="E1367" s="7">
        <v>3.9289999999999999E-2</v>
      </c>
      <c r="F1367" s="7">
        <v>3.9289999999999999E-2</v>
      </c>
      <c r="G1367" s="7">
        <v>1E-3</v>
      </c>
    </row>
    <row r="1368" spans="2:7" x14ac:dyDescent="0.2">
      <c r="B1368" s="60">
        <v>37809</v>
      </c>
      <c r="C1368" s="7">
        <v>3.9750000000000001E-2</v>
      </c>
      <c r="D1368" s="7">
        <v>3.9750000000000001E-2</v>
      </c>
      <c r="E1368" s="7">
        <v>3.9750000000000001E-2</v>
      </c>
      <c r="F1368" s="7">
        <v>3.9750000000000001E-2</v>
      </c>
      <c r="G1368" s="7">
        <v>1.17E-2</v>
      </c>
    </row>
    <row r="1369" spans="2:7" x14ac:dyDescent="0.2">
      <c r="B1369" s="60">
        <v>37810</v>
      </c>
      <c r="C1369" s="7">
        <v>3.9890000000000002E-2</v>
      </c>
      <c r="D1369" s="7">
        <v>3.9890000000000002E-2</v>
      </c>
      <c r="E1369" s="7">
        <v>3.9890000000000002E-2</v>
      </c>
      <c r="F1369" s="7">
        <v>3.9890000000000002E-2</v>
      </c>
      <c r="G1369" s="7">
        <v>3.5000000000000001E-3</v>
      </c>
    </row>
    <row r="1370" spans="2:7" x14ac:dyDescent="0.2">
      <c r="B1370" s="60">
        <v>37811</v>
      </c>
      <c r="C1370" s="7">
        <v>3.9559999999999998E-2</v>
      </c>
      <c r="D1370" s="7">
        <v>3.9559999999999998E-2</v>
      </c>
      <c r="E1370" s="7">
        <v>3.9559999999999998E-2</v>
      </c>
      <c r="F1370" s="7">
        <v>3.9559999999999998E-2</v>
      </c>
      <c r="G1370" s="7">
        <v>-8.3000000000000001E-3</v>
      </c>
    </row>
    <row r="1371" spans="2:7" x14ac:dyDescent="0.2">
      <c r="B1371" s="60">
        <v>37812</v>
      </c>
      <c r="C1371" s="7">
        <v>3.9120000000000002E-2</v>
      </c>
      <c r="D1371" s="7">
        <v>3.9120000000000002E-2</v>
      </c>
      <c r="E1371" s="7">
        <v>3.9120000000000002E-2</v>
      </c>
      <c r="F1371" s="7">
        <v>3.9120000000000002E-2</v>
      </c>
      <c r="G1371" s="7">
        <v>-1.11E-2</v>
      </c>
    </row>
    <row r="1372" spans="2:7" x14ac:dyDescent="0.2">
      <c r="B1372" s="60">
        <v>37813</v>
      </c>
      <c r="C1372" s="7">
        <v>3.9100000000000003E-2</v>
      </c>
      <c r="D1372" s="7">
        <v>3.9100000000000003E-2</v>
      </c>
      <c r="E1372" s="7">
        <v>3.9100000000000003E-2</v>
      </c>
      <c r="F1372" s="7">
        <v>3.9100000000000003E-2</v>
      </c>
      <c r="G1372" s="7">
        <v>-5.0000000000000001E-4</v>
      </c>
    </row>
    <row r="1373" spans="2:7" x14ac:dyDescent="0.2">
      <c r="B1373" s="60">
        <v>37816</v>
      </c>
      <c r="C1373" s="7">
        <v>3.8859999999999999E-2</v>
      </c>
      <c r="D1373" s="7">
        <v>3.8859999999999999E-2</v>
      </c>
      <c r="E1373" s="7">
        <v>3.8859999999999999E-2</v>
      </c>
      <c r="F1373" s="7">
        <v>3.8859999999999999E-2</v>
      </c>
      <c r="G1373" s="7">
        <v>-6.1000000000000004E-3</v>
      </c>
    </row>
    <row r="1374" spans="2:7" x14ac:dyDescent="0.2">
      <c r="B1374" s="60">
        <v>37817</v>
      </c>
      <c r="C1374" s="7">
        <v>4.0320000000000002E-2</v>
      </c>
      <c r="D1374" s="7">
        <v>4.0320000000000002E-2</v>
      </c>
      <c r="E1374" s="7">
        <v>4.0320000000000002E-2</v>
      </c>
      <c r="F1374" s="7">
        <v>4.0320000000000002E-2</v>
      </c>
      <c r="G1374" s="7">
        <v>3.7600000000000001E-2</v>
      </c>
    </row>
    <row r="1375" spans="2:7" x14ac:dyDescent="0.2">
      <c r="B1375" s="60">
        <v>37818</v>
      </c>
      <c r="C1375" s="7">
        <v>4.0460000000000003E-2</v>
      </c>
      <c r="D1375" s="7">
        <v>4.0460000000000003E-2</v>
      </c>
      <c r="E1375" s="7">
        <v>4.0460000000000003E-2</v>
      </c>
      <c r="F1375" s="7">
        <v>4.0460000000000003E-2</v>
      </c>
      <c r="G1375" s="7">
        <v>3.5000000000000001E-3</v>
      </c>
    </row>
    <row r="1376" spans="2:7" x14ac:dyDescent="0.2">
      <c r="B1376" s="60">
        <v>37819</v>
      </c>
      <c r="C1376" s="7">
        <v>4.0660000000000002E-2</v>
      </c>
      <c r="D1376" s="7">
        <v>4.0660000000000002E-2</v>
      </c>
      <c r="E1376" s="7">
        <v>4.0660000000000002E-2</v>
      </c>
      <c r="F1376" s="7">
        <v>4.0660000000000002E-2</v>
      </c>
      <c r="G1376" s="7">
        <v>4.8999999999999998E-3</v>
      </c>
    </row>
    <row r="1377" spans="2:7" x14ac:dyDescent="0.2">
      <c r="B1377" s="60">
        <v>37820</v>
      </c>
      <c r="C1377" s="7">
        <v>4.0369999999999996E-2</v>
      </c>
      <c r="D1377" s="7">
        <v>4.0369999999999996E-2</v>
      </c>
      <c r="E1377" s="7">
        <v>4.0369999999999996E-2</v>
      </c>
      <c r="F1377" s="7">
        <v>4.0369999999999996E-2</v>
      </c>
      <c r="G1377" s="7">
        <v>-7.1000000000000004E-3</v>
      </c>
    </row>
    <row r="1378" spans="2:7" x14ac:dyDescent="0.2">
      <c r="B1378" s="60">
        <v>37823</v>
      </c>
      <c r="C1378" s="7">
        <v>4.0770000000000001E-2</v>
      </c>
      <c r="D1378" s="7">
        <v>4.0770000000000001E-2</v>
      </c>
      <c r="E1378" s="7">
        <v>4.0770000000000001E-2</v>
      </c>
      <c r="F1378" s="7">
        <v>4.0770000000000001E-2</v>
      </c>
      <c r="G1378" s="7">
        <v>9.9000000000000008E-3</v>
      </c>
    </row>
    <row r="1379" spans="2:7" x14ac:dyDescent="0.2">
      <c r="B1379" s="60">
        <v>37824</v>
      </c>
      <c r="C1379" s="7">
        <v>4.0839999999999994E-2</v>
      </c>
      <c r="D1379" s="7">
        <v>4.0839999999999994E-2</v>
      </c>
      <c r="E1379" s="7">
        <v>4.0839999999999994E-2</v>
      </c>
      <c r="F1379" s="7">
        <v>4.0839999999999994E-2</v>
      </c>
      <c r="G1379" s="7">
        <v>1.6999999999999999E-3</v>
      </c>
    </row>
    <row r="1380" spans="2:7" x14ac:dyDescent="0.2">
      <c r="B1380" s="60">
        <v>37825</v>
      </c>
      <c r="C1380" s="7">
        <v>4.0160000000000001E-2</v>
      </c>
      <c r="D1380" s="7">
        <v>4.0160000000000001E-2</v>
      </c>
      <c r="E1380" s="7">
        <v>4.0160000000000001E-2</v>
      </c>
      <c r="F1380" s="7">
        <v>4.0160000000000001E-2</v>
      </c>
      <c r="G1380" s="7">
        <v>-1.67E-2</v>
      </c>
    </row>
    <row r="1381" spans="2:7" x14ac:dyDescent="0.2">
      <c r="B1381" s="60">
        <v>37826</v>
      </c>
      <c r="C1381" s="7">
        <v>4.0679999999999994E-2</v>
      </c>
      <c r="D1381" s="7">
        <v>4.0679999999999994E-2</v>
      </c>
      <c r="E1381" s="7">
        <v>4.0679999999999994E-2</v>
      </c>
      <c r="F1381" s="7">
        <v>4.0679999999999994E-2</v>
      </c>
      <c r="G1381" s="7">
        <v>1.29E-2</v>
      </c>
    </row>
    <row r="1382" spans="2:7" x14ac:dyDescent="0.2">
      <c r="B1382" s="60">
        <v>37827</v>
      </c>
      <c r="C1382" s="7">
        <v>4.0129999999999999E-2</v>
      </c>
      <c r="D1382" s="7">
        <v>4.0129999999999999E-2</v>
      </c>
      <c r="E1382" s="7">
        <v>4.0129999999999999E-2</v>
      </c>
      <c r="F1382" s="7">
        <v>4.0129999999999999E-2</v>
      </c>
      <c r="G1382" s="7">
        <v>-1.35E-2</v>
      </c>
    </row>
    <row r="1383" spans="2:7" x14ac:dyDescent="0.2">
      <c r="B1383" s="60">
        <v>37830</v>
      </c>
      <c r="C1383" s="7">
        <v>4.1149999999999999E-2</v>
      </c>
      <c r="D1383" s="7">
        <v>4.1149999999999999E-2</v>
      </c>
      <c r="E1383" s="7">
        <v>4.1149999999999999E-2</v>
      </c>
      <c r="F1383" s="7">
        <v>4.1149999999999999E-2</v>
      </c>
      <c r="G1383" s="7">
        <v>2.5399999999999999E-2</v>
      </c>
    </row>
    <row r="1384" spans="2:7" x14ac:dyDescent="0.2">
      <c r="B1384" s="60">
        <v>37831</v>
      </c>
      <c r="C1384" s="7">
        <v>4.1020000000000001E-2</v>
      </c>
      <c r="D1384" s="7">
        <v>4.1020000000000001E-2</v>
      </c>
      <c r="E1384" s="7">
        <v>4.1020000000000001E-2</v>
      </c>
      <c r="F1384" s="7">
        <v>4.1020000000000001E-2</v>
      </c>
      <c r="G1384" s="7">
        <v>-3.2000000000000002E-3</v>
      </c>
    </row>
    <row r="1385" spans="2:7" x14ac:dyDescent="0.2">
      <c r="B1385" s="60">
        <v>37832</v>
      </c>
      <c r="C1385" s="7">
        <v>4.1180000000000001E-2</v>
      </c>
      <c r="D1385" s="7">
        <v>4.1180000000000001E-2</v>
      </c>
      <c r="E1385" s="7">
        <v>4.1180000000000001E-2</v>
      </c>
      <c r="F1385" s="7">
        <v>4.1180000000000001E-2</v>
      </c>
      <c r="G1385" s="7">
        <v>3.8999999999999998E-3</v>
      </c>
    </row>
    <row r="1386" spans="2:7" x14ac:dyDescent="0.2">
      <c r="B1386" s="60">
        <v>37833</v>
      </c>
      <c r="C1386" s="7">
        <v>4.1959999999999997E-2</v>
      </c>
      <c r="D1386" s="7">
        <v>4.1959999999999997E-2</v>
      </c>
      <c r="E1386" s="7">
        <v>4.1959999999999997E-2</v>
      </c>
      <c r="F1386" s="7">
        <v>4.1959999999999997E-2</v>
      </c>
      <c r="G1386" s="7">
        <v>1.89E-2</v>
      </c>
    </row>
    <row r="1387" spans="2:7" x14ac:dyDescent="0.2">
      <c r="B1387" s="60">
        <v>37834</v>
      </c>
      <c r="C1387" s="7">
        <v>4.1919999999999999E-2</v>
      </c>
      <c r="D1387" s="7">
        <v>4.1919999999999999E-2</v>
      </c>
      <c r="E1387" s="7">
        <v>4.1919999999999999E-2</v>
      </c>
      <c r="F1387" s="7">
        <v>4.1919999999999999E-2</v>
      </c>
      <c r="G1387" s="7">
        <v>-1E-3</v>
      </c>
    </row>
    <row r="1388" spans="2:7" x14ac:dyDescent="0.2">
      <c r="B1388" s="60">
        <v>37837</v>
      </c>
      <c r="C1388" s="7">
        <v>4.1369999999999997E-2</v>
      </c>
      <c r="D1388" s="7">
        <v>4.1369999999999997E-2</v>
      </c>
      <c r="E1388" s="7">
        <v>4.1369999999999997E-2</v>
      </c>
      <c r="F1388" s="7">
        <v>4.1369999999999997E-2</v>
      </c>
      <c r="G1388" s="7">
        <v>-1.3100000000000001E-2</v>
      </c>
    </row>
    <row r="1389" spans="2:7" x14ac:dyDescent="0.2">
      <c r="B1389" s="60">
        <v>37838</v>
      </c>
      <c r="C1389" s="7">
        <v>4.1660000000000003E-2</v>
      </c>
      <c r="D1389" s="7">
        <v>4.1660000000000003E-2</v>
      </c>
      <c r="E1389" s="7">
        <v>4.1660000000000003E-2</v>
      </c>
      <c r="F1389" s="7">
        <v>4.1660000000000003E-2</v>
      </c>
      <c r="G1389" s="7">
        <v>7.0000000000000001E-3</v>
      </c>
    </row>
    <row r="1390" spans="2:7" x14ac:dyDescent="0.2">
      <c r="B1390" s="60">
        <v>37839</v>
      </c>
      <c r="C1390" s="7">
        <v>4.1369999999999997E-2</v>
      </c>
      <c r="D1390" s="7">
        <v>4.1369999999999997E-2</v>
      </c>
      <c r="E1390" s="7">
        <v>4.1369999999999997E-2</v>
      </c>
      <c r="F1390" s="7">
        <v>4.1369999999999997E-2</v>
      </c>
      <c r="G1390" s="7">
        <v>-7.0000000000000001E-3</v>
      </c>
    </row>
    <row r="1391" spans="2:7" x14ac:dyDescent="0.2">
      <c r="B1391" s="60">
        <v>37840</v>
      </c>
      <c r="C1391" s="7">
        <v>4.1020000000000001E-2</v>
      </c>
      <c r="D1391" s="7">
        <v>4.1020000000000001E-2</v>
      </c>
      <c r="E1391" s="7">
        <v>4.1020000000000001E-2</v>
      </c>
      <c r="F1391" s="7">
        <v>4.1020000000000001E-2</v>
      </c>
      <c r="G1391" s="7">
        <v>-8.5000000000000006E-3</v>
      </c>
    </row>
    <row r="1392" spans="2:7" x14ac:dyDescent="0.2">
      <c r="B1392" s="60">
        <v>37841</v>
      </c>
      <c r="C1392" s="7">
        <v>4.011E-2</v>
      </c>
      <c r="D1392" s="7">
        <v>4.011E-2</v>
      </c>
      <c r="E1392" s="7">
        <v>4.011E-2</v>
      </c>
      <c r="F1392" s="7">
        <v>4.011E-2</v>
      </c>
      <c r="G1392" s="7">
        <v>-2.2200000000000001E-2</v>
      </c>
    </row>
    <row r="1393" spans="2:7" x14ac:dyDescent="0.2">
      <c r="B1393" s="60">
        <v>37844</v>
      </c>
      <c r="C1393" s="7">
        <v>4.0830000000000005E-2</v>
      </c>
      <c r="D1393" s="7">
        <v>4.0830000000000005E-2</v>
      </c>
      <c r="E1393" s="7">
        <v>4.0830000000000005E-2</v>
      </c>
      <c r="F1393" s="7">
        <v>4.0830000000000005E-2</v>
      </c>
      <c r="G1393" s="7">
        <v>1.7999999999999999E-2</v>
      </c>
    </row>
    <row r="1394" spans="2:7" x14ac:dyDescent="0.2">
      <c r="B1394" s="60">
        <v>37845</v>
      </c>
      <c r="C1394" s="7">
        <v>4.0759999999999998E-2</v>
      </c>
      <c r="D1394" s="7">
        <v>4.0759999999999998E-2</v>
      </c>
      <c r="E1394" s="7">
        <v>4.0759999999999998E-2</v>
      </c>
      <c r="F1394" s="7">
        <v>4.0759999999999998E-2</v>
      </c>
      <c r="G1394" s="7">
        <v>-1.6999999999999999E-3</v>
      </c>
    </row>
    <row r="1395" spans="2:7" x14ac:dyDescent="0.2">
      <c r="B1395" s="60">
        <v>37846</v>
      </c>
      <c r="C1395" s="7">
        <v>4.1799999999999997E-2</v>
      </c>
      <c r="D1395" s="7">
        <v>4.1799999999999997E-2</v>
      </c>
      <c r="E1395" s="7">
        <v>4.1799999999999997E-2</v>
      </c>
      <c r="F1395" s="7">
        <v>4.1799999999999997E-2</v>
      </c>
      <c r="G1395" s="7">
        <v>2.5499999999999998E-2</v>
      </c>
    </row>
    <row r="1396" spans="2:7" x14ac:dyDescent="0.2">
      <c r="B1396" s="60">
        <v>37847</v>
      </c>
      <c r="C1396" s="7">
        <v>4.2190000000000005E-2</v>
      </c>
      <c r="D1396" s="7">
        <v>4.2190000000000005E-2</v>
      </c>
      <c r="E1396" s="7">
        <v>4.2190000000000005E-2</v>
      </c>
      <c r="F1396" s="7">
        <v>4.2190000000000005E-2</v>
      </c>
      <c r="G1396" s="7">
        <v>9.2999999999999992E-3</v>
      </c>
    </row>
    <row r="1397" spans="2:7" x14ac:dyDescent="0.2">
      <c r="B1397" s="60">
        <v>37848</v>
      </c>
      <c r="C1397" s="7">
        <v>4.1619999999999997E-2</v>
      </c>
      <c r="D1397" s="7">
        <v>4.1619999999999997E-2</v>
      </c>
      <c r="E1397" s="7">
        <v>4.1619999999999997E-2</v>
      </c>
      <c r="F1397" s="7">
        <v>4.1619999999999997E-2</v>
      </c>
      <c r="G1397" s="7">
        <v>-1.35E-2</v>
      </c>
    </row>
    <row r="1398" spans="2:7" x14ac:dyDescent="0.2">
      <c r="B1398" s="60">
        <v>37851</v>
      </c>
      <c r="C1398" s="7">
        <v>4.1580000000000006E-2</v>
      </c>
      <c r="D1398" s="7">
        <v>4.1580000000000006E-2</v>
      </c>
      <c r="E1398" s="7">
        <v>4.1580000000000006E-2</v>
      </c>
      <c r="F1398" s="7">
        <v>4.1580000000000006E-2</v>
      </c>
      <c r="G1398" s="7">
        <v>-1E-3</v>
      </c>
    </row>
    <row r="1399" spans="2:7" x14ac:dyDescent="0.2">
      <c r="B1399" s="60">
        <v>37852</v>
      </c>
      <c r="C1399" s="7">
        <v>4.1369999999999997E-2</v>
      </c>
      <c r="D1399" s="7">
        <v>4.1369999999999997E-2</v>
      </c>
      <c r="E1399" s="7">
        <v>4.1369999999999997E-2</v>
      </c>
      <c r="F1399" s="7">
        <v>4.1369999999999997E-2</v>
      </c>
      <c r="G1399" s="7">
        <v>-5.1000000000000004E-3</v>
      </c>
    </row>
    <row r="1400" spans="2:7" x14ac:dyDescent="0.2">
      <c r="B1400" s="60">
        <v>37853</v>
      </c>
      <c r="C1400" s="7">
        <v>4.1779999999999998E-2</v>
      </c>
      <c r="D1400" s="7">
        <v>4.1779999999999998E-2</v>
      </c>
      <c r="E1400" s="7">
        <v>4.1779999999999998E-2</v>
      </c>
      <c r="F1400" s="7">
        <v>4.1779999999999998E-2</v>
      </c>
      <c r="G1400" s="7">
        <v>9.9000000000000008E-3</v>
      </c>
    </row>
    <row r="1401" spans="2:7" x14ac:dyDescent="0.2">
      <c r="B1401" s="60">
        <v>37854</v>
      </c>
      <c r="C1401" s="7">
        <v>4.2050000000000004E-2</v>
      </c>
      <c r="D1401" s="7">
        <v>4.2050000000000004E-2</v>
      </c>
      <c r="E1401" s="7">
        <v>4.2050000000000004E-2</v>
      </c>
      <c r="F1401" s="7">
        <v>4.2050000000000004E-2</v>
      </c>
      <c r="G1401" s="7">
        <v>6.4999999999999997E-3</v>
      </c>
    </row>
    <row r="1402" spans="2:7" x14ac:dyDescent="0.2">
      <c r="B1402" s="60">
        <v>37855</v>
      </c>
      <c r="C1402" s="7">
        <v>4.1840000000000002E-2</v>
      </c>
      <c r="D1402" s="7">
        <v>4.1840000000000002E-2</v>
      </c>
      <c r="E1402" s="7">
        <v>4.1840000000000002E-2</v>
      </c>
      <c r="F1402" s="7">
        <v>4.1840000000000002E-2</v>
      </c>
      <c r="G1402" s="7">
        <v>-5.0000000000000001E-3</v>
      </c>
    </row>
    <row r="1403" spans="2:7" x14ac:dyDescent="0.2">
      <c r="B1403" s="60">
        <v>37858</v>
      </c>
      <c r="C1403" s="7">
        <v>4.1849999999999998E-2</v>
      </c>
      <c r="D1403" s="7">
        <v>4.1849999999999998E-2</v>
      </c>
      <c r="E1403" s="7">
        <v>4.1849999999999998E-2</v>
      </c>
      <c r="F1403" s="7">
        <v>4.1849999999999998E-2</v>
      </c>
      <c r="G1403" s="7">
        <v>2.0000000000000001E-4</v>
      </c>
    </row>
    <row r="1404" spans="2:7" x14ac:dyDescent="0.2">
      <c r="B1404" s="60">
        <v>37859</v>
      </c>
      <c r="C1404" s="7">
        <v>4.172E-2</v>
      </c>
      <c r="D1404" s="7">
        <v>4.172E-2</v>
      </c>
      <c r="E1404" s="7">
        <v>4.172E-2</v>
      </c>
      <c r="F1404" s="7">
        <v>4.172E-2</v>
      </c>
      <c r="G1404" s="7">
        <v>-3.0999999999999999E-3</v>
      </c>
    </row>
    <row r="1405" spans="2:7" x14ac:dyDescent="0.2">
      <c r="B1405" s="60">
        <v>37860</v>
      </c>
      <c r="C1405" s="7">
        <v>4.2060000000000007E-2</v>
      </c>
      <c r="D1405" s="7">
        <v>4.2060000000000007E-2</v>
      </c>
      <c r="E1405" s="7">
        <v>4.2060000000000007E-2</v>
      </c>
      <c r="F1405" s="7">
        <v>4.2060000000000007E-2</v>
      </c>
      <c r="G1405" s="7">
        <v>8.0999999999999996E-3</v>
      </c>
    </row>
    <row r="1406" spans="2:7" x14ac:dyDescent="0.2">
      <c r="B1406" s="60">
        <v>37861</v>
      </c>
      <c r="C1406" s="7">
        <v>4.1749999999999995E-2</v>
      </c>
      <c r="D1406" s="7">
        <v>4.1749999999999995E-2</v>
      </c>
      <c r="E1406" s="7">
        <v>4.1749999999999995E-2</v>
      </c>
      <c r="F1406" s="7">
        <v>4.1749999999999995E-2</v>
      </c>
      <c r="G1406" s="7">
        <v>-7.4000000000000003E-3</v>
      </c>
    </row>
    <row r="1407" spans="2:7" x14ac:dyDescent="0.2">
      <c r="B1407" s="60">
        <v>37862</v>
      </c>
      <c r="C1407" s="7">
        <v>4.1880000000000001E-2</v>
      </c>
      <c r="D1407" s="7">
        <v>4.1880000000000001E-2</v>
      </c>
      <c r="E1407" s="7">
        <v>4.1880000000000001E-2</v>
      </c>
      <c r="F1407" s="7">
        <v>4.1880000000000001E-2</v>
      </c>
      <c r="G1407" s="7">
        <v>3.0999999999999999E-3</v>
      </c>
    </row>
    <row r="1408" spans="2:7" x14ac:dyDescent="0.2">
      <c r="B1408" s="60">
        <v>37865</v>
      </c>
      <c r="C1408" s="7">
        <v>4.2229999999999997E-2</v>
      </c>
      <c r="D1408" s="7">
        <v>4.2229999999999997E-2</v>
      </c>
      <c r="E1408" s="7">
        <v>4.2229999999999997E-2</v>
      </c>
      <c r="F1408" s="7">
        <v>4.2229999999999997E-2</v>
      </c>
      <c r="G1408" s="7">
        <v>8.3999999999999995E-3</v>
      </c>
    </row>
    <row r="1409" spans="2:7" x14ac:dyDescent="0.2">
      <c r="B1409" s="60">
        <v>37866</v>
      </c>
      <c r="C1409" s="7">
        <v>4.3560000000000001E-2</v>
      </c>
      <c r="D1409" s="7">
        <v>4.3560000000000001E-2</v>
      </c>
      <c r="E1409" s="7">
        <v>4.3560000000000001E-2</v>
      </c>
      <c r="F1409" s="7">
        <v>4.3560000000000001E-2</v>
      </c>
      <c r="G1409" s="7">
        <v>3.15E-2</v>
      </c>
    </row>
    <row r="1410" spans="2:7" x14ac:dyDescent="0.2">
      <c r="B1410" s="60">
        <v>37867</v>
      </c>
      <c r="C1410" s="7">
        <v>4.3769999999999996E-2</v>
      </c>
      <c r="D1410" s="7">
        <v>4.3769999999999996E-2</v>
      </c>
      <c r="E1410" s="7">
        <v>4.3769999999999996E-2</v>
      </c>
      <c r="F1410" s="7">
        <v>4.3769999999999996E-2</v>
      </c>
      <c r="G1410" s="7">
        <v>4.7999999999999996E-3</v>
      </c>
    </row>
    <row r="1411" spans="2:7" x14ac:dyDescent="0.2">
      <c r="B1411" s="60">
        <v>37868</v>
      </c>
      <c r="C1411" s="7">
        <v>4.3479999999999998E-2</v>
      </c>
      <c r="D1411" s="7">
        <v>4.3479999999999998E-2</v>
      </c>
      <c r="E1411" s="7">
        <v>4.3479999999999998E-2</v>
      </c>
      <c r="F1411" s="7">
        <v>4.3479999999999998E-2</v>
      </c>
      <c r="G1411" s="7">
        <v>-6.6E-3</v>
      </c>
    </row>
    <row r="1412" spans="2:7" x14ac:dyDescent="0.2">
      <c r="B1412" s="60">
        <v>37869</v>
      </c>
      <c r="C1412" s="7">
        <v>4.3099999999999999E-2</v>
      </c>
      <c r="D1412" s="7">
        <v>4.3099999999999999E-2</v>
      </c>
      <c r="E1412" s="7">
        <v>4.3099999999999999E-2</v>
      </c>
      <c r="F1412" s="7">
        <v>4.3099999999999999E-2</v>
      </c>
      <c r="G1412" s="7">
        <v>-8.6999999999999994E-3</v>
      </c>
    </row>
    <row r="1413" spans="2:7" x14ac:dyDescent="0.2">
      <c r="B1413" s="60">
        <v>37872</v>
      </c>
      <c r="C1413" s="7">
        <v>4.2729999999999997E-2</v>
      </c>
      <c r="D1413" s="7">
        <v>4.2729999999999997E-2</v>
      </c>
      <c r="E1413" s="7">
        <v>4.2729999999999997E-2</v>
      </c>
      <c r="F1413" s="7">
        <v>4.2729999999999997E-2</v>
      </c>
      <c r="G1413" s="7">
        <v>-8.6E-3</v>
      </c>
    </row>
    <row r="1414" spans="2:7" x14ac:dyDescent="0.2">
      <c r="B1414" s="60">
        <v>37873</v>
      </c>
      <c r="C1414" s="7">
        <v>4.301E-2</v>
      </c>
      <c r="D1414" s="7">
        <v>4.301E-2</v>
      </c>
      <c r="E1414" s="7">
        <v>4.301E-2</v>
      </c>
      <c r="F1414" s="7">
        <v>4.301E-2</v>
      </c>
      <c r="G1414" s="7">
        <v>6.6E-3</v>
      </c>
    </row>
    <row r="1415" spans="2:7" x14ac:dyDescent="0.2">
      <c r="B1415" s="60">
        <v>37874</v>
      </c>
      <c r="C1415" s="7">
        <v>4.2590000000000003E-2</v>
      </c>
      <c r="D1415" s="7">
        <v>4.2590000000000003E-2</v>
      </c>
      <c r="E1415" s="7">
        <v>4.2590000000000003E-2</v>
      </c>
      <c r="F1415" s="7">
        <v>4.2590000000000003E-2</v>
      </c>
      <c r="G1415" s="7">
        <v>-9.7999999999999997E-3</v>
      </c>
    </row>
    <row r="1416" spans="2:7" x14ac:dyDescent="0.2">
      <c r="B1416" s="60">
        <v>37875</v>
      </c>
      <c r="C1416" s="7">
        <v>4.2729999999999997E-2</v>
      </c>
      <c r="D1416" s="7">
        <v>4.2729999999999997E-2</v>
      </c>
      <c r="E1416" s="7">
        <v>4.2729999999999997E-2</v>
      </c>
      <c r="F1416" s="7">
        <v>4.2729999999999997E-2</v>
      </c>
      <c r="G1416" s="7">
        <v>3.3E-3</v>
      </c>
    </row>
    <row r="1417" spans="2:7" x14ac:dyDescent="0.2">
      <c r="B1417" s="60">
        <v>37876</v>
      </c>
      <c r="C1417" s="7">
        <v>4.1529999999999997E-2</v>
      </c>
      <c r="D1417" s="7">
        <v>4.1529999999999997E-2</v>
      </c>
      <c r="E1417" s="7">
        <v>4.1529999999999997E-2</v>
      </c>
      <c r="F1417" s="7">
        <v>4.1529999999999997E-2</v>
      </c>
      <c r="G1417" s="7">
        <v>-2.81E-2</v>
      </c>
    </row>
    <row r="1418" spans="2:7" x14ac:dyDescent="0.2">
      <c r="B1418" s="60">
        <v>37879</v>
      </c>
      <c r="C1418" s="7">
        <v>4.1730000000000003E-2</v>
      </c>
      <c r="D1418" s="7">
        <v>4.1730000000000003E-2</v>
      </c>
      <c r="E1418" s="7">
        <v>4.1730000000000003E-2</v>
      </c>
      <c r="F1418" s="7">
        <v>4.1730000000000003E-2</v>
      </c>
      <c r="G1418" s="7">
        <v>4.7999999999999996E-3</v>
      </c>
    </row>
    <row r="1419" spans="2:7" x14ac:dyDescent="0.2">
      <c r="B1419" s="60">
        <v>37880</v>
      </c>
      <c r="C1419" s="7">
        <v>4.1959999999999997E-2</v>
      </c>
      <c r="D1419" s="7">
        <v>4.1959999999999997E-2</v>
      </c>
      <c r="E1419" s="7">
        <v>4.1959999999999997E-2</v>
      </c>
      <c r="F1419" s="7">
        <v>4.1959999999999997E-2</v>
      </c>
      <c r="G1419" s="7">
        <v>5.4999999999999997E-3</v>
      </c>
    </row>
    <row r="1420" spans="2:7" x14ac:dyDescent="0.2">
      <c r="B1420" s="60">
        <v>37881</v>
      </c>
      <c r="C1420" s="7">
        <v>4.1759999999999999E-2</v>
      </c>
      <c r="D1420" s="7">
        <v>4.1759999999999999E-2</v>
      </c>
      <c r="E1420" s="7">
        <v>4.1759999999999999E-2</v>
      </c>
      <c r="F1420" s="7">
        <v>4.1759999999999999E-2</v>
      </c>
      <c r="G1420" s="7">
        <v>-4.7999999999999996E-3</v>
      </c>
    </row>
    <row r="1421" spans="2:7" x14ac:dyDescent="0.2">
      <c r="B1421" s="60">
        <v>37882</v>
      </c>
      <c r="C1421" s="7">
        <v>4.1829999999999999E-2</v>
      </c>
      <c r="D1421" s="7">
        <v>4.1829999999999999E-2</v>
      </c>
      <c r="E1421" s="7">
        <v>4.1829999999999999E-2</v>
      </c>
      <c r="F1421" s="7">
        <v>4.1829999999999999E-2</v>
      </c>
      <c r="G1421" s="7">
        <v>1.6999999999999999E-3</v>
      </c>
    </row>
    <row r="1422" spans="2:7" x14ac:dyDescent="0.2">
      <c r="B1422" s="60">
        <v>37883</v>
      </c>
      <c r="C1422" s="7">
        <v>4.1580000000000006E-2</v>
      </c>
      <c r="D1422" s="7">
        <v>4.1580000000000006E-2</v>
      </c>
      <c r="E1422" s="7">
        <v>4.1580000000000006E-2</v>
      </c>
      <c r="F1422" s="7">
        <v>4.1580000000000006E-2</v>
      </c>
      <c r="G1422" s="7">
        <v>-6.0000000000000001E-3</v>
      </c>
    </row>
    <row r="1423" spans="2:7" x14ac:dyDescent="0.2">
      <c r="B1423" s="60">
        <v>37886</v>
      </c>
      <c r="C1423" s="7">
        <v>4.1149999999999999E-2</v>
      </c>
      <c r="D1423" s="7">
        <v>4.1149999999999999E-2</v>
      </c>
      <c r="E1423" s="7">
        <v>4.1149999999999999E-2</v>
      </c>
      <c r="F1423" s="7">
        <v>4.1149999999999999E-2</v>
      </c>
      <c r="G1423" s="7">
        <v>-1.03E-2</v>
      </c>
    </row>
    <row r="1424" spans="2:7" x14ac:dyDescent="0.2">
      <c r="B1424" s="60">
        <v>37887</v>
      </c>
      <c r="C1424" s="7">
        <v>4.1009999999999998E-2</v>
      </c>
      <c r="D1424" s="7">
        <v>4.1009999999999998E-2</v>
      </c>
      <c r="E1424" s="7">
        <v>4.1009999999999998E-2</v>
      </c>
      <c r="F1424" s="7">
        <v>4.1009999999999998E-2</v>
      </c>
      <c r="G1424" s="7">
        <v>-3.3999999999999998E-3</v>
      </c>
    </row>
    <row r="1425" spans="2:7" x14ac:dyDescent="0.2">
      <c r="B1425" s="60">
        <v>37888</v>
      </c>
      <c r="C1425" s="7">
        <v>4.1050000000000003E-2</v>
      </c>
      <c r="D1425" s="7">
        <v>4.1050000000000003E-2</v>
      </c>
      <c r="E1425" s="7">
        <v>4.1050000000000003E-2</v>
      </c>
      <c r="F1425" s="7">
        <v>4.1050000000000003E-2</v>
      </c>
      <c r="G1425" s="7">
        <v>1E-3</v>
      </c>
    </row>
    <row r="1426" spans="2:7" x14ac:dyDescent="0.2">
      <c r="B1426" s="60">
        <v>37889</v>
      </c>
      <c r="C1426" s="7">
        <v>4.0869999999999997E-2</v>
      </c>
      <c r="D1426" s="7">
        <v>4.0869999999999997E-2</v>
      </c>
      <c r="E1426" s="7">
        <v>4.0869999999999997E-2</v>
      </c>
      <c r="F1426" s="7">
        <v>4.0869999999999997E-2</v>
      </c>
      <c r="G1426" s="7">
        <v>-4.4000000000000003E-3</v>
      </c>
    </row>
    <row r="1427" spans="2:7" x14ac:dyDescent="0.2">
      <c r="B1427" s="60">
        <v>37890</v>
      </c>
      <c r="C1427" s="7">
        <v>4.0320000000000002E-2</v>
      </c>
      <c r="D1427" s="7">
        <v>4.0320000000000002E-2</v>
      </c>
      <c r="E1427" s="7">
        <v>4.0320000000000002E-2</v>
      </c>
      <c r="F1427" s="7">
        <v>4.0320000000000002E-2</v>
      </c>
      <c r="G1427" s="7">
        <v>-1.35E-2</v>
      </c>
    </row>
    <row r="1428" spans="2:7" x14ac:dyDescent="0.2">
      <c r="B1428" s="60">
        <v>37893</v>
      </c>
      <c r="C1428" s="7">
        <v>4.0469999999999999E-2</v>
      </c>
      <c r="D1428" s="7">
        <v>4.0469999999999999E-2</v>
      </c>
      <c r="E1428" s="7">
        <v>4.0469999999999999E-2</v>
      </c>
      <c r="F1428" s="7">
        <v>4.0469999999999999E-2</v>
      </c>
      <c r="G1428" s="7">
        <v>3.7000000000000002E-3</v>
      </c>
    </row>
    <row r="1429" spans="2:7" x14ac:dyDescent="0.2">
      <c r="B1429" s="60">
        <v>37894</v>
      </c>
      <c r="C1429" s="7">
        <v>4.0039999999999992E-2</v>
      </c>
      <c r="D1429" s="7">
        <v>4.0039999999999992E-2</v>
      </c>
      <c r="E1429" s="7">
        <v>4.0039999999999992E-2</v>
      </c>
      <c r="F1429" s="7">
        <v>4.0039999999999992E-2</v>
      </c>
      <c r="G1429" s="7">
        <v>-1.06E-2</v>
      </c>
    </row>
    <row r="1430" spans="2:7" x14ac:dyDescent="0.2">
      <c r="B1430" s="60">
        <v>37895</v>
      </c>
      <c r="C1430" s="7">
        <v>0.04</v>
      </c>
      <c r="D1430" s="7">
        <v>0.04</v>
      </c>
      <c r="E1430" s="7">
        <v>0.04</v>
      </c>
      <c r="F1430" s="7">
        <v>0.04</v>
      </c>
      <c r="G1430" s="7">
        <v>-1E-3</v>
      </c>
    </row>
    <row r="1431" spans="2:7" x14ac:dyDescent="0.2">
      <c r="B1431" s="60">
        <v>37896</v>
      </c>
      <c r="C1431" s="7">
        <v>4.1100000000000005E-2</v>
      </c>
      <c r="D1431" s="7">
        <v>4.1100000000000005E-2</v>
      </c>
      <c r="E1431" s="7">
        <v>4.1100000000000005E-2</v>
      </c>
      <c r="F1431" s="7">
        <v>4.1100000000000005E-2</v>
      </c>
      <c r="G1431" s="7">
        <v>2.75E-2</v>
      </c>
    </row>
    <row r="1432" spans="2:7" x14ac:dyDescent="0.2">
      <c r="B1432" s="60">
        <v>37897</v>
      </c>
      <c r="C1432" s="7">
        <v>4.2180000000000002E-2</v>
      </c>
      <c r="D1432" s="7">
        <v>4.2180000000000002E-2</v>
      </c>
      <c r="E1432" s="7">
        <v>4.2180000000000002E-2</v>
      </c>
      <c r="F1432" s="7">
        <v>4.2180000000000002E-2</v>
      </c>
      <c r="G1432" s="7">
        <v>2.63E-2</v>
      </c>
    </row>
    <row r="1433" spans="2:7" x14ac:dyDescent="0.2">
      <c r="B1433" s="60">
        <v>37900</v>
      </c>
      <c r="C1433" s="7">
        <v>4.1730000000000003E-2</v>
      </c>
      <c r="D1433" s="7">
        <v>4.1730000000000003E-2</v>
      </c>
      <c r="E1433" s="7">
        <v>4.1730000000000003E-2</v>
      </c>
      <c r="F1433" s="7">
        <v>4.1730000000000003E-2</v>
      </c>
      <c r="G1433" s="7">
        <v>-1.0699999999999999E-2</v>
      </c>
    </row>
    <row r="1434" spans="2:7" x14ac:dyDescent="0.2">
      <c r="B1434" s="60">
        <v>37901</v>
      </c>
      <c r="C1434" s="7">
        <v>4.197E-2</v>
      </c>
      <c r="D1434" s="7">
        <v>4.197E-2</v>
      </c>
      <c r="E1434" s="7">
        <v>4.197E-2</v>
      </c>
      <c r="F1434" s="7">
        <v>4.197E-2</v>
      </c>
      <c r="G1434" s="7">
        <v>5.7999999999999996E-3</v>
      </c>
    </row>
    <row r="1435" spans="2:7" x14ac:dyDescent="0.2">
      <c r="B1435" s="60">
        <v>37902</v>
      </c>
      <c r="C1435" s="7">
        <v>4.199E-2</v>
      </c>
      <c r="D1435" s="7">
        <v>4.199E-2</v>
      </c>
      <c r="E1435" s="7">
        <v>4.199E-2</v>
      </c>
      <c r="F1435" s="7">
        <v>4.199E-2</v>
      </c>
      <c r="G1435" s="7">
        <v>5.0000000000000001E-4</v>
      </c>
    </row>
    <row r="1436" spans="2:7" x14ac:dyDescent="0.2">
      <c r="B1436" s="60">
        <v>37903</v>
      </c>
      <c r="C1436" s="7">
        <v>4.2529999999999998E-2</v>
      </c>
      <c r="D1436" s="7">
        <v>4.2529999999999998E-2</v>
      </c>
      <c r="E1436" s="7">
        <v>4.2529999999999998E-2</v>
      </c>
      <c r="F1436" s="7">
        <v>4.2529999999999998E-2</v>
      </c>
      <c r="G1436" s="7">
        <v>1.29E-2</v>
      </c>
    </row>
    <row r="1437" spans="2:7" x14ac:dyDescent="0.2">
      <c r="B1437" s="60">
        <v>37904</v>
      </c>
      <c r="C1437" s="7">
        <v>4.2020000000000002E-2</v>
      </c>
      <c r="D1437" s="7">
        <v>4.2020000000000002E-2</v>
      </c>
      <c r="E1437" s="7">
        <v>4.2020000000000002E-2</v>
      </c>
      <c r="F1437" s="7">
        <v>4.2020000000000002E-2</v>
      </c>
      <c r="G1437" s="7">
        <v>-1.2E-2</v>
      </c>
    </row>
    <row r="1438" spans="2:7" x14ac:dyDescent="0.2">
      <c r="B1438" s="60">
        <v>37907</v>
      </c>
      <c r="C1438" s="7">
        <v>4.2779999999999999E-2</v>
      </c>
      <c r="D1438" s="7">
        <v>4.2779999999999999E-2</v>
      </c>
      <c r="E1438" s="7">
        <v>4.2779999999999999E-2</v>
      </c>
      <c r="F1438" s="7">
        <v>4.2779999999999999E-2</v>
      </c>
      <c r="G1438" s="7">
        <v>1.8100000000000002E-2</v>
      </c>
    </row>
    <row r="1439" spans="2:7" x14ac:dyDescent="0.2">
      <c r="B1439" s="60">
        <v>37908</v>
      </c>
      <c r="C1439" s="7">
        <v>4.2819999999999997E-2</v>
      </c>
      <c r="D1439" s="7">
        <v>4.2819999999999997E-2</v>
      </c>
      <c r="E1439" s="7">
        <v>4.2819999999999997E-2</v>
      </c>
      <c r="F1439" s="7">
        <v>4.2819999999999997E-2</v>
      </c>
      <c r="G1439" s="7">
        <v>8.9999999999999998E-4</v>
      </c>
    </row>
    <row r="1440" spans="2:7" x14ac:dyDescent="0.2">
      <c r="B1440" s="60">
        <v>37909</v>
      </c>
      <c r="C1440" s="7">
        <v>4.3390000000000005E-2</v>
      </c>
      <c r="D1440" s="7">
        <v>4.3390000000000005E-2</v>
      </c>
      <c r="E1440" s="7">
        <v>4.3390000000000005E-2</v>
      </c>
      <c r="F1440" s="7">
        <v>4.3390000000000005E-2</v>
      </c>
      <c r="G1440" s="7">
        <v>1.3299999999999999E-2</v>
      </c>
    </row>
    <row r="1441" spans="2:7" x14ac:dyDescent="0.2">
      <c r="B1441" s="60">
        <v>37910</v>
      </c>
      <c r="C1441" s="7">
        <v>4.3259999999999993E-2</v>
      </c>
      <c r="D1441" s="7">
        <v>4.3259999999999993E-2</v>
      </c>
      <c r="E1441" s="7">
        <v>4.3259999999999993E-2</v>
      </c>
      <c r="F1441" s="7">
        <v>4.3259999999999993E-2</v>
      </c>
      <c r="G1441" s="7">
        <v>-3.0000000000000001E-3</v>
      </c>
    </row>
    <row r="1442" spans="2:7" x14ac:dyDescent="0.2">
      <c r="B1442" s="60">
        <v>37911</v>
      </c>
      <c r="C1442" s="7">
        <v>4.3230000000000005E-2</v>
      </c>
      <c r="D1442" s="7">
        <v>4.3230000000000005E-2</v>
      </c>
      <c r="E1442" s="7">
        <v>4.3230000000000005E-2</v>
      </c>
      <c r="F1442" s="7">
        <v>4.3230000000000005E-2</v>
      </c>
      <c r="G1442" s="7">
        <v>-6.9999999999999999E-4</v>
      </c>
    </row>
    <row r="1443" spans="2:7" x14ac:dyDescent="0.2">
      <c r="B1443" s="60">
        <v>37914</v>
      </c>
      <c r="C1443" s="7">
        <v>4.3060000000000001E-2</v>
      </c>
      <c r="D1443" s="7">
        <v>4.3060000000000001E-2</v>
      </c>
      <c r="E1443" s="7">
        <v>4.3060000000000001E-2</v>
      </c>
      <c r="F1443" s="7">
        <v>4.3060000000000001E-2</v>
      </c>
      <c r="G1443" s="7">
        <v>-3.8999999999999998E-3</v>
      </c>
    </row>
    <row r="1444" spans="2:7" x14ac:dyDescent="0.2">
      <c r="B1444" s="60">
        <v>37915</v>
      </c>
      <c r="C1444" s="7">
        <v>4.2670000000000007E-2</v>
      </c>
      <c r="D1444" s="7">
        <v>4.2670000000000007E-2</v>
      </c>
      <c r="E1444" s="7">
        <v>4.2670000000000007E-2</v>
      </c>
      <c r="F1444" s="7">
        <v>4.2670000000000007E-2</v>
      </c>
      <c r="G1444" s="7">
        <v>-9.1000000000000004E-3</v>
      </c>
    </row>
    <row r="1445" spans="2:7" x14ac:dyDescent="0.2">
      <c r="B1445" s="60">
        <v>37916</v>
      </c>
      <c r="C1445" s="7">
        <v>4.2419999999999999E-2</v>
      </c>
      <c r="D1445" s="7">
        <v>4.2419999999999999E-2</v>
      </c>
      <c r="E1445" s="7">
        <v>4.2419999999999999E-2</v>
      </c>
      <c r="F1445" s="7">
        <v>4.2419999999999999E-2</v>
      </c>
      <c r="G1445" s="7">
        <v>-5.8999999999999999E-3</v>
      </c>
    </row>
    <row r="1446" spans="2:7" x14ac:dyDescent="0.2">
      <c r="B1446" s="60">
        <v>37917</v>
      </c>
      <c r="C1446" s="7">
        <v>4.2709999999999998E-2</v>
      </c>
      <c r="D1446" s="7">
        <v>4.2709999999999998E-2</v>
      </c>
      <c r="E1446" s="7">
        <v>4.2709999999999998E-2</v>
      </c>
      <c r="F1446" s="7">
        <v>4.2709999999999998E-2</v>
      </c>
      <c r="G1446" s="7">
        <v>6.7999999999999996E-3</v>
      </c>
    </row>
    <row r="1447" spans="2:7" x14ac:dyDescent="0.2">
      <c r="B1447" s="60">
        <v>37918</v>
      </c>
      <c r="C1447" s="7">
        <v>4.258E-2</v>
      </c>
      <c r="D1447" s="7">
        <v>4.258E-2</v>
      </c>
      <c r="E1447" s="7">
        <v>4.258E-2</v>
      </c>
      <c r="F1447" s="7">
        <v>4.258E-2</v>
      </c>
      <c r="G1447" s="7">
        <v>-3.0000000000000001E-3</v>
      </c>
    </row>
    <row r="1448" spans="2:7" x14ac:dyDescent="0.2">
      <c r="B1448" s="60">
        <v>37921</v>
      </c>
      <c r="C1448" s="7">
        <v>4.2849999999999999E-2</v>
      </c>
      <c r="D1448" s="7">
        <v>4.2849999999999999E-2</v>
      </c>
      <c r="E1448" s="7">
        <v>4.2849999999999999E-2</v>
      </c>
      <c r="F1448" s="7">
        <v>4.2849999999999999E-2</v>
      </c>
      <c r="G1448" s="7">
        <v>6.3E-3</v>
      </c>
    </row>
    <row r="1449" spans="2:7" x14ac:dyDescent="0.2">
      <c r="B1449" s="60">
        <v>37922</v>
      </c>
      <c r="C1449" s="7">
        <v>4.3070000000000004E-2</v>
      </c>
      <c r="D1449" s="7">
        <v>4.3070000000000004E-2</v>
      </c>
      <c r="E1449" s="7">
        <v>4.3070000000000004E-2</v>
      </c>
      <c r="F1449" s="7">
        <v>4.3070000000000004E-2</v>
      </c>
      <c r="G1449" s="7">
        <v>5.1000000000000004E-3</v>
      </c>
    </row>
    <row r="1450" spans="2:7" x14ac:dyDescent="0.2">
      <c r="B1450" s="60">
        <v>37923</v>
      </c>
      <c r="C1450" s="7">
        <v>4.3099999999999999E-2</v>
      </c>
      <c r="D1450" s="7">
        <v>4.3099999999999999E-2</v>
      </c>
      <c r="E1450" s="7">
        <v>4.3099999999999999E-2</v>
      </c>
      <c r="F1450" s="7">
        <v>4.3099999999999999E-2</v>
      </c>
      <c r="G1450" s="7">
        <v>6.9999999999999999E-4</v>
      </c>
    </row>
    <row r="1451" spans="2:7" x14ac:dyDescent="0.2">
      <c r="B1451" s="60">
        <v>37924</v>
      </c>
      <c r="C1451" s="7">
        <v>4.351E-2</v>
      </c>
      <c r="D1451" s="7">
        <v>4.351E-2</v>
      </c>
      <c r="E1451" s="7">
        <v>4.351E-2</v>
      </c>
      <c r="F1451" s="7">
        <v>4.351E-2</v>
      </c>
      <c r="G1451" s="7">
        <v>9.4999999999999998E-3</v>
      </c>
    </row>
    <row r="1452" spans="2:7" x14ac:dyDescent="0.2">
      <c r="B1452" s="60">
        <v>37925</v>
      </c>
      <c r="C1452" s="7">
        <v>4.3250000000000004E-2</v>
      </c>
      <c r="D1452" s="7">
        <v>4.3250000000000004E-2</v>
      </c>
      <c r="E1452" s="7">
        <v>4.3250000000000004E-2</v>
      </c>
      <c r="F1452" s="7">
        <v>4.3250000000000004E-2</v>
      </c>
      <c r="G1452" s="7">
        <v>-6.0000000000000001E-3</v>
      </c>
    </row>
    <row r="1453" spans="2:7" x14ac:dyDescent="0.2">
      <c r="B1453" s="60">
        <v>37928</v>
      </c>
      <c r="C1453" s="7">
        <v>4.3990000000000001E-2</v>
      </c>
      <c r="D1453" s="7">
        <v>4.3990000000000001E-2</v>
      </c>
      <c r="E1453" s="7">
        <v>4.3990000000000001E-2</v>
      </c>
      <c r="F1453" s="7">
        <v>4.3990000000000001E-2</v>
      </c>
      <c r="G1453" s="7">
        <v>1.7100000000000001E-2</v>
      </c>
    </row>
    <row r="1454" spans="2:7" x14ac:dyDescent="0.2">
      <c r="B1454" s="60">
        <v>37929</v>
      </c>
      <c r="C1454" s="7">
        <v>4.3589999999999997E-2</v>
      </c>
      <c r="D1454" s="7">
        <v>4.3589999999999997E-2</v>
      </c>
      <c r="E1454" s="7">
        <v>4.3589999999999997E-2</v>
      </c>
      <c r="F1454" s="7">
        <v>4.3589999999999997E-2</v>
      </c>
      <c r="G1454" s="7">
        <v>-9.1000000000000004E-3</v>
      </c>
    </row>
    <row r="1455" spans="2:7" x14ac:dyDescent="0.2">
      <c r="B1455" s="60">
        <v>37930</v>
      </c>
      <c r="C1455" s="7">
        <v>4.3700000000000003E-2</v>
      </c>
      <c r="D1455" s="7">
        <v>4.3700000000000003E-2</v>
      </c>
      <c r="E1455" s="7">
        <v>4.3700000000000003E-2</v>
      </c>
      <c r="F1455" s="7">
        <v>4.3700000000000003E-2</v>
      </c>
      <c r="G1455" s="7">
        <v>2.5000000000000001E-3</v>
      </c>
    </row>
    <row r="1456" spans="2:7" x14ac:dyDescent="0.2">
      <c r="B1456" s="60">
        <v>37931</v>
      </c>
      <c r="C1456" s="7">
        <v>4.4600000000000001E-2</v>
      </c>
      <c r="D1456" s="7">
        <v>4.4600000000000001E-2</v>
      </c>
      <c r="E1456" s="7">
        <v>4.4600000000000001E-2</v>
      </c>
      <c r="F1456" s="7">
        <v>4.4600000000000001E-2</v>
      </c>
      <c r="G1456" s="7">
        <v>2.06E-2</v>
      </c>
    </row>
    <row r="1457" spans="2:7" x14ac:dyDescent="0.2">
      <c r="B1457" s="60">
        <v>37932</v>
      </c>
      <c r="C1457" s="7">
        <v>4.4950000000000004E-2</v>
      </c>
      <c r="D1457" s="7">
        <v>4.4950000000000004E-2</v>
      </c>
      <c r="E1457" s="7">
        <v>4.4950000000000004E-2</v>
      </c>
      <c r="F1457" s="7">
        <v>4.4950000000000004E-2</v>
      </c>
      <c r="G1457" s="7">
        <v>7.7999999999999996E-3</v>
      </c>
    </row>
    <row r="1458" spans="2:7" x14ac:dyDescent="0.2">
      <c r="B1458" s="60">
        <v>37935</v>
      </c>
      <c r="C1458" s="7">
        <v>4.4809999999999996E-2</v>
      </c>
      <c r="D1458" s="7">
        <v>4.4809999999999996E-2</v>
      </c>
      <c r="E1458" s="7">
        <v>4.4809999999999996E-2</v>
      </c>
      <c r="F1458" s="7">
        <v>4.4809999999999996E-2</v>
      </c>
      <c r="G1458" s="7">
        <v>-3.0999999999999999E-3</v>
      </c>
    </row>
    <row r="1459" spans="2:7" x14ac:dyDescent="0.2">
      <c r="B1459" s="60">
        <v>37936</v>
      </c>
      <c r="C1459" s="7">
        <v>4.4720000000000003E-2</v>
      </c>
      <c r="D1459" s="7">
        <v>4.4720000000000003E-2</v>
      </c>
      <c r="E1459" s="7">
        <v>4.4720000000000003E-2</v>
      </c>
      <c r="F1459" s="7">
        <v>4.4720000000000003E-2</v>
      </c>
      <c r="G1459" s="7">
        <v>-2E-3</v>
      </c>
    </row>
    <row r="1460" spans="2:7" x14ac:dyDescent="0.2">
      <c r="B1460" s="60">
        <v>37937</v>
      </c>
      <c r="C1460" s="7">
        <v>4.4660000000000005E-2</v>
      </c>
      <c r="D1460" s="7">
        <v>4.4660000000000005E-2</v>
      </c>
      <c r="E1460" s="7">
        <v>4.4660000000000005E-2</v>
      </c>
      <c r="F1460" s="7">
        <v>4.4660000000000005E-2</v>
      </c>
      <c r="G1460" s="7">
        <v>-1.2999999999999999E-3</v>
      </c>
    </row>
    <row r="1461" spans="2:7" x14ac:dyDescent="0.2">
      <c r="B1461" s="60">
        <v>37938</v>
      </c>
      <c r="C1461" s="7">
        <v>4.4189999999999993E-2</v>
      </c>
      <c r="D1461" s="7">
        <v>4.4189999999999993E-2</v>
      </c>
      <c r="E1461" s="7">
        <v>4.4189999999999993E-2</v>
      </c>
      <c r="F1461" s="7">
        <v>4.4189999999999993E-2</v>
      </c>
      <c r="G1461" s="7">
        <v>-1.0500000000000001E-2</v>
      </c>
    </row>
    <row r="1462" spans="2:7" x14ac:dyDescent="0.2">
      <c r="B1462" s="60">
        <v>37939</v>
      </c>
      <c r="C1462" s="7">
        <v>4.3630000000000002E-2</v>
      </c>
      <c r="D1462" s="7">
        <v>4.3630000000000002E-2</v>
      </c>
      <c r="E1462" s="7">
        <v>4.3630000000000002E-2</v>
      </c>
      <c r="F1462" s="7">
        <v>4.3630000000000002E-2</v>
      </c>
      <c r="G1462" s="7">
        <v>-1.2699999999999999E-2</v>
      </c>
    </row>
    <row r="1463" spans="2:7" x14ac:dyDescent="0.2">
      <c r="B1463" s="60">
        <v>37942</v>
      </c>
      <c r="C1463" s="7">
        <v>4.3380000000000002E-2</v>
      </c>
      <c r="D1463" s="7">
        <v>4.3380000000000002E-2</v>
      </c>
      <c r="E1463" s="7">
        <v>4.3380000000000002E-2</v>
      </c>
      <c r="F1463" s="7">
        <v>4.3380000000000002E-2</v>
      </c>
      <c r="G1463" s="7">
        <v>-5.7000000000000002E-3</v>
      </c>
    </row>
    <row r="1464" spans="2:7" x14ac:dyDescent="0.2">
      <c r="B1464" s="60">
        <v>37943</v>
      </c>
      <c r="C1464" s="7">
        <v>4.3150000000000001E-2</v>
      </c>
      <c r="D1464" s="7">
        <v>4.3150000000000001E-2</v>
      </c>
      <c r="E1464" s="7">
        <v>4.3150000000000001E-2</v>
      </c>
      <c r="F1464" s="7">
        <v>4.3150000000000001E-2</v>
      </c>
      <c r="G1464" s="7">
        <v>-5.3E-3</v>
      </c>
    </row>
    <row r="1465" spans="2:7" x14ac:dyDescent="0.2">
      <c r="B1465" s="60">
        <v>37944</v>
      </c>
      <c r="C1465" s="7">
        <v>4.3589999999999997E-2</v>
      </c>
      <c r="D1465" s="7">
        <v>4.3589999999999997E-2</v>
      </c>
      <c r="E1465" s="7">
        <v>4.3589999999999997E-2</v>
      </c>
      <c r="F1465" s="7">
        <v>4.3589999999999997E-2</v>
      </c>
      <c r="G1465" s="7">
        <v>1.0200000000000001E-2</v>
      </c>
    </row>
    <row r="1466" spans="2:7" x14ac:dyDescent="0.2">
      <c r="B1466" s="60">
        <v>37945</v>
      </c>
      <c r="C1466" s="7">
        <v>4.3440000000000006E-2</v>
      </c>
      <c r="D1466" s="7">
        <v>4.3440000000000006E-2</v>
      </c>
      <c r="E1466" s="7">
        <v>4.3440000000000006E-2</v>
      </c>
      <c r="F1466" s="7">
        <v>4.3440000000000006E-2</v>
      </c>
      <c r="G1466" s="7">
        <v>-3.3999999999999998E-3</v>
      </c>
    </row>
    <row r="1467" spans="2:7" x14ac:dyDescent="0.2">
      <c r="B1467" s="60">
        <v>37946</v>
      </c>
      <c r="C1467" s="7">
        <v>4.3200000000000002E-2</v>
      </c>
      <c r="D1467" s="7">
        <v>4.3200000000000002E-2</v>
      </c>
      <c r="E1467" s="7">
        <v>4.3200000000000002E-2</v>
      </c>
      <c r="F1467" s="7">
        <v>4.3200000000000002E-2</v>
      </c>
      <c r="G1467" s="7">
        <v>-5.4999999999999997E-3</v>
      </c>
    </row>
    <row r="1468" spans="2:7" x14ac:dyDescent="0.2">
      <c r="B1468" s="60">
        <v>37949</v>
      </c>
      <c r="C1468" s="7">
        <v>4.4039999999999996E-2</v>
      </c>
      <c r="D1468" s="7">
        <v>4.4039999999999996E-2</v>
      </c>
      <c r="E1468" s="7">
        <v>4.4039999999999996E-2</v>
      </c>
      <c r="F1468" s="7">
        <v>4.4039999999999996E-2</v>
      </c>
      <c r="G1468" s="7">
        <v>1.9400000000000001E-2</v>
      </c>
    </row>
    <row r="1469" spans="2:7" x14ac:dyDescent="0.2">
      <c r="B1469" s="60">
        <v>37950</v>
      </c>
      <c r="C1469" s="7">
        <v>4.4130000000000003E-2</v>
      </c>
      <c r="D1469" s="7">
        <v>4.4130000000000003E-2</v>
      </c>
      <c r="E1469" s="7">
        <v>4.4130000000000003E-2</v>
      </c>
      <c r="F1469" s="7">
        <v>4.4130000000000003E-2</v>
      </c>
      <c r="G1469" s="7">
        <v>2E-3</v>
      </c>
    </row>
    <row r="1470" spans="2:7" x14ac:dyDescent="0.2">
      <c r="B1470" s="60">
        <v>37951</v>
      </c>
      <c r="C1470" s="7">
        <v>4.4170000000000001E-2</v>
      </c>
      <c r="D1470" s="7">
        <v>4.4170000000000001E-2</v>
      </c>
      <c r="E1470" s="7">
        <v>4.4170000000000001E-2</v>
      </c>
      <c r="F1470" s="7">
        <v>4.4170000000000001E-2</v>
      </c>
      <c r="G1470" s="7">
        <v>8.9999999999999998E-4</v>
      </c>
    </row>
    <row r="1471" spans="2:7" x14ac:dyDescent="0.2">
      <c r="B1471" s="60">
        <v>37952</v>
      </c>
      <c r="C1471" s="7">
        <v>4.4610000000000004E-2</v>
      </c>
      <c r="D1471" s="7">
        <v>4.4610000000000004E-2</v>
      </c>
      <c r="E1471" s="7">
        <v>4.4610000000000004E-2</v>
      </c>
      <c r="F1471" s="7">
        <v>4.4610000000000004E-2</v>
      </c>
      <c r="G1471" s="7">
        <v>0.01</v>
      </c>
    </row>
    <row r="1472" spans="2:7" x14ac:dyDescent="0.2">
      <c r="B1472" s="60">
        <v>37953</v>
      </c>
      <c r="C1472" s="7">
        <v>4.4519999999999997E-2</v>
      </c>
      <c r="D1472" s="7">
        <v>4.4519999999999997E-2</v>
      </c>
      <c r="E1472" s="7">
        <v>4.4519999999999997E-2</v>
      </c>
      <c r="F1472" s="7">
        <v>4.4519999999999997E-2</v>
      </c>
      <c r="G1472" s="7">
        <v>-2E-3</v>
      </c>
    </row>
    <row r="1473" spans="2:7" x14ac:dyDescent="0.2">
      <c r="B1473" s="60">
        <v>37956</v>
      </c>
      <c r="C1473" s="7">
        <v>4.4900000000000002E-2</v>
      </c>
      <c r="D1473" s="7">
        <v>4.4900000000000002E-2</v>
      </c>
      <c r="E1473" s="7">
        <v>4.4900000000000002E-2</v>
      </c>
      <c r="F1473" s="7">
        <v>4.4900000000000002E-2</v>
      </c>
      <c r="G1473" s="7">
        <v>8.5000000000000006E-3</v>
      </c>
    </row>
    <row r="1474" spans="2:7" x14ac:dyDescent="0.2">
      <c r="B1474" s="60">
        <v>37957</v>
      </c>
      <c r="C1474" s="7">
        <v>4.4660000000000005E-2</v>
      </c>
      <c r="D1474" s="7">
        <v>4.4660000000000005E-2</v>
      </c>
      <c r="E1474" s="7">
        <v>4.4660000000000005E-2</v>
      </c>
      <c r="F1474" s="7">
        <v>4.4660000000000005E-2</v>
      </c>
      <c r="G1474" s="7">
        <v>-5.3E-3</v>
      </c>
    </row>
    <row r="1475" spans="2:7" x14ac:dyDescent="0.2">
      <c r="B1475" s="60">
        <v>37958</v>
      </c>
      <c r="C1475" s="7">
        <v>4.4600000000000001E-2</v>
      </c>
      <c r="D1475" s="7">
        <v>4.4600000000000001E-2</v>
      </c>
      <c r="E1475" s="7">
        <v>4.4600000000000001E-2</v>
      </c>
      <c r="F1475" s="7">
        <v>4.4600000000000001E-2</v>
      </c>
      <c r="G1475" s="7">
        <v>-1.2999999999999999E-3</v>
      </c>
    </row>
    <row r="1476" spans="2:7" x14ac:dyDescent="0.2">
      <c r="B1476" s="60">
        <v>37959</v>
      </c>
      <c r="C1476" s="7">
        <v>4.4409999999999998E-2</v>
      </c>
      <c r="D1476" s="7">
        <v>4.4409999999999998E-2</v>
      </c>
      <c r="E1476" s="7">
        <v>4.4409999999999998E-2</v>
      </c>
      <c r="F1476" s="7">
        <v>4.4409999999999998E-2</v>
      </c>
      <c r="G1476" s="7">
        <v>-4.3E-3</v>
      </c>
    </row>
    <row r="1477" spans="2:7" x14ac:dyDescent="0.2">
      <c r="B1477" s="60">
        <v>37960</v>
      </c>
      <c r="C1477" s="7">
        <v>4.3380000000000002E-2</v>
      </c>
      <c r="D1477" s="7">
        <v>4.3380000000000002E-2</v>
      </c>
      <c r="E1477" s="7">
        <v>4.3380000000000002E-2</v>
      </c>
      <c r="F1477" s="7">
        <v>4.3380000000000002E-2</v>
      </c>
      <c r="G1477" s="7">
        <v>-2.3199999999999998E-2</v>
      </c>
    </row>
    <row r="1478" spans="2:7" x14ac:dyDescent="0.2">
      <c r="B1478" s="60">
        <v>37963</v>
      </c>
      <c r="C1478" s="7">
        <v>4.3529999999999999E-2</v>
      </c>
      <c r="D1478" s="7">
        <v>4.3529999999999999E-2</v>
      </c>
      <c r="E1478" s="7">
        <v>4.3529999999999999E-2</v>
      </c>
      <c r="F1478" s="7">
        <v>4.3529999999999999E-2</v>
      </c>
      <c r="G1478" s="7">
        <v>3.5000000000000001E-3</v>
      </c>
    </row>
    <row r="1479" spans="2:7" x14ac:dyDescent="0.2">
      <c r="B1479" s="60">
        <v>37964</v>
      </c>
      <c r="C1479" s="7">
        <v>4.3589999999999997E-2</v>
      </c>
      <c r="D1479" s="7">
        <v>4.3589999999999997E-2</v>
      </c>
      <c r="E1479" s="7">
        <v>4.3589999999999997E-2</v>
      </c>
      <c r="F1479" s="7">
        <v>4.3589999999999997E-2</v>
      </c>
      <c r="G1479" s="7">
        <v>1.4E-3</v>
      </c>
    </row>
    <row r="1480" spans="2:7" x14ac:dyDescent="0.2">
      <c r="B1480" s="60">
        <v>37965</v>
      </c>
      <c r="C1480" s="7">
        <v>4.3560000000000001E-2</v>
      </c>
      <c r="D1480" s="7">
        <v>4.3560000000000001E-2</v>
      </c>
      <c r="E1480" s="7">
        <v>4.3560000000000001E-2</v>
      </c>
      <c r="F1480" s="7">
        <v>4.3560000000000001E-2</v>
      </c>
      <c r="G1480" s="7">
        <v>-6.9999999999999999E-4</v>
      </c>
    </row>
    <row r="1481" spans="2:7" x14ac:dyDescent="0.2">
      <c r="B1481" s="60">
        <v>37966</v>
      </c>
      <c r="C1481" s="7">
        <v>4.369E-2</v>
      </c>
      <c r="D1481" s="7">
        <v>4.369E-2</v>
      </c>
      <c r="E1481" s="7">
        <v>4.369E-2</v>
      </c>
      <c r="F1481" s="7">
        <v>4.369E-2</v>
      </c>
      <c r="G1481" s="7">
        <v>3.0000000000000001E-3</v>
      </c>
    </row>
    <row r="1482" spans="2:7" x14ac:dyDescent="0.2">
      <c r="B1482" s="60">
        <v>37967</v>
      </c>
      <c r="C1482" s="7">
        <v>4.3029999999999999E-2</v>
      </c>
      <c r="D1482" s="7">
        <v>4.3029999999999999E-2</v>
      </c>
      <c r="E1482" s="7">
        <v>4.3029999999999999E-2</v>
      </c>
      <c r="F1482" s="7">
        <v>4.3029999999999999E-2</v>
      </c>
      <c r="G1482" s="7">
        <v>-1.5100000000000001E-2</v>
      </c>
    </row>
    <row r="1483" spans="2:7" x14ac:dyDescent="0.2">
      <c r="B1483" s="60">
        <v>37970</v>
      </c>
      <c r="C1483" s="7">
        <v>4.2939999999999999E-2</v>
      </c>
      <c r="D1483" s="7">
        <v>4.2939999999999999E-2</v>
      </c>
      <c r="E1483" s="7">
        <v>4.2939999999999999E-2</v>
      </c>
      <c r="F1483" s="7">
        <v>4.2939999999999999E-2</v>
      </c>
      <c r="G1483" s="7">
        <v>-2.0999999999999999E-3</v>
      </c>
    </row>
    <row r="1484" spans="2:7" x14ac:dyDescent="0.2">
      <c r="B1484" s="60">
        <v>37971</v>
      </c>
      <c r="C1484" s="7">
        <v>4.2999999999999997E-2</v>
      </c>
      <c r="D1484" s="7">
        <v>4.2999999999999997E-2</v>
      </c>
      <c r="E1484" s="7">
        <v>4.2999999999999997E-2</v>
      </c>
      <c r="F1484" s="7">
        <v>4.2999999999999997E-2</v>
      </c>
      <c r="G1484" s="7">
        <v>1.4E-3</v>
      </c>
    </row>
    <row r="1485" spans="2:7" x14ac:dyDescent="0.2">
      <c r="B1485" s="60">
        <v>37972</v>
      </c>
      <c r="C1485" s="7">
        <v>4.2590000000000003E-2</v>
      </c>
      <c r="D1485" s="7">
        <v>4.2590000000000003E-2</v>
      </c>
      <c r="E1485" s="7">
        <v>4.2590000000000003E-2</v>
      </c>
      <c r="F1485" s="7">
        <v>4.2590000000000003E-2</v>
      </c>
      <c r="G1485" s="7">
        <v>-9.4999999999999998E-3</v>
      </c>
    </row>
    <row r="1486" spans="2:7" x14ac:dyDescent="0.2">
      <c r="B1486" s="60">
        <v>37973</v>
      </c>
      <c r="C1486" s="7">
        <v>4.2599999999999999E-2</v>
      </c>
      <c r="D1486" s="7">
        <v>4.2599999999999999E-2</v>
      </c>
      <c r="E1486" s="7">
        <v>4.2599999999999999E-2</v>
      </c>
      <c r="F1486" s="7">
        <v>4.2599999999999999E-2</v>
      </c>
      <c r="G1486" s="7">
        <v>2.0000000000000001E-4</v>
      </c>
    </row>
    <row r="1487" spans="2:7" x14ac:dyDescent="0.2">
      <c r="B1487" s="60">
        <v>37974</v>
      </c>
      <c r="C1487" s="7">
        <v>4.2819999999999997E-2</v>
      </c>
      <c r="D1487" s="7">
        <v>4.2819999999999997E-2</v>
      </c>
      <c r="E1487" s="7">
        <v>4.2819999999999997E-2</v>
      </c>
      <c r="F1487" s="7">
        <v>4.2819999999999997E-2</v>
      </c>
      <c r="G1487" s="7">
        <v>5.1999999999999998E-3</v>
      </c>
    </row>
    <row r="1488" spans="2:7" x14ac:dyDescent="0.2">
      <c r="B1488" s="60">
        <v>37977</v>
      </c>
      <c r="C1488" s="7">
        <v>4.2649999999999993E-2</v>
      </c>
      <c r="D1488" s="7">
        <v>4.2649999999999993E-2</v>
      </c>
      <c r="E1488" s="7">
        <v>4.2649999999999993E-2</v>
      </c>
      <c r="F1488" s="7">
        <v>4.2649999999999993E-2</v>
      </c>
      <c r="G1488" s="7">
        <v>-4.0000000000000001E-3</v>
      </c>
    </row>
    <row r="1489" spans="2:7" x14ac:dyDescent="0.2">
      <c r="B1489" s="60">
        <v>37978</v>
      </c>
      <c r="C1489" s="7">
        <v>4.2460000000000005E-2</v>
      </c>
      <c r="D1489" s="7">
        <v>4.2460000000000005E-2</v>
      </c>
      <c r="E1489" s="7">
        <v>4.2460000000000005E-2</v>
      </c>
      <c r="F1489" s="7">
        <v>4.2460000000000005E-2</v>
      </c>
      <c r="G1489" s="7">
        <v>-4.4999999999999997E-3</v>
      </c>
    </row>
    <row r="1490" spans="2:7" x14ac:dyDescent="0.2">
      <c r="B1490" s="60">
        <v>37984</v>
      </c>
      <c r="C1490" s="7">
        <v>4.2539999999999994E-2</v>
      </c>
      <c r="D1490" s="7">
        <v>4.2539999999999994E-2</v>
      </c>
      <c r="E1490" s="7">
        <v>4.2539999999999994E-2</v>
      </c>
      <c r="F1490" s="7">
        <v>4.2539999999999994E-2</v>
      </c>
      <c r="G1490" s="7">
        <v>1.9E-3</v>
      </c>
    </row>
    <row r="1491" spans="2:7" x14ac:dyDescent="0.2">
      <c r="B1491" s="60">
        <v>37985</v>
      </c>
      <c r="C1491" s="7">
        <v>4.292E-2</v>
      </c>
      <c r="D1491" s="7">
        <v>4.292E-2</v>
      </c>
      <c r="E1491" s="7">
        <v>4.292E-2</v>
      </c>
      <c r="F1491" s="7">
        <v>4.292E-2</v>
      </c>
      <c r="G1491" s="7">
        <v>8.8999999999999999E-3</v>
      </c>
    </row>
    <row r="1492" spans="2:7" x14ac:dyDescent="0.2">
      <c r="B1492" s="60">
        <v>37988</v>
      </c>
      <c r="C1492" s="7">
        <v>4.3289999999999995E-2</v>
      </c>
      <c r="D1492" s="7">
        <v>4.3289999999999995E-2</v>
      </c>
      <c r="E1492" s="7">
        <v>4.3289999999999995E-2</v>
      </c>
      <c r="F1492" s="7">
        <v>4.3289999999999995E-2</v>
      </c>
      <c r="G1492" s="7">
        <v>8.6E-3</v>
      </c>
    </row>
    <row r="1493" spans="2:7" x14ac:dyDescent="0.2">
      <c r="B1493" s="60">
        <v>37991</v>
      </c>
      <c r="C1493" s="7">
        <v>4.3240000000000001E-2</v>
      </c>
      <c r="D1493" s="7">
        <v>4.3240000000000001E-2</v>
      </c>
      <c r="E1493" s="7">
        <v>4.3240000000000001E-2</v>
      </c>
      <c r="F1493" s="7">
        <v>4.3240000000000001E-2</v>
      </c>
      <c r="G1493" s="7">
        <v>-1.1999999999999999E-3</v>
      </c>
    </row>
    <row r="1494" spans="2:7" x14ac:dyDescent="0.2">
      <c r="B1494" s="60">
        <v>37992</v>
      </c>
      <c r="C1494" s="7">
        <v>4.2630000000000001E-2</v>
      </c>
      <c r="D1494" s="7">
        <v>4.2630000000000001E-2</v>
      </c>
      <c r="E1494" s="7">
        <v>4.2630000000000001E-2</v>
      </c>
      <c r="F1494" s="7">
        <v>4.2630000000000001E-2</v>
      </c>
      <c r="G1494" s="7">
        <v>-1.41E-2</v>
      </c>
    </row>
    <row r="1495" spans="2:7" x14ac:dyDescent="0.2">
      <c r="B1495" s="60">
        <v>37993</v>
      </c>
      <c r="C1495" s="7">
        <v>4.2529999999999998E-2</v>
      </c>
      <c r="D1495" s="7">
        <v>4.2529999999999998E-2</v>
      </c>
      <c r="E1495" s="7">
        <v>4.2529999999999998E-2</v>
      </c>
      <c r="F1495" s="7">
        <v>4.2529999999999998E-2</v>
      </c>
      <c r="G1495" s="7">
        <v>-2.3E-3</v>
      </c>
    </row>
    <row r="1496" spans="2:7" x14ac:dyDescent="0.2">
      <c r="B1496" s="60">
        <v>37994</v>
      </c>
      <c r="C1496" s="7">
        <v>4.2270000000000002E-2</v>
      </c>
      <c r="D1496" s="7">
        <v>4.2270000000000002E-2</v>
      </c>
      <c r="E1496" s="7">
        <v>4.2270000000000002E-2</v>
      </c>
      <c r="F1496" s="7">
        <v>4.2270000000000002E-2</v>
      </c>
      <c r="G1496" s="7">
        <v>-6.1000000000000004E-3</v>
      </c>
    </row>
    <row r="1497" spans="2:7" x14ac:dyDescent="0.2">
      <c r="B1497" s="60">
        <v>37995</v>
      </c>
      <c r="C1497" s="7">
        <v>4.1410000000000002E-2</v>
      </c>
      <c r="D1497" s="7">
        <v>4.1410000000000002E-2</v>
      </c>
      <c r="E1497" s="7">
        <v>4.1410000000000002E-2</v>
      </c>
      <c r="F1497" s="7">
        <v>4.1410000000000002E-2</v>
      </c>
      <c r="G1497" s="7">
        <v>-2.0299999999999999E-2</v>
      </c>
    </row>
    <row r="1498" spans="2:7" x14ac:dyDescent="0.2">
      <c r="B1498" s="60">
        <v>37998</v>
      </c>
      <c r="C1498" s="7">
        <v>4.1200000000000001E-2</v>
      </c>
      <c r="D1498" s="7">
        <v>4.1200000000000001E-2</v>
      </c>
      <c r="E1498" s="7">
        <v>4.1200000000000001E-2</v>
      </c>
      <c r="F1498" s="7">
        <v>4.1200000000000001E-2</v>
      </c>
      <c r="G1498" s="7">
        <v>-5.1000000000000004E-3</v>
      </c>
    </row>
    <row r="1499" spans="2:7" x14ac:dyDescent="0.2">
      <c r="B1499" s="60">
        <v>37999</v>
      </c>
      <c r="C1499" s="7">
        <v>4.1410000000000002E-2</v>
      </c>
      <c r="D1499" s="7">
        <v>4.1410000000000002E-2</v>
      </c>
      <c r="E1499" s="7">
        <v>4.1410000000000002E-2</v>
      </c>
      <c r="F1499" s="7">
        <v>4.1410000000000002E-2</v>
      </c>
      <c r="G1499" s="7">
        <v>5.1000000000000004E-3</v>
      </c>
    </row>
    <row r="1500" spans="2:7" x14ac:dyDescent="0.2">
      <c r="B1500" s="60">
        <v>38000</v>
      </c>
      <c r="C1500" s="7">
        <v>4.1429999999999995E-2</v>
      </c>
      <c r="D1500" s="7">
        <v>4.1429999999999995E-2</v>
      </c>
      <c r="E1500" s="7">
        <v>4.1429999999999995E-2</v>
      </c>
      <c r="F1500" s="7">
        <v>4.1429999999999995E-2</v>
      </c>
      <c r="G1500" s="7">
        <v>5.0000000000000001E-4</v>
      </c>
    </row>
    <row r="1501" spans="2:7" x14ac:dyDescent="0.2">
      <c r="B1501" s="60">
        <v>38001</v>
      </c>
      <c r="C1501" s="7">
        <v>4.1459999999999997E-2</v>
      </c>
      <c r="D1501" s="7">
        <v>4.1459999999999997E-2</v>
      </c>
      <c r="E1501" s="7">
        <v>4.1459999999999997E-2</v>
      </c>
      <c r="F1501" s="7">
        <v>4.1459999999999997E-2</v>
      </c>
      <c r="G1501" s="7">
        <v>6.9999999999999999E-4</v>
      </c>
    </row>
    <row r="1502" spans="2:7" x14ac:dyDescent="0.2">
      <c r="B1502" s="60">
        <v>38002</v>
      </c>
      <c r="C1502" s="7">
        <v>4.1609999999999994E-2</v>
      </c>
      <c r="D1502" s="7">
        <v>4.1609999999999994E-2</v>
      </c>
      <c r="E1502" s="7">
        <v>4.1609999999999994E-2</v>
      </c>
      <c r="F1502" s="7">
        <v>4.1609999999999994E-2</v>
      </c>
      <c r="G1502" s="7">
        <v>3.5999999999999999E-3</v>
      </c>
    </row>
    <row r="1503" spans="2:7" x14ac:dyDescent="0.2">
      <c r="B1503" s="60">
        <v>38005</v>
      </c>
      <c r="C1503" s="7">
        <v>4.1660000000000003E-2</v>
      </c>
      <c r="D1503" s="7">
        <v>4.1660000000000003E-2</v>
      </c>
      <c r="E1503" s="7">
        <v>4.1660000000000003E-2</v>
      </c>
      <c r="F1503" s="7">
        <v>4.1660000000000003E-2</v>
      </c>
      <c r="G1503" s="7">
        <v>1.1999999999999999E-3</v>
      </c>
    </row>
    <row r="1504" spans="2:7" x14ac:dyDescent="0.2">
      <c r="B1504" s="60">
        <v>38006</v>
      </c>
      <c r="C1504" s="7">
        <v>4.1360000000000001E-2</v>
      </c>
      <c r="D1504" s="7">
        <v>4.1360000000000001E-2</v>
      </c>
      <c r="E1504" s="7">
        <v>4.1360000000000001E-2</v>
      </c>
      <c r="F1504" s="7">
        <v>4.1360000000000001E-2</v>
      </c>
      <c r="G1504" s="7">
        <v>-7.1999999999999998E-3</v>
      </c>
    </row>
    <row r="1505" spans="2:7" x14ac:dyDescent="0.2">
      <c r="B1505" s="60">
        <v>38007</v>
      </c>
      <c r="C1505" s="7">
        <v>4.1540000000000001E-2</v>
      </c>
      <c r="D1505" s="7">
        <v>4.1540000000000001E-2</v>
      </c>
      <c r="E1505" s="7">
        <v>4.1540000000000001E-2</v>
      </c>
      <c r="F1505" s="7">
        <v>4.1540000000000001E-2</v>
      </c>
      <c r="G1505" s="7">
        <v>4.4000000000000003E-3</v>
      </c>
    </row>
    <row r="1506" spans="2:7" x14ac:dyDescent="0.2">
      <c r="B1506" s="60">
        <v>38008</v>
      </c>
      <c r="C1506" s="7">
        <v>4.1319999999999996E-2</v>
      </c>
      <c r="D1506" s="7">
        <v>4.1319999999999996E-2</v>
      </c>
      <c r="E1506" s="7">
        <v>4.1319999999999996E-2</v>
      </c>
      <c r="F1506" s="7">
        <v>4.1319999999999996E-2</v>
      </c>
      <c r="G1506" s="7">
        <v>-5.3E-3</v>
      </c>
    </row>
    <row r="1507" spans="2:7" x14ac:dyDescent="0.2">
      <c r="B1507" s="60">
        <v>38009</v>
      </c>
      <c r="C1507" s="7">
        <v>4.1159999999999995E-2</v>
      </c>
      <c r="D1507" s="7">
        <v>4.1159999999999995E-2</v>
      </c>
      <c r="E1507" s="7">
        <v>4.1159999999999995E-2</v>
      </c>
      <c r="F1507" s="7">
        <v>4.1159999999999995E-2</v>
      </c>
      <c r="G1507" s="7">
        <v>-3.8999999999999998E-3</v>
      </c>
    </row>
    <row r="1508" spans="2:7" x14ac:dyDescent="0.2">
      <c r="B1508" s="60">
        <v>38012</v>
      </c>
      <c r="C1508" s="7">
        <v>4.1529999999999997E-2</v>
      </c>
      <c r="D1508" s="7">
        <v>4.1529999999999997E-2</v>
      </c>
      <c r="E1508" s="7">
        <v>4.1529999999999997E-2</v>
      </c>
      <c r="F1508" s="7">
        <v>4.1529999999999997E-2</v>
      </c>
      <c r="G1508" s="7">
        <v>8.9999999999999993E-3</v>
      </c>
    </row>
    <row r="1509" spans="2:7" x14ac:dyDescent="0.2">
      <c r="B1509" s="60">
        <v>38013</v>
      </c>
      <c r="C1509" s="7">
        <v>4.1500000000000002E-2</v>
      </c>
      <c r="D1509" s="7">
        <v>4.1500000000000002E-2</v>
      </c>
      <c r="E1509" s="7">
        <v>4.1500000000000002E-2</v>
      </c>
      <c r="F1509" s="7">
        <v>4.1500000000000002E-2</v>
      </c>
      <c r="G1509" s="7">
        <v>-6.9999999999999999E-4</v>
      </c>
    </row>
    <row r="1510" spans="2:7" x14ac:dyDescent="0.2">
      <c r="B1510" s="60">
        <v>38014</v>
      </c>
      <c r="C1510" s="7">
        <v>4.1459999999999997E-2</v>
      </c>
      <c r="D1510" s="7">
        <v>4.1459999999999997E-2</v>
      </c>
      <c r="E1510" s="7">
        <v>4.1459999999999997E-2</v>
      </c>
      <c r="F1510" s="7">
        <v>4.1459999999999997E-2</v>
      </c>
      <c r="G1510" s="7">
        <v>-1E-3</v>
      </c>
    </row>
    <row r="1511" spans="2:7" x14ac:dyDescent="0.2">
      <c r="B1511" s="60">
        <v>38015</v>
      </c>
      <c r="C1511" s="7">
        <v>4.2630000000000001E-2</v>
      </c>
      <c r="D1511" s="7">
        <v>4.2630000000000001E-2</v>
      </c>
      <c r="E1511" s="7">
        <v>4.2630000000000001E-2</v>
      </c>
      <c r="F1511" s="7">
        <v>4.2630000000000001E-2</v>
      </c>
      <c r="G1511" s="7">
        <v>2.8199999999999999E-2</v>
      </c>
    </row>
    <row r="1512" spans="2:7" x14ac:dyDescent="0.2">
      <c r="B1512" s="60">
        <v>38016</v>
      </c>
      <c r="C1512" s="7">
        <v>4.2430000000000002E-2</v>
      </c>
      <c r="D1512" s="7">
        <v>4.2430000000000002E-2</v>
      </c>
      <c r="E1512" s="7">
        <v>4.2430000000000002E-2</v>
      </c>
      <c r="F1512" s="7">
        <v>4.2430000000000002E-2</v>
      </c>
      <c r="G1512" s="7">
        <v>-4.7000000000000002E-3</v>
      </c>
    </row>
    <row r="1513" spans="2:7" x14ac:dyDescent="0.2">
      <c r="B1513" s="60">
        <v>38019</v>
      </c>
      <c r="C1513" s="7">
        <v>4.224E-2</v>
      </c>
      <c r="D1513" s="7">
        <v>4.224E-2</v>
      </c>
      <c r="E1513" s="7">
        <v>4.224E-2</v>
      </c>
      <c r="F1513" s="7">
        <v>4.224E-2</v>
      </c>
      <c r="G1513" s="7">
        <v>-4.4999999999999997E-3</v>
      </c>
    </row>
    <row r="1514" spans="2:7" x14ac:dyDescent="0.2">
      <c r="B1514" s="60">
        <v>38020</v>
      </c>
      <c r="C1514" s="7">
        <v>4.2050000000000004E-2</v>
      </c>
      <c r="D1514" s="7">
        <v>4.2050000000000004E-2</v>
      </c>
      <c r="E1514" s="7">
        <v>4.2050000000000004E-2</v>
      </c>
      <c r="F1514" s="7">
        <v>4.2050000000000004E-2</v>
      </c>
      <c r="G1514" s="7">
        <v>-4.4999999999999997E-3</v>
      </c>
    </row>
    <row r="1515" spans="2:7" x14ac:dyDescent="0.2">
      <c r="B1515" s="60">
        <v>38021</v>
      </c>
      <c r="C1515" s="7">
        <v>4.1880000000000001E-2</v>
      </c>
      <c r="D1515" s="7">
        <v>4.1880000000000001E-2</v>
      </c>
      <c r="E1515" s="7">
        <v>4.1880000000000001E-2</v>
      </c>
      <c r="F1515" s="7">
        <v>4.1880000000000001E-2</v>
      </c>
      <c r="G1515" s="7">
        <v>-4.0000000000000001E-3</v>
      </c>
    </row>
    <row r="1516" spans="2:7" x14ac:dyDescent="0.2">
      <c r="B1516" s="60">
        <v>38022</v>
      </c>
      <c r="C1516" s="7">
        <v>4.1740000000000006E-2</v>
      </c>
      <c r="D1516" s="7">
        <v>4.1740000000000006E-2</v>
      </c>
      <c r="E1516" s="7">
        <v>4.1740000000000006E-2</v>
      </c>
      <c r="F1516" s="7">
        <v>4.1740000000000006E-2</v>
      </c>
      <c r="G1516" s="7">
        <v>-3.3E-3</v>
      </c>
    </row>
    <row r="1517" spans="2:7" x14ac:dyDescent="0.2">
      <c r="B1517" s="60">
        <v>38023</v>
      </c>
      <c r="C1517" s="7">
        <v>4.1440000000000005E-2</v>
      </c>
      <c r="D1517" s="7">
        <v>4.1440000000000005E-2</v>
      </c>
      <c r="E1517" s="7">
        <v>4.1440000000000005E-2</v>
      </c>
      <c r="F1517" s="7">
        <v>4.1440000000000005E-2</v>
      </c>
      <c r="G1517" s="7">
        <v>-7.1999999999999998E-3</v>
      </c>
    </row>
    <row r="1518" spans="2:7" x14ac:dyDescent="0.2">
      <c r="B1518" s="60">
        <v>38026</v>
      </c>
      <c r="C1518" s="7">
        <v>4.1299999999999996E-2</v>
      </c>
      <c r="D1518" s="7">
        <v>4.1299999999999996E-2</v>
      </c>
      <c r="E1518" s="7">
        <v>4.1299999999999996E-2</v>
      </c>
      <c r="F1518" s="7">
        <v>4.1299999999999996E-2</v>
      </c>
      <c r="G1518" s="7">
        <v>-3.3999999999999998E-3</v>
      </c>
    </row>
    <row r="1519" spans="2:7" x14ac:dyDescent="0.2">
      <c r="B1519" s="60">
        <v>38027</v>
      </c>
      <c r="C1519" s="7">
        <v>4.138E-2</v>
      </c>
      <c r="D1519" s="7">
        <v>4.138E-2</v>
      </c>
      <c r="E1519" s="7">
        <v>4.138E-2</v>
      </c>
      <c r="F1519" s="7">
        <v>4.138E-2</v>
      </c>
      <c r="G1519" s="7">
        <v>1.9E-3</v>
      </c>
    </row>
    <row r="1520" spans="2:7" x14ac:dyDescent="0.2">
      <c r="B1520" s="60">
        <v>38028</v>
      </c>
      <c r="C1520" s="7">
        <v>4.1399999999999999E-2</v>
      </c>
      <c r="D1520" s="7">
        <v>4.1399999999999999E-2</v>
      </c>
      <c r="E1520" s="7">
        <v>4.1399999999999999E-2</v>
      </c>
      <c r="F1520" s="7">
        <v>4.1399999999999999E-2</v>
      </c>
      <c r="G1520" s="7">
        <v>5.0000000000000001E-4</v>
      </c>
    </row>
    <row r="1521" spans="2:7" x14ac:dyDescent="0.2">
      <c r="B1521" s="60">
        <v>38029</v>
      </c>
      <c r="C1521" s="7">
        <v>4.104E-2</v>
      </c>
      <c r="D1521" s="7">
        <v>4.104E-2</v>
      </c>
      <c r="E1521" s="7">
        <v>4.104E-2</v>
      </c>
      <c r="F1521" s="7">
        <v>4.104E-2</v>
      </c>
      <c r="G1521" s="7">
        <v>-8.6999999999999994E-3</v>
      </c>
    </row>
    <row r="1522" spans="2:7" x14ac:dyDescent="0.2">
      <c r="B1522" s="60">
        <v>38030</v>
      </c>
      <c r="C1522" s="7">
        <v>4.1180000000000001E-2</v>
      </c>
      <c r="D1522" s="7">
        <v>4.1180000000000001E-2</v>
      </c>
      <c r="E1522" s="7">
        <v>4.1180000000000001E-2</v>
      </c>
      <c r="F1522" s="7">
        <v>4.1180000000000001E-2</v>
      </c>
      <c r="G1522" s="7">
        <v>3.3999999999999998E-3</v>
      </c>
    </row>
    <row r="1523" spans="2:7" x14ac:dyDescent="0.2">
      <c r="B1523" s="60">
        <v>38033</v>
      </c>
      <c r="C1523" s="7">
        <v>4.1020000000000001E-2</v>
      </c>
      <c r="D1523" s="7">
        <v>4.1020000000000001E-2</v>
      </c>
      <c r="E1523" s="7">
        <v>4.1020000000000001E-2</v>
      </c>
      <c r="F1523" s="7">
        <v>4.1020000000000001E-2</v>
      </c>
      <c r="G1523" s="7">
        <v>-3.8999999999999998E-3</v>
      </c>
    </row>
    <row r="1524" spans="2:7" x14ac:dyDescent="0.2">
      <c r="B1524" s="60">
        <v>38034</v>
      </c>
      <c r="C1524" s="7">
        <v>4.1110000000000001E-2</v>
      </c>
      <c r="D1524" s="7">
        <v>4.1110000000000001E-2</v>
      </c>
      <c r="E1524" s="7">
        <v>4.1110000000000001E-2</v>
      </c>
      <c r="F1524" s="7">
        <v>4.1110000000000001E-2</v>
      </c>
      <c r="G1524" s="7">
        <v>2.2000000000000001E-3</v>
      </c>
    </row>
    <row r="1525" spans="2:7" x14ac:dyDescent="0.2">
      <c r="B1525" s="60">
        <v>38035</v>
      </c>
      <c r="C1525" s="7">
        <v>4.0839999999999994E-2</v>
      </c>
      <c r="D1525" s="7">
        <v>4.0839999999999994E-2</v>
      </c>
      <c r="E1525" s="7">
        <v>4.0839999999999994E-2</v>
      </c>
      <c r="F1525" s="7">
        <v>4.0839999999999994E-2</v>
      </c>
      <c r="G1525" s="7">
        <v>-6.6E-3</v>
      </c>
    </row>
    <row r="1526" spans="2:7" x14ac:dyDescent="0.2">
      <c r="B1526" s="60">
        <v>38036</v>
      </c>
      <c r="C1526" s="7">
        <v>4.088E-2</v>
      </c>
      <c r="D1526" s="7">
        <v>4.088E-2</v>
      </c>
      <c r="E1526" s="7">
        <v>4.088E-2</v>
      </c>
      <c r="F1526" s="7">
        <v>4.088E-2</v>
      </c>
      <c r="G1526" s="7">
        <v>1E-3</v>
      </c>
    </row>
    <row r="1527" spans="2:7" x14ac:dyDescent="0.2">
      <c r="B1527" s="60">
        <v>38037</v>
      </c>
      <c r="C1527" s="7">
        <v>4.104E-2</v>
      </c>
      <c r="D1527" s="7">
        <v>4.104E-2</v>
      </c>
      <c r="E1527" s="7">
        <v>4.104E-2</v>
      </c>
      <c r="F1527" s="7">
        <v>4.104E-2</v>
      </c>
      <c r="G1527" s="7">
        <v>3.8999999999999998E-3</v>
      </c>
    </row>
    <row r="1528" spans="2:7" x14ac:dyDescent="0.2">
      <c r="B1528" s="60">
        <v>38040</v>
      </c>
      <c r="C1528" s="7">
        <v>4.1420000000000005E-2</v>
      </c>
      <c r="D1528" s="7">
        <v>4.1420000000000005E-2</v>
      </c>
      <c r="E1528" s="7">
        <v>4.1420000000000005E-2</v>
      </c>
      <c r="F1528" s="7">
        <v>4.1420000000000005E-2</v>
      </c>
      <c r="G1528" s="7">
        <v>9.2999999999999992E-3</v>
      </c>
    </row>
    <row r="1529" spans="2:7" x14ac:dyDescent="0.2">
      <c r="B1529" s="60">
        <v>38041</v>
      </c>
      <c r="C1529" s="7">
        <v>4.1239999999999999E-2</v>
      </c>
      <c r="D1529" s="7">
        <v>4.1239999999999999E-2</v>
      </c>
      <c r="E1529" s="7">
        <v>4.1239999999999999E-2</v>
      </c>
      <c r="F1529" s="7">
        <v>4.1239999999999999E-2</v>
      </c>
      <c r="G1529" s="7">
        <v>-4.3E-3</v>
      </c>
    </row>
    <row r="1530" spans="2:7" x14ac:dyDescent="0.2">
      <c r="B1530" s="60">
        <v>38042</v>
      </c>
      <c r="C1530" s="7">
        <v>4.0839999999999994E-2</v>
      </c>
      <c r="D1530" s="7">
        <v>4.0839999999999994E-2</v>
      </c>
      <c r="E1530" s="7">
        <v>4.0839999999999994E-2</v>
      </c>
      <c r="F1530" s="7">
        <v>4.0839999999999994E-2</v>
      </c>
      <c r="G1530" s="7">
        <v>-9.7000000000000003E-3</v>
      </c>
    </row>
    <row r="1531" spans="2:7" x14ac:dyDescent="0.2">
      <c r="B1531" s="60">
        <v>38043</v>
      </c>
      <c r="C1531" s="7">
        <v>4.0709999999999996E-2</v>
      </c>
      <c r="D1531" s="7">
        <v>4.0709999999999996E-2</v>
      </c>
      <c r="E1531" s="7">
        <v>4.0709999999999996E-2</v>
      </c>
      <c r="F1531" s="7">
        <v>4.0709999999999996E-2</v>
      </c>
      <c r="G1531" s="7">
        <v>-3.2000000000000002E-3</v>
      </c>
    </row>
    <row r="1532" spans="2:7" x14ac:dyDescent="0.2">
      <c r="B1532" s="60">
        <v>38044</v>
      </c>
      <c r="C1532" s="7">
        <v>4.0839999999999994E-2</v>
      </c>
      <c r="D1532" s="7">
        <v>4.0839999999999994E-2</v>
      </c>
      <c r="E1532" s="7">
        <v>4.0839999999999994E-2</v>
      </c>
      <c r="F1532" s="7">
        <v>4.0839999999999994E-2</v>
      </c>
      <c r="G1532" s="7">
        <v>3.2000000000000002E-3</v>
      </c>
    </row>
    <row r="1533" spans="2:7" x14ac:dyDescent="0.2">
      <c r="B1533" s="60">
        <v>38047</v>
      </c>
      <c r="C1533" s="7">
        <v>4.0379999999999999E-2</v>
      </c>
      <c r="D1533" s="7">
        <v>4.0379999999999999E-2</v>
      </c>
      <c r="E1533" s="7">
        <v>4.0379999999999999E-2</v>
      </c>
      <c r="F1533" s="7">
        <v>4.0379999999999999E-2</v>
      </c>
      <c r="G1533" s="7">
        <v>-1.1299999999999999E-2</v>
      </c>
    </row>
    <row r="1534" spans="2:7" x14ac:dyDescent="0.2">
      <c r="B1534" s="60">
        <v>38048</v>
      </c>
      <c r="C1534" s="7">
        <v>4.0439999999999997E-2</v>
      </c>
      <c r="D1534" s="7">
        <v>4.0439999999999997E-2</v>
      </c>
      <c r="E1534" s="7">
        <v>4.0439999999999997E-2</v>
      </c>
      <c r="F1534" s="7">
        <v>4.0439999999999997E-2</v>
      </c>
      <c r="G1534" s="7">
        <v>1.5E-3</v>
      </c>
    </row>
    <row r="1535" spans="2:7" x14ac:dyDescent="0.2">
      <c r="B1535" s="60">
        <v>38049</v>
      </c>
      <c r="C1535" s="7">
        <v>4.0810000000000006E-2</v>
      </c>
      <c r="D1535" s="7">
        <v>4.0810000000000006E-2</v>
      </c>
      <c r="E1535" s="7">
        <v>4.0810000000000006E-2</v>
      </c>
      <c r="F1535" s="7">
        <v>4.0810000000000006E-2</v>
      </c>
      <c r="G1535" s="7">
        <v>9.1000000000000004E-3</v>
      </c>
    </row>
    <row r="1536" spans="2:7" x14ac:dyDescent="0.2">
      <c r="B1536" s="60">
        <v>38050</v>
      </c>
      <c r="C1536" s="7">
        <v>4.1159999999999995E-2</v>
      </c>
      <c r="D1536" s="7">
        <v>4.1159999999999995E-2</v>
      </c>
      <c r="E1536" s="7">
        <v>4.1159999999999995E-2</v>
      </c>
      <c r="F1536" s="7">
        <v>4.1159999999999995E-2</v>
      </c>
      <c r="G1536" s="7">
        <v>8.6E-3</v>
      </c>
    </row>
    <row r="1537" spans="2:7" x14ac:dyDescent="0.2">
      <c r="B1537" s="60">
        <v>38051</v>
      </c>
      <c r="C1537" s="7">
        <v>4.0810000000000006E-2</v>
      </c>
      <c r="D1537" s="7">
        <v>4.0810000000000006E-2</v>
      </c>
      <c r="E1537" s="7">
        <v>4.0810000000000006E-2</v>
      </c>
      <c r="F1537" s="7">
        <v>4.0810000000000006E-2</v>
      </c>
      <c r="G1537" s="7">
        <v>-8.5000000000000006E-3</v>
      </c>
    </row>
    <row r="1538" spans="2:7" x14ac:dyDescent="0.2">
      <c r="B1538" s="60">
        <v>38054</v>
      </c>
      <c r="C1538" s="7">
        <v>3.9689999999999996E-2</v>
      </c>
      <c r="D1538" s="7">
        <v>3.9689999999999996E-2</v>
      </c>
      <c r="E1538" s="7">
        <v>3.9689999999999996E-2</v>
      </c>
      <c r="F1538" s="7">
        <v>3.9689999999999996E-2</v>
      </c>
      <c r="G1538" s="7">
        <v>-2.7400000000000001E-2</v>
      </c>
    </row>
    <row r="1539" spans="2:7" x14ac:dyDescent="0.2">
      <c r="B1539" s="60">
        <v>38055</v>
      </c>
      <c r="C1539" s="7">
        <v>3.925E-2</v>
      </c>
      <c r="D1539" s="7">
        <v>3.925E-2</v>
      </c>
      <c r="E1539" s="7">
        <v>3.925E-2</v>
      </c>
      <c r="F1539" s="7">
        <v>3.925E-2</v>
      </c>
      <c r="G1539" s="7">
        <v>-1.11E-2</v>
      </c>
    </row>
    <row r="1540" spans="2:7" x14ac:dyDescent="0.2">
      <c r="B1540" s="60">
        <v>38056</v>
      </c>
      <c r="C1540" s="7">
        <v>3.9140000000000001E-2</v>
      </c>
      <c r="D1540" s="7">
        <v>3.9140000000000001E-2</v>
      </c>
      <c r="E1540" s="7">
        <v>3.9140000000000001E-2</v>
      </c>
      <c r="F1540" s="7">
        <v>3.9140000000000001E-2</v>
      </c>
      <c r="G1540" s="7">
        <v>-2.8E-3</v>
      </c>
    </row>
    <row r="1541" spans="2:7" x14ac:dyDescent="0.2">
      <c r="B1541" s="60">
        <v>38057</v>
      </c>
      <c r="C1541" s="7">
        <v>3.9209999999999995E-2</v>
      </c>
      <c r="D1541" s="7">
        <v>3.9209999999999995E-2</v>
      </c>
      <c r="E1541" s="7">
        <v>3.9209999999999995E-2</v>
      </c>
      <c r="F1541" s="7">
        <v>3.9209999999999995E-2</v>
      </c>
      <c r="G1541" s="7">
        <v>1.8E-3</v>
      </c>
    </row>
    <row r="1542" spans="2:7" x14ac:dyDescent="0.2">
      <c r="B1542" s="60">
        <v>38058</v>
      </c>
      <c r="C1542" s="7">
        <v>3.916E-2</v>
      </c>
      <c r="D1542" s="7">
        <v>3.916E-2</v>
      </c>
      <c r="E1542" s="7">
        <v>3.916E-2</v>
      </c>
      <c r="F1542" s="7">
        <v>3.916E-2</v>
      </c>
      <c r="G1542" s="7">
        <v>-1.2999999999999999E-3</v>
      </c>
    </row>
    <row r="1543" spans="2:7" x14ac:dyDescent="0.2">
      <c r="B1543" s="60">
        <v>38061</v>
      </c>
      <c r="C1543" s="7">
        <v>3.9100000000000003E-2</v>
      </c>
      <c r="D1543" s="7">
        <v>3.9100000000000003E-2</v>
      </c>
      <c r="E1543" s="7">
        <v>3.9100000000000003E-2</v>
      </c>
      <c r="F1543" s="7">
        <v>3.9100000000000003E-2</v>
      </c>
      <c r="G1543" s="7">
        <v>-1.5E-3</v>
      </c>
    </row>
    <row r="1544" spans="2:7" x14ac:dyDescent="0.2">
      <c r="B1544" s="60">
        <v>38062</v>
      </c>
      <c r="C1544" s="7">
        <v>3.8960000000000002E-2</v>
      </c>
      <c r="D1544" s="7">
        <v>3.8960000000000002E-2</v>
      </c>
      <c r="E1544" s="7">
        <v>3.8960000000000002E-2</v>
      </c>
      <c r="F1544" s="7">
        <v>3.8960000000000002E-2</v>
      </c>
      <c r="G1544" s="7">
        <v>-3.5999999999999999E-3</v>
      </c>
    </row>
    <row r="1545" spans="2:7" x14ac:dyDescent="0.2">
      <c r="B1545" s="60">
        <v>38063</v>
      </c>
      <c r="C1545" s="7">
        <v>3.9280000000000002E-2</v>
      </c>
      <c r="D1545" s="7">
        <v>3.9280000000000002E-2</v>
      </c>
      <c r="E1545" s="7">
        <v>3.9280000000000002E-2</v>
      </c>
      <c r="F1545" s="7">
        <v>3.9280000000000002E-2</v>
      </c>
      <c r="G1545" s="7">
        <v>8.2000000000000007E-3</v>
      </c>
    </row>
    <row r="1546" spans="2:7" x14ac:dyDescent="0.2">
      <c r="B1546" s="60">
        <v>38064</v>
      </c>
      <c r="C1546" s="7">
        <v>3.8949999999999999E-2</v>
      </c>
      <c r="D1546" s="7">
        <v>3.8949999999999999E-2</v>
      </c>
      <c r="E1546" s="7">
        <v>3.8949999999999999E-2</v>
      </c>
      <c r="F1546" s="7">
        <v>3.8949999999999999E-2</v>
      </c>
      <c r="G1546" s="7">
        <v>-8.3999999999999995E-3</v>
      </c>
    </row>
    <row r="1547" spans="2:7" x14ac:dyDescent="0.2">
      <c r="B1547" s="60">
        <v>38065</v>
      </c>
      <c r="C1547" s="7">
        <v>3.884E-2</v>
      </c>
      <c r="D1547" s="7">
        <v>3.884E-2</v>
      </c>
      <c r="E1547" s="7">
        <v>3.884E-2</v>
      </c>
      <c r="F1547" s="7">
        <v>3.884E-2</v>
      </c>
      <c r="G1547" s="7">
        <v>-2.8E-3</v>
      </c>
    </row>
    <row r="1548" spans="2:7" x14ac:dyDescent="0.2">
      <c r="B1548" s="60">
        <v>38068</v>
      </c>
      <c r="C1548" s="7">
        <v>3.8969999999999998E-2</v>
      </c>
      <c r="D1548" s="7">
        <v>3.8969999999999998E-2</v>
      </c>
      <c r="E1548" s="7">
        <v>3.8969999999999998E-2</v>
      </c>
      <c r="F1548" s="7">
        <v>3.8969999999999998E-2</v>
      </c>
      <c r="G1548" s="7">
        <v>3.3E-3</v>
      </c>
    </row>
    <row r="1549" spans="2:7" x14ac:dyDescent="0.2">
      <c r="B1549" s="60">
        <v>38069</v>
      </c>
      <c r="C1549" s="7">
        <v>3.8710000000000001E-2</v>
      </c>
      <c r="D1549" s="7">
        <v>3.8710000000000001E-2</v>
      </c>
      <c r="E1549" s="7">
        <v>3.8710000000000001E-2</v>
      </c>
      <c r="F1549" s="7">
        <v>3.8710000000000001E-2</v>
      </c>
      <c r="G1549" s="7">
        <v>-6.7000000000000002E-3</v>
      </c>
    </row>
    <row r="1550" spans="2:7" x14ac:dyDescent="0.2">
      <c r="B1550" s="60">
        <v>38070</v>
      </c>
      <c r="C1550" s="7">
        <v>3.882E-2</v>
      </c>
      <c r="D1550" s="7">
        <v>3.882E-2</v>
      </c>
      <c r="E1550" s="7">
        <v>3.882E-2</v>
      </c>
      <c r="F1550" s="7">
        <v>3.882E-2</v>
      </c>
      <c r="G1550" s="7">
        <v>2.8E-3</v>
      </c>
    </row>
    <row r="1551" spans="2:7" x14ac:dyDescent="0.2">
      <c r="B1551" s="60">
        <v>38071</v>
      </c>
      <c r="C1551" s="7">
        <v>3.8559999999999997E-2</v>
      </c>
      <c r="D1551" s="7">
        <v>3.8559999999999997E-2</v>
      </c>
      <c r="E1551" s="7">
        <v>3.8559999999999997E-2</v>
      </c>
      <c r="F1551" s="7">
        <v>3.8559999999999997E-2</v>
      </c>
      <c r="G1551" s="7">
        <v>-6.7000000000000002E-3</v>
      </c>
    </row>
    <row r="1552" spans="2:7" x14ac:dyDescent="0.2">
      <c r="B1552" s="60">
        <v>38072</v>
      </c>
      <c r="C1552" s="7">
        <v>3.8350000000000002E-2</v>
      </c>
      <c r="D1552" s="7">
        <v>3.8350000000000002E-2</v>
      </c>
      <c r="E1552" s="7">
        <v>3.8350000000000002E-2</v>
      </c>
      <c r="F1552" s="7">
        <v>3.8350000000000002E-2</v>
      </c>
      <c r="G1552" s="7">
        <v>-5.4000000000000003E-3</v>
      </c>
    </row>
    <row r="1553" spans="2:7" x14ac:dyDescent="0.2">
      <c r="B1553" s="60">
        <v>38075</v>
      </c>
      <c r="C1553" s="7">
        <v>3.8960000000000002E-2</v>
      </c>
      <c r="D1553" s="7">
        <v>3.8960000000000002E-2</v>
      </c>
      <c r="E1553" s="7">
        <v>3.8960000000000002E-2</v>
      </c>
      <c r="F1553" s="7">
        <v>3.8960000000000002E-2</v>
      </c>
      <c r="G1553" s="7">
        <v>1.5900000000000001E-2</v>
      </c>
    </row>
    <row r="1554" spans="2:7" x14ac:dyDescent="0.2">
      <c r="B1554" s="60">
        <v>38076</v>
      </c>
      <c r="C1554" s="7">
        <v>3.8960000000000002E-2</v>
      </c>
      <c r="D1554" s="7">
        <v>3.8960000000000002E-2</v>
      </c>
      <c r="E1554" s="7">
        <v>3.8960000000000002E-2</v>
      </c>
      <c r="F1554" s="7">
        <v>3.8960000000000002E-2</v>
      </c>
      <c r="G1554" s="7">
        <v>0</v>
      </c>
    </row>
    <row r="1555" spans="2:7" x14ac:dyDescent="0.2">
      <c r="B1555" s="60">
        <v>38077</v>
      </c>
      <c r="C1555" s="7">
        <v>3.9379999999999998E-2</v>
      </c>
      <c r="D1555" s="7">
        <v>3.9379999999999998E-2</v>
      </c>
      <c r="E1555" s="7">
        <v>3.9379999999999998E-2</v>
      </c>
      <c r="F1555" s="7">
        <v>3.9379999999999998E-2</v>
      </c>
      <c r="G1555" s="7">
        <v>1.0800000000000001E-2</v>
      </c>
    </row>
    <row r="1556" spans="2:7" x14ac:dyDescent="0.2">
      <c r="B1556" s="60">
        <v>38078</v>
      </c>
      <c r="C1556" s="7">
        <v>3.9209999999999995E-2</v>
      </c>
      <c r="D1556" s="7">
        <v>3.9209999999999995E-2</v>
      </c>
      <c r="E1556" s="7">
        <v>3.9209999999999995E-2</v>
      </c>
      <c r="F1556" s="7">
        <v>3.9209999999999995E-2</v>
      </c>
      <c r="G1556" s="7">
        <v>-4.3E-3</v>
      </c>
    </row>
    <row r="1557" spans="2:7" x14ac:dyDescent="0.2">
      <c r="B1557" s="60">
        <v>38079</v>
      </c>
      <c r="C1557" s="7">
        <v>3.9609999999999999E-2</v>
      </c>
      <c r="D1557" s="7">
        <v>3.9609999999999999E-2</v>
      </c>
      <c r="E1557" s="7">
        <v>3.9609999999999999E-2</v>
      </c>
      <c r="F1557" s="7">
        <v>3.9609999999999999E-2</v>
      </c>
      <c r="G1557" s="7">
        <v>1.0200000000000001E-2</v>
      </c>
    </row>
    <row r="1558" spans="2:7" x14ac:dyDescent="0.2">
      <c r="B1558" s="60">
        <v>38082</v>
      </c>
      <c r="C1558" s="7">
        <v>4.0910000000000002E-2</v>
      </c>
      <c r="D1558" s="7">
        <v>4.0910000000000002E-2</v>
      </c>
      <c r="E1558" s="7">
        <v>4.0910000000000002E-2</v>
      </c>
      <c r="F1558" s="7">
        <v>4.0910000000000002E-2</v>
      </c>
      <c r="G1558" s="7">
        <v>3.2800000000000003E-2</v>
      </c>
    </row>
    <row r="1559" spans="2:7" x14ac:dyDescent="0.2">
      <c r="B1559" s="60">
        <v>38083</v>
      </c>
      <c r="C1559" s="7">
        <v>4.1079999999999998E-2</v>
      </c>
      <c r="D1559" s="7">
        <v>4.1079999999999998E-2</v>
      </c>
      <c r="E1559" s="7">
        <v>4.1079999999999998E-2</v>
      </c>
      <c r="F1559" s="7">
        <v>4.1079999999999998E-2</v>
      </c>
      <c r="G1559" s="7">
        <v>4.1999999999999997E-3</v>
      </c>
    </row>
    <row r="1560" spans="2:7" x14ac:dyDescent="0.2">
      <c r="B1560" s="60">
        <v>38084</v>
      </c>
      <c r="C1560" s="7">
        <v>4.0739999999999998E-2</v>
      </c>
      <c r="D1560" s="7">
        <v>4.0739999999999998E-2</v>
      </c>
      <c r="E1560" s="7">
        <v>4.0739999999999998E-2</v>
      </c>
      <c r="F1560" s="7">
        <v>4.0739999999999998E-2</v>
      </c>
      <c r="G1560" s="7">
        <v>-8.3000000000000001E-3</v>
      </c>
    </row>
    <row r="1561" spans="2:7" x14ac:dyDescent="0.2">
      <c r="B1561" s="60">
        <v>38085</v>
      </c>
      <c r="C1561" s="7">
        <v>4.0519999999999994E-2</v>
      </c>
      <c r="D1561" s="7">
        <v>4.0519999999999994E-2</v>
      </c>
      <c r="E1561" s="7">
        <v>4.0519999999999994E-2</v>
      </c>
      <c r="F1561" s="7">
        <v>4.0519999999999994E-2</v>
      </c>
      <c r="G1561" s="7">
        <v>-5.4000000000000003E-3</v>
      </c>
    </row>
    <row r="1562" spans="2:7" x14ac:dyDescent="0.2">
      <c r="B1562" s="60">
        <v>38090</v>
      </c>
      <c r="C1562" s="7">
        <v>4.0670000000000005E-2</v>
      </c>
      <c r="D1562" s="7">
        <v>4.0670000000000005E-2</v>
      </c>
      <c r="E1562" s="7">
        <v>4.0670000000000005E-2</v>
      </c>
      <c r="F1562" s="7">
        <v>4.0670000000000005E-2</v>
      </c>
      <c r="G1562" s="7">
        <v>3.7000000000000002E-3</v>
      </c>
    </row>
    <row r="1563" spans="2:7" x14ac:dyDescent="0.2">
      <c r="B1563" s="60">
        <v>38091</v>
      </c>
      <c r="C1563" s="7">
        <v>4.1479999999999996E-2</v>
      </c>
      <c r="D1563" s="7">
        <v>4.1479999999999996E-2</v>
      </c>
      <c r="E1563" s="7">
        <v>4.1479999999999996E-2</v>
      </c>
      <c r="F1563" s="7">
        <v>4.1479999999999996E-2</v>
      </c>
      <c r="G1563" s="7">
        <v>1.9900000000000001E-2</v>
      </c>
    </row>
    <row r="1564" spans="2:7" x14ac:dyDescent="0.2">
      <c r="B1564" s="60">
        <v>38092</v>
      </c>
      <c r="C1564" s="7">
        <v>4.1580000000000006E-2</v>
      </c>
      <c r="D1564" s="7">
        <v>4.1580000000000006E-2</v>
      </c>
      <c r="E1564" s="7">
        <v>4.1580000000000006E-2</v>
      </c>
      <c r="F1564" s="7">
        <v>4.1580000000000006E-2</v>
      </c>
      <c r="G1564" s="7">
        <v>2.3999999999999998E-3</v>
      </c>
    </row>
    <row r="1565" spans="2:7" x14ac:dyDescent="0.2">
      <c r="B1565" s="60">
        <v>38093</v>
      </c>
      <c r="C1565" s="7">
        <v>4.138E-2</v>
      </c>
      <c r="D1565" s="7">
        <v>4.138E-2</v>
      </c>
      <c r="E1565" s="7">
        <v>4.138E-2</v>
      </c>
      <c r="F1565" s="7">
        <v>4.138E-2</v>
      </c>
      <c r="G1565" s="7">
        <v>-4.7999999999999996E-3</v>
      </c>
    </row>
    <row r="1566" spans="2:7" x14ac:dyDescent="0.2">
      <c r="B1566" s="60">
        <v>38096</v>
      </c>
      <c r="C1566" s="7">
        <v>4.1230000000000003E-2</v>
      </c>
      <c r="D1566" s="7">
        <v>4.1230000000000003E-2</v>
      </c>
      <c r="E1566" s="7">
        <v>4.1230000000000003E-2</v>
      </c>
      <c r="F1566" s="7">
        <v>4.1230000000000003E-2</v>
      </c>
      <c r="G1566" s="7">
        <v>-3.5999999999999999E-3</v>
      </c>
    </row>
    <row r="1567" spans="2:7" x14ac:dyDescent="0.2">
      <c r="B1567" s="60">
        <v>38097</v>
      </c>
      <c r="C1567" s="7">
        <v>4.1149999999999999E-2</v>
      </c>
      <c r="D1567" s="7">
        <v>4.1149999999999999E-2</v>
      </c>
      <c r="E1567" s="7">
        <v>4.1149999999999999E-2</v>
      </c>
      <c r="F1567" s="7">
        <v>4.1149999999999999E-2</v>
      </c>
      <c r="G1567" s="7">
        <v>-1.9E-3</v>
      </c>
    </row>
    <row r="1568" spans="2:7" x14ac:dyDescent="0.2">
      <c r="B1568" s="60">
        <v>38098</v>
      </c>
      <c r="C1568" s="7">
        <v>4.1369999999999997E-2</v>
      </c>
      <c r="D1568" s="7">
        <v>4.1369999999999997E-2</v>
      </c>
      <c r="E1568" s="7">
        <v>4.1369999999999997E-2</v>
      </c>
      <c r="F1568" s="7">
        <v>4.1369999999999997E-2</v>
      </c>
      <c r="G1568" s="7">
        <v>5.3E-3</v>
      </c>
    </row>
    <row r="1569" spans="2:7" x14ac:dyDescent="0.2">
      <c r="B1569" s="60">
        <v>38099</v>
      </c>
      <c r="C1569" s="7">
        <v>4.1740000000000006E-2</v>
      </c>
      <c r="D1569" s="7">
        <v>4.1740000000000006E-2</v>
      </c>
      <c r="E1569" s="7">
        <v>4.1740000000000006E-2</v>
      </c>
      <c r="F1569" s="7">
        <v>4.1740000000000006E-2</v>
      </c>
      <c r="G1569" s="7">
        <v>8.8999999999999999E-3</v>
      </c>
    </row>
    <row r="1570" spans="2:7" x14ac:dyDescent="0.2">
      <c r="B1570" s="60">
        <v>38100</v>
      </c>
      <c r="C1570" s="7">
        <v>4.1570000000000003E-2</v>
      </c>
      <c r="D1570" s="7">
        <v>4.1570000000000003E-2</v>
      </c>
      <c r="E1570" s="7">
        <v>4.1570000000000003E-2</v>
      </c>
      <c r="F1570" s="7">
        <v>4.1570000000000003E-2</v>
      </c>
      <c r="G1570" s="7">
        <v>-4.1000000000000003E-3</v>
      </c>
    </row>
    <row r="1571" spans="2:7" x14ac:dyDescent="0.2">
      <c r="B1571" s="60">
        <v>38103</v>
      </c>
      <c r="C1571" s="7">
        <v>4.1680000000000002E-2</v>
      </c>
      <c r="D1571" s="7">
        <v>4.1680000000000002E-2</v>
      </c>
      <c r="E1571" s="7">
        <v>4.1680000000000002E-2</v>
      </c>
      <c r="F1571" s="7">
        <v>4.1680000000000002E-2</v>
      </c>
      <c r="G1571" s="7">
        <v>2.5999999999999999E-3</v>
      </c>
    </row>
    <row r="1572" spans="2:7" x14ac:dyDescent="0.2">
      <c r="B1572" s="60">
        <v>38104</v>
      </c>
      <c r="C1572" s="7">
        <v>4.1870000000000004E-2</v>
      </c>
      <c r="D1572" s="7">
        <v>4.1870000000000004E-2</v>
      </c>
      <c r="E1572" s="7">
        <v>4.1870000000000004E-2</v>
      </c>
      <c r="F1572" s="7">
        <v>4.1870000000000004E-2</v>
      </c>
      <c r="G1572" s="7">
        <v>4.5999999999999999E-3</v>
      </c>
    </row>
    <row r="1573" spans="2:7" x14ac:dyDescent="0.2">
      <c r="B1573" s="60">
        <v>38105</v>
      </c>
      <c r="C1573" s="7">
        <v>4.1860000000000001E-2</v>
      </c>
      <c r="D1573" s="7">
        <v>4.1860000000000001E-2</v>
      </c>
      <c r="E1573" s="7">
        <v>4.1860000000000001E-2</v>
      </c>
      <c r="F1573" s="7">
        <v>4.1860000000000001E-2</v>
      </c>
      <c r="G1573" s="7">
        <v>-2.0000000000000001E-4</v>
      </c>
    </row>
    <row r="1574" spans="2:7" x14ac:dyDescent="0.2">
      <c r="B1574" s="60">
        <v>38106</v>
      </c>
      <c r="C1574" s="7">
        <v>4.1980000000000003E-2</v>
      </c>
      <c r="D1574" s="7">
        <v>4.1980000000000003E-2</v>
      </c>
      <c r="E1574" s="7">
        <v>4.1980000000000003E-2</v>
      </c>
      <c r="F1574" s="7">
        <v>4.1980000000000003E-2</v>
      </c>
      <c r="G1574" s="7">
        <v>2.8999999999999998E-3</v>
      </c>
    </row>
    <row r="1575" spans="2:7" x14ac:dyDescent="0.2">
      <c r="B1575" s="60">
        <v>38107</v>
      </c>
      <c r="C1575" s="7">
        <v>4.2119999999999998E-2</v>
      </c>
      <c r="D1575" s="7">
        <v>4.2119999999999998E-2</v>
      </c>
      <c r="E1575" s="7">
        <v>4.2119999999999998E-2</v>
      </c>
      <c r="F1575" s="7">
        <v>4.2119999999999998E-2</v>
      </c>
      <c r="G1575" s="7">
        <v>3.3E-3</v>
      </c>
    </row>
    <row r="1576" spans="2:7" x14ac:dyDescent="0.2">
      <c r="B1576" s="60">
        <v>38110</v>
      </c>
      <c r="C1576" s="7">
        <v>4.2130000000000001E-2</v>
      </c>
      <c r="D1576" s="7">
        <v>4.2130000000000001E-2</v>
      </c>
      <c r="E1576" s="7">
        <v>4.2130000000000001E-2</v>
      </c>
      <c r="F1576" s="7">
        <v>4.2130000000000001E-2</v>
      </c>
      <c r="G1576" s="7">
        <v>2.0000000000000001E-4</v>
      </c>
    </row>
    <row r="1577" spans="2:7" x14ac:dyDescent="0.2">
      <c r="B1577" s="60">
        <v>38111</v>
      </c>
      <c r="C1577" s="7">
        <v>4.1399999999999999E-2</v>
      </c>
      <c r="D1577" s="7">
        <v>4.1399999999999999E-2</v>
      </c>
      <c r="E1577" s="7">
        <v>4.1399999999999999E-2</v>
      </c>
      <c r="F1577" s="7">
        <v>4.1399999999999999E-2</v>
      </c>
      <c r="G1577" s="7">
        <v>-1.7299999999999999E-2</v>
      </c>
    </row>
    <row r="1578" spans="2:7" x14ac:dyDescent="0.2">
      <c r="B1578" s="60">
        <v>38112</v>
      </c>
      <c r="C1578" s="7">
        <v>4.1489999999999999E-2</v>
      </c>
      <c r="D1578" s="7">
        <v>4.1489999999999999E-2</v>
      </c>
      <c r="E1578" s="7">
        <v>4.1489999999999999E-2</v>
      </c>
      <c r="F1578" s="7">
        <v>4.1489999999999999E-2</v>
      </c>
      <c r="G1578" s="7">
        <v>2.2000000000000001E-3</v>
      </c>
    </row>
    <row r="1579" spans="2:7" x14ac:dyDescent="0.2">
      <c r="B1579" s="60">
        <v>38113</v>
      </c>
      <c r="C1579" s="7">
        <v>4.1740000000000006E-2</v>
      </c>
      <c r="D1579" s="7">
        <v>4.1740000000000006E-2</v>
      </c>
      <c r="E1579" s="7">
        <v>4.1740000000000006E-2</v>
      </c>
      <c r="F1579" s="7">
        <v>4.1740000000000006E-2</v>
      </c>
      <c r="G1579" s="7">
        <v>6.0000000000000001E-3</v>
      </c>
    </row>
    <row r="1580" spans="2:7" x14ac:dyDescent="0.2">
      <c r="B1580" s="60">
        <v>38114</v>
      </c>
      <c r="C1580" s="7">
        <v>4.2259999999999999E-2</v>
      </c>
      <c r="D1580" s="7">
        <v>4.2259999999999999E-2</v>
      </c>
      <c r="E1580" s="7">
        <v>4.2259999999999999E-2</v>
      </c>
      <c r="F1580" s="7">
        <v>4.2259999999999999E-2</v>
      </c>
      <c r="G1580" s="7">
        <v>1.2500000000000001E-2</v>
      </c>
    </row>
    <row r="1581" spans="2:7" x14ac:dyDescent="0.2">
      <c r="B1581" s="60">
        <v>38117</v>
      </c>
      <c r="C1581" s="7">
        <v>4.3070000000000004E-2</v>
      </c>
      <c r="D1581" s="7">
        <v>4.3070000000000004E-2</v>
      </c>
      <c r="E1581" s="7">
        <v>4.3070000000000004E-2</v>
      </c>
      <c r="F1581" s="7">
        <v>4.3070000000000004E-2</v>
      </c>
      <c r="G1581" s="7">
        <v>1.9199999999999998E-2</v>
      </c>
    </row>
    <row r="1582" spans="2:7" x14ac:dyDescent="0.2">
      <c r="B1582" s="60">
        <v>38118</v>
      </c>
      <c r="C1582" s="7">
        <v>4.2859999999999995E-2</v>
      </c>
      <c r="D1582" s="7">
        <v>4.2859999999999995E-2</v>
      </c>
      <c r="E1582" s="7">
        <v>4.2859999999999995E-2</v>
      </c>
      <c r="F1582" s="7">
        <v>4.2859999999999995E-2</v>
      </c>
      <c r="G1582" s="7">
        <v>-4.8999999999999998E-3</v>
      </c>
    </row>
    <row r="1583" spans="2:7" x14ac:dyDescent="0.2">
      <c r="B1583" s="60">
        <v>38119</v>
      </c>
      <c r="C1583" s="7">
        <v>4.2939999999999999E-2</v>
      </c>
      <c r="D1583" s="7">
        <v>4.2939999999999999E-2</v>
      </c>
      <c r="E1583" s="7">
        <v>4.2939999999999999E-2</v>
      </c>
      <c r="F1583" s="7">
        <v>4.2939999999999999E-2</v>
      </c>
      <c r="G1583" s="7">
        <v>1.9E-3</v>
      </c>
    </row>
    <row r="1584" spans="2:7" x14ac:dyDescent="0.2">
      <c r="B1584" s="60">
        <v>38120</v>
      </c>
      <c r="C1584" s="7">
        <v>4.3289999999999995E-2</v>
      </c>
      <c r="D1584" s="7">
        <v>4.3289999999999995E-2</v>
      </c>
      <c r="E1584" s="7">
        <v>4.3289999999999995E-2</v>
      </c>
      <c r="F1584" s="7">
        <v>4.3289999999999995E-2</v>
      </c>
      <c r="G1584" s="7">
        <v>8.2000000000000007E-3</v>
      </c>
    </row>
    <row r="1585" spans="2:7" x14ac:dyDescent="0.2">
      <c r="B1585" s="60">
        <v>38121</v>
      </c>
      <c r="C1585" s="7">
        <v>4.3470000000000002E-2</v>
      </c>
      <c r="D1585" s="7">
        <v>4.3470000000000002E-2</v>
      </c>
      <c r="E1585" s="7">
        <v>4.3470000000000002E-2</v>
      </c>
      <c r="F1585" s="7">
        <v>4.3470000000000002E-2</v>
      </c>
      <c r="G1585" s="7">
        <v>4.1999999999999997E-3</v>
      </c>
    </row>
    <row r="1586" spans="2:7" x14ac:dyDescent="0.2">
      <c r="B1586" s="60">
        <v>38124</v>
      </c>
      <c r="C1586" s="7">
        <v>4.3070000000000004E-2</v>
      </c>
      <c r="D1586" s="7">
        <v>4.3070000000000004E-2</v>
      </c>
      <c r="E1586" s="7">
        <v>4.3070000000000004E-2</v>
      </c>
      <c r="F1586" s="7">
        <v>4.3070000000000004E-2</v>
      </c>
      <c r="G1586" s="7">
        <v>-9.1999999999999998E-3</v>
      </c>
    </row>
    <row r="1587" spans="2:7" x14ac:dyDescent="0.2">
      <c r="B1587" s="60">
        <v>38125</v>
      </c>
      <c r="C1587" s="7">
        <v>4.2729999999999997E-2</v>
      </c>
      <c r="D1587" s="7">
        <v>4.2729999999999997E-2</v>
      </c>
      <c r="E1587" s="7">
        <v>4.2729999999999997E-2</v>
      </c>
      <c r="F1587" s="7">
        <v>4.2729999999999997E-2</v>
      </c>
      <c r="G1587" s="7">
        <v>-7.9000000000000008E-3</v>
      </c>
    </row>
    <row r="1588" spans="2:7" x14ac:dyDescent="0.2">
      <c r="B1588" s="60">
        <v>38126</v>
      </c>
      <c r="C1588" s="7">
        <v>4.2950000000000002E-2</v>
      </c>
      <c r="D1588" s="7">
        <v>4.2950000000000002E-2</v>
      </c>
      <c r="E1588" s="7">
        <v>4.2950000000000002E-2</v>
      </c>
      <c r="F1588" s="7">
        <v>4.2950000000000002E-2</v>
      </c>
      <c r="G1588" s="7">
        <v>5.1000000000000004E-3</v>
      </c>
    </row>
    <row r="1589" spans="2:7" x14ac:dyDescent="0.2">
      <c r="B1589" s="60">
        <v>38127</v>
      </c>
      <c r="C1589" s="7">
        <v>4.2939999999999999E-2</v>
      </c>
      <c r="D1589" s="7">
        <v>4.2939999999999999E-2</v>
      </c>
      <c r="E1589" s="7">
        <v>4.2939999999999999E-2</v>
      </c>
      <c r="F1589" s="7">
        <v>4.2939999999999999E-2</v>
      </c>
      <c r="G1589" s="7">
        <v>-2.0000000000000001E-4</v>
      </c>
    </row>
    <row r="1590" spans="2:7" x14ac:dyDescent="0.2">
      <c r="B1590" s="60">
        <v>38128</v>
      </c>
      <c r="C1590" s="7">
        <v>4.3250000000000004E-2</v>
      </c>
      <c r="D1590" s="7">
        <v>4.3250000000000004E-2</v>
      </c>
      <c r="E1590" s="7">
        <v>4.3250000000000004E-2</v>
      </c>
      <c r="F1590" s="7">
        <v>4.3250000000000004E-2</v>
      </c>
      <c r="G1590" s="7">
        <v>7.1999999999999998E-3</v>
      </c>
    </row>
    <row r="1591" spans="2:7" x14ac:dyDescent="0.2">
      <c r="B1591" s="60">
        <v>38131</v>
      </c>
      <c r="C1591" s="7">
        <v>4.335E-2</v>
      </c>
      <c r="D1591" s="7">
        <v>4.335E-2</v>
      </c>
      <c r="E1591" s="7">
        <v>4.335E-2</v>
      </c>
      <c r="F1591" s="7">
        <v>4.335E-2</v>
      </c>
      <c r="G1591" s="7">
        <v>2.3E-3</v>
      </c>
    </row>
    <row r="1592" spans="2:7" x14ac:dyDescent="0.2">
      <c r="B1592" s="60">
        <v>38132</v>
      </c>
      <c r="C1592" s="7">
        <v>4.3220000000000001E-2</v>
      </c>
      <c r="D1592" s="7">
        <v>4.3220000000000001E-2</v>
      </c>
      <c r="E1592" s="7">
        <v>4.3220000000000001E-2</v>
      </c>
      <c r="F1592" s="7">
        <v>4.3220000000000001E-2</v>
      </c>
      <c r="G1592" s="7">
        <v>-3.0000000000000001E-3</v>
      </c>
    </row>
    <row r="1593" spans="2:7" x14ac:dyDescent="0.2">
      <c r="B1593" s="60">
        <v>38133</v>
      </c>
      <c r="C1593" s="7">
        <v>4.3479999999999998E-2</v>
      </c>
      <c r="D1593" s="7">
        <v>4.3479999999999998E-2</v>
      </c>
      <c r="E1593" s="7">
        <v>4.3479999999999998E-2</v>
      </c>
      <c r="F1593" s="7">
        <v>4.3479999999999998E-2</v>
      </c>
      <c r="G1593" s="7">
        <v>6.0000000000000001E-3</v>
      </c>
    </row>
    <row r="1594" spans="2:7" x14ac:dyDescent="0.2">
      <c r="B1594" s="60">
        <v>38134</v>
      </c>
      <c r="C1594" s="7">
        <v>4.333E-2</v>
      </c>
      <c r="D1594" s="7">
        <v>4.333E-2</v>
      </c>
      <c r="E1594" s="7">
        <v>4.333E-2</v>
      </c>
      <c r="F1594" s="7">
        <v>4.333E-2</v>
      </c>
      <c r="G1594" s="7">
        <v>-3.3999999999999998E-3</v>
      </c>
    </row>
    <row r="1595" spans="2:7" x14ac:dyDescent="0.2">
      <c r="B1595" s="60">
        <v>38135</v>
      </c>
      <c r="C1595" s="7">
        <v>4.2759999999999999E-2</v>
      </c>
      <c r="D1595" s="7">
        <v>4.2759999999999999E-2</v>
      </c>
      <c r="E1595" s="7">
        <v>4.2759999999999999E-2</v>
      </c>
      <c r="F1595" s="7">
        <v>4.2759999999999999E-2</v>
      </c>
      <c r="G1595" s="7">
        <v>-1.32E-2</v>
      </c>
    </row>
    <row r="1596" spans="2:7" x14ac:dyDescent="0.2">
      <c r="B1596" s="60">
        <v>38138</v>
      </c>
      <c r="C1596" s="7">
        <v>4.3200000000000002E-2</v>
      </c>
      <c r="D1596" s="7">
        <v>4.3200000000000002E-2</v>
      </c>
      <c r="E1596" s="7">
        <v>4.3200000000000002E-2</v>
      </c>
      <c r="F1596" s="7">
        <v>4.3200000000000002E-2</v>
      </c>
      <c r="G1596" s="7">
        <v>1.03E-2</v>
      </c>
    </row>
    <row r="1597" spans="2:7" x14ac:dyDescent="0.2">
      <c r="B1597" s="60">
        <v>38139</v>
      </c>
      <c r="C1597" s="7">
        <v>4.376E-2</v>
      </c>
      <c r="D1597" s="7">
        <v>4.376E-2</v>
      </c>
      <c r="E1597" s="7">
        <v>4.376E-2</v>
      </c>
      <c r="F1597" s="7">
        <v>4.376E-2</v>
      </c>
      <c r="G1597" s="7">
        <v>1.2999999999999999E-2</v>
      </c>
    </row>
    <row r="1598" spans="2:7" x14ac:dyDescent="0.2">
      <c r="B1598" s="60">
        <v>38140</v>
      </c>
      <c r="C1598" s="7">
        <v>4.3630000000000002E-2</v>
      </c>
      <c r="D1598" s="7">
        <v>4.3630000000000002E-2</v>
      </c>
      <c r="E1598" s="7">
        <v>4.3630000000000002E-2</v>
      </c>
      <c r="F1598" s="7">
        <v>4.3630000000000002E-2</v>
      </c>
      <c r="G1598" s="7">
        <v>-3.0000000000000001E-3</v>
      </c>
    </row>
    <row r="1599" spans="2:7" x14ac:dyDescent="0.2">
      <c r="B1599" s="60">
        <v>38141</v>
      </c>
      <c r="C1599" s="7">
        <v>4.3830000000000001E-2</v>
      </c>
      <c r="D1599" s="7">
        <v>4.3830000000000001E-2</v>
      </c>
      <c r="E1599" s="7">
        <v>4.3830000000000001E-2</v>
      </c>
      <c r="F1599" s="7">
        <v>4.3830000000000001E-2</v>
      </c>
      <c r="G1599" s="7">
        <v>4.5999999999999999E-3</v>
      </c>
    </row>
    <row r="1600" spans="2:7" x14ac:dyDescent="0.2">
      <c r="B1600" s="60">
        <v>38142</v>
      </c>
      <c r="C1600" s="7">
        <v>4.3769999999999996E-2</v>
      </c>
      <c r="D1600" s="7">
        <v>4.3769999999999996E-2</v>
      </c>
      <c r="E1600" s="7">
        <v>4.3769999999999996E-2</v>
      </c>
      <c r="F1600" s="7">
        <v>4.3769999999999996E-2</v>
      </c>
      <c r="G1600" s="7">
        <v>-1.4E-3</v>
      </c>
    </row>
    <row r="1601" spans="2:7" x14ac:dyDescent="0.2">
      <c r="B1601" s="60">
        <v>38145</v>
      </c>
      <c r="C1601" s="7">
        <v>4.3909999999999998E-2</v>
      </c>
      <c r="D1601" s="7">
        <v>4.3909999999999998E-2</v>
      </c>
      <c r="E1601" s="7">
        <v>4.3909999999999998E-2</v>
      </c>
      <c r="F1601" s="7">
        <v>4.3909999999999998E-2</v>
      </c>
      <c r="G1601" s="7">
        <v>3.2000000000000002E-3</v>
      </c>
    </row>
    <row r="1602" spans="2:7" x14ac:dyDescent="0.2">
      <c r="B1602" s="60">
        <v>38146</v>
      </c>
      <c r="C1602" s="7">
        <v>4.3630000000000002E-2</v>
      </c>
      <c r="D1602" s="7">
        <v>4.3630000000000002E-2</v>
      </c>
      <c r="E1602" s="7">
        <v>4.3630000000000002E-2</v>
      </c>
      <c r="F1602" s="7">
        <v>4.3630000000000002E-2</v>
      </c>
      <c r="G1602" s="7">
        <v>-6.4000000000000003E-3</v>
      </c>
    </row>
    <row r="1603" spans="2:7" x14ac:dyDescent="0.2">
      <c r="B1603" s="60">
        <v>38147</v>
      </c>
      <c r="C1603" s="7">
        <v>4.3570000000000005E-2</v>
      </c>
      <c r="D1603" s="7">
        <v>4.3570000000000005E-2</v>
      </c>
      <c r="E1603" s="7">
        <v>4.3570000000000005E-2</v>
      </c>
      <c r="F1603" s="7">
        <v>4.3570000000000005E-2</v>
      </c>
      <c r="G1603" s="7">
        <v>-1.4E-3</v>
      </c>
    </row>
    <row r="1604" spans="2:7" x14ac:dyDescent="0.2">
      <c r="B1604" s="60">
        <v>38148</v>
      </c>
      <c r="C1604" s="7">
        <v>4.3949999999999996E-2</v>
      </c>
      <c r="D1604" s="7">
        <v>4.3949999999999996E-2</v>
      </c>
      <c r="E1604" s="7">
        <v>4.3949999999999996E-2</v>
      </c>
      <c r="F1604" s="7">
        <v>4.3949999999999996E-2</v>
      </c>
      <c r="G1604" s="7">
        <v>8.6999999999999994E-3</v>
      </c>
    </row>
    <row r="1605" spans="2:7" x14ac:dyDescent="0.2">
      <c r="B1605" s="60">
        <v>38149</v>
      </c>
      <c r="C1605" s="7">
        <v>4.4010000000000001E-2</v>
      </c>
      <c r="D1605" s="7">
        <v>4.4010000000000001E-2</v>
      </c>
      <c r="E1605" s="7">
        <v>4.4010000000000001E-2</v>
      </c>
      <c r="F1605" s="7">
        <v>4.4010000000000001E-2</v>
      </c>
      <c r="G1605" s="7">
        <v>1.4E-3</v>
      </c>
    </row>
    <row r="1606" spans="2:7" x14ac:dyDescent="0.2">
      <c r="B1606" s="60">
        <v>38152</v>
      </c>
      <c r="C1606" s="7">
        <v>4.4310000000000002E-2</v>
      </c>
      <c r="D1606" s="7">
        <v>4.4310000000000002E-2</v>
      </c>
      <c r="E1606" s="7">
        <v>4.4310000000000002E-2</v>
      </c>
      <c r="F1606" s="7">
        <v>4.4310000000000002E-2</v>
      </c>
      <c r="G1606" s="7">
        <v>6.7999999999999996E-3</v>
      </c>
    </row>
    <row r="1607" spans="2:7" x14ac:dyDescent="0.2">
      <c r="B1607" s="60">
        <v>38153</v>
      </c>
      <c r="C1607" s="7">
        <v>4.4160000000000005E-2</v>
      </c>
      <c r="D1607" s="7">
        <v>4.4160000000000005E-2</v>
      </c>
      <c r="E1607" s="7">
        <v>4.4160000000000005E-2</v>
      </c>
      <c r="F1607" s="7">
        <v>4.4160000000000005E-2</v>
      </c>
      <c r="G1607" s="7">
        <v>-3.3999999999999998E-3</v>
      </c>
    </row>
    <row r="1608" spans="2:7" x14ac:dyDescent="0.2">
      <c r="B1608" s="60">
        <v>38154</v>
      </c>
      <c r="C1608" s="7">
        <v>4.3129999999999995E-2</v>
      </c>
      <c r="D1608" s="7">
        <v>4.3129999999999995E-2</v>
      </c>
      <c r="E1608" s="7">
        <v>4.3129999999999995E-2</v>
      </c>
      <c r="F1608" s="7">
        <v>4.3129999999999995E-2</v>
      </c>
      <c r="G1608" s="7">
        <v>-2.3300000000000001E-2</v>
      </c>
    </row>
    <row r="1609" spans="2:7" x14ac:dyDescent="0.2">
      <c r="B1609" s="60">
        <v>38155</v>
      </c>
      <c r="C1609" s="7">
        <v>4.3650000000000001E-2</v>
      </c>
      <c r="D1609" s="7">
        <v>4.3650000000000001E-2</v>
      </c>
      <c r="E1609" s="7">
        <v>4.3650000000000001E-2</v>
      </c>
      <c r="F1609" s="7">
        <v>4.3650000000000001E-2</v>
      </c>
      <c r="G1609" s="7">
        <v>1.21E-2</v>
      </c>
    </row>
    <row r="1610" spans="2:7" x14ac:dyDescent="0.2">
      <c r="B1610" s="60">
        <v>38156</v>
      </c>
      <c r="C1610" s="7">
        <v>4.376E-2</v>
      </c>
      <c r="D1610" s="7">
        <v>4.376E-2</v>
      </c>
      <c r="E1610" s="7">
        <v>4.376E-2</v>
      </c>
      <c r="F1610" s="7">
        <v>4.376E-2</v>
      </c>
      <c r="G1610" s="7">
        <v>2.5000000000000001E-3</v>
      </c>
    </row>
    <row r="1611" spans="2:7" x14ac:dyDescent="0.2">
      <c r="B1611" s="60">
        <v>38159</v>
      </c>
      <c r="C1611" s="7">
        <v>4.3490000000000001E-2</v>
      </c>
      <c r="D1611" s="7">
        <v>4.3490000000000001E-2</v>
      </c>
      <c r="E1611" s="7">
        <v>4.3490000000000001E-2</v>
      </c>
      <c r="F1611" s="7">
        <v>4.3490000000000001E-2</v>
      </c>
      <c r="G1611" s="7">
        <v>-6.1999999999999998E-3</v>
      </c>
    </row>
    <row r="1612" spans="2:7" x14ac:dyDescent="0.2">
      <c r="B1612" s="60">
        <v>38160</v>
      </c>
      <c r="C1612" s="7">
        <v>4.333E-2</v>
      </c>
      <c r="D1612" s="7">
        <v>4.333E-2</v>
      </c>
      <c r="E1612" s="7">
        <v>4.333E-2</v>
      </c>
      <c r="F1612" s="7">
        <v>4.333E-2</v>
      </c>
      <c r="G1612" s="7">
        <v>-3.7000000000000002E-3</v>
      </c>
    </row>
    <row r="1613" spans="2:7" x14ac:dyDescent="0.2">
      <c r="B1613" s="60">
        <v>38161</v>
      </c>
      <c r="C1613" s="7">
        <v>4.3579999999999994E-2</v>
      </c>
      <c r="D1613" s="7">
        <v>4.3579999999999994E-2</v>
      </c>
      <c r="E1613" s="7">
        <v>4.3579999999999994E-2</v>
      </c>
      <c r="F1613" s="7">
        <v>4.3579999999999994E-2</v>
      </c>
      <c r="G1613" s="7">
        <v>5.7999999999999996E-3</v>
      </c>
    </row>
    <row r="1614" spans="2:7" x14ac:dyDescent="0.2">
      <c r="B1614" s="60">
        <v>38162</v>
      </c>
      <c r="C1614" s="7">
        <v>4.351E-2</v>
      </c>
      <c r="D1614" s="7">
        <v>4.351E-2</v>
      </c>
      <c r="E1614" s="7">
        <v>4.351E-2</v>
      </c>
      <c r="F1614" s="7">
        <v>4.351E-2</v>
      </c>
      <c r="G1614" s="7">
        <v>-1.6000000000000001E-3</v>
      </c>
    </row>
    <row r="1615" spans="2:7" x14ac:dyDescent="0.2">
      <c r="B1615" s="60">
        <v>38163</v>
      </c>
      <c r="C1615" s="7">
        <v>4.299E-2</v>
      </c>
      <c r="D1615" s="7">
        <v>4.299E-2</v>
      </c>
      <c r="E1615" s="7">
        <v>4.299E-2</v>
      </c>
      <c r="F1615" s="7">
        <v>4.299E-2</v>
      </c>
      <c r="G1615" s="7">
        <v>-1.2E-2</v>
      </c>
    </row>
    <row r="1616" spans="2:7" x14ac:dyDescent="0.2">
      <c r="B1616" s="60">
        <v>38166</v>
      </c>
      <c r="C1616" s="7">
        <v>4.3209999999999998E-2</v>
      </c>
      <c r="D1616" s="7">
        <v>4.3209999999999998E-2</v>
      </c>
      <c r="E1616" s="7">
        <v>4.3209999999999998E-2</v>
      </c>
      <c r="F1616" s="7">
        <v>4.3209999999999998E-2</v>
      </c>
      <c r="G1616" s="7">
        <v>5.1000000000000004E-3</v>
      </c>
    </row>
    <row r="1617" spans="2:7" x14ac:dyDescent="0.2">
      <c r="B1617" s="60">
        <v>38167</v>
      </c>
      <c r="C1617" s="7">
        <v>4.3749999999999997E-2</v>
      </c>
      <c r="D1617" s="7">
        <v>4.3749999999999997E-2</v>
      </c>
      <c r="E1617" s="7">
        <v>4.3749999999999997E-2</v>
      </c>
      <c r="F1617" s="7">
        <v>4.3749999999999997E-2</v>
      </c>
      <c r="G1617" s="7">
        <v>1.2500000000000001E-2</v>
      </c>
    </row>
    <row r="1618" spans="2:7" x14ac:dyDescent="0.2">
      <c r="B1618" s="60">
        <v>38168</v>
      </c>
      <c r="C1618" s="7">
        <v>4.3579999999999994E-2</v>
      </c>
      <c r="D1618" s="7">
        <v>4.3579999999999994E-2</v>
      </c>
      <c r="E1618" s="7">
        <v>4.3579999999999994E-2</v>
      </c>
      <c r="F1618" s="7">
        <v>4.3579999999999994E-2</v>
      </c>
      <c r="G1618" s="7">
        <v>-3.8999999999999998E-3</v>
      </c>
    </row>
    <row r="1619" spans="2:7" x14ac:dyDescent="0.2">
      <c r="B1619" s="60">
        <v>38169</v>
      </c>
      <c r="C1619" s="7">
        <v>4.3129999999999995E-2</v>
      </c>
      <c r="D1619" s="7">
        <v>4.3129999999999995E-2</v>
      </c>
      <c r="E1619" s="7">
        <v>4.3129999999999995E-2</v>
      </c>
      <c r="F1619" s="7">
        <v>4.3129999999999995E-2</v>
      </c>
      <c r="G1619" s="7">
        <v>-1.03E-2</v>
      </c>
    </row>
    <row r="1620" spans="2:7" x14ac:dyDescent="0.2">
      <c r="B1620" s="60">
        <v>38170</v>
      </c>
      <c r="C1620" s="7">
        <v>4.308E-2</v>
      </c>
      <c r="D1620" s="7">
        <v>4.308E-2</v>
      </c>
      <c r="E1620" s="7">
        <v>4.308E-2</v>
      </c>
      <c r="F1620" s="7">
        <v>4.308E-2</v>
      </c>
      <c r="G1620" s="7">
        <v>-1.1999999999999999E-3</v>
      </c>
    </row>
    <row r="1621" spans="2:7" x14ac:dyDescent="0.2">
      <c r="B1621" s="60">
        <v>38173</v>
      </c>
      <c r="C1621" s="7">
        <v>4.2679999999999996E-2</v>
      </c>
      <c r="D1621" s="7">
        <v>4.2679999999999996E-2</v>
      </c>
      <c r="E1621" s="7">
        <v>4.2679999999999996E-2</v>
      </c>
      <c r="F1621" s="7">
        <v>4.2679999999999996E-2</v>
      </c>
      <c r="G1621" s="7">
        <v>-9.2999999999999992E-3</v>
      </c>
    </row>
    <row r="1622" spans="2:7" x14ac:dyDescent="0.2">
      <c r="B1622" s="60">
        <v>38174</v>
      </c>
      <c r="C1622" s="7">
        <v>4.258E-2</v>
      </c>
      <c r="D1622" s="7">
        <v>4.258E-2</v>
      </c>
      <c r="E1622" s="7">
        <v>4.258E-2</v>
      </c>
      <c r="F1622" s="7">
        <v>4.258E-2</v>
      </c>
      <c r="G1622" s="7">
        <v>-2.3E-3</v>
      </c>
    </row>
    <row r="1623" spans="2:7" x14ac:dyDescent="0.2">
      <c r="B1623" s="60">
        <v>38175</v>
      </c>
      <c r="C1623" s="7">
        <v>4.258E-2</v>
      </c>
      <c r="D1623" s="7">
        <v>4.258E-2</v>
      </c>
      <c r="E1623" s="7">
        <v>4.258E-2</v>
      </c>
      <c r="F1623" s="7">
        <v>4.258E-2</v>
      </c>
      <c r="G1623" s="7">
        <v>0</v>
      </c>
    </row>
    <row r="1624" spans="2:7" x14ac:dyDescent="0.2">
      <c r="B1624" s="60">
        <v>38176</v>
      </c>
      <c r="C1624" s="7">
        <v>4.233E-2</v>
      </c>
      <c r="D1624" s="7">
        <v>4.233E-2</v>
      </c>
      <c r="E1624" s="7">
        <v>4.233E-2</v>
      </c>
      <c r="F1624" s="7">
        <v>4.233E-2</v>
      </c>
      <c r="G1624" s="7">
        <v>-5.8999999999999999E-3</v>
      </c>
    </row>
    <row r="1625" spans="2:7" x14ac:dyDescent="0.2">
      <c r="B1625" s="60">
        <v>38177</v>
      </c>
      <c r="C1625" s="7">
        <v>4.231E-2</v>
      </c>
      <c r="D1625" s="7">
        <v>4.231E-2</v>
      </c>
      <c r="E1625" s="7">
        <v>4.231E-2</v>
      </c>
      <c r="F1625" s="7">
        <v>4.231E-2</v>
      </c>
      <c r="G1625" s="7">
        <v>-5.0000000000000001E-4</v>
      </c>
    </row>
    <row r="1626" spans="2:7" x14ac:dyDescent="0.2">
      <c r="B1626" s="60">
        <v>38180</v>
      </c>
      <c r="C1626" s="7">
        <v>4.224E-2</v>
      </c>
      <c r="D1626" s="7">
        <v>4.224E-2</v>
      </c>
      <c r="E1626" s="7">
        <v>4.224E-2</v>
      </c>
      <c r="F1626" s="7">
        <v>4.224E-2</v>
      </c>
      <c r="G1626" s="7">
        <v>-1.6999999999999999E-3</v>
      </c>
    </row>
    <row r="1627" spans="2:7" x14ac:dyDescent="0.2">
      <c r="B1627" s="60">
        <v>38181</v>
      </c>
      <c r="C1627" s="7">
        <v>4.2099999999999999E-2</v>
      </c>
      <c r="D1627" s="7">
        <v>4.2099999999999999E-2</v>
      </c>
      <c r="E1627" s="7">
        <v>4.2099999999999999E-2</v>
      </c>
      <c r="F1627" s="7">
        <v>4.2099999999999999E-2</v>
      </c>
      <c r="G1627" s="7">
        <v>-3.3E-3</v>
      </c>
    </row>
    <row r="1628" spans="2:7" x14ac:dyDescent="0.2">
      <c r="B1628" s="60">
        <v>38182</v>
      </c>
      <c r="C1628" s="7">
        <v>4.2640000000000004E-2</v>
      </c>
      <c r="D1628" s="7">
        <v>4.2640000000000004E-2</v>
      </c>
      <c r="E1628" s="7">
        <v>4.2640000000000004E-2</v>
      </c>
      <c r="F1628" s="7">
        <v>4.2640000000000004E-2</v>
      </c>
      <c r="G1628" s="7">
        <v>1.2800000000000001E-2</v>
      </c>
    </row>
    <row r="1629" spans="2:7" x14ac:dyDescent="0.2">
      <c r="B1629" s="60">
        <v>38183</v>
      </c>
      <c r="C1629" s="7">
        <v>4.2539999999999994E-2</v>
      </c>
      <c r="D1629" s="7">
        <v>4.2539999999999994E-2</v>
      </c>
      <c r="E1629" s="7">
        <v>4.2539999999999994E-2</v>
      </c>
      <c r="F1629" s="7">
        <v>4.2539999999999994E-2</v>
      </c>
      <c r="G1629" s="7">
        <v>-2.3E-3</v>
      </c>
    </row>
    <row r="1630" spans="2:7" x14ac:dyDescent="0.2">
      <c r="B1630" s="60">
        <v>38184</v>
      </c>
      <c r="C1630" s="7">
        <v>4.2539999999999994E-2</v>
      </c>
      <c r="D1630" s="7">
        <v>4.2539999999999994E-2</v>
      </c>
      <c r="E1630" s="7">
        <v>4.2539999999999994E-2</v>
      </c>
      <c r="F1630" s="7">
        <v>4.2539999999999994E-2</v>
      </c>
      <c r="G1630" s="7">
        <v>0</v>
      </c>
    </row>
    <row r="1631" spans="2:7" x14ac:dyDescent="0.2">
      <c r="B1631" s="60">
        <v>38187</v>
      </c>
      <c r="C1631" s="7">
        <v>4.2020000000000002E-2</v>
      </c>
      <c r="D1631" s="7">
        <v>4.2020000000000002E-2</v>
      </c>
      <c r="E1631" s="7">
        <v>4.2020000000000002E-2</v>
      </c>
      <c r="F1631" s="7">
        <v>4.2020000000000002E-2</v>
      </c>
      <c r="G1631" s="7">
        <v>-1.2200000000000001E-2</v>
      </c>
    </row>
    <row r="1632" spans="2:7" x14ac:dyDescent="0.2">
      <c r="B1632" s="60">
        <v>38188</v>
      </c>
      <c r="C1632" s="7">
        <v>4.1919999999999999E-2</v>
      </c>
      <c r="D1632" s="7">
        <v>4.1919999999999999E-2</v>
      </c>
      <c r="E1632" s="7">
        <v>4.1919999999999999E-2</v>
      </c>
      <c r="F1632" s="7">
        <v>4.1919999999999999E-2</v>
      </c>
      <c r="G1632" s="7">
        <v>-2.3999999999999998E-3</v>
      </c>
    </row>
    <row r="1633" spans="2:7" x14ac:dyDescent="0.2">
      <c r="B1633" s="60">
        <v>38189</v>
      </c>
      <c r="C1633" s="7">
        <v>4.2119999999999998E-2</v>
      </c>
      <c r="D1633" s="7">
        <v>4.2119999999999998E-2</v>
      </c>
      <c r="E1633" s="7">
        <v>4.2119999999999998E-2</v>
      </c>
      <c r="F1633" s="7">
        <v>4.2119999999999998E-2</v>
      </c>
      <c r="G1633" s="7">
        <v>4.7999999999999996E-3</v>
      </c>
    </row>
    <row r="1634" spans="2:7" x14ac:dyDescent="0.2">
      <c r="B1634" s="60">
        <v>38190</v>
      </c>
      <c r="C1634" s="7">
        <v>4.2889999999999998E-2</v>
      </c>
      <c r="D1634" s="7">
        <v>4.2889999999999998E-2</v>
      </c>
      <c r="E1634" s="7">
        <v>4.2889999999999998E-2</v>
      </c>
      <c r="F1634" s="7">
        <v>4.2889999999999998E-2</v>
      </c>
      <c r="G1634" s="7">
        <v>1.83E-2</v>
      </c>
    </row>
    <row r="1635" spans="2:7" x14ac:dyDescent="0.2">
      <c r="B1635" s="60">
        <v>38191</v>
      </c>
      <c r="C1635" s="7">
        <v>4.2510000000000006E-2</v>
      </c>
      <c r="D1635" s="7">
        <v>4.2510000000000006E-2</v>
      </c>
      <c r="E1635" s="7">
        <v>4.2510000000000006E-2</v>
      </c>
      <c r="F1635" s="7">
        <v>4.2510000000000006E-2</v>
      </c>
      <c r="G1635" s="7">
        <v>-8.8999999999999999E-3</v>
      </c>
    </row>
    <row r="1636" spans="2:7" x14ac:dyDescent="0.2">
      <c r="B1636" s="60">
        <v>38194</v>
      </c>
      <c r="C1636" s="7">
        <v>4.2460000000000005E-2</v>
      </c>
      <c r="D1636" s="7">
        <v>4.2460000000000005E-2</v>
      </c>
      <c r="E1636" s="7">
        <v>4.2460000000000005E-2</v>
      </c>
      <c r="F1636" s="7">
        <v>4.2460000000000005E-2</v>
      </c>
      <c r="G1636" s="7">
        <v>-1.1999999999999999E-3</v>
      </c>
    </row>
    <row r="1637" spans="2:7" x14ac:dyDescent="0.2">
      <c r="B1637" s="60">
        <v>38195</v>
      </c>
      <c r="C1637" s="7">
        <v>4.2699999999999995E-2</v>
      </c>
      <c r="D1637" s="7">
        <v>4.2699999999999995E-2</v>
      </c>
      <c r="E1637" s="7">
        <v>4.2699999999999995E-2</v>
      </c>
      <c r="F1637" s="7">
        <v>4.2699999999999995E-2</v>
      </c>
      <c r="G1637" s="7">
        <v>5.7000000000000002E-3</v>
      </c>
    </row>
    <row r="1638" spans="2:7" x14ac:dyDescent="0.2">
      <c r="B1638" s="60">
        <v>38196</v>
      </c>
      <c r="C1638" s="7">
        <v>4.2939999999999999E-2</v>
      </c>
      <c r="D1638" s="7">
        <v>4.2939999999999999E-2</v>
      </c>
      <c r="E1638" s="7">
        <v>4.2939999999999999E-2</v>
      </c>
      <c r="F1638" s="7">
        <v>4.2939999999999999E-2</v>
      </c>
      <c r="G1638" s="7">
        <v>5.5999999999999999E-3</v>
      </c>
    </row>
    <row r="1639" spans="2:7" x14ac:dyDescent="0.2">
      <c r="B1639" s="60">
        <v>38197</v>
      </c>
      <c r="C1639" s="7">
        <v>4.2869999999999998E-2</v>
      </c>
      <c r="D1639" s="7">
        <v>4.2869999999999998E-2</v>
      </c>
      <c r="E1639" s="7">
        <v>4.2869999999999998E-2</v>
      </c>
      <c r="F1639" s="7">
        <v>4.2869999999999998E-2</v>
      </c>
      <c r="G1639" s="7">
        <v>-1.6000000000000001E-3</v>
      </c>
    </row>
    <row r="1640" spans="2:7" x14ac:dyDescent="0.2">
      <c r="B1640" s="60">
        <v>38198</v>
      </c>
      <c r="C1640" s="7">
        <v>4.2699999999999995E-2</v>
      </c>
      <c r="D1640" s="7">
        <v>4.2699999999999995E-2</v>
      </c>
      <c r="E1640" s="7">
        <v>4.2699999999999995E-2</v>
      </c>
      <c r="F1640" s="7">
        <v>4.2699999999999995E-2</v>
      </c>
      <c r="G1640" s="7">
        <v>-4.0000000000000001E-3</v>
      </c>
    </row>
    <row r="1641" spans="2:7" x14ac:dyDescent="0.2">
      <c r="B1641" s="60">
        <v>38201</v>
      </c>
      <c r="C1641" s="7">
        <v>4.2140000000000004E-2</v>
      </c>
      <c r="D1641" s="7">
        <v>4.2140000000000004E-2</v>
      </c>
      <c r="E1641" s="7">
        <v>4.2140000000000004E-2</v>
      </c>
      <c r="F1641" s="7">
        <v>4.2140000000000004E-2</v>
      </c>
      <c r="G1641" s="7">
        <v>-1.3100000000000001E-2</v>
      </c>
    </row>
    <row r="1642" spans="2:7" x14ac:dyDescent="0.2">
      <c r="B1642" s="60">
        <v>38202</v>
      </c>
      <c r="C1642" s="7">
        <v>4.2030000000000005E-2</v>
      </c>
      <c r="D1642" s="7">
        <v>4.2030000000000005E-2</v>
      </c>
      <c r="E1642" s="7">
        <v>4.2030000000000005E-2</v>
      </c>
      <c r="F1642" s="7">
        <v>4.2030000000000005E-2</v>
      </c>
      <c r="G1642" s="7">
        <v>-2.5999999999999999E-3</v>
      </c>
    </row>
    <row r="1643" spans="2:7" x14ac:dyDescent="0.2">
      <c r="B1643" s="60">
        <v>38203</v>
      </c>
      <c r="C1643" s="7">
        <v>4.1849999999999998E-2</v>
      </c>
      <c r="D1643" s="7">
        <v>4.1849999999999998E-2</v>
      </c>
      <c r="E1643" s="7">
        <v>4.1849999999999998E-2</v>
      </c>
      <c r="F1643" s="7">
        <v>4.1849999999999998E-2</v>
      </c>
      <c r="G1643" s="7">
        <v>-4.3E-3</v>
      </c>
    </row>
    <row r="1644" spans="2:7" x14ac:dyDescent="0.2">
      <c r="B1644" s="60">
        <v>38204</v>
      </c>
      <c r="C1644" s="7">
        <v>4.1710000000000004E-2</v>
      </c>
      <c r="D1644" s="7">
        <v>4.1710000000000004E-2</v>
      </c>
      <c r="E1644" s="7">
        <v>4.1710000000000004E-2</v>
      </c>
      <c r="F1644" s="7">
        <v>4.1710000000000004E-2</v>
      </c>
      <c r="G1644" s="7">
        <v>-3.3E-3</v>
      </c>
    </row>
    <row r="1645" spans="2:7" x14ac:dyDescent="0.2">
      <c r="B1645" s="60">
        <v>38205</v>
      </c>
      <c r="C1645" s="7">
        <v>4.1520000000000001E-2</v>
      </c>
      <c r="D1645" s="7">
        <v>4.1520000000000001E-2</v>
      </c>
      <c r="E1645" s="7">
        <v>4.1520000000000001E-2</v>
      </c>
      <c r="F1645" s="7">
        <v>4.1520000000000001E-2</v>
      </c>
      <c r="G1645" s="7">
        <v>-4.5999999999999999E-3</v>
      </c>
    </row>
    <row r="1646" spans="2:7" x14ac:dyDescent="0.2">
      <c r="B1646" s="60">
        <v>38208</v>
      </c>
      <c r="C1646" s="7">
        <v>4.0739999999999998E-2</v>
      </c>
      <c r="D1646" s="7">
        <v>4.0739999999999998E-2</v>
      </c>
      <c r="E1646" s="7">
        <v>4.0739999999999998E-2</v>
      </c>
      <c r="F1646" s="7">
        <v>4.0739999999999998E-2</v>
      </c>
      <c r="G1646" s="7">
        <v>-1.8800000000000001E-2</v>
      </c>
    </row>
    <row r="1647" spans="2:7" x14ac:dyDescent="0.2">
      <c r="B1647" s="60">
        <v>38209</v>
      </c>
      <c r="C1647" s="7">
        <v>4.0709999999999996E-2</v>
      </c>
      <c r="D1647" s="7">
        <v>4.0709999999999996E-2</v>
      </c>
      <c r="E1647" s="7">
        <v>4.0709999999999996E-2</v>
      </c>
      <c r="F1647" s="7">
        <v>4.0709999999999996E-2</v>
      </c>
      <c r="G1647" s="7">
        <v>-6.9999999999999999E-4</v>
      </c>
    </row>
    <row r="1648" spans="2:7" x14ac:dyDescent="0.2">
      <c r="B1648" s="60">
        <v>38210</v>
      </c>
      <c r="C1648" s="7">
        <v>4.0709999999999996E-2</v>
      </c>
      <c r="D1648" s="7">
        <v>4.0709999999999996E-2</v>
      </c>
      <c r="E1648" s="7">
        <v>4.0709999999999996E-2</v>
      </c>
      <c r="F1648" s="7">
        <v>4.0709999999999996E-2</v>
      </c>
      <c r="G1648" s="7">
        <v>0</v>
      </c>
    </row>
    <row r="1649" spans="2:7" x14ac:dyDescent="0.2">
      <c r="B1649" s="60">
        <v>38211</v>
      </c>
      <c r="C1649" s="7">
        <v>4.0910000000000002E-2</v>
      </c>
      <c r="D1649" s="7">
        <v>4.0910000000000002E-2</v>
      </c>
      <c r="E1649" s="7">
        <v>4.0910000000000002E-2</v>
      </c>
      <c r="F1649" s="7">
        <v>4.0910000000000002E-2</v>
      </c>
      <c r="G1649" s="7">
        <v>4.8999999999999998E-3</v>
      </c>
    </row>
    <row r="1650" spans="2:7" x14ac:dyDescent="0.2">
      <c r="B1650" s="60">
        <v>38212</v>
      </c>
      <c r="C1650" s="7">
        <v>4.061E-2</v>
      </c>
      <c r="D1650" s="7">
        <v>4.061E-2</v>
      </c>
      <c r="E1650" s="7">
        <v>4.061E-2</v>
      </c>
      <c r="F1650" s="7">
        <v>4.061E-2</v>
      </c>
      <c r="G1650" s="7">
        <v>-7.3000000000000001E-3</v>
      </c>
    </row>
    <row r="1651" spans="2:7" x14ac:dyDescent="0.2">
      <c r="B1651" s="60">
        <v>38215</v>
      </c>
      <c r="C1651" s="7">
        <v>4.0439999999999997E-2</v>
      </c>
      <c r="D1651" s="7">
        <v>4.0439999999999997E-2</v>
      </c>
      <c r="E1651" s="7">
        <v>4.0439999999999997E-2</v>
      </c>
      <c r="F1651" s="7">
        <v>4.0439999999999997E-2</v>
      </c>
      <c r="G1651" s="7">
        <v>-4.1999999999999997E-3</v>
      </c>
    </row>
    <row r="1652" spans="2:7" x14ac:dyDescent="0.2">
      <c r="B1652" s="60">
        <v>38216</v>
      </c>
      <c r="C1652" s="7">
        <v>4.0890000000000003E-2</v>
      </c>
      <c r="D1652" s="7">
        <v>4.0890000000000003E-2</v>
      </c>
      <c r="E1652" s="7">
        <v>4.0890000000000003E-2</v>
      </c>
      <c r="F1652" s="7">
        <v>4.0890000000000003E-2</v>
      </c>
      <c r="G1652" s="7">
        <v>1.11E-2</v>
      </c>
    </row>
    <row r="1653" spans="2:7" x14ac:dyDescent="0.2">
      <c r="B1653" s="60">
        <v>38217</v>
      </c>
      <c r="C1653" s="7">
        <v>4.0660000000000002E-2</v>
      </c>
      <c r="D1653" s="7">
        <v>4.0660000000000002E-2</v>
      </c>
      <c r="E1653" s="7">
        <v>4.0660000000000002E-2</v>
      </c>
      <c r="F1653" s="7">
        <v>4.0660000000000002E-2</v>
      </c>
      <c r="G1653" s="7">
        <v>-5.5999999999999999E-3</v>
      </c>
    </row>
    <row r="1654" spans="2:7" x14ac:dyDescent="0.2">
      <c r="B1654" s="60">
        <v>38218</v>
      </c>
      <c r="C1654" s="7">
        <v>4.0830000000000005E-2</v>
      </c>
      <c r="D1654" s="7">
        <v>4.0830000000000005E-2</v>
      </c>
      <c r="E1654" s="7">
        <v>4.0830000000000005E-2</v>
      </c>
      <c r="F1654" s="7">
        <v>4.0830000000000005E-2</v>
      </c>
      <c r="G1654" s="7">
        <v>4.1999999999999997E-3</v>
      </c>
    </row>
    <row r="1655" spans="2:7" x14ac:dyDescent="0.2">
      <c r="B1655" s="60">
        <v>38219</v>
      </c>
      <c r="C1655" s="7">
        <v>4.0689999999999997E-2</v>
      </c>
      <c r="D1655" s="7">
        <v>4.0689999999999997E-2</v>
      </c>
      <c r="E1655" s="7">
        <v>4.0689999999999997E-2</v>
      </c>
      <c r="F1655" s="7">
        <v>4.0689999999999997E-2</v>
      </c>
      <c r="G1655" s="7">
        <v>-3.3999999999999998E-3</v>
      </c>
    </row>
    <row r="1656" spans="2:7" x14ac:dyDescent="0.2">
      <c r="B1656" s="60">
        <v>38222</v>
      </c>
      <c r="C1656" s="7">
        <v>4.0579999999999998E-2</v>
      </c>
      <c r="D1656" s="7">
        <v>4.0579999999999998E-2</v>
      </c>
      <c r="E1656" s="7">
        <v>4.0579999999999998E-2</v>
      </c>
      <c r="F1656" s="7">
        <v>4.0579999999999998E-2</v>
      </c>
      <c r="G1656" s="7">
        <v>-2.7000000000000001E-3</v>
      </c>
    </row>
    <row r="1657" spans="2:7" x14ac:dyDescent="0.2">
      <c r="B1657" s="60">
        <v>38223</v>
      </c>
      <c r="C1657" s="7">
        <v>4.1050000000000003E-2</v>
      </c>
      <c r="D1657" s="7">
        <v>4.1050000000000003E-2</v>
      </c>
      <c r="E1657" s="7">
        <v>4.1050000000000003E-2</v>
      </c>
      <c r="F1657" s="7">
        <v>4.1050000000000003E-2</v>
      </c>
      <c r="G1657" s="7">
        <v>1.1599999999999999E-2</v>
      </c>
    </row>
    <row r="1658" spans="2:7" x14ac:dyDescent="0.2">
      <c r="B1658" s="60">
        <v>38224</v>
      </c>
      <c r="C1658" s="7">
        <v>4.1110000000000001E-2</v>
      </c>
      <c r="D1658" s="7">
        <v>4.1110000000000001E-2</v>
      </c>
      <c r="E1658" s="7">
        <v>4.1110000000000001E-2</v>
      </c>
      <c r="F1658" s="7">
        <v>4.1110000000000001E-2</v>
      </c>
      <c r="G1658" s="7">
        <v>1.5E-3</v>
      </c>
    </row>
    <row r="1659" spans="2:7" x14ac:dyDescent="0.2">
      <c r="B1659" s="60">
        <v>38225</v>
      </c>
      <c r="C1659" s="7">
        <v>4.0800000000000003E-2</v>
      </c>
      <c r="D1659" s="7">
        <v>4.0800000000000003E-2</v>
      </c>
      <c r="E1659" s="7">
        <v>4.0800000000000003E-2</v>
      </c>
      <c r="F1659" s="7">
        <v>4.0800000000000003E-2</v>
      </c>
      <c r="G1659" s="7">
        <v>-7.4999999999999997E-3</v>
      </c>
    </row>
    <row r="1660" spans="2:7" x14ac:dyDescent="0.2">
      <c r="B1660" s="60">
        <v>38226</v>
      </c>
      <c r="C1660" s="7">
        <v>4.0629999999999999E-2</v>
      </c>
      <c r="D1660" s="7">
        <v>4.0629999999999999E-2</v>
      </c>
      <c r="E1660" s="7">
        <v>4.0629999999999999E-2</v>
      </c>
      <c r="F1660" s="7">
        <v>4.0629999999999999E-2</v>
      </c>
      <c r="G1660" s="7">
        <v>-4.1999999999999997E-3</v>
      </c>
    </row>
    <row r="1661" spans="2:7" x14ac:dyDescent="0.2">
      <c r="B1661" s="60">
        <v>38229</v>
      </c>
      <c r="C1661" s="7">
        <v>4.0640000000000003E-2</v>
      </c>
      <c r="D1661" s="7">
        <v>4.0640000000000003E-2</v>
      </c>
      <c r="E1661" s="7">
        <v>4.0640000000000003E-2</v>
      </c>
      <c r="F1661" s="7">
        <v>4.0640000000000003E-2</v>
      </c>
      <c r="G1661" s="7">
        <v>2.0000000000000001E-4</v>
      </c>
    </row>
    <row r="1662" spans="2:7" x14ac:dyDescent="0.2">
      <c r="B1662" s="60">
        <v>38230</v>
      </c>
      <c r="C1662" s="7">
        <v>4.07E-2</v>
      </c>
      <c r="D1662" s="7">
        <v>4.07E-2</v>
      </c>
      <c r="E1662" s="7">
        <v>4.07E-2</v>
      </c>
      <c r="F1662" s="7">
        <v>4.07E-2</v>
      </c>
      <c r="G1662" s="7">
        <v>1.5E-3</v>
      </c>
    </row>
    <row r="1663" spans="2:7" x14ac:dyDescent="0.2">
      <c r="B1663" s="60">
        <v>38231</v>
      </c>
      <c r="C1663" s="7">
        <v>4.018E-2</v>
      </c>
      <c r="D1663" s="7">
        <v>4.018E-2</v>
      </c>
      <c r="E1663" s="7">
        <v>4.018E-2</v>
      </c>
      <c r="F1663" s="7">
        <v>4.018E-2</v>
      </c>
      <c r="G1663" s="7">
        <v>-1.2800000000000001E-2</v>
      </c>
    </row>
    <row r="1664" spans="2:7" x14ac:dyDescent="0.2">
      <c r="B1664" s="60">
        <v>38232</v>
      </c>
      <c r="C1664" s="7">
        <v>4.0369999999999996E-2</v>
      </c>
      <c r="D1664" s="7">
        <v>4.0369999999999996E-2</v>
      </c>
      <c r="E1664" s="7">
        <v>4.0369999999999996E-2</v>
      </c>
      <c r="F1664" s="7">
        <v>4.0369999999999996E-2</v>
      </c>
      <c r="G1664" s="7">
        <v>4.7000000000000002E-3</v>
      </c>
    </row>
    <row r="1665" spans="2:7" x14ac:dyDescent="0.2">
      <c r="B1665" s="60">
        <v>38233</v>
      </c>
      <c r="C1665" s="7">
        <v>4.0770000000000001E-2</v>
      </c>
      <c r="D1665" s="7">
        <v>4.0770000000000001E-2</v>
      </c>
      <c r="E1665" s="7">
        <v>4.0770000000000001E-2</v>
      </c>
      <c r="F1665" s="7">
        <v>4.0770000000000001E-2</v>
      </c>
      <c r="G1665" s="7">
        <v>9.9000000000000008E-3</v>
      </c>
    </row>
    <row r="1666" spans="2:7" x14ac:dyDescent="0.2">
      <c r="B1666" s="60">
        <v>38236</v>
      </c>
      <c r="C1666" s="7">
        <v>4.1410000000000002E-2</v>
      </c>
      <c r="D1666" s="7">
        <v>4.1410000000000002E-2</v>
      </c>
      <c r="E1666" s="7">
        <v>4.1410000000000002E-2</v>
      </c>
      <c r="F1666" s="7">
        <v>4.1410000000000002E-2</v>
      </c>
      <c r="G1666" s="7">
        <v>1.5699999999999999E-2</v>
      </c>
    </row>
    <row r="1667" spans="2:7" x14ac:dyDescent="0.2">
      <c r="B1667" s="60">
        <v>38237</v>
      </c>
      <c r="C1667" s="7">
        <v>4.1410000000000002E-2</v>
      </c>
      <c r="D1667" s="7">
        <v>4.1410000000000002E-2</v>
      </c>
      <c r="E1667" s="7">
        <v>4.1410000000000002E-2</v>
      </c>
      <c r="F1667" s="7">
        <v>4.1410000000000002E-2</v>
      </c>
      <c r="G1667" s="7">
        <v>0</v>
      </c>
    </row>
    <row r="1668" spans="2:7" x14ac:dyDescent="0.2">
      <c r="B1668" s="60">
        <v>38238</v>
      </c>
      <c r="C1668" s="7">
        <v>4.1399999999999999E-2</v>
      </c>
      <c r="D1668" s="7">
        <v>4.1399999999999999E-2</v>
      </c>
      <c r="E1668" s="7">
        <v>4.1399999999999999E-2</v>
      </c>
      <c r="F1668" s="7">
        <v>4.1399999999999999E-2</v>
      </c>
      <c r="G1668" s="7">
        <v>-2.0000000000000001E-4</v>
      </c>
    </row>
    <row r="1669" spans="2:7" x14ac:dyDescent="0.2">
      <c r="B1669" s="60">
        <v>38239</v>
      </c>
      <c r="C1669" s="7">
        <v>4.1189999999999997E-2</v>
      </c>
      <c r="D1669" s="7">
        <v>4.1189999999999997E-2</v>
      </c>
      <c r="E1669" s="7">
        <v>4.1189999999999997E-2</v>
      </c>
      <c r="F1669" s="7">
        <v>4.1189999999999997E-2</v>
      </c>
      <c r="G1669" s="7">
        <v>-5.1000000000000004E-3</v>
      </c>
    </row>
    <row r="1670" spans="2:7" x14ac:dyDescent="0.2">
      <c r="B1670" s="60">
        <v>38240</v>
      </c>
      <c r="C1670" s="7">
        <v>4.079E-2</v>
      </c>
      <c r="D1670" s="7">
        <v>4.079E-2</v>
      </c>
      <c r="E1670" s="7">
        <v>4.079E-2</v>
      </c>
      <c r="F1670" s="7">
        <v>4.079E-2</v>
      </c>
      <c r="G1670" s="7">
        <v>-9.7000000000000003E-3</v>
      </c>
    </row>
    <row r="1671" spans="2:7" x14ac:dyDescent="0.2">
      <c r="B1671" s="60">
        <v>38243</v>
      </c>
      <c r="C1671" s="7">
        <v>4.0629999999999999E-2</v>
      </c>
      <c r="D1671" s="7">
        <v>4.0629999999999999E-2</v>
      </c>
      <c r="E1671" s="7">
        <v>4.0629999999999999E-2</v>
      </c>
      <c r="F1671" s="7">
        <v>4.0629999999999999E-2</v>
      </c>
      <c r="G1671" s="7">
        <v>-3.8999999999999998E-3</v>
      </c>
    </row>
    <row r="1672" spans="2:7" x14ac:dyDescent="0.2">
      <c r="B1672" s="60">
        <v>38244</v>
      </c>
      <c r="C1672" s="7">
        <v>4.0620000000000003E-2</v>
      </c>
      <c r="D1672" s="7">
        <v>4.0620000000000003E-2</v>
      </c>
      <c r="E1672" s="7">
        <v>4.0620000000000003E-2</v>
      </c>
      <c r="F1672" s="7">
        <v>4.0620000000000003E-2</v>
      </c>
      <c r="G1672" s="7">
        <v>-2.0000000000000001E-4</v>
      </c>
    </row>
    <row r="1673" spans="2:7" x14ac:dyDescent="0.2">
      <c r="B1673" s="60">
        <v>38245</v>
      </c>
      <c r="C1673" s="7">
        <v>4.0490000000000005E-2</v>
      </c>
      <c r="D1673" s="7">
        <v>4.0490000000000005E-2</v>
      </c>
      <c r="E1673" s="7">
        <v>4.0490000000000005E-2</v>
      </c>
      <c r="F1673" s="7">
        <v>4.0490000000000005E-2</v>
      </c>
      <c r="G1673" s="7">
        <v>-3.2000000000000002E-3</v>
      </c>
    </row>
    <row r="1674" spans="2:7" x14ac:dyDescent="0.2">
      <c r="B1674" s="60">
        <v>38246</v>
      </c>
      <c r="C1674" s="7">
        <v>4.0590000000000001E-2</v>
      </c>
      <c r="D1674" s="7">
        <v>4.0590000000000001E-2</v>
      </c>
      <c r="E1674" s="7">
        <v>4.0590000000000001E-2</v>
      </c>
      <c r="F1674" s="7">
        <v>4.0590000000000001E-2</v>
      </c>
      <c r="G1674" s="7">
        <v>2.5000000000000001E-3</v>
      </c>
    </row>
    <row r="1675" spans="2:7" x14ac:dyDescent="0.2">
      <c r="B1675" s="60">
        <v>38247</v>
      </c>
      <c r="C1675" s="7">
        <v>4.0369999999999996E-2</v>
      </c>
      <c r="D1675" s="7">
        <v>4.0369999999999996E-2</v>
      </c>
      <c r="E1675" s="7">
        <v>4.0369999999999996E-2</v>
      </c>
      <c r="F1675" s="7">
        <v>4.0369999999999996E-2</v>
      </c>
      <c r="G1675" s="7">
        <v>-5.4000000000000003E-3</v>
      </c>
    </row>
    <row r="1676" spans="2:7" x14ac:dyDescent="0.2">
      <c r="B1676" s="60">
        <v>38250</v>
      </c>
      <c r="C1676" s="7">
        <v>4.018E-2</v>
      </c>
      <c r="D1676" s="7">
        <v>4.018E-2</v>
      </c>
      <c r="E1676" s="7">
        <v>4.018E-2</v>
      </c>
      <c r="F1676" s="7">
        <v>4.018E-2</v>
      </c>
      <c r="G1676" s="7">
        <v>-4.7000000000000002E-3</v>
      </c>
    </row>
    <row r="1677" spans="2:7" x14ac:dyDescent="0.2">
      <c r="B1677" s="60">
        <v>38251</v>
      </c>
      <c r="C1677" s="7">
        <v>4.0050000000000002E-2</v>
      </c>
      <c r="D1677" s="7">
        <v>4.0050000000000002E-2</v>
      </c>
      <c r="E1677" s="7">
        <v>4.0050000000000002E-2</v>
      </c>
      <c r="F1677" s="7">
        <v>4.0050000000000002E-2</v>
      </c>
      <c r="G1677" s="7">
        <v>-3.2000000000000002E-3</v>
      </c>
    </row>
    <row r="1678" spans="2:7" x14ac:dyDescent="0.2">
      <c r="B1678" s="60">
        <v>38252</v>
      </c>
      <c r="C1678" s="7">
        <v>4.0140000000000002E-2</v>
      </c>
      <c r="D1678" s="7">
        <v>4.0140000000000002E-2</v>
      </c>
      <c r="E1678" s="7">
        <v>4.0140000000000002E-2</v>
      </c>
      <c r="F1678" s="7">
        <v>4.0140000000000002E-2</v>
      </c>
      <c r="G1678" s="7">
        <v>2.2000000000000001E-3</v>
      </c>
    </row>
    <row r="1679" spans="2:7" x14ac:dyDescent="0.2">
      <c r="B1679" s="60">
        <v>38253</v>
      </c>
      <c r="C1679" s="7">
        <v>3.9580000000000004E-2</v>
      </c>
      <c r="D1679" s="7">
        <v>3.9580000000000004E-2</v>
      </c>
      <c r="E1679" s="7">
        <v>3.9580000000000004E-2</v>
      </c>
      <c r="F1679" s="7">
        <v>3.9580000000000004E-2</v>
      </c>
      <c r="G1679" s="7">
        <v>-1.4E-2</v>
      </c>
    </row>
    <row r="1680" spans="2:7" x14ac:dyDescent="0.2">
      <c r="B1680" s="60">
        <v>38254</v>
      </c>
      <c r="C1680" s="7">
        <v>3.943E-2</v>
      </c>
      <c r="D1680" s="7">
        <v>3.943E-2</v>
      </c>
      <c r="E1680" s="7">
        <v>3.943E-2</v>
      </c>
      <c r="F1680" s="7">
        <v>3.943E-2</v>
      </c>
      <c r="G1680" s="7">
        <v>-3.8E-3</v>
      </c>
    </row>
    <row r="1681" spans="2:7" x14ac:dyDescent="0.2">
      <c r="B1681" s="60">
        <v>38257</v>
      </c>
      <c r="C1681" s="7">
        <v>3.9620000000000002E-2</v>
      </c>
      <c r="D1681" s="7">
        <v>3.9620000000000002E-2</v>
      </c>
      <c r="E1681" s="7">
        <v>3.9620000000000002E-2</v>
      </c>
      <c r="F1681" s="7">
        <v>3.9620000000000002E-2</v>
      </c>
      <c r="G1681" s="7">
        <v>4.7999999999999996E-3</v>
      </c>
    </row>
    <row r="1682" spans="2:7" x14ac:dyDescent="0.2">
      <c r="B1682" s="60">
        <v>38258</v>
      </c>
      <c r="C1682" s="7">
        <v>3.9390000000000001E-2</v>
      </c>
      <c r="D1682" s="7">
        <v>3.9390000000000001E-2</v>
      </c>
      <c r="E1682" s="7">
        <v>3.9390000000000001E-2</v>
      </c>
      <c r="F1682" s="7">
        <v>3.9390000000000001E-2</v>
      </c>
      <c r="G1682" s="7">
        <v>-5.7999999999999996E-3</v>
      </c>
    </row>
    <row r="1683" spans="2:7" x14ac:dyDescent="0.2">
      <c r="B1683" s="60">
        <v>38259</v>
      </c>
      <c r="C1683" s="7">
        <v>3.9539999999999999E-2</v>
      </c>
      <c r="D1683" s="7">
        <v>3.9539999999999999E-2</v>
      </c>
      <c r="E1683" s="7">
        <v>3.9539999999999999E-2</v>
      </c>
      <c r="F1683" s="7">
        <v>3.9539999999999999E-2</v>
      </c>
      <c r="G1683" s="7">
        <v>3.8E-3</v>
      </c>
    </row>
    <row r="1684" spans="2:7" x14ac:dyDescent="0.2">
      <c r="B1684" s="60">
        <v>38260</v>
      </c>
      <c r="C1684" s="7">
        <v>3.9649999999999998E-2</v>
      </c>
      <c r="D1684" s="7">
        <v>3.9649999999999998E-2</v>
      </c>
      <c r="E1684" s="7">
        <v>3.9649999999999998E-2</v>
      </c>
      <c r="F1684" s="7">
        <v>3.9649999999999998E-2</v>
      </c>
      <c r="G1684" s="7">
        <v>2.8E-3</v>
      </c>
    </row>
    <row r="1685" spans="2:7" x14ac:dyDescent="0.2">
      <c r="B1685" s="60">
        <v>38261</v>
      </c>
      <c r="C1685" s="7">
        <v>3.9900000000000005E-2</v>
      </c>
      <c r="D1685" s="7">
        <v>3.9900000000000005E-2</v>
      </c>
      <c r="E1685" s="7">
        <v>3.9900000000000005E-2</v>
      </c>
      <c r="F1685" s="7">
        <v>3.9900000000000005E-2</v>
      </c>
      <c r="G1685" s="7">
        <v>6.3E-3</v>
      </c>
    </row>
    <row r="1686" spans="2:7" x14ac:dyDescent="0.2">
      <c r="B1686" s="60">
        <v>38264</v>
      </c>
      <c r="C1686" s="7">
        <v>4.0220000000000006E-2</v>
      </c>
      <c r="D1686" s="7">
        <v>4.0220000000000006E-2</v>
      </c>
      <c r="E1686" s="7">
        <v>4.0220000000000006E-2</v>
      </c>
      <c r="F1686" s="7">
        <v>4.0220000000000006E-2</v>
      </c>
      <c r="G1686" s="7">
        <v>8.0000000000000002E-3</v>
      </c>
    </row>
    <row r="1687" spans="2:7" x14ac:dyDescent="0.2">
      <c r="B1687" s="60">
        <v>38265</v>
      </c>
      <c r="C1687" s="7">
        <v>4.027E-2</v>
      </c>
      <c r="D1687" s="7">
        <v>4.027E-2</v>
      </c>
      <c r="E1687" s="7">
        <v>4.027E-2</v>
      </c>
      <c r="F1687" s="7">
        <v>4.027E-2</v>
      </c>
      <c r="G1687" s="7">
        <v>1.1999999999999999E-3</v>
      </c>
    </row>
    <row r="1688" spans="2:7" x14ac:dyDescent="0.2">
      <c r="B1688" s="60">
        <v>38266</v>
      </c>
      <c r="C1688" s="7">
        <v>3.9980000000000002E-2</v>
      </c>
      <c r="D1688" s="7">
        <v>3.9980000000000002E-2</v>
      </c>
      <c r="E1688" s="7">
        <v>3.9980000000000002E-2</v>
      </c>
      <c r="F1688" s="7">
        <v>3.9980000000000002E-2</v>
      </c>
      <c r="G1688" s="7">
        <v>-7.1999999999999998E-3</v>
      </c>
    </row>
    <row r="1689" spans="2:7" x14ac:dyDescent="0.2">
      <c r="B1689" s="60">
        <v>38267</v>
      </c>
      <c r="C1689" s="7">
        <v>3.9960000000000002E-2</v>
      </c>
      <c r="D1689" s="7">
        <v>3.9960000000000002E-2</v>
      </c>
      <c r="E1689" s="7">
        <v>3.9960000000000002E-2</v>
      </c>
      <c r="F1689" s="7">
        <v>3.9960000000000002E-2</v>
      </c>
      <c r="G1689" s="7">
        <v>-5.0000000000000001E-4</v>
      </c>
    </row>
    <row r="1690" spans="2:7" x14ac:dyDescent="0.2">
      <c r="B1690" s="60">
        <v>38268</v>
      </c>
      <c r="C1690" s="7">
        <v>4.0170000000000004E-2</v>
      </c>
      <c r="D1690" s="7">
        <v>4.0170000000000004E-2</v>
      </c>
      <c r="E1690" s="7">
        <v>4.0170000000000004E-2</v>
      </c>
      <c r="F1690" s="7">
        <v>4.0170000000000004E-2</v>
      </c>
      <c r="G1690" s="7">
        <v>5.3E-3</v>
      </c>
    </row>
    <row r="1691" spans="2:7" x14ac:dyDescent="0.2">
      <c r="B1691" s="60">
        <v>38271</v>
      </c>
      <c r="C1691" s="7">
        <v>3.9230000000000001E-2</v>
      </c>
      <c r="D1691" s="7">
        <v>3.9230000000000001E-2</v>
      </c>
      <c r="E1691" s="7">
        <v>3.9230000000000001E-2</v>
      </c>
      <c r="F1691" s="7">
        <v>3.9230000000000001E-2</v>
      </c>
      <c r="G1691" s="7">
        <v>-2.3400000000000001E-2</v>
      </c>
    </row>
    <row r="1692" spans="2:7" x14ac:dyDescent="0.2">
      <c r="B1692" s="60">
        <v>38272</v>
      </c>
      <c r="C1692" s="7">
        <v>3.9300000000000002E-2</v>
      </c>
      <c r="D1692" s="7">
        <v>3.9300000000000002E-2</v>
      </c>
      <c r="E1692" s="7">
        <v>3.9300000000000002E-2</v>
      </c>
      <c r="F1692" s="7">
        <v>3.9300000000000002E-2</v>
      </c>
      <c r="G1692" s="7">
        <v>1.8E-3</v>
      </c>
    </row>
    <row r="1693" spans="2:7" x14ac:dyDescent="0.2">
      <c r="B1693" s="60">
        <v>38273</v>
      </c>
      <c r="C1693" s="7">
        <v>3.916E-2</v>
      </c>
      <c r="D1693" s="7">
        <v>3.916E-2</v>
      </c>
      <c r="E1693" s="7">
        <v>3.916E-2</v>
      </c>
      <c r="F1693" s="7">
        <v>3.916E-2</v>
      </c>
      <c r="G1693" s="7">
        <v>-3.5999999999999999E-3</v>
      </c>
    </row>
    <row r="1694" spans="2:7" x14ac:dyDescent="0.2">
      <c r="B1694" s="60">
        <v>38274</v>
      </c>
      <c r="C1694" s="7">
        <v>3.8870000000000002E-2</v>
      </c>
      <c r="D1694" s="7">
        <v>3.8870000000000002E-2</v>
      </c>
      <c r="E1694" s="7">
        <v>3.8870000000000002E-2</v>
      </c>
      <c r="F1694" s="7">
        <v>3.8870000000000002E-2</v>
      </c>
      <c r="G1694" s="7">
        <v>-7.4000000000000003E-3</v>
      </c>
    </row>
    <row r="1695" spans="2:7" x14ac:dyDescent="0.2">
      <c r="B1695" s="60">
        <v>38275</v>
      </c>
      <c r="C1695" s="7">
        <v>3.8800000000000001E-2</v>
      </c>
      <c r="D1695" s="7">
        <v>3.8800000000000001E-2</v>
      </c>
      <c r="E1695" s="7">
        <v>3.8800000000000001E-2</v>
      </c>
      <c r="F1695" s="7">
        <v>3.8800000000000001E-2</v>
      </c>
      <c r="G1695" s="7">
        <v>-1.8E-3</v>
      </c>
    </row>
    <row r="1696" spans="2:7" x14ac:dyDescent="0.2">
      <c r="B1696" s="60">
        <v>38278</v>
      </c>
      <c r="C1696" s="7">
        <v>3.8929999999999999E-2</v>
      </c>
      <c r="D1696" s="7">
        <v>3.8929999999999999E-2</v>
      </c>
      <c r="E1696" s="7">
        <v>3.8929999999999999E-2</v>
      </c>
      <c r="F1696" s="7">
        <v>3.8929999999999999E-2</v>
      </c>
      <c r="G1696" s="7">
        <v>3.3999999999999998E-3</v>
      </c>
    </row>
    <row r="1697" spans="2:7" x14ac:dyDescent="0.2">
      <c r="B1697" s="60">
        <v>38279</v>
      </c>
      <c r="C1697" s="7">
        <v>3.8859999999999999E-2</v>
      </c>
      <c r="D1697" s="7">
        <v>3.8859999999999999E-2</v>
      </c>
      <c r="E1697" s="7">
        <v>3.8859999999999999E-2</v>
      </c>
      <c r="F1697" s="7">
        <v>3.8859999999999999E-2</v>
      </c>
      <c r="G1697" s="7">
        <v>-1.8E-3</v>
      </c>
    </row>
    <row r="1698" spans="2:7" x14ac:dyDescent="0.2">
      <c r="B1698" s="60">
        <v>38280</v>
      </c>
      <c r="C1698" s="7">
        <v>3.8710000000000001E-2</v>
      </c>
      <c r="D1698" s="7">
        <v>3.8710000000000001E-2</v>
      </c>
      <c r="E1698" s="7">
        <v>3.8710000000000001E-2</v>
      </c>
      <c r="F1698" s="7">
        <v>3.8710000000000001E-2</v>
      </c>
      <c r="G1698" s="7">
        <v>-3.8999999999999998E-3</v>
      </c>
    </row>
    <row r="1699" spans="2:7" x14ac:dyDescent="0.2">
      <c r="B1699" s="60">
        <v>38281</v>
      </c>
      <c r="C1699" s="7">
        <v>3.8670000000000003E-2</v>
      </c>
      <c r="D1699" s="7">
        <v>3.8670000000000003E-2</v>
      </c>
      <c r="E1699" s="7">
        <v>3.8670000000000003E-2</v>
      </c>
      <c r="F1699" s="7">
        <v>3.8670000000000003E-2</v>
      </c>
      <c r="G1699" s="7">
        <v>-1E-3</v>
      </c>
    </row>
    <row r="1700" spans="2:7" x14ac:dyDescent="0.2">
      <c r="B1700" s="60">
        <v>38282</v>
      </c>
      <c r="C1700" s="7">
        <v>3.8640000000000001E-2</v>
      </c>
      <c r="D1700" s="7">
        <v>3.8640000000000001E-2</v>
      </c>
      <c r="E1700" s="7">
        <v>3.8640000000000001E-2</v>
      </c>
      <c r="F1700" s="7">
        <v>3.8640000000000001E-2</v>
      </c>
      <c r="G1700" s="7">
        <v>-8.0000000000000004E-4</v>
      </c>
    </row>
    <row r="1701" spans="2:7" x14ac:dyDescent="0.2">
      <c r="B1701" s="60">
        <v>38285</v>
      </c>
      <c r="C1701" s="7">
        <v>3.8379999999999997E-2</v>
      </c>
      <c r="D1701" s="7">
        <v>3.8379999999999997E-2</v>
      </c>
      <c r="E1701" s="7">
        <v>3.8379999999999997E-2</v>
      </c>
      <c r="F1701" s="7">
        <v>3.8379999999999997E-2</v>
      </c>
      <c r="G1701" s="7">
        <v>-6.7000000000000002E-3</v>
      </c>
    </row>
    <row r="1702" spans="2:7" x14ac:dyDescent="0.2">
      <c r="B1702" s="60">
        <v>38286</v>
      </c>
      <c r="C1702" s="7">
        <v>3.8030000000000001E-2</v>
      </c>
      <c r="D1702" s="7">
        <v>3.8030000000000001E-2</v>
      </c>
      <c r="E1702" s="7">
        <v>3.8030000000000001E-2</v>
      </c>
      <c r="F1702" s="7">
        <v>3.8030000000000001E-2</v>
      </c>
      <c r="G1702" s="7">
        <v>-9.1000000000000004E-3</v>
      </c>
    </row>
    <row r="1703" spans="2:7" x14ac:dyDescent="0.2">
      <c r="B1703" s="60">
        <v>38287</v>
      </c>
      <c r="C1703" s="7">
        <v>3.807E-2</v>
      </c>
      <c r="D1703" s="7">
        <v>3.807E-2</v>
      </c>
      <c r="E1703" s="7">
        <v>3.807E-2</v>
      </c>
      <c r="F1703" s="7">
        <v>3.807E-2</v>
      </c>
      <c r="G1703" s="7">
        <v>1.1000000000000001E-3</v>
      </c>
    </row>
    <row r="1704" spans="2:7" x14ac:dyDescent="0.2">
      <c r="B1704" s="60">
        <v>38288</v>
      </c>
      <c r="C1704" s="7">
        <v>3.8710000000000001E-2</v>
      </c>
      <c r="D1704" s="7">
        <v>3.8710000000000001E-2</v>
      </c>
      <c r="E1704" s="7">
        <v>3.8710000000000001E-2</v>
      </c>
      <c r="F1704" s="7">
        <v>3.8710000000000001E-2</v>
      </c>
      <c r="G1704" s="7">
        <v>1.6799999999999999E-2</v>
      </c>
    </row>
    <row r="1705" spans="2:7" x14ac:dyDescent="0.2">
      <c r="B1705" s="60">
        <v>38289</v>
      </c>
      <c r="C1705" s="7">
        <v>3.8599999999999995E-2</v>
      </c>
      <c r="D1705" s="7">
        <v>3.8599999999999995E-2</v>
      </c>
      <c r="E1705" s="7">
        <v>3.8599999999999995E-2</v>
      </c>
      <c r="F1705" s="7">
        <v>3.8599999999999995E-2</v>
      </c>
      <c r="G1705" s="7">
        <v>-2.8E-3</v>
      </c>
    </row>
    <row r="1706" spans="2:7" x14ac:dyDescent="0.2">
      <c r="B1706" s="60">
        <v>38292</v>
      </c>
      <c r="C1706" s="7">
        <v>3.8539999999999998E-2</v>
      </c>
      <c r="D1706" s="7">
        <v>3.8539999999999998E-2</v>
      </c>
      <c r="E1706" s="7">
        <v>3.8539999999999998E-2</v>
      </c>
      <c r="F1706" s="7">
        <v>3.8539999999999998E-2</v>
      </c>
      <c r="G1706" s="7">
        <v>-1.6000000000000001E-3</v>
      </c>
    </row>
    <row r="1707" spans="2:7" x14ac:dyDescent="0.2">
      <c r="B1707" s="60">
        <v>38293</v>
      </c>
      <c r="C1707" s="7">
        <v>3.8599999999999995E-2</v>
      </c>
      <c r="D1707" s="7">
        <v>3.8599999999999995E-2</v>
      </c>
      <c r="E1707" s="7">
        <v>3.8599999999999995E-2</v>
      </c>
      <c r="F1707" s="7">
        <v>3.8599999999999995E-2</v>
      </c>
      <c r="G1707" s="7">
        <v>1.6000000000000001E-3</v>
      </c>
    </row>
    <row r="1708" spans="2:7" x14ac:dyDescent="0.2">
      <c r="B1708" s="60">
        <v>38294</v>
      </c>
      <c r="C1708" s="7">
        <v>3.884E-2</v>
      </c>
      <c r="D1708" s="7">
        <v>3.884E-2</v>
      </c>
      <c r="E1708" s="7">
        <v>3.884E-2</v>
      </c>
      <c r="F1708" s="7">
        <v>3.884E-2</v>
      </c>
      <c r="G1708" s="7">
        <v>6.1999999999999998E-3</v>
      </c>
    </row>
    <row r="1709" spans="2:7" x14ac:dyDescent="0.2">
      <c r="B1709" s="60">
        <v>38295</v>
      </c>
      <c r="C1709" s="7">
        <v>3.882E-2</v>
      </c>
      <c r="D1709" s="7">
        <v>3.882E-2</v>
      </c>
      <c r="E1709" s="7">
        <v>3.882E-2</v>
      </c>
      <c r="F1709" s="7">
        <v>3.882E-2</v>
      </c>
      <c r="G1709" s="7">
        <v>-5.0000000000000001E-4</v>
      </c>
    </row>
    <row r="1710" spans="2:7" x14ac:dyDescent="0.2">
      <c r="B1710" s="60">
        <v>38296</v>
      </c>
      <c r="C1710" s="7">
        <v>3.848E-2</v>
      </c>
      <c r="D1710" s="7">
        <v>3.848E-2</v>
      </c>
      <c r="E1710" s="7">
        <v>3.848E-2</v>
      </c>
      <c r="F1710" s="7">
        <v>3.848E-2</v>
      </c>
      <c r="G1710" s="7">
        <v>-8.8000000000000005E-3</v>
      </c>
    </row>
    <row r="1711" spans="2:7" x14ac:dyDescent="0.2">
      <c r="B1711" s="60">
        <v>38299</v>
      </c>
      <c r="C1711" s="7">
        <v>3.909E-2</v>
      </c>
      <c r="D1711" s="7">
        <v>3.909E-2</v>
      </c>
      <c r="E1711" s="7">
        <v>3.909E-2</v>
      </c>
      <c r="F1711" s="7">
        <v>3.909E-2</v>
      </c>
      <c r="G1711" s="7">
        <v>1.5900000000000001E-2</v>
      </c>
    </row>
    <row r="1712" spans="2:7" x14ac:dyDescent="0.2">
      <c r="B1712" s="60">
        <v>38300</v>
      </c>
      <c r="C1712" s="7">
        <v>3.8960000000000002E-2</v>
      </c>
      <c r="D1712" s="7">
        <v>3.8960000000000002E-2</v>
      </c>
      <c r="E1712" s="7">
        <v>3.8960000000000002E-2</v>
      </c>
      <c r="F1712" s="7">
        <v>3.8960000000000002E-2</v>
      </c>
      <c r="G1712" s="7">
        <v>-3.3E-3</v>
      </c>
    </row>
    <row r="1713" spans="2:7" x14ac:dyDescent="0.2">
      <c r="B1713" s="60">
        <v>38301</v>
      </c>
      <c r="C1713" s="7">
        <v>3.848E-2</v>
      </c>
      <c r="D1713" s="7">
        <v>3.848E-2</v>
      </c>
      <c r="E1713" s="7">
        <v>3.848E-2</v>
      </c>
      <c r="F1713" s="7">
        <v>3.848E-2</v>
      </c>
      <c r="G1713" s="7">
        <v>-1.23E-2</v>
      </c>
    </row>
    <row r="1714" spans="2:7" x14ac:dyDescent="0.2">
      <c r="B1714" s="60">
        <v>38302</v>
      </c>
      <c r="C1714" s="7">
        <v>3.8719999999999997E-2</v>
      </c>
      <c r="D1714" s="7">
        <v>3.8719999999999997E-2</v>
      </c>
      <c r="E1714" s="7">
        <v>3.8719999999999997E-2</v>
      </c>
      <c r="F1714" s="7">
        <v>3.8719999999999997E-2</v>
      </c>
      <c r="G1714" s="7">
        <v>6.1999999999999998E-3</v>
      </c>
    </row>
    <row r="1715" spans="2:7" x14ac:dyDescent="0.2">
      <c r="B1715" s="60">
        <v>38303</v>
      </c>
      <c r="C1715" s="7">
        <v>3.8190000000000002E-2</v>
      </c>
      <c r="D1715" s="7">
        <v>3.8190000000000002E-2</v>
      </c>
      <c r="E1715" s="7">
        <v>3.8190000000000002E-2</v>
      </c>
      <c r="F1715" s="7">
        <v>3.8190000000000002E-2</v>
      </c>
      <c r="G1715" s="7">
        <v>-1.37E-2</v>
      </c>
    </row>
    <row r="1716" spans="2:7" x14ac:dyDescent="0.2">
      <c r="B1716" s="60">
        <v>38306</v>
      </c>
      <c r="C1716" s="7">
        <v>3.7690000000000001E-2</v>
      </c>
      <c r="D1716" s="7">
        <v>3.7690000000000001E-2</v>
      </c>
      <c r="E1716" s="7">
        <v>3.7690000000000001E-2</v>
      </c>
      <c r="F1716" s="7">
        <v>3.7690000000000001E-2</v>
      </c>
      <c r="G1716" s="7">
        <v>-1.3100000000000001E-2</v>
      </c>
    </row>
    <row r="1717" spans="2:7" x14ac:dyDescent="0.2">
      <c r="B1717" s="60">
        <v>38307</v>
      </c>
      <c r="C1717" s="7">
        <v>3.7679999999999998E-2</v>
      </c>
      <c r="D1717" s="7">
        <v>3.7679999999999998E-2</v>
      </c>
      <c r="E1717" s="7">
        <v>3.7679999999999998E-2</v>
      </c>
      <c r="F1717" s="7">
        <v>3.7679999999999998E-2</v>
      </c>
      <c r="G1717" s="7">
        <v>-2.9999999999999997E-4</v>
      </c>
    </row>
    <row r="1718" spans="2:7" x14ac:dyDescent="0.2">
      <c r="B1718" s="60">
        <v>38308</v>
      </c>
      <c r="C1718" s="7">
        <v>3.7510000000000002E-2</v>
      </c>
      <c r="D1718" s="7">
        <v>3.7510000000000002E-2</v>
      </c>
      <c r="E1718" s="7">
        <v>3.7510000000000002E-2</v>
      </c>
      <c r="F1718" s="7">
        <v>3.7510000000000002E-2</v>
      </c>
      <c r="G1718" s="7">
        <v>-4.4999999999999997E-3</v>
      </c>
    </row>
    <row r="1719" spans="2:7" x14ac:dyDescent="0.2">
      <c r="B1719" s="60">
        <v>38309</v>
      </c>
      <c r="C1719" s="7">
        <v>3.7569999999999999E-2</v>
      </c>
      <c r="D1719" s="7">
        <v>3.7569999999999999E-2</v>
      </c>
      <c r="E1719" s="7">
        <v>3.7569999999999999E-2</v>
      </c>
      <c r="F1719" s="7">
        <v>3.7569999999999999E-2</v>
      </c>
      <c r="G1719" s="7">
        <v>1.6000000000000001E-3</v>
      </c>
    </row>
    <row r="1720" spans="2:7" x14ac:dyDescent="0.2">
      <c r="B1720" s="60">
        <v>38310</v>
      </c>
      <c r="C1720" s="7">
        <v>3.8060000000000004E-2</v>
      </c>
      <c r="D1720" s="7">
        <v>3.8060000000000004E-2</v>
      </c>
      <c r="E1720" s="7">
        <v>3.8060000000000004E-2</v>
      </c>
      <c r="F1720" s="7">
        <v>3.8060000000000004E-2</v>
      </c>
      <c r="G1720" s="7">
        <v>1.2999999999999999E-2</v>
      </c>
    </row>
    <row r="1721" spans="2:7" x14ac:dyDescent="0.2">
      <c r="B1721" s="60">
        <v>38313</v>
      </c>
      <c r="C1721" s="7">
        <v>3.7789999999999997E-2</v>
      </c>
      <c r="D1721" s="7">
        <v>3.7789999999999997E-2</v>
      </c>
      <c r="E1721" s="7">
        <v>3.7789999999999997E-2</v>
      </c>
      <c r="F1721" s="7">
        <v>3.7789999999999997E-2</v>
      </c>
      <c r="G1721" s="7">
        <v>-7.1000000000000004E-3</v>
      </c>
    </row>
    <row r="1722" spans="2:7" x14ac:dyDescent="0.2">
      <c r="B1722" s="60">
        <v>38314</v>
      </c>
      <c r="C1722" s="7">
        <v>3.7589999999999998E-2</v>
      </c>
      <c r="D1722" s="7">
        <v>3.7589999999999998E-2</v>
      </c>
      <c r="E1722" s="7">
        <v>3.7589999999999998E-2</v>
      </c>
      <c r="F1722" s="7">
        <v>3.7589999999999998E-2</v>
      </c>
      <c r="G1722" s="7">
        <v>-5.3E-3</v>
      </c>
    </row>
    <row r="1723" spans="2:7" x14ac:dyDescent="0.2">
      <c r="B1723" s="60">
        <v>38315</v>
      </c>
      <c r="C1723" s="7">
        <v>3.7870000000000001E-2</v>
      </c>
      <c r="D1723" s="7">
        <v>3.7870000000000001E-2</v>
      </c>
      <c r="E1723" s="7">
        <v>3.7870000000000001E-2</v>
      </c>
      <c r="F1723" s="7">
        <v>3.7870000000000001E-2</v>
      </c>
      <c r="G1723" s="7">
        <v>7.4000000000000003E-3</v>
      </c>
    </row>
    <row r="1724" spans="2:7" x14ac:dyDescent="0.2">
      <c r="B1724" s="60">
        <v>38316</v>
      </c>
      <c r="C1724" s="7">
        <v>3.789E-2</v>
      </c>
      <c r="D1724" s="7">
        <v>3.789E-2</v>
      </c>
      <c r="E1724" s="7">
        <v>3.789E-2</v>
      </c>
      <c r="F1724" s="7">
        <v>3.789E-2</v>
      </c>
      <c r="G1724" s="7">
        <v>5.0000000000000001E-4</v>
      </c>
    </row>
    <row r="1725" spans="2:7" x14ac:dyDescent="0.2">
      <c r="B1725" s="60">
        <v>38317</v>
      </c>
      <c r="C1725" s="7">
        <v>3.7759999999999995E-2</v>
      </c>
      <c r="D1725" s="7">
        <v>3.7759999999999995E-2</v>
      </c>
      <c r="E1725" s="7">
        <v>3.7759999999999995E-2</v>
      </c>
      <c r="F1725" s="7">
        <v>3.7759999999999995E-2</v>
      </c>
      <c r="G1725" s="7">
        <v>-3.3999999999999998E-3</v>
      </c>
    </row>
    <row r="1726" spans="2:7" x14ac:dyDescent="0.2">
      <c r="B1726" s="60">
        <v>38320</v>
      </c>
      <c r="C1726" s="7">
        <v>3.7610000000000005E-2</v>
      </c>
      <c r="D1726" s="7">
        <v>3.7610000000000005E-2</v>
      </c>
      <c r="E1726" s="7">
        <v>3.7610000000000005E-2</v>
      </c>
      <c r="F1726" s="7">
        <v>3.7610000000000005E-2</v>
      </c>
      <c r="G1726" s="7">
        <v>-4.0000000000000001E-3</v>
      </c>
    </row>
    <row r="1727" spans="2:7" x14ac:dyDescent="0.2">
      <c r="B1727" s="60">
        <v>38321</v>
      </c>
      <c r="C1727" s="7">
        <v>3.8179999999999999E-2</v>
      </c>
      <c r="D1727" s="7">
        <v>3.8179999999999999E-2</v>
      </c>
      <c r="E1727" s="7">
        <v>3.8179999999999999E-2</v>
      </c>
      <c r="F1727" s="7">
        <v>3.8179999999999999E-2</v>
      </c>
      <c r="G1727" s="7">
        <v>1.52E-2</v>
      </c>
    </row>
    <row r="1728" spans="2:7" x14ac:dyDescent="0.2">
      <c r="B1728" s="60">
        <v>38322</v>
      </c>
      <c r="C1728" s="7">
        <v>3.7879999999999997E-2</v>
      </c>
      <c r="D1728" s="7">
        <v>3.7879999999999997E-2</v>
      </c>
      <c r="E1728" s="7">
        <v>3.7879999999999997E-2</v>
      </c>
      <c r="F1728" s="7">
        <v>3.7879999999999997E-2</v>
      </c>
      <c r="G1728" s="7">
        <v>-7.9000000000000008E-3</v>
      </c>
    </row>
    <row r="1729" spans="2:7" x14ac:dyDescent="0.2">
      <c r="B1729" s="60">
        <v>38323</v>
      </c>
      <c r="C1729" s="7">
        <v>3.7679999999999998E-2</v>
      </c>
      <c r="D1729" s="7">
        <v>3.7679999999999998E-2</v>
      </c>
      <c r="E1729" s="7">
        <v>3.7679999999999998E-2</v>
      </c>
      <c r="F1729" s="7">
        <v>3.7679999999999998E-2</v>
      </c>
      <c r="G1729" s="7">
        <v>-5.3E-3</v>
      </c>
    </row>
    <row r="1730" spans="2:7" x14ac:dyDescent="0.2">
      <c r="B1730" s="60">
        <v>38324</v>
      </c>
      <c r="C1730" s="7">
        <v>3.823E-2</v>
      </c>
      <c r="D1730" s="7">
        <v>3.823E-2</v>
      </c>
      <c r="E1730" s="7">
        <v>3.823E-2</v>
      </c>
      <c r="F1730" s="7">
        <v>3.823E-2</v>
      </c>
      <c r="G1730" s="7">
        <v>1.46E-2</v>
      </c>
    </row>
    <row r="1731" spans="2:7" x14ac:dyDescent="0.2">
      <c r="B1731" s="60">
        <v>38327</v>
      </c>
      <c r="C1731" s="7">
        <v>3.7420000000000002E-2</v>
      </c>
      <c r="D1731" s="7">
        <v>3.7420000000000002E-2</v>
      </c>
      <c r="E1731" s="7">
        <v>3.7420000000000002E-2</v>
      </c>
      <c r="F1731" s="7">
        <v>3.7420000000000002E-2</v>
      </c>
      <c r="G1731" s="7">
        <v>-2.12E-2</v>
      </c>
    </row>
    <row r="1732" spans="2:7" x14ac:dyDescent="0.2">
      <c r="B1732" s="60">
        <v>38328</v>
      </c>
      <c r="C1732" s="7">
        <v>3.703E-2</v>
      </c>
      <c r="D1732" s="7">
        <v>3.703E-2</v>
      </c>
      <c r="E1732" s="7">
        <v>3.703E-2</v>
      </c>
      <c r="F1732" s="7">
        <v>3.703E-2</v>
      </c>
      <c r="G1732" s="7">
        <v>-1.04E-2</v>
      </c>
    </row>
    <row r="1733" spans="2:7" x14ac:dyDescent="0.2">
      <c r="B1733" s="60">
        <v>38329</v>
      </c>
      <c r="C1733" s="7">
        <v>3.6720000000000003E-2</v>
      </c>
      <c r="D1733" s="7">
        <v>3.6720000000000003E-2</v>
      </c>
      <c r="E1733" s="7">
        <v>3.6720000000000003E-2</v>
      </c>
      <c r="F1733" s="7">
        <v>3.6720000000000003E-2</v>
      </c>
      <c r="G1733" s="7">
        <v>-8.3999999999999995E-3</v>
      </c>
    </row>
    <row r="1734" spans="2:7" x14ac:dyDescent="0.2">
      <c r="B1734" s="60">
        <v>38330</v>
      </c>
      <c r="C1734" s="7">
        <v>3.6400000000000002E-2</v>
      </c>
      <c r="D1734" s="7">
        <v>3.6400000000000002E-2</v>
      </c>
      <c r="E1734" s="7">
        <v>3.6400000000000002E-2</v>
      </c>
      <c r="F1734" s="7">
        <v>3.6400000000000002E-2</v>
      </c>
      <c r="G1734" s="7">
        <v>-8.6999999999999994E-3</v>
      </c>
    </row>
    <row r="1735" spans="2:7" x14ac:dyDescent="0.2">
      <c r="B1735" s="60">
        <v>38331</v>
      </c>
      <c r="C1735" s="7">
        <v>3.6139999999999999E-2</v>
      </c>
      <c r="D1735" s="7">
        <v>3.6139999999999999E-2</v>
      </c>
      <c r="E1735" s="7">
        <v>3.6139999999999999E-2</v>
      </c>
      <c r="F1735" s="7">
        <v>3.6139999999999999E-2</v>
      </c>
      <c r="G1735" s="7">
        <v>-7.1000000000000004E-3</v>
      </c>
    </row>
    <row r="1736" spans="2:7" x14ac:dyDescent="0.2">
      <c r="B1736" s="60">
        <v>38334</v>
      </c>
      <c r="C1736" s="7">
        <v>3.6089999999999997E-2</v>
      </c>
      <c r="D1736" s="7">
        <v>3.6089999999999997E-2</v>
      </c>
      <c r="E1736" s="7">
        <v>3.6089999999999997E-2</v>
      </c>
      <c r="F1736" s="7">
        <v>3.6089999999999997E-2</v>
      </c>
      <c r="G1736" s="7">
        <v>-1.4E-3</v>
      </c>
    </row>
    <row r="1737" spans="2:7" x14ac:dyDescent="0.2">
      <c r="B1737" s="60">
        <v>38335</v>
      </c>
      <c r="C1737" s="7">
        <v>3.5990000000000001E-2</v>
      </c>
      <c r="D1737" s="7">
        <v>3.5990000000000001E-2</v>
      </c>
      <c r="E1737" s="7">
        <v>3.5990000000000001E-2</v>
      </c>
      <c r="F1737" s="7">
        <v>3.5990000000000001E-2</v>
      </c>
      <c r="G1737" s="7">
        <v>-2.8E-3</v>
      </c>
    </row>
    <row r="1738" spans="2:7" x14ac:dyDescent="0.2">
      <c r="B1738" s="60">
        <v>38336</v>
      </c>
      <c r="C1738" s="7">
        <v>3.594E-2</v>
      </c>
      <c r="D1738" s="7">
        <v>3.594E-2</v>
      </c>
      <c r="E1738" s="7">
        <v>3.594E-2</v>
      </c>
      <c r="F1738" s="7">
        <v>3.594E-2</v>
      </c>
      <c r="G1738" s="7">
        <v>-1.4E-3</v>
      </c>
    </row>
    <row r="1739" spans="2:7" x14ac:dyDescent="0.2">
      <c r="B1739" s="60">
        <v>38337</v>
      </c>
      <c r="C1739" s="7">
        <v>3.5379999999999995E-2</v>
      </c>
      <c r="D1739" s="7">
        <v>3.5379999999999995E-2</v>
      </c>
      <c r="E1739" s="7">
        <v>3.5379999999999995E-2</v>
      </c>
      <c r="F1739" s="7">
        <v>3.5379999999999995E-2</v>
      </c>
      <c r="G1739" s="7">
        <v>-1.5599999999999999E-2</v>
      </c>
    </row>
    <row r="1740" spans="2:7" x14ac:dyDescent="0.2">
      <c r="B1740" s="60">
        <v>38338</v>
      </c>
      <c r="C1740" s="7">
        <v>3.5680000000000003E-2</v>
      </c>
      <c r="D1740" s="7">
        <v>3.5680000000000003E-2</v>
      </c>
      <c r="E1740" s="7">
        <v>3.5680000000000003E-2</v>
      </c>
      <c r="F1740" s="7">
        <v>3.5680000000000003E-2</v>
      </c>
      <c r="G1740" s="7">
        <v>8.5000000000000006E-3</v>
      </c>
    </row>
    <row r="1741" spans="2:7" x14ac:dyDescent="0.2">
      <c r="B1741" s="60">
        <v>38341</v>
      </c>
      <c r="C1741" s="7">
        <v>3.6139999999999999E-2</v>
      </c>
      <c r="D1741" s="7">
        <v>3.6139999999999999E-2</v>
      </c>
      <c r="E1741" s="7">
        <v>3.6139999999999999E-2</v>
      </c>
      <c r="F1741" s="7">
        <v>3.6139999999999999E-2</v>
      </c>
      <c r="G1741" s="7">
        <v>1.29E-2</v>
      </c>
    </row>
    <row r="1742" spans="2:7" x14ac:dyDescent="0.2">
      <c r="B1742" s="60">
        <v>38342</v>
      </c>
      <c r="C1742" s="7">
        <v>3.5929999999999997E-2</v>
      </c>
      <c r="D1742" s="7">
        <v>3.5929999999999997E-2</v>
      </c>
      <c r="E1742" s="7">
        <v>3.5929999999999997E-2</v>
      </c>
      <c r="F1742" s="7">
        <v>3.5929999999999997E-2</v>
      </c>
      <c r="G1742" s="7">
        <v>-5.7999999999999996E-3</v>
      </c>
    </row>
    <row r="1743" spans="2:7" x14ac:dyDescent="0.2">
      <c r="B1743" s="60">
        <v>38343</v>
      </c>
      <c r="C1743" s="7">
        <v>3.6159999999999998E-2</v>
      </c>
      <c r="D1743" s="7">
        <v>3.6159999999999998E-2</v>
      </c>
      <c r="E1743" s="7">
        <v>3.6159999999999998E-2</v>
      </c>
      <c r="F1743" s="7">
        <v>3.6159999999999998E-2</v>
      </c>
      <c r="G1743" s="7">
        <v>6.4000000000000003E-3</v>
      </c>
    </row>
    <row r="1744" spans="2:7" x14ac:dyDescent="0.2">
      <c r="B1744" s="60">
        <v>38344</v>
      </c>
      <c r="C1744" s="7">
        <v>3.6260000000000001E-2</v>
      </c>
      <c r="D1744" s="7">
        <v>3.6260000000000001E-2</v>
      </c>
      <c r="E1744" s="7">
        <v>3.6260000000000001E-2</v>
      </c>
      <c r="F1744" s="7">
        <v>3.6260000000000001E-2</v>
      </c>
      <c r="G1744" s="7">
        <v>2.8E-3</v>
      </c>
    </row>
    <row r="1745" spans="2:7" x14ac:dyDescent="0.2">
      <c r="B1745" s="60">
        <v>38345</v>
      </c>
      <c r="C1745" s="7">
        <v>3.601E-2</v>
      </c>
      <c r="D1745" s="7">
        <v>3.601E-2</v>
      </c>
      <c r="E1745" s="7">
        <v>3.601E-2</v>
      </c>
      <c r="F1745" s="7">
        <v>3.601E-2</v>
      </c>
      <c r="G1745" s="7">
        <v>-6.8999999999999999E-3</v>
      </c>
    </row>
    <row r="1746" spans="2:7" x14ac:dyDescent="0.2">
      <c r="B1746" s="60">
        <v>38348</v>
      </c>
      <c r="C1746" s="7">
        <v>3.6019999999999996E-2</v>
      </c>
      <c r="D1746" s="7">
        <v>3.6019999999999996E-2</v>
      </c>
      <c r="E1746" s="7">
        <v>3.6019999999999996E-2</v>
      </c>
      <c r="F1746" s="7">
        <v>3.6019999999999996E-2</v>
      </c>
      <c r="G1746" s="7">
        <v>2.9999999999999997E-4</v>
      </c>
    </row>
    <row r="1747" spans="2:7" x14ac:dyDescent="0.2">
      <c r="B1747" s="60">
        <v>38349</v>
      </c>
      <c r="C1747" s="7">
        <v>3.628E-2</v>
      </c>
      <c r="D1747" s="7">
        <v>3.628E-2</v>
      </c>
      <c r="E1747" s="7">
        <v>3.628E-2</v>
      </c>
      <c r="F1747" s="7">
        <v>3.628E-2</v>
      </c>
      <c r="G1747" s="7">
        <v>7.1999999999999998E-3</v>
      </c>
    </row>
    <row r="1748" spans="2:7" x14ac:dyDescent="0.2">
      <c r="B1748" s="60">
        <v>38350</v>
      </c>
      <c r="C1748" s="7">
        <v>3.6769999999999997E-2</v>
      </c>
      <c r="D1748" s="7">
        <v>3.6769999999999997E-2</v>
      </c>
      <c r="E1748" s="7">
        <v>3.6769999999999997E-2</v>
      </c>
      <c r="F1748" s="7">
        <v>3.6769999999999997E-2</v>
      </c>
      <c r="G1748" s="7">
        <v>1.35E-2</v>
      </c>
    </row>
    <row r="1749" spans="2:7" x14ac:dyDescent="0.2">
      <c r="B1749" s="60">
        <v>38351</v>
      </c>
      <c r="C1749" s="7">
        <v>3.7130000000000003E-2</v>
      </c>
      <c r="D1749" s="7">
        <v>3.7130000000000003E-2</v>
      </c>
      <c r="E1749" s="7">
        <v>3.7130000000000003E-2</v>
      </c>
      <c r="F1749" s="7">
        <v>3.7130000000000003E-2</v>
      </c>
      <c r="G1749" s="7">
        <v>9.7999999999999997E-3</v>
      </c>
    </row>
    <row r="1750" spans="2:7" x14ac:dyDescent="0.2">
      <c r="B1750" s="60">
        <v>38352</v>
      </c>
      <c r="C1750" s="7">
        <v>3.6799999999999999E-2</v>
      </c>
      <c r="D1750" s="7">
        <v>3.6799999999999999E-2</v>
      </c>
      <c r="E1750" s="7">
        <v>3.6799999999999999E-2</v>
      </c>
      <c r="F1750" s="7">
        <v>3.6799999999999999E-2</v>
      </c>
      <c r="G1750" s="7">
        <v>-8.8999999999999999E-3</v>
      </c>
    </row>
    <row r="1751" spans="2:7" x14ac:dyDescent="0.2">
      <c r="B1751" s="60">
        <v>38355</v>
      </c>
      <c r="C1751" s="7">
        <v>3.6749999999999998E-2</v>
      </c>
      <c r="D1751" s="7">
        <v>3.6749999999999998E-2</v>
      </c>
      <c r="E1751" s="7">
        <v>3.6749999999999998E-2</v>
      </c>
      <c r="F1751" s="7">
        <v>3.6749999999999998E-2</v>
      </c>
      <c r="G1751" s="7">
        <v>-1.4E-3</v>
      </c>
    </row>
    <row r="1752" spans="2:7" x14ac:dyDescent="0.2">
      <c r="B1752" s="60">
        <v>38356</v>
      </c>
      <c r="C1752" s="7">
        <v>3.6269999999999997E-2</v>
      </c>
      <c r="D1752" s="7">
        <v>3.6269999999999997E-2</v>
      </c>
      <c r="E1752" s="7">
        <v>3.6269999999999997E-2</v>
      </c>
      <c r="F1752" s="7">
        <v>3.6269999999999997E-2</v>
      </c>
      <c r="G1752" s="7">
        <v>-1.3100000000000001E-2</v>
      </c>
    </row>
    <row r="1753" spans="2:7" x14ac:dyDescent="0.2">
      <c r="B1753" s="60">
        <v>38357</v>
      </c>
      <c r="C1753" s="7">
        <v>3.6379999999999996E-2</v>
      </c>
      <c r="D1753" s="7">
        <v>3.6379999999999996E-2</v>
      </c>
      <c r="E1753" s="7">
        <v>3.6379999999999996E-2</v>
      </c>
      <c r="F1753" s="7">
        <v>3.6379999999999996E-2</v>
      </c>
      <c r="G1753" s="7">
        <v>3.0000000000000001E-3</v>
      </c>
    </row>
    <row r="1754" spans="2:7" x14ac:dyDescent="0.2">
      <c r="B1754" s="60">
        <v>38358</v>
      </c>
      <c r="C1754" s="7">
        <v>3.635E-2</v>
      </c>
      <c r="D1754" s="7">
        <v>3.635E-2</v>
      </c>
      <c r="E1754" s="7">
        <v>3.635E-2</v>
      </c>
      <c r="F1754" s="7">
        <v>3.635E-2</v>
      </c>
      <c r="G1754" s="7">
        <v>-8.0000000000000004E-4</v>
      </c>
    </row>
    <row r="1755" spans="2:7" x14ac:dyDescent="0.2">
      <c r="B1755" s="60">
        <v>38359</v>
      </c>
      <c r="C1755" s="7">
        <v>3.6150000000000002E-2</v>
      </c>
      <c r="D1755" s="7">
        <v>3.6150000000000002E-2</v>
      </c>
      <c r="E1755" s="7">
        <v>3.6150000000000002E-2</v>
      </c>
      <c r="F1755" s="7">
        <v>3.6150000000000002E-2</v>
      </c>
      <c r="G1755" s="7">
        <v>-5.4999999999999997E-3</v>
      </c>
    </row>
    <row r="1756" spans="2:7" x14ac:dyDescent="0.2">
      <c r="B1756" s="60">
        <v>38362</v>
      </c>
      <c r="C1756" s="7">
        <v>3.6049999999999999E-2</v>
      </c>
      <c r="D1756" s="7">
        <v>3.6049999999999999E-2</v>
      </c>
      <c r="E1756" s="7">
        <v>3.6049999999999999E-2</v>
      </c>
      <c r="F1756" s="7">
        <v>3.6049999999999999E-2</v>
      </c>
      <c r="G1756" s="7">
        <v>-2.8E-3</v>
      </c>
    </row>
    <row r="1757" spans="2:7" x14ac:dyDescent="0.2">
      <c r="B1757" s="60">
        <v>38363</v>
      </c>
      <c r="C1757" s="7">
        <v>3.6040000000000003E-2</v>
      </c>
      <c r="D1757" s="7">
        <v>3.6040000000000003E-2</v>
      </c>
      <c r="E1757" s="7">
        <v>3.6040000000000003E-2</v>
      </c>
      <c r="F1757" s="7">
        <v>3.6040000000000003E-2</v>
      </c>
      <c r="G1757" s="7">
        <v>-2.9999999999999997E-4</v>
      </c>
    </row>
    <row r="1758" spans="2:7" x14ac:dyDescent="0.2">
      <c r="B1758" s="60">
        <v>38364</v>
      </c>
      <c r="C1758" s="7">
        <v>3.5990000000000001E-2</v>
      </c>
      <c r="D1758" s="7">
        <v>3.5990000000000001E-2</v>
      </c>
      <c r="E1758" s="7">
        <v>3.5990000000000001E-2</v>
      </c>
      <c r="F1758" s="7">
        <v>3.5990000000000001E-2</v>
      </c>
      <c r="G1758" s="7">
        <v>-1.4E-3</v>
      </c>
    </row>
    <row r="1759" spans="2:7" x14ac:dyDescent="0.2">
      <c r="B1759" s="60">
        <v>38365</v>
      </c>
      <c r="C1759" s="7">
        <v>3.5990000000000001E-2</v>
      </c>
      <c r="D1759" s="7">
        <v>3.5990000000000001E-2</v>
      </c>
      <c r="E1759" s="7">
        <v>3.5990000000000001E-2</v>
      </c>
      <c r="F1759" s="7">
        <v>3.5990000000000001E-2</v>
      </c>
      <c r="G1759" s="7">
        <v>0</v>
      </c>
    </row>
    <row r="1760" spans="2:7" x14ac:dyDescent="0.2">
      <c r="B1760" s="60">
        <v>38366</v>
      </c>
      <c r="C1760" s="7">
        <v>3.5650000000000001E-2</v>
      </c>
      <c r="D1760" s="7">
        <v>3.5650000000000001E-2</v>
      </c>
      <c r="E1760" s="7">
        <v>3.5650000000000001E-2</v>
      </c>
      <c r="F1760" s="7">
        <v>3.5650000000000001E-2</v>
      </c>
      <c r="G1760" s="7">
        <v>-9.4000000000000004E-3</v>
      </c>
    </row>
    <row r="1761" spans="2:7" x14ac:dyDescent="0.2">
      <c r="B1761" s="60">
        <v>38369</v>
      </c>
      <c r="C1761" s="7">
        <v>3.5580000000000001E-2</v>
      </c>
      <c r="D1761" s="7">
        <v>3.5580000000000001E-2</v>
      </c>
      <c r="E1761" s="7">
        <v>3.5580000000000001E-2</v>
      </c>
      <c r="F1761" s="7">
        <v>3.5580000000000001E-2</v>
      </c>
      <c r="G1761" s="7">
        <v>-2E-3</v>
      </c>
    </row>
    <row r="1762" spans="2:7" x14ac:dyDescent="0.2">
      <c r="B1762" s="60">
        <v>38370</v>
      </c>
      <c r="C1762" s="7">
        <v>3.5470000000000002E-2</v>
      </c>
      <c r="D1762" s="7">
        <v>3.5470000000000002E-2</v>
      </c>
      <c r="E1762" s="7">
        <v>3.5470000000000002E-2</v>
      </c>
      <c r="F1762" s="7">
        <v>3.5470000000000002E-2</v>
      </c>
      <c r="G1762" s="7">
        <v>-3.0999999999999999E-3</v>
      </c>
    </row>
    <row r="1763" spans="2:7" x14ac:dyDescent="0.2">
      <c r="B1763" s="60">
        <v>38371</v>
      </c>
      <c r="C1763" s="7">
        <v>3.542E-2</v>
      </c>
      <c r="D1763" s="7">
        <v>3.542E-2</v>
      </c>
      <c r="E1763" s="7">
        <v>3.542E-2</v>
      </c>
      <c r="F1763" s="7">
        <v>3.542E-2</v>
      </c>
      <c r="G1763" s="7">
        <v>-1.4E-3</v>
      </c>
    </row>
    <row r="1764" spans="2:7" x14ac:dyDescent="0.2">
      <c r="B1764" s="60">
        <v>38372</v>
      </c>
      <c r="C1764" s="7">
        <v>3.5089999999999996E-2</v>
      </c>
      <c r="D1764" s="7">
        <v>3.5089999999999996E-2</v>
      </c>
      <c r="E1764" s="7">
        <v>3.5089999999999996E-2</v>
      </c>
      <c r="F1764" s="7">
        <v>3.5089999999999996E-2</v>
      </c>
      <c r="G1764" s="7">
        <v>-9.2999999999999992E-3</v>
      </c>
    </row>
    <row r="1765" spans="2:7" x14ac:dyDescent="0.2">
      <c r="B1765" s="60">
        <v>38373</v>
      </c>
      <c r="C1765" s="7">
        <v>3.5680000000000003E-2</v>
      </c>
      <c r="D1765" s="7">
        <v>3.5680000000000003E-2</v>
      </c>
      <c r="E1765" s="7">
        <v>3.5680000000000003E-2</v>
      </c>
      <c r="F1765" s="7">
        <v>3.5680000000000003E-2</v>
      </c>
      <c r="G1765" s="7">
        <v>1.6799999999999999E-2</v>
      </c>
    </row>
    <row r="1766" spans="2:7" x14ac:dyDescent="0.2">
      <c r="B1766" s="60">
        <v>38376</v>
      </c>
      <c r="C1766" s="7">
        <v>3.5610000000000003E-2</v>
      </c>
      <c r="D1766" s="7">
        <v>3.5610000000000003E-2</v>
      </c>
      <c r="E1766" s="7">
        <v>3.5610000000000003E-2</v>
      </c>
      <c r="F1766" s="7">
        <v>3.5610000000000003E-2</v>
      </c>
      <c r="G1766" s="7">
        <v>-2E-3</v>
      </c>
    </row>
    <row r="1767" spans="2:7" x14ac:dyDescent="0.2">
      <c r="B1767" s="60">
        <v>38377</v>
      </c>
      <c r="C1767" s="7">
        <v>3.5490000000000001E-2</v>
      </c>
      <c r="D1767" s="7">
        <v>3.5490000000000001E-2</v>
      </c>
      <c r="E1767" s="7">
        <v>3.5490000000000001E-2</v>
      </c>
      <c r="F1767" s="7">
        <v>3.5490000000000001E-2</v>
      </c>
      <c r="G1767" s="7">
        <v>-3.3999999999999998E-3</v>
      </c>
    </row>
    <row r="1768" spans="2:7" x14ac:dyDescent="0.2">
      <c r="B1768" s="60">
        <v>38378</v>
      </c>
      <c r="C1768" s="7">
        <v>3.5539999999999995E-2</v>
      </c>
      <c r="D1768" s="7">
        <v>3.5539999999999995E-2</v>
      </c>
      <c r="E1768" s="7">
        <v>3.5539999999999995E-2</v>
      </c>
      <c r="F1768" s="7">
        <v>3.5539999999999995E-2</v>
      </c>
      <c r="G1768" s="7">
        <v>1.4E-3</v>
      </c>
    </row>
    <row r="1769" spans="2:7" x14ac:dyDescent="0.2">
      <c r="B1769" s="60">
        <v>38379</v>
      </c>
      <c r="C1769" s="7">
        <v>3.5590000000000004E-2</v>
      </c>
      <c r="D1769" s="7">
        <v>3.5590000000000004E-2</v>
      </c>
      <c r="E1769" s="7">
        <v>3.5590000000000004E-2</v>
      </c>
      <c r="F1769" s="7">
        <v>3.5590000000000004E-2</v>
      </c>
      <c r="G1769" s="7">
        <v>1.4E-3</v>
      </c>
    </row>
    <row r="1770" spans="2:7" x14ac:dyDescent="0.2">
      <c r="B1770" s="60">
        <v>38380</v>
      </c>
      <c r="C1770" s="7">
        <v>3.5929999999999997E-2</v>
      </c>
      <c r="D1770" s="7">
        <v>3.5929999999999997E-2</v>
      </c>
      <c r="E1770" s="7">
        <v>3.5929999999999997E-2</v>
      </c>
      <c r="F1770" s="7">
        <v>3.5929999999999997E-2</v>
      </c>
      <c r="G1770" s="7">
        <v>9.5999999999999992E-3</v>
      </c>
    </row>
    <row r="1771" spans="2:7" x14ac:dyDescent="0.2">
      <c r="B1771" s="60">
        <v>38383</v>
      </c>
      <c r="C1771" s="7">
        <v>3.5400000000000001E-2</v>
      </c>
      <c r="D1771" s="7">
        <v>3.5400000000000001E-2</v>
      </c>
      <c r="E1771" s="7">
        <v>3.5400000000000001E-2</v>
      </c>
      <c r="F1771" s="7">
        <v>3.5400000000000001E-2</v>
      </c>
      <c r="G1771" s="7">
        <v>-1.4800000000000001E-2</v>
      </c>
    </row>
    <row r="1772" spans="2:7" x14ac:dyDescent="0.2">
      <c r="B1772" s="60">
        <v>38384</v>
      </c>
      <c r="C1772" s="7">
        <v>3.5430000000000003E-2</v>
      </c>
      <c r="D1772" s="7">
        <v>3.5430000000000003E-2</v>
      </c>
      <c r="E1772" s="7">
        <v>3.5430000000000003E-2</v>
      </c>
      <c r="F1772" s="7">
        <v>3.5430000000000003E-2</v>
      </c>
      <c r="G1772" s="7">
        <v>8.0000000000000004E-4</v>
      </c>
    </row>
    <row r="1773" spans="2:7" x14ac:dyDescent="0.2">
      <c r="B1773" s="60">
        <v>38385</v>
      </c>
      <c r="C1773" s="7">
        <v>3.533E-2</v>
      </c>
      <c r="D1773" s="7">
        <v>3.533E-2</v>
      </c>
      <c r="E1773" s="7">
        <v>3.533E-2</v>
      </c>
      <c r="F1773" s="7">
        <v>3.533E-2</v>
      </c>
      <c r="G1773" s="7">
        <v>-2.8E-3</v>
      </c>
    </row>
    <row r="1774" spans="2:7" x14ac:dyDescent="0.2">
      <c r="B1774" s="60">
        <v>38386</v>
      </c>
      <c r="C1774" s="7">
        <v>3.567E-2</v>
      </c>
      <c r="D1774" s="7">
        <v>3.567E-2</v>
      </c>
      <c r="E1774" s="7">
        <v>3.567E-2</v>
      </c>
      <c r="F1774" s="7">
        <v>3.567E-2</v>
      </c>
      <c r="G1774" s="7">
        <v>9.5999999999999992E-3</v>
      </c>
    </row>
    <row r="1775" spans="2:7" x14ac:dyDescent="0.2">
      <c r="B1775" s="60">
        <v>38387</v>
      </c>
      <c r="C1775" s="7">
        <v>3.5590000000000004E-2</v>
      </c>
      <c r="D1775" s="7">
        <v>3.5590000000000004E-2</v>
      </c>
      <c r="E1775" s="7">
        <v>3.5590000000000004E-2</v>
      </c>
      <c r="F1775" s="7">
        <v>3.5590000000000004E-2</v>
      </c>
      <c r="G1775" s="7">
        <v>-2.2000000000000001E-3</v>
      </c>
    </row>
    <row r="1776" spans="2:7" x14ac:dyDescent="0.2">
      <c r="B1776" s="60">
        <v>38390</v>
      </c>
      <c r="C1776" s="7">
        <v>3.4959999999999998E-2</v>
      </c>
      <c r="D1776" s="7">
        <v>3.4959999999999998E-2</v>
      </c>
      <c r="E1776" s="7">
        <v>3.4959999999999998E-2</v>
      </c>
      <c r="F1776" s="7">
        <v>3.4959999999999998E-2</v>
      </c>
      <c r="G1776" s="7">
        <v>-1.77E-2</v>
      </c>
    </row>
    <row r="1777" spans="2:7" x14ac:dyDescent="0.2">
      <c r="B1777" s="60">
        <v>38391</v>
      </c>
      <c r="C1777" s="7">
        <v>3.4840000000000003E-2</v>
      </c>
      <c r="D1777" s="7">
        <v>3.4840000000000003E-2</v>
      </c>
      <c r="E1777" s="7">
        <v>3.4840000000000003E-2</v>
      </c>
      <c r="F1777" s="7">
        <v>3.4840000000000003E-2</v>
      </c>
      <c r="G1777" s="7">
        <v>-3.3999999999999998E-3</v>
      </c>
    </row>
    <row r="1778" spans="2:7" x14ac:dyDescent="0.2">
      <c r="B1778" s="60">
        <v>38392</v>
      </c>
      <c r="C1778" s="7">
        <v>3.4500000000000003E-2</v>
      </c>
      <c r="D1778" s="7">
        <v>3.4500000000000003E-2</v>
      </c>
      <c r="E1778" s="7">
        <v>3.4500000000000003E-2</v>
      </c>
      <c r="F1778" s="7">
        <v>3.4500000000000003E-2</v>
      </c>
      <c r="G1778" s="7">
        <v>-9.7999999999999997E-3</v>
      </c>
    </row>
    <row r="1779" spans="2:7" x14ac:dyDescent="0.2">
      <c r="B1779" s="60">
        <v>38393</v>
      </c>
      <c r="C1779" s="7">
        <v>3.4549999999999997E-2</v>
      </c>
      <c r="D1779" s="7">
        <v>3.4549999999999997E-2</v>
      </c>
      <c r="E1779" s="7">
        <v>3.4549999999999997E-2</v>
      </c>
      <c r="F1779" s="7">
        <v>3.4549999999999997E-2</v>
      </c>
      <c r="G1779" s="7">
        <v>1.4E-3</v>
      </c>
    </row>
    <row r="1780" spans="2:7" x14ac:dyDescent="0.2">
      <c r="B1780" s="60">
        <v>38394</v>
      </c>
      <c r="C1780" s="7">
        <v>3.4319999999999996E-2</v>
      </c>
      <c r="D1780" s="7">
        <v>3.4319999999999996E-2</v>
      </c>
      <c r="E1780" s="7">
        <v>3.4319999999999996E-2</v>
      </c>
      <c r="F1780" s="7">
        <v>3.4319999999999996E-2</v>
      </c>
      <c r="G1780" s="7">
        <v>-6.7000000000000002E-3</v>
      </c>
    </row>
    <row r="1781" spans="2:7" x14ac:dyDescent="0.2">
      <c r="B1781" s="60">
        <v>38397</v>
      </c>
      <c r="C1781" s="7">
        <v>3.4639999999999997E-2</v>
      </c>
      <c r="D1781" s="7">
        <v>3.4639999999999997E-2</v>
      </c>
      <c r="E1781" s="7">
        <v>3.4639999999999997E-2</v>
      </c>
      <c r="F1781" s="7">
        <v>3.4639999999999997E-2</v>
      </c>
      <c r="G1781" s="7">
        <v>9.2999999999999992E-3</v>
      </c>
    </row>
    <row r="1782" spans="2:7" x14ac:dyDescent="0.2">
      <c r="B1782" s="60">
        <v>38398</v>
      </c>
      <c r="C1782" s="7">
        <v>3.4840000000000003E-2</v>
      </c>
      <c r="D1782" s="7">
        <v>3.4840000000000003E-2</v>
      </c>
      <c r="E1782" s="7">
        <v>3.4840000000000003E-2</v>
      </c>
      <c r="F1782" s="7">
        <v>3.4840000000000003E-2</v>
      </c>
      <c r="G1782" s="7">
        <v>5.7999999999999996E-3</v>
      </c>
    </row>
    <row r="1783" spans="2:7" x14ac:dyDescent="0.2">
      <c r="B1783" s="60">
        <v>38399</v>
      </c>
      <c r="C1783" s="7">
        <v>3.5200000000000002E-2</v>
      </c>
      <c r="D1783" s="7">
        <v>3.5200000000000002E-2</v>
      </c>
      <c r="E1783" s="7">
        <v>3.5200000000000002E-2</v>
      </c>
      <c r="F1783" s="7">
        <v>3.5200000000000002E-2</v>
      </c>
      <c r="G1783" s="7">
        <v>1.03E-2</v>
      </c>
    </row>
    <row r="1784" spans="2:7" x14ac:dyDescent="0.2">
      <c r="B1784" s="60">
        <v>38400</v>
      </c>
      <c r="C1784" s="7">
        <v>3.5610000000000003E-2</v>
      </c>
      <c r="D1784" s="7">
        <v>3.5610000000000003E-2</v>
      </c>
      <c r="E1784" s="7">
        <v>3.5610000000000003E-2</v>
      </c>
      <c r="F1784" s="7">
        <v>3.5610000000000003E-2</v>
      </c>
      <c r="G1784" s="7">
        <v>1.1599999999999999E-2</v>
      </c>
    </row>
    <row r="1785" spans="2:7" x14ac:dyDescent="0.2">
      <c r="B1785" s="60">
        <v>38401</v>
      </c>
      <c r="C1785" s="7">
        <v>3.5779999999999999E-2</v>
      </c>
      <c r="D1785" s="7">
        <v>3.5779999999999999E-2</v>
      </c>
      <c r="E1785" s="7">
        <v>3.5779999999999999E-2</v>
      </c>
      <c r="F1785" s="7">
        <v>3.5779999999999999E-2</v>
      </c>
      <c r="G1785" s="7">
        <v>4.7999999999999996E-3</v>
      </c>
    </row>
    <row r="1786" spans="2:7" x14ac:dyDescent="0.2">
      <c r="B1786" s="60">
        <v>38404</v>
      </c>
      <c r="C1786" s="7">
        <v>3.6760000000000001E-2</v>
      </c>
      <c r="D1786" s="7">
        <v>3.6760000000000001E-2</v>
      </c>
      <c r="E1786" s="7">
        <v>3.6760000000000001E-2</v>
      </c>
      <c r="F1786" s="7">
        <v>3.6760000000000001E-2</v>
      </c>
      <c r="G1786" s="7">
        <v>2.7400000000000001E-2</v>
      </c>
    </row>
    <row r="1787" spans="2:7" x14ac:dyDescent="0.2">
      <c r="B1787" s="60">
        <v>38405</v>
      </c>
      <c r="C1787" s="7">
        <v>3.7010000000000001E-2</v>
      </c>
      <c r="D1787" s="7">
        <v>3.7010000000000001E-2</v>
      </c>
      <c r="E1787" s="7">
        <v>3.7010000000000001E-2</v>
      </c>
      <c r="F1787" s="7">
        <v>3.7010000000000001E-2</v>
      </c>
      <c r="G1787" s="7">
        <v>6.7999999999999996E-3</v>
      </c>
    </row>
    <row r="1788" spans="2:7" x14ac:dyDescent="0.2">
      <c r="B1788" s="60">
        <v>38406</v>
      </c>
      <c r="C1788" s="7">
        <v>3.7000000000000005E-2</v>
      </c>
      <c r="D1788" s="7">
        <v>3.7000000000000005E-2</v>
      </c>
      <c r="E1788" s="7">
        <v>3.7000000000000005E-2</v>
      </c>
      <c r="F1788" s="7">
        <v>3.7000000000000005E-2</v>
      </c>
      <c r="G1788" s="7">
        <v>-2.9999999999999997E-4</v>
      </c>
    </row>
    <row r="1789" spans="2:7" x14ac:dyDescent="0.2">
      <c r="B1789" s="60">
        <v>38407</v>
      </c>
      <c r="C1789" s="7">
        <v>3.73E-2</v>
      </c>
      <c r="D1789" s="7">
        <v>3.73E-2</v>
      </c>
      <c r="E1789" s="7">
        <v>3.73E-2</v>
      </c>
      <c r="F1789" s="7">
        <v>3.73E-2</v>
      </c>
      <c r="G1789" s="7">
        <v>8.0999999999999996E-3</v>
      </c>
    </row>
    <row r="1790" spans="2:7" x14ac:dyDescent="0.2">
      <c r="B1790" s="60">
        <v>38408</v>
      </c>
      <c r="C1790" s="7">
        <v>3.7290000000000004E-2</v>
      </c>
      <c r="D1790" s="7">
        <v>3.7290000000000004E-2</v>
      </c>
      <c r="E1790" s="7">
        <v>3.7290000000000004E-2</v>
      </c>
      <c r="F1790" s="7">
        <v>3.7290000000000004E-2</v>
      </c>
      <c r="G1790" s="7">
        <v>-2.9999999999999997E-4</v>
      </c>
    </row>
    <row r="1791" spans="2:7" x14ac:dyDescent="0.2">
      <c r="B1791" s="60">
        <v>38411</v>
      </c>
      <c r="C1791" s="7">
        <v>3.7109999999999997E-2</v>
      </c>
      <c r="D1791" s="7">
        <v>3.7109999999999997E-2</v>
      </c>
      <c r="E1791" s="7">
        <v>3.7109999999999997E-2</v>
      </c>
      <c r="F1791" s="7">
        <v>3.7109999999999997E-2</v>
      </c>
      <c r="G1791" s="7">
        <v>-4.7999999999999996E-3</v>
      </c>
    </row>
    <row r="1792" spans="2:7" x14ac:dyDescent="0.2">
      <c r="B1792" s="60">
        <v>38412</v>
      </c>
      <c r="C1792" s="7">
        <v>3.7360000000000004E-2</v>
      </c>
      <c r="D1792" s="7">
        <v>3.7360000000000004E-2</v>
      </c>
      <c r="E1792" s="7">
        <v>3.7360000000000004E-2</v>
      </c>
      <c r="F1792" s="7">
        <v>3.7360000000000004E-2</v>
      </c>
      <c r="G1792" s="7">
        <v>6.7000000000000002E-3</v>
      </c>
    </row>
    <row r="1793" spans="2:7" x14ac:dyDescent="0.2">
      <c r="B1793" s="60">
        <v>38413</v>
      </c>
      <c r="C1793" s="7">
        <v>3.7350000000000001E-2</v>
      </c>
      <c r="D1793" s="7">
        <v>3.7350000000000001E-2</v>
      </c>
      <c r="E1793" s="7">
        <v>3.7350000000000001E-2</v>
      </c>
      <c r="F1793" s="7">
        <v>3.7350000000000001E-2</v>
      </c>
      <c r="G1793" s="7">
        <v>-2.9999999999999997E-4</v>
      </c>
    </row>
    <row r="1794" spans="2:7" x14ac:dyDescent="0.2">
      <c r="B1794" s="60">
        <v>38414</v>
      </c>
      <c r="C1794" s="7">
        <v>3.7769999999999998E-2</v>
      </c>
      <c r="D1794" s="7">
        <v>3.7769999999999998E-2</v>
      </c>
      <c r="E1794" s="7">
        <v>3.7769999999999998E-2</v>
      </c>
      <c r="F1794" s="7">
        <v>3.7769999999999998E-2</v>
      </c>
      <c r="G1794" s="7">
        <v>1.12E-2</v>
      </c>
    </row>
    <row r="1795" spans="2:7" x14ac:dyDescent="0.2">
      <c r="B1795" s="60">
        <v>38415</v>
      </c>
      <c r="C1795" s="7">
        <v>3.7670000000000002E-2</v>
      </c>
      <c r="D1795" s="7">
        <v>3.7670000000000002E-2</v>
      </c>
      <c r="E1795" s="7">
        <v>3.7670000000000002E-2</v>
      </c>
      <c r="F1795" s="7">
        <v>3.7670000000000002E-2</v>
      </c>
      <c r="G1795" s="7">
        <v>-2.5999999999999999E-3</v>
      </c>
    </row>
    <row r="1796" spans="2:7" x14ac:dyDescent="0.2">
      <c r="B1796" s="60">
        <v>38418</v>
      </c>
      <c r="C1796" s="7">
        <v>3.6979999999999999E-2</v>
      </c>
      <c r="D1796" s="7">
        <v>3.6979999999999999E-2</v>
      </c>
      <c r="E1796" s="7">
        <v>3.6979999999999999E-2</v>
      </c>
      <c r="F1796" s="7">
        <v>3.6979999999999999E-2</v>
      </c>
      <c r="G1796" s="7">
        <v>-1.83E-2</v>
      </c>
    </row>
    <row r="1797" spans="2:7" x14ac:dyDescent="0.2">
      <c r="B1797" s="60">
        <v>38419</v>
      </c>
      <c r="C1797" s="7">
        <v>3.6650000000000002E-2</v>
      </c>
      <c r="D1797" s="7">
        <v>3.6650000000000002E-2</v>
      </c>
      <c r="E1797" s="7">
        <v>3.6650000000000002E-2</v>
      </c>
      <c r="F1797" s="7">
        <v>3.6650000000000002E-2</v>
      </c>
      <c r="G1797" s="7">
        <v>-8.8999999999999999E-3</v>
      </c>
    </row>
    <row r="1798" spans="2:7" x14ac:dyDescent="0.2">
      <c r="B1798" s="60">
        <v>38420</v>
      </c>
      <c r="C1798" s="7">
        <v>3.7149999999999996E-2</v>
      </c>
      <c r="D1798" s="7">
        <v>3.7149999999999996E-2</v>
      </c>
      <c r="E1798" s="7">
        <v>3.7149999999999996E-2</v>
      </c>
      <c r="F1798" s="7">
        <v>3.7149999999999996E-2</v>
      </c>
      <c r="G1798" s="7">
        <v>1.3599999999999999E-2</v>
      </c>
    </row>
    <row r="1799" spans="2:7" x14ac:dyDescent="0.2">
      <c r="B1799" s="60">
        <v>38421</v>
      </c>
      <c r="C1799" s="7">
        <v>3.7610000000000005E-2</v>
      </c>
      <c r="D1799" s="7">
        <v>3.7610000000000005E-2</v>
      </c>
      <c r="E1799" s="7">
        <v>3.7610000000000005E-2</v>
      </c>
      <c r="F1799" s="7">
        <v>3.7610000000000005E-2</v>
      </c>
      <c r="G1799" s="7">
        <v>1.24E-2</v>
      </c>
    </row>
    <row r="1800" spans="2:7" x14ac:dyDescent="0.2">
      <c r="B1800" s="60">
        <v>38422</v>
      </c>
      <c r="C1800" s="7">
        <v>3.771E-2</v>
      </c>
      <c r="D1800" s="7">
        <v>3.771E-2</v>
      </c>
      <c r="E1800" s="7">
        <v>3.771E-2</v>
      </c>
      <c r="F1800" s="7">
        <v>3.771E-2</v>
      </c>
      <c r="G1800" s="7">
        <v>2.7000000000000001E-3</v>
      </c>
    </row>
    <row r="1801" spans="2:7" x14ac:dyDescent="0.2">
      <c r="B1801" s="60">
        <v>38425</v>
      </c>
      <c r="C1801" s="7">
        <v>3.7699999999999997E-2</v>
      </c>
      <c r="D1801" s="7">
        <v>3.7699999999999997E-2</v>
      </c>
      <c r="E1801" s="7">
        <v>3.7699999999999997E-2</v>
      </c>
      <c r="F1801" s="7">
        <v>3.7699999999999997E-2</v>
      </c>
      <c r="G1801" s="7">
        <v>-2.9999999999999997E-4</v>
      </c>
    </row>
    <row r="1802" spans="2:7" x14ac:dyDescent="0.2">
      <c r="B1802" s="60">
        <v>38426</v>
      </c>
      <c r="C1802" s="7">
        <v>3.771E-2</v>
      </c>
      <c r="D1802" s="7">
        <v>3.771E-2</v>
      </c>
      <c r="E1802" s="7">
        <v>3.771E-2</v>
      </c>
      <c r="F1802" s="7">
        <v>3.771E-2</v>
      </c>
      <c r="G1802" s="7">
        <v>2.9999999999999997E-4</v>
      </c>
    </row>
    <row r="1803" spans="2:7" x14ac:dyDescent="0.2">
      <c r="B1803" s="60">
        <v>38427</v>
      </c>
      <c r="C1803" s="7">
        <v>3.7130000000000003E-2</v>
      </c>
      <c r="D1803" s="7">
        <v>3.7130000000000003E-2</v>
      </c>
      <c r="E1803" s="7">
        <v>3.7130000000000003E-2</v>
      </c>
      <c r="F1803" s="7">
        <v>3.7130000000000003E-2</v>
      </c>
      <c r="G1803" s="7">
        <v>-1.54E-2</v>
      </c>
    </row>
    <row r="1804" spans="2:7" x14ac:dyDescent="0.2">
      <c r="B1804" s="60">
        <v>38428</v>
      </c>
      <c r="C1804" s="7">
        <v>3.6670000000000001E-2</v>
      </c>
      <c r="D1804" s="7">
        <v>3.6670000000000001E-2</v>
      </c>
      <c r="E1804" s="7">
        <v>3.6670000000000001E-2</v>
      </c>
      <c r="F1804" s="7">
        <v>3.6670000000000001E-2</v>
      </c>
      <c r="G1804" s="7">
        <v>-1.24E-2</v>
      </c>
    </row>
    <row r="1805" spans="2:7" x14ac:dyDescent="0.2">
      <c r="B1805" s="60">
        <v>38429</v>
      </c>
      <c r="C1805" s="7">
        <v>3.687E-2</v>
      </c>
      <c r="D1805" s="7">
        <v>3.687E-2</v>
      </c>
      <c r="E1805" s="7">
        <v>3.687E-2</v>
      </c>
      <c r="F1805" s="7">
        <v>3.687E-2</v>
      </c>
      <c r="G1805" s="7">
        <v>5.4999999999999997E-3</v>
      </c>
    </row>
    <row r="1806" spans="2:7" x14ac:dyDescent="0.2">
      <c r="B1806" s="60">
        <v>38432</v>
      </c>
      <c r="C1806" s="7">
        <v>3.6979999999999999E-2</v>
      </c>
      <c r="D1806" s="7">
        <v>3.6979999999999999E-2</v>
      </c>
      <c r="E1806" s="7">
        <v>3.6979999999999999E-2</v>
      </c>
      <c r="F1806" s="7">
        <v>3.6979999999999999E-2</v>
      </c>
      <c r="G1806" s="7">
        <v>3.0000000000000001E-3</v>
      </c>
    </row>
    <row r="1807" spans="2:7" x14ac:dyDescent="0.2">
      <c r="B1807" s="60">
        <v>38433</v>
      </c>
      <c r="C1807" s="7">
        <v>3.7249999999999998E-2</v>
      </c>
      <c r="D1807" s="7">
        <v>3.7249999999999998E-2</v>
      </c>
      <c r="E1807" s="7">
        <v>3.7249999999999998E-2</v>
      </c>
      <c r="F1807" s="7">
        <v>3.7249999999999998E-2</v>
      </c>
      <c r="G1807" s="7">
        <v>7.3000000000000001E-3</v>
      </c>
    </row>
    <row r="1808" spans="2:7" x14ac:dyDescent="0.2">
      <c r="B1808" s="60">
        <v>38434</v>
      </c>
      <c r="C1808" s="7">
        <v>3.687E-2</v>
      </c>
      <c r="D1808" s="7">
        <v>3.687E-2</v>
      </c>
      <c r="E1808" s="7">
        <v>3.687E-2</v>
      </c>
      <c r="F1808" s="7">
        <v>3.687E-2</v>
      </c>
      <c r="G1808" s="7">
        <v>-1.0200000000000001E-2</v>
      </c>
    </row>
    <row r="1809" spans="2:7" x14ac:dyDescent="0.2">
      <c r="B1809" s="60">
        <v>38435</v>
      </c>
      <c r="C1809" s="7">
        <v>3.7400000000000003E-2</v>
      </c>
      <c r="D1809" s="7">
        <v>3.7400000000000003E-2</v>
      </c>
      <c r="E1809" s="7">
        <v>3.7400000000000003E-2</v>
      </c>
      <c r="F1809" s="7">
        <v>3.7400000000000003E-2</v>
      </c>
      <c r="G1809" s="7">
        <v>1.44E-2</v>
      </c>
    </row>
    <row r="1810" spans="2:7" x14ac:dyDescent="0.2">
      <c r="B1810" s="60">
        <v>38436</v>
      </c>
      <c r="C1810" s="7">
        <v>3.7060000000000003E-2</v>
      </c>
      <c r="D1810" s="7">
        <v>3.7060000000000003E-2</v>
      </c>
      <c r="E1810" s="7">
        <v>3.7060000000000003E-2</v>
      </c>
      <c r="F1810" s="7">
        <v>3.7060000000000003E-2</v>
      </c>
      <c r="G1810" s="7">
        <v>-9.1000000000000004E-3</v>
      </c>
    </row>
    <row r="1811" spans="2:7" x14ac:dyDescent="0.2">
      <c r="B1811" s="60">
        <v>38440</v>
      </c>
      <c r="C1811" s="7">
        <v>3.712E-2</v>
      </c>
      <c r="D1811" s="7">
        <v>3.712E-2</v>
      </c>
      <c r="E1811" s="7">
        <v>3.712E-2</v>
      </c>
      <c r="F1811" s="7">
        <v>3.712E-2</v>
      </c>
      <c r="G1811" s="7">
        <v>1.6000000000000001E-3</v>
      </c>
    </row>
    <row r="1812" spans="2:7" x14ac:dyDescent="0.2">
      <c r="B1812" s="60">
        <v>38441</v>
      </c>
      <c r="C1812" s="7">
        <v>3.705E-2</v>
      </c>
      <c r="D1812" s="7">
        <v>3.705E-2</v>
      </c>
      <c r="E1812" s="7">
        <v>3.705E-2</v>
      </c>
      <c r="F1812" s="7">
        <v>3.705E-2</v>
      </c>
      <c r="G1812" s="7">
        <v>-1.9E-3</v>
      </c>
    </row>
    <row r="1813" spans="2:7" x14ac:dyDescent="0.2">
      <c r="B1813" s="60">
        <v>38442</v>
      </c>
      <c r="C1813" s="7">
        <v>3.6680000000000004E-2</v>
      </c>
      <c r="D1813" s="7">
        <v>3.6680000000000004E-2</v>
      </c>
      <c r="E1813" s="7">
        <v>3.6680000000000004E-2</v>
      </c>
      <c r="F1813" s="7">
        <v>3.6680000000000004E-2</v>
      </c>
      <c r="G1813" s="7">
        <v>-0.01</v>
      </c>
    </row>
    <row r="1814" spans="2:7" x14ac:dyDescent="0.2">
      <c r="B1814" s="60">
        <v>38443</v>
      </c>
      <c r="C1814" s="7">
        <v>3.6299999999999999E-2</v>
      </c>
      <c r="D1814" s="7">
        <v>3.6299999999999999E-2</v>
      </c>
      <c r="E1814" s="7">
        <v>3.6299999999999999E-2</v>
      </c>
      <c r="F1814" s="7">
        <v>3.6299999999999999E-2</v>
      </c>
      <c r="G1814" s="7">
        <v>-1.04E-2</v>
      </c>
    </row>
    <row r="1815" spans="2:7" x14ac:dyDescent="0.2">
      <c r="B1815" s="60">
        <v>38446</v>
      </c>
      <c r="C1815" s="7">
        <v>3.6159999999999998E-2</v>
      </c>
      <c r="D1815" s="7">
        <v>3.6159999999999998E-2</v>
      </c>
      <c r="E1815" s="7">
        <v>3.6159999999999998E-2</v>
      </c>
      <c r="F1815" s="7">
        <v>3.6159999999999998E-2</v>
      </c>
      <c r="G1815" s="7">
        <v>-3.8999999999999998E-3</v>
      </c>
    </row>
    <row r="1816" spans="2:7" x14ac:dyDescent="0.2">
      <c r="B1816" s="60">
        <v>38447</v>
      </c>
      <c r="C1816" s="7">
        <v>3.5819999999999998E-2</v>
      </c>
      <c r="D1816" s="7">
        <v>3.5819999999999998E-2</v>
      </c>
      <c r="E1816" s="7">
        <v>3.5819999999999998E-2</v>
      </c>
      <c r="F1816" s="7">
        <v>3.5819999999999998E-2</v>
      </c>
      <c r="G1816" s="7">
        <v>-9.4000000000000004E-3</v>
      </c>
    </row>
    <row r="1817" spans="2:7" x14ac:dyDescent="0.2">
      <c r="B1817" s="60">
        <v>38448</v>
      </c>
      <c r="C1817" s="7">
        <v>3.5990000000000001E-2</v>
      </c>
      <c r="D1817" s="7">
        <v>3.5990000000000001E-2</v>
      </c>
      <c r="E1817" s="7">
        <v>3.5990000000000001E-2</v>
      </c>
      <c r="F1817" s="7">
        <v>3.5990000000000001E-2</v>
      </c>
      <c r="G1817" s="7">
        <v>4.7000000000000002E-3</v>
      </c>
    </row>
    <row r="1818" spans="2:7" x14ac:dyDescent="0.2">
      <c r="B1818" s="60">
        <v>38449</v>
      </c>
      <c r="C1818" s="7">
        <v>3.5979999999999998E-2</v>
      </c>
      <c r="D1818" s="7">
        <v>3.5979999999999998E-2</v>
      </c>
      <c r="E1818" s="7">
        <v>3.5979999999999998E-2</v>
      </c>
      <c r="F1818" s="7">
        <v>3.5979999999999998E-2</v>
      </c>
      <c r="G1818" s="7">
        <v>-2.9999999999999997E-4</v>
      </c>
    </row>
    <row r="1819" spans="2:7" x14ac:dyDescent="0.2">
      <c r="B1819" s="60">
        <v>38450</v>
      </c>
      <c r="C1819" s="7">
        <v>3.56E-2</v>
      </c>
      <c r="D1819" s="7">
        <v>3.56E-2</v>
      </c>
      <c r="E1819" s="7">
        <v>3.56E-2</v>
      </c>
      <c r="F1819" s="7">
        <v>3.56E-2</v>
      </c>
      <c r="G1819" s="7">
        <v>-1.06E-2</v>
      </c>
    </row>
    <row r="1820" spans="2:7" x14ac:dyDescent="0.2">
      <c r="B1820" s="60">
        <v>38453</v>
      </c>
      <c r="C1820" s="7">
        <v>3.5659999999999997E-2</v>
      </c>
      <c r="D1820" s="7">
        <v>3.5659999999999997E-2</v>
      </c>
      <c r="E1820" s="7">
        <v>3.5659999999999997E-2</v>
      </c>
      <c r="F1820" s="7">
        <v>3.5659999999999997E-2</v>
      </c>
      <c r="G1820" s="7">
        <v>1.6999999999999999E-3</v>
      </c>
    </row>
    <row r="1821" spans="2:7" x14ac:dyDescent="0.2">
      <c r="B1821" s="60">
        <v>38454</v>
      </c>
      <c r="C1821" s="7">
        <v>3.5590000000000004E-2</v>
      </c>
      <c r="D1821" s="7">
        <v>3.5590000000000004E-2</v>
      </c>
      <c r="E1821" s="7">
        <v>3.5590000000000004E-2</v>
      </c>
      <c r="F1821" s="7">
        <v>3.5590000000000004E-2</v>
      </c>
      <c r="G1821" s="7">
        <v>-2E-3</v>
      </c>
    </row>
    <row r="1822" spans="2:7" x14ac:dyDescent="0.2">
      <c r="B1822" s="60">
        <v>38455</v>
      </c>
      <c r="C1822" s="7">
        <v>3.542E-2</v>
      </c>
      <c r="D1822" s="7">
        <v>3.542E-2</v>
      </c>
      <c r="E1822" s="7">
        <v>3.542E-2</v>
      </c>
      <c r="F1822" s="7">
        <v>3.542E-2</v>
      </c>
      <c r="G1822" s="7">
        <v>-4.7999999999999996E-3</v>
      </c>
    </row>
    <row r="1823" spans="2:7" x14ac:dyDescent="0.2">
      <c r="B1823" s="60">
        <v>38456</v>
      </c>
      <c r="C1823" s="7">
        <v>3.5099999999999999E-2</v>
      </c>
      <c r="D1823" s="7">
        <v>3.5099999999999999E-2</v>
      </c>
      <c r="E1823" s="7">
        <v>3.5099999999999999E-2</v>
      </c>
      <c r="F1823" s="7">
        <v>3.5099999999999999E-2</v>
      </c>
      <c r="G1823" s="7">
        <v>-8.9999999999999993E-3</v>
      </c>
    </row>
    <row r="1824" spans="2:7" x14ac:dyDescent="0.2">
      <c r="B1824" s="60">
        <v>38457</v>
      </c>
      <c r="C1824" s="7">
        <v>3.5310000000000001E-2</v>
      </c>
      <c r="D1824" s="7">
        <v>3.5310000000000001E-2</v>
      </c>
      <c r="E1824" s="7">
        <v>3.5310000000000001E-2</v>
      </c>
      <c r="F1824" s="7">
        <v>3.5310000000000001E-2</v>
      </c>
      <c r="G1824" s="7">
        <v>6.0000000000000001E-3</v>
      </c>
    </row>
    <row r="1825" spans="2:7" x14ac:dyDescent="0.2">
      <c r="B1825" s="60">
        <v>38460</v>
      </c>
      <c r="C1825" s="7">
        <v>3.4810000000000001E-2</v>
      </c>
      <c r="D1825" s="7">
        <v>3.4810000000000001E-2</v>
      </c>
      <c r="E1825" s="7">
        <v>3.4810000000000001E-2</v>
      </c>
      <c r="F1825" s="7">
        <v>3.4810000000000001E-2</v>
      </c>
      <c r="G1825" s="7">
        <v>-1.4200000000000001E-2</v>
      </c>
    </row>
    <row r="1826" spans="2:7" x14ac:dyDescent="0.2">
      <c r="B1826" s="60">
        <v>38461</v>
      </c>
      <c r="C1826" s="7">
        <v>3.4689999999999999E-2</v>
      </c>
      <c r="D1826" s="7">
        <v>3.4689999999999999E-2</v>
      </c>
      <c r="E1826" s="7">
        <v>3.4689999999999999E-2</v>
      </c>
      <c r="F1826" s="7">
        <v>3.4689999999999999E-2</v>
      </c>
      <c r="G1826" s="7">
        <v>-3.3999999999999998E-3</v>
      </c>
    </row>
    <row r="1827" spans="2:7" x14ac:dyDescent="0.2">
      <c r="B1827" s="60">
        <v>38462</v>
      </c>
      <c r="C1827" s="7">
        <v>3.4439999999999998E-2</v>
      </c>
      <c r="D1827" s="7">
        <v>3.4439999999999998E-2</v>
      </c>
      <c r="E1827" s="7">
        <v>3.4439999999999998E-2</v>
      </c>
      <c r="F1827" s="7">
        <v>3.4439999999999998E-2</v>
      </c>
      <c r="G1827" s="7">
        <v>-7.1999999999999998E-3</v>
      </c>
    </row>
    <row r="1828" spans="2:7" x14ac:dyDescent="0.2">
      <c r="B1828" s="60">
        <v>38463</v>
      </c>
      <c r="C1828" s="7">
        <v>3.4529999999999998E-2</v>
      </c>
      <c r="D1828" s="7">
        <v>3.4529999999999998E-2</v>
      </c>
      <c r="E1828" s="7">
        <v>3.4529999999999998E-2</v>
      </c>
      <c r="F1828" s="7">
        <v>3.4529999999999998E-2</v>
      </c>
      <c r="G1828" s="7">
        <v>2.5999999999999999E-3</v>
      </c>
    </row>
    <row r="1829" spans="2:7" x14ac:dyDescent="0.2">
      <c r="B1829" s="60">
        <v>38464</v>
      </c>
      <c r="C1829" s="7">
        <v>3.4929999999999996E-2</v>
      </c>
      <c r="D1829" s="7">
        <v>3.4929999999999996E-2</v>
      </c>
      <c r="E1829" s="7">
        <v>3.4929999999999996E-2</v>
      </c>
      <c r="F1829" s="7">
        <v>3.4929999999999996E-2</v>
      </c>
      <c r="G1829" s="7">
        <v>1.1599999999999999E-2</v>
      </c>
    </row>
    <row r="1830" spans="2:7" x14ac:dyDescent="0.2">
      <c r="B1830" s="60">
        <v>38467</v>
      </c>
      <c r="C1830" s="7">
        <v>3.4660000000000003E-2</v>
      </c>
      <c r="D1830" s="7">
        <v>3.4660000000000003E-2</v>
      </c>
      <c r="E1830" s="7">
        <v>3.4660000000000003E-2</v>
      </c>
      <c r="F1830" s="7">
        <v>3.4660000000000003E-2</v>
      </c>
      <c r="G1830" s="7">
        <v>-7.7000000000000002E-3</v>
      </c>
    </row>
    <row r="1831" spans="2:7" x14ac:dyDescent="0.2">
      <c r="B1831" s="60">
        <v>38468</v>
      </c>
      <c r="C1831" s="7">
        <v>3.4439999999999998E-2</v>
      </c>
      <c r="D1831" s="7">
        <v>3.4439999999999998E-2</v>
      </c>
      <c r="E1831" s="7">
        <v>3.4439999999999998E-2</v>
      </c>
      <c r="F1831" s="7">
        <v>3.4439999999999998E-2</v>
      </c>
      <c r="G1831" s="7">
        <v>-6.3E-3</v>
      </c>
    </row>
    <row r="1832" spans="2:7" x14ac:dyDescent="0.2">
      <c r="B1832" s="60">
        <v>38469</v>
      </c>
      <c r="C1832" s="7">
        <v>3.4479999999999997E-2</v>
      </c>
      <c r="D1832" s="7">
        <v>3.4479999999999997E-2</v>
      </c>
      <c r="E1832" s="7">
        <v>3.4479999999999997E-2</v>
      </c>
      <c r="F1832" s="7">
        <v>3.4479999999999997E-2</v>
      </c>
      <c r="G1832" s="7">
        <v>1.1999999999999999E-3</v>
      </c>
    </row>
    <row r="1833" spans="2:7" x14ac:dyDescent="0.2">
      <c r="B1833" s="60">
        <v>38470</v>
      </c>
      <c r="C1833" s="7">
        <v>3.415E-2</v>
      </c>
      <c r="D1833" s="7">
        <v>3.415E-2</v>
      </c>
      <c r="E1833" s="7">
        <v>3.415E-2</v>
      </c>
      <c r="F1833" s="7">
        <v>3.415E-2</v>
      </c>
      <c r="G1833" s="7">
        <v>-9.5999999999999992E-3</v>
      </c>
    </row>
    <row r="1834" spans="2:7" x14ac:dyDescent="0.2">
      <c r="B1834" s="60">
        <v>38471</v>
      </c>
      <c r="C1834" s="7">
        <v>3.3889999999999997E-2</v>
      </c>
      <c r="D1834" s="7">
        <v>3.3889999999999997E-2</v>
      </c>
      <c r="E1834" s="7">
        <v>3.3889999999999997E-2</v>
      </c>
      <c r="F1834" s="7">
        <v>3.3889999999999997E-2</v>
      </c>
      <c r="G1834" s="7">
        <v>-7.6E-3</v>
      </c>
    </row>
    <row r="1835" spans="2:7" x14ac:dyDescent="0.2">
      <c r="B1835" s="60">
        <v>38474</v>
      </c>
      <c r="C1835" s="7">
        <v>3.3980000000000003E-2</v>
      </c>
      <c r="D1835" s="7">
        <v>3.3980000000000003E-2</v>
      </c>
      <c r="E1835" s="7">
        <v>3.3980000000000003E-2</v>
      </c>
      <c r="F1835" s="7">
        <v>3.3980000000000003E-2</v>
      </c>
      <c r="G1835" s="7">
        <v>2.7000000000000001E-3</v>
      </c>
    </row>
    <row r="1836" spans="2:7" x14ac:dyDescent="0.2">
      <c r="B1836" s="60">
        <v>38475</v>
      </c>
      <c r="C1836" s="7">
        <v>3.3980000000000003E-2</v>
      </c>
      <c r="D1836" s="7">
        <v>3.3980000000000003E-2</v>
      </c>
      <c r="E1836" s="7">
        <v>3.3980000000000003E-2</v>
      </c>
      <c r="F1836" s="7">
        <v>3.3980000000000003E-2</v>
      </c>
      <c r="G1836" s="7">
        <v>0</v>
      </c>
    </row>
    <row r="1837" spans="2:7" x14ac:dyDescent="0.2">
      <c r="B1837" s="60">
        <v>38476</v>
      </c>
      <c r="C1837" s="7">
        <v>3.3739999999999999E-2</v>
      </c>
      <c r="D1837" s="7">
        <v>3.3739999999999999E-2</v>
      </c>
      <c r="E1837" s="7">
        <v>3.3739999999999999E-2</v>
      </c>
      <c r="F1837" s="7">
        <v>3.3739999999999999E-2</v>
      </c>
      <c r="G1837" s="7">
        <v>-7.1000000000000004E-3</v>
      </c>
    </row>
    <row r="1838" spans="2:7" x14ac:dyDescent="0.2">
      <c r="B1838" s="60">
        <v>38477</v>
      </c>
      <c r="C1838" s="7">
        <v>3.4020000000000002E-2</v>
      </c>
      <c r="D1838" s="7">
        <v>3.4020000000000002E-2</v>
      </c>
      <c r="E1838" s="7">
        <v>3.4020000000000002E-2</v>
      </c>
      <c r="F1838" s="7">
        <v>3.4020000000000002E-2</v>
      </c>
      <c r="G1838" s="7">
        <v>8.3000000000000001E-3</v>
      </c>
    </row>
    <row r="1839" spans="2:7" x14ac:dyDescent="0.2">
      <c r="B1839" s="60">
        <v>38478</v>
      </c>
      <c r="C1839" s="7">
        <v>3.3820000000000003E-2</v>
      </c>
      <c r="D1839" s="7">
        <v>3.3820000000000003E-2</v>
      </c>
      <c r="E1839" s="7">
        <v>3.3820000000000003E-2</v>
      </c>
      <c r="F1839" s="7">
        <v>3.3820000000000003E-2</v>
      </c>
      <c r="G1839" s="7">
        <v>-5.8999999999999999E-3</v>
      </c>
    </row>
    <row r="1840" spans="2:7" x14ac:dyDescent="0.2">
      <c r="B1840" s="60">
        <v>38481</v>
      </c>
      <c r="C1840" s="7">
        <v>3.4409999999999996E-2</v>
      </c>
      <c r="D1840" s="7">
        <v>3.4409999999999996E-2</v>
      </c>
      <c r="E1840" s="7">
        <v>3.4409999999999996E-2</v>
      </c>
      <c r="F1840" s="7">
        <v>3.4409999999999996E-2</v>
      </c>
      <c r="G1840" s="7">
        <v>1.7399999999999999E-2</v>
      </c>
    </row>
    <row r="1841" spans="2:7" x14ac:dyDescent="0.2">
      <c r="B1841" s="60">
        <v>38482</v>
      </c>
      <c r="C1841" s="7">
        <v>3.4119999999999998E-2</v>
      </c>
      <c r="D1841" s="7">
        <v>3.4119999999999998E-2</v>
      </c>
      <c r="E1841" s="7">
        <v>3.4119999999999998E-2</v>
      </c>
      <c r="F1841" s="7">
        <v>3.4119999999999998E-2</v>
      </c>
      <c r="G1841" s="7">
        <v>-8.3999999999999995E-3</v>
      </c>
    </row>
    <row r="1842" spans="2:7" x14ac:dyDescent="0.2">
      <c r="B1842" s="60">
        <v>38483</v>
      </c>
      <c r="C1842" s="7">
        <v>3.3610000000000001E-2</v>
      </c>
      <c r="D1842" s="7">
        <v>3.3610000000000001E-2</v>
      </c>
      <c r="E1842" s="7">
        <v>3.3610000000000001E-2</v>
      </c>
      <c r="F1842" s="7">
        <v>3.3610000000000001E-2</v>
      </c>
      <c r="G1842" s="7">
        <v>-1.49E-2</v>
      </c>
    </row>
    <row r="1843" spans="2:7" x14ac:dyDescent="0.2">
      <c r="B1843" s="60">
        <v>38484</v>
      </c>
      <c r="C1843" s="7">
        <v>3.3189999999999997E-2</v>
      </c>
      <c r="D1843" s="7">
        <v>3.3189999999999997E-2</v>
      </c>
      <c r="E1843" s="7">
        <v>3.3189999999999997E-2</v>
      </c>
      <c r="F1843" s="7">
        <v>3.3189999999999997E-2</v>
      </c>
      <c r="G1843" s="7">
        <v>-1.2500000000000001E-2</v>
      </c>
    </row>
    <row r="1844" spans="2:7" x14ac:dyDescent="0.2">
      <c r="B1844" s="60">
        <v>38485</v>
      </c>
      <c r="C1844" s="7">
        <v>3.3419999999999998E-2</v>
      </c>
      <c r="D1844" s="7">
        <v>3.3419999999999998E-2</v>
      </c>
      <c r="E1844" s="7">
        <v>3.3419999999999998E-2</v>
      </c>
      <c r="F1844" s="7">
        <v>3.3419999999999998E-2</v>
      </c>
      <c r="G1844" s="7">
        <v>6.8999999999999999E-3</v>
      </c>
    </row>
    <row r="1845" spans="2:7" x14ac:dyDescent="0.2">
      <c r="B1845" s="60">
        <v>38488</v>
      </c>
      <c r="C1845" s="7">
        <v>3.3119999999999997E-2</v>
      </c>
      <c r="D1845" s="7">
        <v>3.3119999999999997E-2</v>
      </c>
      <c r="E1845" s="7">
        <v>3.3119999999999997E-2</v>
      </c>
      <c r="F1845" s="7">
        <v>3.3119999999999997E-2</v>
      </c>
      <c r="G1845" s="7">
        <v>-8.9999999999999993E-3</v>
      </c>
    </row>
    <row r="1846" spans="2:7" x14ac:dyDescent="0.2">
      <c r="B1846" s="60">
        <v>38489</v>
      </c>
      <c r="C1846" s="7">
        <v>3.3059999999999999E-2</v>
      </c>
      <c r="D1846" s="7">
        <v>3.3059999999999999E-2</v>
      </c>
      <c r="E1846" s="7">
        <v>3.3059999999999999E-2</v>
      </c>
      <c r="F1846" s="7">
        <v>3.3059999999999999E-2</v>
      </c>
      <c r="G1846" s="7">
        <v>-1.8E-3</v>
      </c>
    </row>
    <row r="1847" spans="2:7" x14ac:dyDescent="0.2">
      <c r="B1847" s="60">
        <v>38490</v>
      </c>
      <c r="C1847" s="7">
        <v>3.3059999999999999E-2</v>
      </c>
      <c r="D1847" s="7">
        <v>3.3059999999999999E-2</v>
      </c>
      <c r="E1847" s="7">
        <v>3.3059999999999999E-2</v>
      </c>
      <c r="F1847" s="7">
        <v>3.3059999999999999E-2</v>
      </c>
      <c r="G1847" s="7">
        <v>0</v>
      </c>
    </row>
    <row r="1848" spans="2:7" x14ac:dyDescent="0.2">
      <c r="B1848" s="60">
        <v>38491</v>
      </c>
      <c r="C1848" s="7">
        <v>3.2869999999999996E-2</v>
      </c>
      <c r="D1848" s="7">
        <v>3.2869999999999996E-2</v>
      </c>
      <c r="E1848" s="7">
        <v>3.2869999999999996E-2</v>
      </c>
      <c r="F1848" s="7">
        <v>3.2869999999999996E-2</v>
      </c>
      <c r="G1848" s="7">
        <v>-5.7000000000000002E-3</v>
      </c>
    </row>
    <row r="1849" spans="2:7" x14ac:dyDescent="0.2">
      <c r="B1849" s="60">
        <v>38492</v>
      </c>
      <c r="C1849" s="7">
        <v>3.3509999999999998E-2</v>
      </c>
      <c r="D1849" s="7">
        <v>3.3509999999999998E-2</v>
      </c>
      <c r="E1849" s="7">
        <v>3.3509999999999998E-2</v>
      </c>
      <c r="F1849" s="7">
        <v>3.3509999999999998E-2</v>
      </c>
      <c r="G1849" s="7">
        <v>1.95E-2</v>
      </c>
    </row>
    <row r="1850" spans="2:7" x14ac:dyDescent="0.2">
      <c r="B1850" s="60">
        <v>38495</v>
      </c>
      <c r="C1850" s="7">
        <v>3.3730000000000003E-2</v>
      </c>
      <c r="D1850" s="7">
        <v>3.3730000000000003E-2</v>
      </c>
      <c r="E1850" s="7">
        <v>3.3730000000000003E-2</v>
      </c>
      <c r="F1850" s="7">
        <v>3.3730000000000003E-2</v>
      </c>
      <c r="G1850" s="7">
        <v>6.6E-3</v>
      </c>
    </row>
    <row r="1851" spans="2:7" x14ac:dyDescent="0.2">
      <c r="B1851" s="60">
        <v>38496</v>
      </c>
      <c r="C1851" s="7">
        <v>3.3079999999999998E-2</v>
      </c>
      <c r="D1851" s="7">
        <v>3.3079999999999998E-2</v>
      </c>
      <c r="E1851" s="7">
        <v>3.3079999999999998E-2</v>
      </c>
      <c r="F1851" s="7">
        <v>3.3079999999999998E-2</v>
      </c>
      <c r="G1851" s="7">
        <v>-1.9300000000000001E-2</v>
      </c>
    </row>
    <row r="1852" spans="2:7" x14ac:dyDescent="0.2">
      <c r="B1852" s="60">
        <v>38497</v>
      </c>
      <c r="C1852" s="7">
        <v>3.2989999999999998E-2</v>
      </c>
      <c r="D1852" s="7">
        <v>3.2989999999999998E-2</v>
      </c>
      <c r="E1852" s="7">
        <v>3.2989999999999998E-2</v>
      </c>
      <c r="F1852" s="7">
        <v>3.2989999999999998E-2</v>
      </c>
      <c r="G1852" s="7">
        <v>-2.7000000000000001E-3</v>
      </c>
    </row>
    <row r="1853" spans="2:7" x14ac:dyDescent="0.2">
      <c r="B1853" s="60">
        <v>38498</v>
      </c>
      <c r="C1853" s="7">
        <v>3.313E-2</v>
      </c>
      <c r="D1853" s="7">
        <v>3.313E-2</v>
      </c>
      <c r="E1853" s="7">
        <v>3.313E-2</v>
      </c>
      <c r="F1853" s="7">
        <v>3.313E-2</v>
      </c>
      <c r="G1853" s="7">
        <v>4.1999999999999997E-3</v>
      </c>
    </row>
    <row r="1854" spans="2:7" x14ac:dyDescent="0.2">
      <c r="B1854" s="60">
        <v>38499</v>
      </c>
      <c r="C1854" s="7">
        <v>3.3189999999999997E-2</v>
      </c>
      <c r="D1854" s="7">
        <v>3.3189999999999997E-2</v>
      </c>
      <c r="E1854" s="7">
        <v>3.3189999999999997E-2</v>
      </c>
      <c r="F1854" s="7">
        <v>3.3189999999999997E-2</v>
      </c>
      <c r="G1854" s="7">
        <v>1.8E-3</v>
      </c>
    </row>
    <row r="1855" spans="2:7" x14ac:dyDescent="0.2">
      <c r="B1855" s="60">
        <v>38502</v>
      </c>
      <c r="C1855" s="7">
        <v>3.3250000000000002E-2</v>
      </c>
      <c r="D1855" s="7">
        <v>3.3250000000000002E-2</v>
      </c>
      <c r="E1855" s="7">
        <v>3.3250000000000002E-2</v>
      </c>
      <c r="F1855" s="7">
        <v>3.3250000000000002E-2</v>
      </c>
      <c r="G1855" s="7">
        <v>1.8E-3</v>
      </c>
    </row>
    <row r="1856" spans="2:7" x14ac:dyDescent="0.2">
      <c r="B1856" s="60">
        <v>38503</v>
      </c>
      <c r="C1856" s="7">
        <v>3.3329999999999999E-2</v>
      </c>
      <c r="D1856" s="7">
        <v>3.3329999999999999E-2</v>
      </c>
      <c r="E1856" s="7">
        <v>3.3329999999999999E-2</v>
      </c>
      <c r="F1856" s="7">
        <v>3.3329999999999999E-2</v>
      </c>
      <c r="G1856" s="7">
        <v>2.3999999999999998E-3</v>
      </c>
    </row>
    <row r="1857" spans="2:7" x14ac:dyDescent="0.2">
      <c r="B1857" s="60">
        <v>38504</v>
      </c>
      <c r="C1857" s="7">
        <v>3.2709999999999996E-2</v>
      </c>
      <c r="D1857" s="7">
        <v>3.2709999999999996E-2</v>
      </c>
      <c r="E1857" s="7">
        <v>3.2709999999999996E-2</v>
      </c>
      <c r="F1857" s="7">
        <v>3.2709999999999996E-2</v>
      </c>
      <c r="G1857" s="7">
        <v>-1.8599999999999998E-2</v>
      </c>
    </row>
    <row r="1858" spans="2:7" x14ac:dyDescent="0.2">
      <c r="B1858" s="60">
        <v>38505</v>
      </c>
      <c r="C1858" s="7">
        <v>3.227E-2</v>
      </c>
      <c r="D1858" s="7">
        <v>3.227E-2</v>
      </c>
      <c r="E1858" s="7">
        <v>3.227E-2</v>
      </c>
      <c r="F1858" s="7">
        <v>3.227E-2</v>
      </c>
      <c r="G1858" s="7">
        <v>-1.35E-2</v>
      </c>
    </row>
    <row r="1859" spans="2:7" x14ac:dyDescent="0.2">
      <c r="B1859" s="60">
        <v>38506</v>
      </c>
      <c r="C1859" s="7">
        <v>3.2219999999999999E-2</v>
      </c>
      <c r="D1859" s="7">
        <v>3.2219999999999999E-2</v>
      </c>
      <c r="E1859" s="7">
        <v>3.2219999999999999E-2</v>
      </c>
      <c r="F1859" s="7">
        <v>3.2219999999999999E-2</v>
      </c>
      <c r="G1859" s="7">
        <v>-1.5E-3</v>
      </c>
    </row>
    <row r="1860" spans="2:7" x14ac:dyDescent="0.2">
      <c r="B1860" s="60">
        <v>38509</v>
      </c>
      <c r="C1860" s="7">
        <v>3.2320000000000002E-2</v>
      </c>
      <c r="D1860" s="7">
        <v>3.2320000000000002E-2</v>
      </c>
      <c r="E1860" s="7">
        <v>3.2320000000000002E-2</v>
      </c>
      <c r="F1860" s="7">
        <v>3.2320000000000002E-2</v>
      </c>
      <c r="G1860" s="7">
        <v>3.0999999999999999E-3</v>
      </c>
    </row>
    <row r="1861" spans="2:7" x14ac:dyDescent="0.2">
      <c r="B1861" s="60">
        <v>38510</v>
      </c>
      <c r="C1861" s="7">
        <v>3.2039999999999999E-2</v>
      </c>
      <c r="D1861" s="7">
        <v>3.2039999999999999E-2</v>
      </c>
      <c r="E1861" s="7">
        <v>3.2039999999999999E-2</v>
      </c>
      <c r="F1861" s="7">
        <v>3.2039999999999999E-2</v>
      </c>
      <c r="G1861" s="7">
        <v>-8.6999999999999994E-3</v>
      </c>
    </row>
    <row r="1862" spans="2:7" x14ac:dyDescent="0.2">
      <c r="B1862" s="60">
        <v>38511</v>
      </c>
      <c r="C1862" s="7">
        <v>3.1549999999999995E-2</v>
      </c>
      <c r="D1862" s="7">
        <v>3.1549999999999995E-2</v>
      </c>
      <c r="E1862" s="7">
        <v>3.1549999999999995E-2</v>
      </c>
      <c r="F1862" s="7">
        <v>3.1549999999999995E-2</v>
      </c>
      <c r="G1862" s="7">
        <v>-1.5299999999999999E-2</v>
      </c>
    </row>
    <row r="1863" spans="2:7" x14ac:dyDescent="0.2">
      <c r="B1863" s="60">
        <v>38512</v>
      </c>
      <c r="C1863" s="7">
        <v>3.1280000000000002E-2</v>
      </c>
      <c r="D1863" s="7">
        <v>3.1280000000000002E-2</v>
      </c>
      <c r="E1863" s="7">
        <v>3.1280000000000002E-2</v>
      </c>
      <c r="F1863" s="7">
        <v>3.1280000000000002E-2</v>
      </c>
      <c r="G1863" s="7">
        <v>-8.6E-3</v>
      </c>
    </row>
    <row r="1864" spans="2:7" x14ac:dyDescent="0.2">
      <c r="B1864" s="60">
        <v>38513</v>
      </c>
      <c r="C1864" s="7">
        <v>3.1219999999999998E-2</v>
      </c>
      <c r="D1864" s="7">
        <v>3.1219999999999998E-2</v>
      </c>
      <c r="E1864" s="7">
        <v>3.1219999999999998E-2</v>
      </c>
      <c r="F1864" s="7">
        <v>3.1219999999999998E-2</v>
      </c>
      <c r="G1864" s="7">
        <v>-1.9E-3</v>
      </c>
    </row>
    <row r="1865" spans="2:7" x14ac:dyDescent="0.2">
      <c r="B1865" s="60">
        <v>38516</v>
      </c>
      <c r="C1865" s="7">
        <v>3.134E-2</v>
      </c>
      <c r="D1865" s="7">
        <v>3.134E-2</v>
      </c>
      <c r="E1865" s="7">
        <v>3.134E-2</v>
      </c>
      <c r="F1865" s="7">
        <v>3.134E-2</v>
      </c>
      <c r="G1865" s="7">
        <v>3.8E-3</v>
      </c>
    </row>
    <row r="1866" spans="2:7" x14ac:dyDescent="0.2">
      <c r="B1866" s="60">
        <v>38517</v>
      </c>
      <c r="C1866" s="7">
        <v>3.1899999999999998E-2</v>
      </c>
      <c r="D1866" s="7">
        <v>3.1899999999999998E-2</v>
      </c>
      <c r="E1866" s="7">
        <v>3.1899999999999998E-2</v>
      </c>
      <c r="F1866" s="7">
        <v>3.1899999999999998E-2</v>
      </c>
      <c r="G1866" s="7">
        <v>1.7899999999999999E-2</v>
      </c>
    </row>
    <row r="1867" spans="2:7" x14ac:dyDescent="0.2">
      <c r="B1867" s="60">
        <v>38518</v>
      </c>
      <c r="C1867" s="7">
        <v>3.211E-2</v>
      </c>
      <c r="D1867" s="7">
        <v>3.211E-2</v>
      </c>
      <c r="E1867" s="7">
        <v>3.211E-2</v>
      </c>
      <c r="F1867" s="7">
        <v>3.211E-2</v>
      </c>
      <c r="G1867" s="7">
        <v>6.6E-3</v>
      </c>
    </row>
    <row r="1868" spans="2:7" x14ac:dyDescent="0.2">
      <c r="B1868" s="60">
        <v>38519</v>
      </c>
      <c r="C1868" s="7">
        <v>3.322E-2</v>
      </c>
      <c r="D1868" s="7">
        <v>3.322E-2</v>
      </c>
      <c r="E1868" s="7">
        <v>3.322E-2</v>
      </c>
      <c r="F1868" s="7">
        <v>3.322E-2</v>
      </c>
      <c r="G1868" s="7">
        <v>3.4599999999999999E-2</v>
      </c>
    </row>
    <row r="1869" spans="2:7" x14ac:dyDescent="0.2">
      <c r="B1869" s="60">
        <v>38520</v>
      </c>
      <c r="C1869" s="7">
        <v>3.2989999999999998E-2</v>
      </c>
      <c r="D1869" s="7">
        <v>3.2989999999999998E-2</v>
      </c>
      <c r="E1869" s="7">
        <v>3.2989999999999998E-2</v>
      </c>
      <c r="F1869" s="7">
        <v>3.2989999999999998E-2</v>
      </c>
      <c r="G1869" s="7">
        <v>-6.8999999999999999E-3</v>
      </c>
    </row>
    <row r="1870" spans="2:7" x14ac:dyDescent="0.2">
      <c r="B1870" s="60">
        <v>38523</v>
      </c>
      <c r="C1870" s="7">
        <v>3.2840000000000001E-2</v>
      </c>
      <c r="D1870" s="7">
        <v>3.2840000000000001E-2</v>
      </c>
      <c r="E1870" s="7">
        <v>3.2840000000000001E-2</v>
      </c>
      <c r="F1870" s="7">
        <v>3.2840000000000001E-2</v>
      </c>
      <c r="G1870" s="7">
        <v>-4.4999999999999997E-3</v>
      </c>
    </row>
    <row r="1871" spans="2:7" x14ac:dyDescent="0.2">
      <c r="B1871" s="60">
        <v>38524</v>
      </c>
      <c r="C1871" s="7">
        <v>3.3020000000000001E-2</v>
      </c>
      <c r="D1871" s="7">
        <v>3.3020000000000001E-2</v>
      </c>
      <c r="E1871" s="7">
        <v>3.3020000000000001E-2</v>
      </c>
      <c r="F1871" s="7">
        <v>3.3020000000000001E-2</v>
      </c>
      <c r="G1871" s="7">
        <v>5.4999999999999997E-3</v>
      </c>
    </row>
    <row r="1872" spans="2:7" x14ac:dyDescent="0.2">
      <c r="B1872" s="60">
        <v>38525</v>
      </c>
      <c r="C1872" s="7">
        <v>3.218E-2</v>
      </c>
      <c r="D1872" s="7">
        <v>3.218E-2</v>
      </c>
      <c r="E1872" s="7">
        <v>3.218E-2</v>
      </c>
      <c r="F1872" s="7">
        <v>3.218E-2</v>
      </c>
      <c r="G1872" s="7">
        <v>-2.5399999999999999E-2</v>
      </c>
    </row>
    <row r="1873" spans="2:7" x14ac:dyDescent="0.2">
      <c r="B1873" s="60">
        <v>38526</v>
      </c>
      <c r="C1873" s="7">
        <v>3.1519999999999999E-2</v>
      </c>
      <c r="D1873" s="7">
        <v>3.1519999999999999E-2</v>
      </c>
      <c r="E1873" s="7">
        <v>3.1519999999999999E-2</v>
      </c>
      <c r="F1873" s="7">
        <v>3.1519999999999999E-2</v>
      </c>
      <c r="G1873" s="7">
        <v>-2.0500000000000001E-2</v>
      </c>
    </row>
    <row r="1874" spans="2:7" x14ac:dyDescent="0.2">
      <c r="B1874" s="60">
        <v>38527</v>
      </c>
      <c r="C1874" s="7">
        <v>3.1539999999999999E-2</v>
      </c>
      <c r="D1874" s="7">
        <v>3.1539999999999999E-2</v>
      </c>
      <c r="E1874" s="7">
        <v>3.1539999999999999E-2</v>
      </c>
      <c r="F1874" s="7">
        <v>3.1539999999999999E-2</v>
      </c>
      <c r="G1874" s="7">
        <v>5.9999999999999995E-4</v>
      </c>
    </row>
    <row r="1875" spans="2:7" x14ac:dyDescent="0.2">
      <c r="B1875" s="60">
        <v>38530</v>
      </c>
      <c r="C1875" s="7">
        <v>3.1300000000000001E-2</v>
      </c>
      <c r="D1875" s="7">
        <v>3.1300000000000001E-2</v>
      </c>
      <c r="E1875" s="7">
        <v>3.1300000000000001E-2</v>
      </c>
      <c r="F1875" s="7">
        <v>3.1300000000000001E-2</v>
      </c>
      <c r="G1875" s="7">
        <v>-7.6E-3</v>
      </c>
    </row>
    <row r="1876" spans="2:7" x14ac:dyDescent="0.2">
      <c r="B1876" s="60">
        <v>38531</v>
      </c>
      <c r="C1876" s="7">
        <v>3.117E-2</v>
      </c>
      <c r="D1876" s="7">
        <v>3.117E-2</v>
      </c>
      <c r="E1876" s="7">
        <v>3.117E-2</v>
      </c>
      <c r="F1876" s="7">
        <v>3.117E-2</v>
      </c>
      <c r="G1876" s="7">
        <v>-4.1999999999999997E-3</v>
      </c>
    </row>
    <row r="1877" spans="2:7" x14ac:dyDescent="0.2">
      <c r="B1877" s="60">
        <v>38532</v>
      </c>
      <c r="C1877" s="7">
        <v>3.1620000000000002E-2</v>
      </c>
      <c r="D1877" s="7">
        <v>3.1620000000000002E-2</v>
      </c>
      <c r="E1877" s="7">
        <v>3.1620000000000002E-2</v>
      </c>
      <c r="F1877" s="7">
        <v>3.1620000000000002E-2</v>
      </c>
      <c r="G1877" s="7">
        <v>1.44E-2</v>
      </c>
    </row>
    <row r="1878" spans="2:7" x14ac:dyDescent="0.2">
      <c r="B1878" s="60">
        <v>38533</v>
      </c>
      <c r="C1878" s="7">
        <v>3.1939999999999996E-2</v>
      </c>
      <c r="D1878" s="7">
        <v>3.1939999999999996E-2</v>
      </c>
      <c r="E1878" s="7">
        <v>3.1939999999999996E-2</v>
      </c>
      <c r="F1878" s="7">
        <v>3.1939999999999996E-2</v>
      </c>
      <c r="G1878" s="7">
        <v>1.01E-2</v>
      </c>
    </row>
    <row r="1879" spans="2:7" x14ac:dyDescent="0.2">
      <c r="B1879" s="60">
        <v>38534</v>
      </c>
      <c r="C1879" s="7">
        <v>3.134E-2</v>
      </c>
      <c r="D1879" s="7">
        <v>3.134E-2</v>
      </c>
      <c r="E1879" s="7">
        <v>3.134E-2</v>
      </c>
      <c r="F1879" s="7">
        <v>3.134E-2</v>
      </c>
      <c r="G1879" s="7">
        <v>-1.8800000000000001E-2</v>
      </c>
    </row>
    <row r="1880" spans="2:7" x14ac:dyDescent="0.2">
      <c r="B1880" s="60">
        <v>38537</v>
      </c>
      <c r="C1880" s="7">
        <v>3.1549999999999995E-2</v>
      </c>
      <c r="D1880" s="7">
        <v>3.1549999999999995E-2</v>
      </c>
      <c r="E1880" s="7">
        <v>3.1549999999999995E-2</v>
      </c>
      <c r="F1880" s="7">
        <v>3.1549999999999995E-2</v>
      </c>
      <c r="G1880" s="7">
        <v>6.7000000000000002E-3</v>
      </c>
    </row>
    <row r="1881" spans="2:7" x14ac:dyDescent="0.2">
      <c r="B1881" s="60">
        <v>38538</v>
      </c>
      <c r="C1881" s="7">
        <v>3.1669999999999997E-2</v>
      </c>
      <c r="D1881" s="7">
        <v>3.1669999999999997E-2</v>
      </c>
      <c r="E1881" s="7">
        <v>3.1669999999999997E-2</v>
      </c>
      <c r="F1881" s="7">
        <v>3.1669999999999997E-2</v>
      </c>
      <c r="G1881" s="7">
        <v>3.8E-3</v>
      </c>
    </row>
    <row r="1882" spans="2:7" x14ac:dyDescent="0.2">
      <c r="B1882" s="60">
        <v>38539</v>
      </c>
      <c r="C1882" s="7">
        <v>3.2120000000000003E-2</v>
      </c>
      <c r="D1882" s="7">
        <v>3.2120000000000003E-2</v>
      </c>
      <c r="E1882" s="7">
        <v>3.2120000000000003E-2</v>
      </c>
      <c r="F1882" s="7">
        <v>3.2120000000000003E-2</v>
      </c>
      <c r="G1882" s="7">
        <v>1.4200000000000001E-2</v>
      </c>
    </row>
    <row r="1883" spans="2:7" x14ac:dyDescent="0.2">
      <c r="B1883" s="60">
        <v>38540</v>
      </c>
      <c r="C1883" s="7">
        <v>3.2219999999999999E-2</v>
      </c>
      <c r="D1883" s="7">
        <v>3.2219999999999999E-2</v>
      </c>
      <c r="E1883" s="7">
        <v>3.2219999999999999E-2</v>
      </c>
      <c r="F1883" s="7">
        <v>3.2219999999999999E-2</v>
      </c>
      <c r="G1883" s="7">
        <v>3.0999999999999999E-3</v>
      </c>
    </row>
    <row r="1884" spans="2:7" x14ac:dyDescent="0.2">
      <c r="B1884" s="60">
        <v>38541</v>
      </c>
      <c r="C1884" s="7">
        <v>3.1820000000000001E-2</v>
      </c>
      <c r="D1884" s="7">
        <v>3.1820000000000001E-2</v>
      </c>
      <c r="E1884" s="7">
        <v>3.1820000000000001E-2</v>
      </c>
      <c r="F1884" s="7">
        <v>3.1820000000000001E-2</v>
      </c>
      <c r="G1884" s="7">
        <v>-1.24E-2</v>
      </c>
    </row>
    <row r="1885" spans="2:7" x14ac:dyDescent="0.2">
      <c r="B1885" s="60">
        <v>38544</v>
      </c>
      <c r="C1885" s="7">
        <v>3.184E-2</v>
      </c>
      <c r="D1885" s="7">
        <v>3.184E-2</v>
      </c>
      <c r="E1885" s="7">
        <v>3.184E-2</v>
      </c>
      <c r="F1885" s="7">
        <v>3.184E-2</v>
      </c>
      <c r="G1885" s="7">
        <v>5.9999999999999995E-4</v>
      </c>
    </row>
    <row r="1886" spans="2:7" x14ac:dyDescent="0.2">
      <c r="B1886" s="60">
        <v>38545</v>
      </c>
      <c r="C1886" s="7">
        <v>3.2280000000000003E-2</v>
      </c>
      <c r="D1886" s="7">
        <v>3.2280000000000003E-2</v>
      </c>
      <c r="E1886" s="7">
        <v>3.2280000000000003E-2</v>
      </c>
      <c r="F1886" s="7">
        <v>3.2280000000000003E-2</v>
      </c>
      <c r="G1886" s="7">
        <v>1.38E-2</v>
      </c>
    </row>
    <row r="1887" spans="2:7" x14ac:dyDescent="0.2">
      <c r="B1887" s="60">
        <v>38546</v>
      </c>
      <c r="C1887" s="7">
        <v>3.2370000000000003E-2</v>
      </c>
      <c r="D1887" s="7">
        <v>3.2370000000000003E-2</v>
      </c>
      <c r="E1887" s="7">
        <v>3.2370000000000003E-2</v>
      </c>
      <c r="F1887" s="7">
        <v>3.2370000000000003E-2</v>
      </c>
      <c r="G1887" s="7">
        <v>2.8E-3</v>
      </c>
    </row>
    <row r="1888" spans="2:7" x14ac:dyDescent="0.2">
      <c r="B1888" s="60">
        <v>38547</v>
      </c>
      <c r="C1888" s="7">
        <v>3.2539999999999999E-2</v>
      </c>
      <c r="D1888" s="7">
        <v>3.2539999999999999E-2</v>
      </c>
      <c r="E1888" s="7">
        <v>3.2539999999999999E-2</v>
      </c>
      <c r="F1888" s="7">
        <v>3.2539999999999999E-2</v>
      </c>
      <c r="G1888" s="7">
        <v>5.3E-3</v>
      </c>
    </row>
    <row r="1889" spans="2:7" x14ac:dyDescent="0.2">
      <c r="B1889" s="60">
        <v>38548</v>
      </c>
      <c r="C1889" s="7">
        <v>3.2969999999999999E-2</v>
      </c>
      <c r="D1889" s="7">
        <v>3.2969999999999999E-2</v>
      </c>
      <c r="E1889" s="7">
        <v>3.2969999999999999E-2</v>
      </c>
      <c r="F1889" s="7">
        <v>3.2969999999999999E-2</v>
      </c>
      <c r="G1889" s="7">
        <v>1.32E-2</v>
      </c>
    </row>
    <row r="1890" spans="2:7" x14ac:dyDescent="0.2">
      <c r="B1890" s="60">
        <v>38551</v>
      </c>
      <c r="C1890" s="7">
        <v>3.288E-2</v>
      </c>
      <c r="D1890" s="7">
        <v>3.288E-2</v>
      </c>
      <c r="E1890" s="7">
        <v>3.288E-2</v>
      </c>
      <c r="F1890" s="7">
        <v>3.288E-2</v>
      </c>
      <c r="G1890" s="7">
        <v>-2.7000000000000001E-3</v>
      </c>
    </row>
    <row r="1891" spans="2:7" x14ac:dyDescent="0.2">
      <c r="B1891" s="60">
        <v>38552</v>
      </c>
      <c r="C1891" s="7">
        <v>3.2660000000000002E-2</v>
      </c>
      <c r="D1891" s="7">
        <v>3.2660000000000002E-2</v>
      </c>
      <c r="E1891" s="7">
        <v>3.2660000000000002E-2</v>
      </c>
      <c r="F1891" s="7">
        <v>3.2660000000000002E-2</v>
      </c>
      <c r="G1891" s="7">
        <v>-6.7000000000000002E-3</v>
      </c>
    </row>
    <row r="1892" spans="2:7" x14ac:dyDescent="0.2">
      <c r="B1892" s="60">
        <v>38553</v>
      </c>
      <c r="C1892" s="7">
        <v>3.2709999999999996E-2</v>
      </c>
      <c r="D1892" s="7">
        <v>3.2709999999999996E-2</v>
      </c>
      <c r="E1892" s="7">
        <v>3.2709999999999996E-2</v>
      </c>
      <c r="F1892" s="7">
        <v>3.2709999999999996E-2</v>
      </c>
      <c r="G1892" s="7">
        <v>1.5E-3</v>
      </c>
    </row>
    <row r="1893" spans="2:7" x14ac:dyDescent="0.2">
      <c r="B1893" s="60">
        <v>38554</v>
      </c>
      <c r="C1893" s="7">
        <v>3.2799999999999996E-2</v>
      </c>
      <c r="D1893" s="7">
        <v>3.2799999999999996E-2</v>
      </c>
      <c r="E1893" s="7">
        <v>3.2799999999999996E-2</v>
      </c>
      <c r="F1893" s="7">
        <v>3.2799999999999996E-2</v>
      </c>
      <c r="G1893" s="7">
        <v>2.8E-3</v>
      </c>
    </row>
    <row r="1894" spans="2:7" x14ac:dyDescent="0.2">
      <c r="B1894" s="60">
        <v>38555</v>
      </c>
      <c r="C1894" s="7">
        <v>3.2730000000000002E-2</v>
      </c>
      <c r="D1894" s="7">
        <v>3.2730000000000002E-2</v>
      </c>
      <c r="E1894" s="7">
        <v>3.2730000000000002E-2</v>
      </c>
      <c r="F1894" s="7">
        <v>3.2730000000000002E-2</v>
      </c>
      <c r="G1894" s="7">
        <v>-2.0999999999999999E-3</v>
      </c>
    </row>
    <row r="1895" spans="2:7" x14ac:dyDescent="0.2">
      <c r="B1895" s="60">
        <v>38558</v>
      </c>
      <c r="C1895" s="7">
        <v>3.2329999999999998E-2</v>
      </c>
      <c r="D1895" s="7">
        <v>3.2329999999999998E-2</v>
      </c>
      <c r="E1895" s="7">
        <v>3.2329999999999998E-2</v>
      </c>
      <c r="F1895" s="7">
        <v>3.2329999999999998E-2</v>
      </c>
      <c r="G1895" s="7">
        <v>-1.2200000000000001E-2</v>
      </c>
    </row>
    <row r="1896" spans="2:7" x14ac:dyDescent="0.2">
      <c r="B1896" s="60">
        <v>38559</v>
      </c>
      <c r="C1896" s="7">
        <v>3.2070000000000001E-2</v>
      </c>
      <c r="D1896" s="7">
        <v>3.2070000000000001E-2</v>
      </c>
      <c r="E1896" s="7">
        <v>3.2070000000000001E-2</v>
      </c>
      <c r="F1896" s="7">
        <v>3.2070000000000001E-2</v>
      </c>
      <c r="G1896" s="7">
        <v>-8.0000000000000002E-3</v>
      </c>
    </row>
    <row r="1897" spans="2:7" x14ac:dyDescent="0.2">
      <c r="B1897" s="60">
        <v>38560</v>
      </c>
      <c r="C1897" s="7">
        <v>3.2219999999999999E-2</v>
      </c>
      <c r="D1897" s="7">
        <v>3.2219999999999999E-2</v>
      </c>
      <c r="E1897" s="7">
        <v>3.2219999999999999E-2</v>
      </c>
      <c r="F1897" s="7">
        <v>3.2219999999999999E-2</v>
      </c>
      <c r="G1897" s="7">
        <v>4.7000000000000002E-3</v>
      </c>
    </row>
    <row r="1898" spans="2:7" x14ac:dyDescent="0.2">
      <c r="B1898" s="60">
        <v>38561</v>
      </c>
      <c r="C1898" s="7">
        <v>3.2199999999999999E-2</v>
      </c>
      <c r="D1898" s="7">
        <v>3.2199999999999999E-2</v>
      </c>
      <c r="E1898" s="7">
        <v>3.2199999999999999E-2</v>
      </c>
      <c r="F1898" s="7">
        <v>3.2199999999999999E-2</v>
      </c>
      <c r="G1898" s="7">
        <v>-5.9999999999999995E-4</v>
      </c>
    </row>
    <row r="1899" spans="2:7" x14ac:dyDescent="0.2">
      <c r="B1899" s="60">
        <v>38562</v>
      </c>
      <c r="C1899" s="7">
        <v>3.218E-2</v>
      </c>
      <c r="D1899" s="7">
        <v>3.218E-2</v>
      </c>
      <c r="E1899" s="7">
        <v>3.218E-2</v>
      </c>
      <c r="F1899" s="7">
        <v>3.218E-2</v>
      </c>
      <c r="G1899" s="7">
        <v>-5.9999999999999995E-4</v>
      </c>
    </row>
    <row r="1900" spans="2:7" x14ac:dyDescent="0.2">
      <c r="B1900" s="60">
        <v>38565</v>
      </c>
      <c r="C1900" s="7">
        <v>3.2390000000000002E-2</v>
      </c>
      <c r="D1900" s="7">
        <v>3.2390000000000002E-2</v>
      </c>
      <c r="E1900" s="7">
        <v>3.2390000000000002E-2</v>
      </c>
      <c r="F1900" s="7">
        <v>3.2390000000000002E-2</v>
      </c>
      <c r="G1900" s="7">
        <v>6.4999999999999997E-3</v>
      </c>
    </row>
    <row r="1901" spans="2:7" x14ac:dyDescent="0.2">
      <c r="B1901" s="60">
        <v>38566</v>
      </c>
      <c r="C1901" s="7">
        <v>3.2930000000000001E-2</v>
      </c>
      <c r="D1901" s="7">
        <v>3.2930000000000001E-2</v>
      </c>
      <c r="E1901" s="7">
        <v>3.2930000000000001E-2</v>
      </c>
      <c r="F1901" s="7">
        <v>3.2930000000000001E-2</v>
      </c>
      <c r="G1901" s="7">
        <v>1.67E-2</v>
      </c>
    </row>
    <row r="1902" spans="2:7" x14ac:dyDescent="0.2">
      <c r="B1902" s="60">
        <v>38567</v>
      </c>
      <c r="C1902" s="7">
        <v>3.329E-2</v>
      </c>
      <c r="D1902" s="7">
        <v>3.329E-2</v>
      </c>
      <c r="E1902" s="7">
        <v>3.329E-2</v>
      </c>
      <c r="F1902" s="7">
        <v>3.329E-2</v>
      </c>
      <c r="G1902" s="7">
        <v>1.09E-2</v>
      </c>
    </row>
    <row r="1903" spans="2:7" x14ac:dyDescent="0.2">
      <c r="B1903" s="60">
        <v>38568</v>
      </c>
      <c r="C1903" s="7">
        <v>3.3239999999999999E-2</v>
      </c>
      <c r="D1903" s="7">
        <v>3.3239999999999999E-2</v>
      </c>
      <c r="E1903" s="7">
        <v>3.3239999999999999E-2</v>
      </c>
      <c r="F1903" s="7">
        <v>3.3239999999999999E-2</v>
      </c>
      <c r="G1903" s="7">
        <v>-1.5E-3</v>
      </c>
    </row>
    <row r="1904" spans="2:7" x14ac:dyDescent="0.2">
      <c r="B1904" s="60">
        <v>38569</v>
      </c>
      <c r="C1904" s="7">
        <v>3.3430000000000001E-2</v>
      </c>
      <c r="D1904" s="7">
        <v>3.3430000000000001E-2</v>
      </c>
      <c r="E1904" s="7">
        <v>3.3430000000000001E-2</v>
      </c>
      <c r="F1904" s="7">
        <v>3.3430000000000001E-2</v>
      </c>
      <c r="G1904" s="7">
        <v>5.7000000000000002E-3</v>
      </c>
    </row>
    <row r="1905" spans="2:7" x14ac:dyDescent="0.2">
      <c r="B1905" s="60">
        <v>38572</v>
      </c>
      <c r="C1905" s="7">
        <v>3.3790000000000001E-2</v>
      </c>
      <c r="D1905" s="7">
        <v>3.3790000000000001E-2</v>
      </c>
      <c r="E1905" s="7">
        <v>3.3790000000000001E-2</v>
      </c>
      <c r="F1905" s="7">
        <v>3.3790000000000001E-2</v>
      </c>
      <c r="G1905" s="7">
        <v>1.0800000000000001E-2</v>
      </c>
    </row>
    <row r="1906" spans="2:7" x14ac:dyDescent="0.2">
      <c r="B1906" s="60">
        <v>38573</v>
      </c>
      <c r="C1906" s="7">
        <v>3.3680000000000002E-2</v>
      </c>
      <c r="D1906" s="7">
        <v>3.3680000000000002E-2</v>
      </c>
      <c r="E1906" s="7">
        <v>3.3680000000000002E-2</v>
      </c>
      <c r="F1906" s="7">
        <v>3.3680000000000002E-2</v>
      </c>
      <c r="G1906" s="7">
        <v>-3.3E-3</v>
      </c>
    </row>
    <row r="1907" spans="2:7" x14ac:dyDescent="0.2">
      <c r="B1907" s="60">
        <v>38574</v>
      </c>
      <c r="C1907" s="7">
        <v>3.3790000000000001E-2</v>
      </c>
      <c r="D1907" s="7">
        <v>3.3790000000000001E-2</v>
      </c>
      <c r="E1907" s="7">
        <v>3.3790000000000001E-2</v>
      </c>
      <c r="F1907" s="7">
        <v>3.3790000000000001E-2</v>
      </c>
      <c r="G1907" s="7">
        <v>3.3E-3</v>
      </c>
    </row>
    <row r="1908" spans="2:7" x14ac:dyDescent="0.2">
      <c r="B1908" s="60">
        <v>38575</v>
      </c>
      <c r="C1908" s="7">
        <v>3.3430000000000001E-2</v>
      </c>
      <c r="D1908" s="7">
        <v>3.3430000000000001E-2</v>
      </c>
      <c r="E1908" s="7">
        <v>3.3430000000000001E-2</v>
      </c>
      <c r="F1908" s="7">
        <v>3.3430000000000001E-2</v>
      </c>
      <c r="G1908" s="7">
        <v>-1.0699999999999999E-2</v>
      </c>
    </row>
    <row r="1909" spans="2:7" x14ac:dyDescent="0.2">
      <c r="B1909" s="60">
        <v>38576</v>
      </c>
      <c r="C1909" s="7">
        <v>3.3489999999999999E-2</v>
      </c>
      <c r="D1909" s="7">
        <v>3.3489999999999999E-2</v>
      </c>
      <c r="E1909" s="7">
        <v>3.3489999999999999E-2</v>
      </c>
      <c r="F1909" s="7">
        <v>3.3489999999999999E-2</v>
      </c>
      <c r="G1909" s="7">
        <v>1.8E-3</v>
      </c>
    </row>
    <row r="1910" spans="2:7" x14ac:dyDescent="0.2">
      <c r="B1910" s="60">
        <v>38579</v>
      </c>
      <c r="C1910" s="7">
        <v>3.2840000000000001E-2</v>
      </c>
      <c r="D1910" s="7">
        <v>3.2840000000000001E-2</v>
      </c>
      <c r="E1910" s="7">
        <v>3.2840000000000001E-2</v>
      </c>
      <c r="F1910" s="7">
        <v>3.2840000000000001E-2</v>
      </c>
      <c r="G1910" s="7">
        <v>-1.9400000000000001E-2</v>
      </c>
    </row>
    <row r="1911" spans="2:7" x14ac:dyDescent="0.2">
      <c r="B1911" s="60">
        <v>38580</v>
      </c>
      <c r="C1911" s="7">
        <v>3.2840000000000001E-2</v>
      </c>
      <c r="D1911" s="7">
        <v>3.2840000000000001E-2</v>
      </c>
      <c r="E1911" s="7">
        <v>3.2840000000000001E-2</v>
      </c>
      <c r="F1911" s="7">
        <v>3.2840000000000001E-2</v>
      </c>
      <c r="G1911" s="7">
        <v>0</v>
      </c>
    </row>
    <row r="1912" spans="2:7" x14ac:dyDescent="0.2">
      <c r="B1912" s="60">
        <v>38581</v>
      </c>
      <c r="C1912" s="7">
        <v>3.2320000000000002E-2</v>
      </c>
      <c r="D1912" s="7">
        <v>3.2320000000000002E-2</v>
      </c>
      <c r="E1912" s="7">
        <v>3.2320000000000002E-2</v>
      </c>
      <c r="F1912" s="7">
        <v>3.2320000000000002E-2</v>
      </c>
      <c r="G1912" s="7">
        <v>-1.5800000000000002E-2</v>
      </c>
    </row>
    <row r="1913" spans="2:7" x14ac:dyDescent="0.2">
      <c r="B1913" s="60">
        <v>38582</v>
      </c>
      <c r="C1913" s="7">
        <v>3.2320000000000002E-2</v>
      </c>
      <c r="D1913" s="7">
        <v>3.2320000000000002E-2</v>
      </c>
      <c r="E1913" s="7">
        <v>3.2320000000000002E-2</v>
      </c>
      <c r="F1913" s="7">
        <v>3.2320000000000002E-2</v>
      </c>
      <c r="G1913" s="7">
        <v>0</v>
      </c>
    </row>
    <row r="1914" spans="2:7" x14ac:dyDescent="0.2">
      <c r="B1914" s="60">
        <v>38583</v>
      </c>
      <c r="C1914" s="7">
        <v>3.1829999999999997E-2</v>
      </c>
      <c r="D1914" s="7">
        <v>3.1829999999999997E-2</v>
      </c>
      <c r="E1914" s="7">
        <v>3.1829999999999997E-2</v>
      </c>
      <c r="F1914" s="7">
        <v>3.1829999999999997E-2</v>
      </c>
      <c r="G1914" s="7">
        <v>-1.52E-2</v>
      </c>
    </row>
    <row r="1915" spans="2:7" x14ac:dyDescent="0.2">
      <c r="B1915" s="60">
        <v>38586</v>
      </c>
      <c r="C1915" s="7">
        <v>3.1949999999999999E-2</v>
      </c>
      <c r="D1915" s="7">
        <v>3.1949999999999999E-2</v>
      </c>
      <c r="E1915" s="7">
        <v>3.1949999999999999E-2</v>
      </c>
      <c r="F1915" s="7">
        <v>3.1949999999999999E-2</v>
      </c>
      <c r="G1915" s="7">
        <v>3.8E-3</v>
      </c>
    </row>
    <row r="1916" spans="2:7" x14ac:dyDescent="0.2">
      <c r="B1916" s="60">
        <v>38587</v>
      </c>
      <c r="C1916" s="7">
        <v>3.1629999999999998E-2</v>
      </c>
      <c r="D1916" s="7">
        <v>3.1629999999999998E-2</v>
      </c>
      <c r="E1916" s="7">
        <v>3.1629999999999998E-2</v>
      </c>
      <c r="F1916" s="7">
        <v>3.1629999999999998E-2</v>
      </c>
      <c r="G1916" s="7">
        <v>-0.01</v>
      </c>
    </row>
    <row r="1917" spans="2:7" x14ac:dyDescent="0.2">
      <c r="B1917" s="60">
        <v>38588</v>
      </c>
      <c r="C1917" s="7">
        <v>3.1620000000000002E-2</v>
      </c>
      <c r="D1917" s="7">
        <v>3.1620000000000002E-2</v>
      </c>
      <c r="E1917" s="7">
        <v>3.1620000000000002E-2</v>
      </c>
      <c r="F1917" s="7">
        <v>3.1620000000000002E-2</v>
      </c>
      <c r="G1917" s="7">
        <v>-2.9999999999999997E-4</v>
      </c>
    </row>
    <row r="1918" spans="2:7" x14ac:dyDescent="0.2">
      <c r="B1918" s="60">
        <v>38589</v>
      </c>
      <c r="C1918" s="7">
        <v>3.1719999999999998E-2</v>
      </c>
      <c r="D1918" s="7">
        <v>3.1719999999999998E-2</v>
      </c>
      <c r="E1918" s="7">
        <v>3.1719999999999998E-2</v>
      </c>
      <c r="F1918" s="7">
        <v>3.1719999999999998E-2</v>
      </c>
      <c r="G1918" s="7">
        <v>3.2000000000000002E-3</v>
      </c>
    </row>
    <row r="1919" spans="2:7" x14ac:dyDescent="0.2">
      <c r="B1919" s="60">
        <v>38590</v>
      </c>
      <c r="C1919" s="7">
        <v>3.1379999999999998E-2</v>
      </c>
      <c r="D1919" s="7">
        <v>3.1379999999999998E-2</v>
      </c>
      <c r="E1919" s="7">
        <v>3.1379999999999998E-2</v>
      </c>
      <c r="F1919" s="7">
        <v>3.1379999999999998E-2</v>
      </c>
      <c r="G1919" s="7">
        <v>-1.0699999999999999E-2</v>
      </c>
    </row>
    <row r="1920" spans="2:7" x14ac:dyDescent="0.2">
      <c r="B1920" s="60">
        <v>38593</v>
      </c>
      <c r="C1920" s="7">
        <v>3.1509999999999996E-2</v>
      </c>
      <c r="D1920" s="7">
        <v>3.1509999999999996E-2</v>
      </c>
      <c r="E1920" s="7">
        <v>3.1509999999999996E-2</v>
      </c>
      <c r="F1920" s="7">
        <v>3.1509999999999996E-2</v>
      </c>
      <c r="G1920" s="7">
        <v>4.1000000000000003E-3</v>
      </c>
    </row>
    <row r="1921" spans="2:7" x14ac:dyDescent="0.2">
      <c r="B1921" s="60">
        <v>38594</v>
      </c>
      <c r="C1921" s="7">
        <v>3.15E-2</v>
      </c>
      <c r="D1921" s="7">
        <v>3.15E-2</v>
      </c>
      <c r="E1921" s="7">
        <v>3.15E-2</v>
      </c>
      <c r="F1921" s="7">
        <v>3.15E-2</v>
      </c>
      <c r="G1921" s="7">
        <v>-2.9999999999999997E-4</v>
      </c>
    </row>
    <row r="1922" spans="2:7" x14ac:dyDescent="0.2">
      <c r="B1922" s="60">
        <v>38595</v>
      </c>
      <c r="C1922" s="7">
        <v>3.1530000000000002E-2</v>
      </c>
      <c r="D1922" s="7">
        <v>3.1530000000000002E-2</v>
      </c>
      <c r="E1922" s="7">
        <v>3.1530000000000002E-2</v>
      </c>
      <c r="F1922" s="7">
        <v>3.1530000000000002E-2</v>
      </c>
      <c r="G1922" s="7">
        <v>1E-3</v>
      </c>
    </row>
    <row r="1923" spans="2:7" x14ac:dyDescent="0.2">
      <c r="B1923" s="60">
        <v>38596</v>
      </c>
      <c r="C1923" s="7">
        <v>3.1030000000000002E-2</v>
      </c>
      <c r="D1923" s="7">
        <v>3.1030000000000002E-2</v>
      </c>
      <c r="E1923" s="7">
        <v>3.1030000000000002E-2</v>
      </c>
      <c r="F1923" s="7">
        <v>3.1030000000000002E-2</v>
      </c>
      <c r="G1923" s="7">
        <v>-1.5900000000000001E-2</v>
      </c>
    </row>
    <row r="1924" spans="2:7" x14ac:dyDescent="0.2">
      <c r="B1924" s="60">
        <v>38597</v>
      </c>
      <c r="C1924" s="7">
        <v>3.066E-2</v>
      </c>
      <c r="D1924" s="7">
        <v>3.066E-2</v>
      </c>
      <c r="E1924" s="7">
        <v>3.066E-2</v>
      </c>
      <c r="F1924" s="7">
        <v>3.066E-2</v>
      </c>
      <c r="G1924" s="7">
        <v>-1.1900000000000001E-2</v>
      </c>
    </row>
    <row r="1925" spans="2:7" x14ac:dyDescent="0.2">
      <c r="B1925" s="60">
        <v>38600</v>
      </c>
      <c r="C1925" s="7">
        <v>3.0590000000000003E-2</v>
      </c>
      <c r="D1925" s="7">
        <v>3.0590000000000003E-2</v>
      </c>
      <c r="E1925" s="7">
        <v>3.0590000000000003E-2</v>
      </c>
      <c r="F1925" s="7">
        <v>3.0590000000000003E-2</v>
      </c>
      <c r="G1925" s="7">
        <v>-2.3E-3</v>
      </c>
    </row>
    <row r="1926" spans="2:7" x14ac:dyDescent="0.2">
      <c r="B1926" s="60">
        <v>38601</v>
      </c>
      <c r="C1926" s="7">
        <v>3.056E-2</v>
      </c>
      <c r="D1926" s="7">
        <v>3.056E-2</v>
      </c>
      <c r="E1926" s="7">
        <v>3.056E-2</v>
      </c>
      <c r="F1926" s="7">
        <v>3.056E-2</v>
      </c>
      <c r="G1926" s="7">
        <v>-1E-3</v>
      </c>
    </row>
    <row r="1927" spans="2:7" x14ac:dyDescent="0.2">
      <c r="B1927" s="60">
        <v>38602</v>
      </c>
      <c r="C1927" s="7">
        <v>3.0880000000000001E-2</v>
      </c>
      <c r="D1927" s="7">
        <v>3.0880000000000001E-2</v>
      </c>
      <c r="E1927" s="7">
        <v>3.0880000000000001E-2</v>
      </c>
      <c r="F1927" s="7">
        <v>3.0880000000000001E-2</v>
      </c>
      <c r="G1927" s="7">
        <v>1.0500000000000001E-2</v>
      </c>
    </row>
    <row r="1928" spans="2:7" x14ac:dyDescent="0.2">
      <c r="B1928" s="60">
        <v>38603</v>
      </c>
      <c r="C1928" s="7">
        <v>3.0960000000000001E-2</v>
      </c>
      <c r="D1928" s="7">
        <v>3.0960000000000001E-2</v>
      </c>
      <c r="E1928" s="7">
        <v>3.0960000000000001E-2</v>
      </c>
      <c r="F1928" s="7">
        <v>3.0960000000000001E-2</v>
      </c>
      <c r="G1928" s="7">
        <v>2.5999999999999999E-3</v>
      </c>
    </row>
    <row r="1929" spans="2:7" x14ac:dyDescent="0.2">
      <c r="B1929" s="60">
        <v>38604</v>
      </c>
      <c r="C1929" s="7">
        <v>3.073E-2</v>
      </c>
      <c r="D1929" s="7">
        <v>3.073E-2</v>
      </c>
      <c r="E1929" s="7">
        <v>3.073E-2</v>
      </c>
      <c r="F1929" s="7">
        <v>3.073E-2</v>
      </c>
      <c r="G1929" s="7">
        <v>-7.4000000000000003E-3</v>
      </c>
    </row>
    <row r="1930" spans="2:7" x14ac:dyDescent="0.2">
      <c r="B1930" s="60">
        <v>38607</v>
      </c>
      <c r="C1930" s="7">
        <v>3.0449999999999998E-2</v>
      </c>
      <c r="D1930" s="7">
        <v>3.0449999999999998E-2</v>
      </c>
      <c r="E1930" s="7">
        <v>3.0449999999999998E-2</v>
      </c>
      <c r="F1930" s="7">
        <v>3.0449999999999998E-2</v>
      </c>
      <c r="G1930" s="7">
        <v>-9.1000000000000004E-3</v>
      </c>
    </row>
    <row r="1931" spans="2:7" x14ac:dyDescent="0.2">
      <c r="B1931" s="60">
        <v>38608</v>
      </c>
      <c r="C1931" s="7">
        <v>3.1280000000000002E-2</v>
      </c>
      <c r="D1931" s="7">
        <v>3.1280000000000002E-2</v>
      </c>
      <c r="E1931" s="7">
        <v>3.1280000000000002E-2</v>
      </c>
      <c r="F1931" s="7">
        <v>3.1280000000000002E-2</v>
      </c>
      <c r="G1931" s="7">
        <v>2.7300000000000001E-2</v>
      </c>
    </row>
    <row r="1932" spans="2:7" x14ac:dyDescent="0.2">
      <c r="B1932" s="60">
        <v>38609</v>
      </c>
      <c r="C1932" s="7">
        <v>3.0939999999999999E-2</v>
      </c>
      <c r="D1932" s="7">
        <v>3.0939999999999999E-2</v>
      </c>
      <c r="E1932" s="7">
        <v>3.0939999999999999E-2</v>
      </c>
      <c r="F1932" s="7">
        <v>3.0939999999999999E-2</v>
      </c>
      <c r="G1932" s="7">
        <v>-1.09E-2</v>
      </c>
    </row>
    <row r="1933" spans="2:7" x14ac:dyDescent="0.2">
      <c r="B1933" s="60">
        <v>38610</v>
      </c>
      <c r="C1933" s="7">
        <v>3.0910000000000003E-2</v>
      </c>
      <c r="D1933" s="7">
        <v>3.0910000000000003E-2</v>
      </c>
      <c r="E1933" s="7">
        <v>3.0910000000000003E-2</v>
      </c>
      <c r="F1933" s="7">
        <v>3.0910000000000003E-2</v>
      </c>
      <c r="G1933" s="7">
        <v>-1E-3</v>
      </c>
    </row>
    <row r="1934" spans="2:7" x14ac:dyDescent="0.2">
      <c r="B1934" s="60">
        <v>38611</v>
      </c>
      <c r="C1934" s="7">
        <v>3.1259999999999996E-2</v>
      </c>
      <c r="D1934" s="7">
        <v>3.1259999999999996E-2</v>
      </c>
      <c r="E1934" s="7">
        <v>3.1259999999999996E-2</v>
      </c>
      <c r="F1934" s="7">
        <v>3.1259999999999996E-2</v>
      </c>
      <c r="G1934" s="7">
        <v>1.1299999999999999E-2</v>
      </c>
    </row>
    <row r="1935" spans="2:7" x14ac:dyDescent="0.2">
      <c r="B1935" s="60">
        <v>38614</v>
      </c>
      <c r="C1935" s="7">
        <v>3.1349999999999996E-2</v>
      </c>
      <c r="D1935" s="7">
        <v>3.1349999999999996E-2</v>
      </c>
      <c r="E1935" s="7">
        <v>3.1349999999999996E-2</v>
      </c>
      <c r="F1935" s="7">
        <v>3.1349999999999996E-2</v>
      </c>
      <c r="G1935" s="7">
        <v>2.8999999999999998E-3</v>
      </c>
    </row>
    <row r="1936" spans="2:7" x14ac:dyDescent="0.2">
      <c r="B1936" s="60">
        <v>38615</v>
      </c>
      <c r="C1936" s="7">
        <v>3.0910000000000003E-2</v>
      </c>
      <c r="D1936" s="7">
        <v>3.0910000000000003E-2</v>
      </c>
      <c r="E1936" s="7">
        <v>3.0910000000000003E-2</v>
      </c>
      <c r="F1936" s="7">
        <v>3.0910000000000003E-2</v>
      </c>
      <c r="G1936" s="7">
        <v>-1.4E-2</v>
      </c>
    </row>
    <row r="1937" spans="2:7" x14ac:dyDescent="0.2">
      <c r="B1937" s="60">
        <v>38616</v>
      </c>
      <c r="C1937" s="7">
        <v>3.0759999999999999E-2</v>
      </c>
      <c r="D1937" s="7">
        <v>3.0759999999999999E-2</v>
      </c>
      <c r="E1937" s="7">
        <v>3.0759999999999999E-2</v>
      </c>
      <c r="F1937" s="7">
        <v>3.0759999999999999E-2</v>
      </c>
      <c r="G1937" s="7">
        <v>-4.8999999999999998E-3</v>
      </c>
    </row>
    <row r="1938" spans="2:7" x14ac:dyDescent="0.2">
      <c r="B1938" s="60">
        <v>38617</v>
      </c>
      <c r="C1938" s="7">
        <v>3.0089999999999999E-2</v>
      </c>
      <c r="D1938" s="7">
        <v>3.0089999999999999E-2</v>
      </c>
      <c r="E1938" s="7">
        <v>3.0089999999999999E-2</v>
      </c>
      <c r="F1938" s="7">
        <v>3.0089999999999999E-2</v>
      </c>
      <c r="G1938" s="7">
        <v>-2.18E-2</v>
      </c>
    </row>
    <row r="1939" spans="2:7" x14ac:dyDescent="0.2">
      <c r="B1939" s="60">
        <v>38618</v>
      </c>
      <c r="C1939" s="7">
        <v>3.0099999999999998E-2</v>
      </c>
      <c r="D1939" s="7">
        <v>3.0099999999999998E-2</v>
      </c>
      <c r="E1939" s="7">
        <v>3.0099999999999998E-2</v>
      </c>
      <c r="F1939" s="7">
        <v>3.0099999999999998E-2</v>
      </c>
      <c r="G1939" s="7">
        <v>2.9999999999999997E-4</v>
      </c>
    </row>
    <row r="1940" spans="2:7" x14ac:dyDescent="0.2">
      <c r="B1940" s="60">
        <v>38621</v>
      </c>
      <c r="C1940" s="7">
        <v>3.0609999999999998E-2</v>
      </c>
      <c r="D1940" s="7">
        <v>3.0609999999999998E-2</v>
      </c>
      <c r="E1940" s="7">
        <v>3.0609999999999998E-2</v>
      </c>
      <c r="F1940" s="7">
        <v>3.0609999999999998E-2</v>
      </c>
      <c r="G1940" s="7">
        <v>1.6899999999999998E-2</v>
      </c>
    </row>
    <row r="1941" spans="2:7" x14ac:dyDescent="0.2">
      <c r="B1941" s="60">
        <v>38622</v>
      </c>
      <c r="C1941" s="7">
        <v>3.1150000000000001E-2</v>
      </c>
      <c r="D1941" s="7">
        <v>3.1150000000000001E-2</v>
      </c>
      <c r="E1941" s="7">
        <v>3.1150000000000001E-2</v>
      </c>
      <c r="F1941" s="7">
        <v>3.1150000000000001E-2</v>
      </c>
      <c r="G1941" s="7">
        <v>1.7600000000000001E-2</v>
      </c>
    </row>
    <row r="1942" spans="2:7" x14ac:dyDescent="0.2">
      <c r="B1942" s="60">
        <v>38623</v>
      </c>
      <c r="C1942" s="7">
        <v>3.1150000000000001E-2</v>
      </c>
      <c r="D1942" s="7">
        <v>3.1150000000000001E-2</v>
      </c>
      <c r="E1942" s="7">
        <v>3.1150000000000001E-2</v>
      </c>
      <c r="F1942" s="7">
        <v>3.1150000000000001E-2</v>
      </c>
      <c r="G1942" s="7">
        <v>0</v>
      </c>
    </row>
    <row r="1943" spans="2:7" x14ac:dyDescent="0.2">
      <c r="B1943" s="60">
        <v>38624</v>
      </c>
      <c r="C1943" s="7">
        <v>3.1179999999999999E-2</v>
      </c>
      <c r="D1943" s="7">
        <v>3.1179999999999999E-2</v>
      </c>
      <c r="E1943" s="7">
        <v>3.1179999999999999E-2</v>
      </c>
      <c r="F1943" s="7">
        <v>3.1179999999999999E-2</v>
      </c>
      <c r="G1943" s="7">
        <v>1E-3</v>
      </c>
    </row>
    <row r="1944" spans="2:7" x14ac:dyDescent="0.2">
      <c r="B1944" s="60">
        <v>38625</v>
      </c>
      <c r="C1944" s="7">
        <v>3.1539999999999999E-2</v>
      </c>
      <c r="D1944" s="7">
        <v>3.1539999999999999E-2</v>
      </c>
      <c r="E1944" s="7">
        <v>3.1539999999999999E-2</v>
      </c>
      <c r="F1944" s="7">
        <v>3.1539999999999999E-2</v>
      </c>
      <c r="G1944" s="7">
        <v>1.15E-2</v>
      </c>
    </row>
    <row r="1945" spans="2:7" x14ac:dyDescent="0.2">
      <c r="B1945" s="60">
        <v>38628</v>
      </c>
      <c r="C1945" s="7">
        <v>3.1519999999999999E-2</v>
      </c>
      <c r="D1945" s="7">
        <v>3.1519999999999999E-2</v>
      </c>
      <c r="E1945" s="7">
        <v>3.1519999999999999E-2</v>
      </c>
      <c r="F1945" s="7">
        <v>3.1519999999999999E-2</v>
      </c>
      <c r="G1945" s="7">
        <v>-5.9999999999999995E-4</v>
      </c>
    </row>
    <row r="1946" spans="2:7" x14ac:dyDescent="0.2">
      <c r="B1946" s="60">
        <v>38629</v>
      </c>
      <c r="C1946" s="7">
        <v>3.1760000000000004E-2</v>
      </c>
      <c r="D1946" s="7">
        <v>3.1760000000000004E-2</v>
      </c>
      <c r="E1946" s="7">
        <v>3.1760000000000004E-2</v>
      </c>
      <c r="F1946" s="7">
        <v>3.1760000000000004E-2</v>
      </c>
      <c r="G1946" s="7">
        <v>7.6E-3</v>
      </c>
    </row>
    <row r="1947" spans="2:7" x14ac:dyDescent="0.2">
      <c r="B1947" s="60">
        <v>38630</v>
      </c>
      <c r="C1947" s="7">
        <v>3.175E-2</v>
      </c>
      <c r="D1947" s="7">
        <v>3.175E-2</v>
      </c>
      <c r="E1947" s="7">
        <v>3.175E-2</v>
      </c>
      <c r="F1947" s="7">
        <v>3.175E-2</v>
      </c>
      <c r="G1947" s="7">
        <v>-2.9999999999999997E-4</v>
      </c>
    </row>
    <row r="1948" spans="2:7" x14ac:dyDescent="0.2">
      <c r="B1948" s="60">
        <v>38631</v>
      </c>
      <c r="C1948" s="7">
        <v>3.1869999999999996E-2</v>
      </c>
      <c r="D1948" s="7">
        <v>3.1869999999999996E-2</v>
      </c>
      <c r="E1948" s="7">
        <v>3.1869999999999996E-2</v>
      </c>
      <c r="F1948" s="7">
        <v>3.1869999999999996E-2</v>
      </c>
      <c r="G1948" s="7">
        <v>3.8E-3</v>
      </c>
    </row>
    <row r="1949" spans="2:7" x14ac:dyDescent="0.2">
      <c r="B1949" s="60">
        <v>38632</v>
      </c>
      <c r="C1949" s="7">
        <v>3.1939999999999996E-2</v>
      </c>
      <c r="D1949" s="7">
        <v>3.1939999999999996E-2</v>
      </c>
      <c r="E1949" s="7">
        <v>3.1939999999999996E-2</v>
      </c>
      <c r="F1949" s="7">
        <v>3.1939999999999996E-2</v>
      </c>
      <c r="G1949" s="7">
        <v>2.2000000000000001E-3</v>
      </c>
    </row>
    <row r="1950" spans="2:7" x14ac:dyDescent="0.2">
      <c r="B1950" s="60">
        <v>38635</v>
      </c>
      <c r="C1950" s="7">
        <v>3.1669999999999997E-2</v>
      </c>
      <c r="D1950" s="7">
        <v>3.1669999999999997E-2</v>
      </c>
      <c r="E1950" s="7">
        <v>3.1669999999999997E-2</v>
      </c>
      <c r="F1950" s="7">
        <v>3.1669999999999997E-2</v>
      </c>
      <c r="G1950" s="7">
        <v>-8.5000000000000006E-3</v>
      </c>
    </row>
    <row r="1951" spans="2:7" x14ac:dyDescent="0.2">
      <c r="B1951" s="60">
        <v>38636</v>
      </c>
      <c r="C1951" s="7">
        <v>3.1649999999999998E-2</v>
      </c>
      <c r="D1951" s="7">
        <v>3.1649999999999998E-2</v>
      </c>
      <c r="E1951" s="7">
        <v>3.1649999999999998E-2</v>
      </c>
      <c r="F1951" s="7">
        <v>3.1649999999999998E-2</v>
      </c>
      <c r="G1951" s="7">
        <v>-5.9999999999999995E-4</v>
      </c>
    </row>
    <row r="1952" spans="2:7" x14ac:dyDescent="0.2">
      <c r="B1952" s="60">
        <v>38637</v>
      </c>
      <c r="C1952" s="7">
        <v>3.1920000000000004E-2</v>
      </c>
      <c r="D1952" s="7">
        <v>3.1920000000000004E-2</v>
      </c>
      <c r="E1952" s="7">
        <v>3.1920000000000004E-2</v>
      </c>
      <c r="F1952" s="7">
        <v>3.1920000000000004E-2</v>
      </c>
      <c r="G1952" s="7">
        <v>8.5000000000000006E-3</v>
      </c>
    </row>
    <row r="1953" spans="2:7" x14ac:dyDescent="0.2">
      <c r="B1953" s="60">
        <v>38638</v>
      </c>
      <c r="C1953" s="7">
        <v>3.2289999999999999E-2</v>
      </c>
      <c r="D1953" s="7">
        <v>3.2289999999999999E-2</v>
      </c>
      <c r="E1953" s="7">
        <v>3.2289999999999999E-2</v>
      </c>
      <c r="F1953" s="7">
        <v>3.2289999999999999E-2</v>
      </c>
      <c r="G1953" s="7">
        <v>1.1599999999999999E-2</v>
      </c>
    </row>
    <row r="1954" spans="2:7" x14ac:dyDescent="0.2">
      <c r="B1954" s="60">
        <v>38639</v>
      </c>
      <c r="C1954" s="7">
        <v>3.2890000000000003E-2</v>
      </c>
      <c r="D1954" s="7">
        <v>3.2890000000000003E-2</v>
      </c>
      <c r="E1954" s="7">
        <v>3.2890000000000003E-2</v>
      </c>
      <c r="F1954" s="7">
        <v>3.2890000000000003E-2</v>
      </c>
      <c r="G1954" s="7">
        <v>1.8599999999999998E-2</v>
      </c>
    </row>
    <row r="1955" spans="2:7" x14ac:dyDescent="0.2">
      <c r="B1955" s="60">
        <v>38642</v>
      </c>
      <c r="C1955" s="7">
        <v>3.3090000000000001E-2</v>
      </c>
      <c r="D1955" s="7">
        <v>3.3090000000000001E-2</v>
      </c>
      <c r="E1955" s="7">
        <v>3.3090000000000001E-2</v>
      </c>
      <c r="F1955" s="7">
        <v>3.3090000000000001E-2</v>
      </c>
      <c r="G1955" s="7">
        <v>6.1000000000000004E-3</v>
      </c>
    </row>
    <row r="1956" spans="2:7" x14ac:dyDescent="0.2">
      <c r="B1956" s="60">
        <v>38643</v>
      </c>
      <c r="C1956" s="7">
        <v>3.2980000000000002E-2</v>
      </c>
      <c r="D1956" s="7">
        <v>3.2980000000000002E-2</v>
      </c>
      <c r="E1956" s="7">
        <v>3.2980000000000002E-2</v>
      </c>
      <c r="F1956" s="7">
        <v>3.2980000000000002E-2</v>
      </c>
      <c r="G1956" s="7">
        <v>-3.3E-3</v>
      </c>
    </row>
    <row r="1957" spans="2:7" x14ac:dyDescent="0.2">
      <c r="B1957" s="60">
        <v>38644</v>
      </c>
      <c r="C1957" s="7">
        <v>3.279E-2</v>
      </c>
      <c r="D1957" s="7">
        <v>3.279E-2</v>
      </c>
      <c r="E1957" s="7">
        <v>3.279E-2</v>
      </c>
      <c r="F1957" s="7">
        <v>3.279E-2</v>
      </c>
      <c r="G1957" s="7">
        <v>-5.7999999999999996E-3</v>
      </c>
    </row>
    <row r="1958" spans="2:7" x14ac:dyDescent="0.2">
      <c r="B1958" s="60">
        <v>38645</v>
      </c>
      <c r="C1958" s="7">
        <v>3.261E-2</v>
      </c>
      <c r="D1958" s="7">
        <v>3.261E-2</v>
      </c>
      <c r="E1958" s="7">
        <v>3.261E-2</v>
      </c>
      <c r="F1958" s="7">
        <v>3.261E-2</v>
      </c>
      <c r="G1958" s="7">
        <v>-5.4999999999999997E-3</v>
      </c>
    </row>
    <row r="1959" spans="2:7" x14ac:dyDescent="0.2">
      <c r="B1959" s="60">
        <v>38646</v>
      </c>
      <c r="C1959" s="7">
        <v>3.288E-2</v>
      </c>
      <c r="D1959" s="7">
        <v>3.288E-2</v>
      </c>
      <c r="E1959" s="7">
        <v>3.288E-2</v>
      </c>
      <c r="F1959" s="7">
        <v>3.288E-2</v>
      </c>
      <c r="G1959" s="7">
        <v>8.3000000000000001E-3</v>
      </c>
    </row>
    <row r="1960" spans="2:7" x14ac:dyDescent="0.2">
      <c r="B1960" s="60">
        <v>38649</v>
      </c>
      <c r="C1960" s="7">
        <v>3.2300000000000002E-2</v>
      </c>
      <c r="D1960" s="7">
        <v>3.2300000000000002E-2</v>
      </c>
      <c r="E1960" s="7">
        <v>3.2300000000000002E-2</v>
      </c>
      <c r="F1960" s="7">
        <v>3.2300000000000002E-2</v>
      </c>
      <c r="G1960" s="7">
        <v>-1.7600000000000001E-2</v>
      </c>
    </row>
    <row r="1961" spans="2:7" x14ac:dyDescent="0.2">
      <c r="B1961" s="60">
        <v>38650</v>
      </c>
      <c r="C1961" s="7">
        <v>3.2549999999999996E-2</v>
      </c>
      <c r="D1961" s="7">
        <v>3.2549999999999996E-2</v>
      </c>
      <c r="E1961" s="7">
        <v>3.2549999999999996E-2</v>
      </c>
      <c r="F1961" s="7">
        <v>3.2549999999999996E-2</v>
      </c>
      <c r="G1961" s="7">
        <v>7.7000000000000002E-3</v>
      </c>
    </row>
    <row r="1962" spans="2:7" x14ac:dyDescent="0.2">
      <c r="B1962" s="60">
        <v>38651</v>
      </c>
      <c r="C1962" s="7">
        <v>3.3309999999999999E-2</v>
      </c>
      <c r="D1962" s="7">
        <v>3.3309999999999999E-2</v>
      </c>
      <c r="E1962" s="7">
        <v>3.3309999999999999E-2</v>
      </c>
      <c r="F1962" s="7">
        <v>3.3309999999999999E-2</v>
      </c>
      <c r="G1962" s="7">
        <v>2.3300000000000001E-2</v>
      </c>
    </row>
    <row r="1963" spans="2:7" x14ac:dyDescent="0.2">
      <c r="B1963" s="60">
        <v>38652</v>
      </c>
      <c r="C1963" s="7">
        <v>3.372E-2</v>
      </c>
      <c r="D1963" s="7">
        <v>3.372E-2</v>
      </c>
      <c r="E1963" s="7">
        <v>3.372E-2</v>
      </c>
      <c r="F1963" s="7">
        <v>3.372E-2</v>
      </c>
      <c r="G1963" s="7">
        <v>1.23E-2</v>
      </c>
    </row>
    <row r="1964" spans="2:7" x14ac:dyDescent="0.2">
      <c r="B1964" s="60">
        <v>38653</v>
      </c>
      <c r="C1964" s="7">
        <v>3.4110000000000001E-2</v>
      </c>
      <c r="D1964" s="7">
        <v>3.4110000000000001E-2</v>
      </c>
      <c r="E1964" s="7">
        <v>3.4110000000000001E-2</v>
      </c>
      <c r="F1964" s="7">
        <v>3.4110000000000001E-2</v>
      </c>
      <c r="G1964" s="7">
        <v>1.1599999999999999E-2</v>
      </c>
    </row>
    <row r="1965" spans="2:7" x14ac:dyDescent="0.2">
      <c r="B1965" s="60">
        <v>38656</v>
      </c>
      <c r="C1965" s="7">
        <v>3.4110000000000001E-2</v>
      </c>
      <c r="D1965" s="7">
        <v>3.4110000000000001E-2</v>
      </c>
      <c r="E1965" s="7">
        <v>3.4110000000000001E-2</v>
      </c>
      <c r="F1965" s="7">
        <v>3.4110000000000001E-2</v>
      </c>
      <c r="G1965" s="7">
        <v>0</v>
      </c>
    </row>
    <row r="1966" spans="2:7" x14ac:dyDescent="0.2">
      <c r="B1966" s="60">
        <v>38657</v>
      </c>
      <c r="C1966" s="7">
        <v>3.3950000000000001E-2</v>
      </c>
      <c r="D1966" s="7">
        <v>3.3950000000000001E-2</v>
      </c>
      <c r="E1966" s="7">
        <v>3.3950000000000001E-2</v>
      </c>
      <c r="F1966" s="7">
        <v>3.3950000000000001E-2</v>
      </c>
      <c r="G1966" s="7">
        <v>-4.7000000000000002E-3</v>
      </c>
    </row>
    <row r="1967" spans="2:7" x14ac:dyDescent="0.2">
      <c r="B1967" s="60">
        <v>38658</v>
      </c>
      <c r="C1967" s="7">
        <v>3.4099999999999998E-2</v>
      </c>
      <c r="D1967" s="7">
        <v>3.4099999999999998E-2</v>
      </c>
      <c r="E1967" s="7">
        <v>3.4099999999999998E-2</v>
      </c>
      <c r="F1967" s="7">
        <v>3.4099999999999998E-2</v>
      </c>
      <c r="G1967" s="7">
        <v>4.4000000000000003E-3</v>
      </c>
    </row>
    <row r="1968" spans="2:7" x14ac:dyDescent="0.2">
      <c r="B1968" s="60">
        <v>38659</v>
      </c>
      <c r="C1968" s="7">
        <v>3.4450000000000001E-2</v>
      </c>
      <c r="D1968" s="7">
        <v>3.4450000000000001E-2</v>
      </c>
      <c r="E1968" s="7">
        <v>3.4450000000000001E-2</v>
      </c>
      <c r="F1968" s="7">
        <v>3.4450000000000001E-2</v>
      </c>
      <c r="G1968" s="7">
        <v>1.03E-2</v>
      </c>
    </row>
    <row r="1969" spans="2:7" x14ac:dyDescent="0.2">
      <c r="B1969" s="60">
        <v>38660</v>
      </c>
      <c r="C1969" s="7">
        <v>3.4590000000000003E-2</v>
      </c>
      <c r="D1969" s="7">
        <v>3.4590000000000003E-2</v>
      </c>
      <c r="E1969" s="7">
        <v>3.4590000000000003E-2</v>
      </c>
      <c r="F1969" s="7">
        <v>3.4590000000000003E-2</v>
      </c>
      <c r="G1969" s="7">
        <v>4.1000000000000003E-3</v>
      </c>
    </row>
    <row r="1970" spans="2:7" x14ac:dyDescent="0.2">
      <c r="B1970" s="60">
        <v>38663</v>
      </c>
      <c r="C1970" s="7">
        <v>3.5029999999999999E-2</v>
      </c>
      <c r="D1970" s="7">
        <v>3.5029999999999999E-2</v>
      </c>
      <c r="E1970" s="7">
        <v>3.5029999999999999E-2</v>
      </c>
      <c r="F1970" s="7">
        <v>3.5029999999999999E-2</v>
      </c>
      <c r="G1970" s="7">
        <v>1.2699999999999999E-2</v>
      </c>
    </row>
    <row r="1971" spans="2:7" x14ac:dyDescent="0.2">
      <c r="B1971" s="60">
        <v>38664</v>
      </c>
      <c r="C1971" s="7">
        <v>3.5060000000000001E-2</v>
      </c>
      <c r="D1971" s="7">
        <v>3.5060000000000001E-2</v>
      </c>
      <c r="E1971" s="7">
        <v>3.5060000000000001E-2</v>
      </c>
      <c r="F1971" s="7">
        <v>3.5060000000000001E-2</v>
      </c>
      <c r="G1971" s="7">
        <v>8.9999999999999998E-4</v>
      </c>
    </row>
    <row r="1972" spans="2:7" x14ac:dyDescent="0.2">
      <c r="B1972" s="60">
        <v>38665</v>
      </c>
      <c r="C1972" s="7">
        <v>3.4590000000000003E-2</v>
      </c>
      <c r="D1972" s="7">
        <v>3.4590000000000003E-2</v>
      </c>
      <c r="E1972" s="7">
        <v>3.4590000000000003E-2</v>
      </c>
      <c r="F1972" s="7">
        <v>3.4590000000000003E-2</v>
      </c>
      <c r="G1972" s="7">
        <v>-1.34E-2</v>
      </c>
    </row>
    <row r="1973" spans="2:7" x14ac:dyDescent="0.2">
      <c r="B1973" s="60">
        <v>38666</v>
      </c>
      <c r="C1973" s="7">
        <v>3.524E-2</v>
      </c>
      <c r="D1973" s="7">
        <v>3.524E-2</v>
      </c>
      <c r="E1973" s="7">
        <v>3.524E-2</v>
      </c>
      <c r="F1973" s="7">
        <v>3.524E-2</v>
      </c>
      <c r="G1973" s="7">
        <v>1.8800000000000001E-2</v>
      </c>
    </row>
    <row r="1974" spans="2:7" x14ac:dyDescent="0.2">
      <c r="B1974" s="60">
        <v>38667</v>
      </c>
      <c r="C1974" s="7">
        <v>3.5189999999999999E-2</v>
      </c>
      <c r="D1974" s="7">
        <v>3.5189999999999999E-2</v>
      </c>
      <c r="E1974" s="7">
        <v>3.5189999999999999E-2</v>
      </c>
      <c r="F1974" s="7">
        <v>3.5189999999999999E-2</v>
      </c>
      <c r="G1974" s="7">
        <v>-1.4E-3</v>
      </c>
    </row>
    <row r="1975" spans="2:7" x14ac:dyDescent="0.2">
      <c r="B1975" s="60">
        <v>38670</v>
      </c>
      <c r="C1975" s="7">
        <v>3.5159999999999997E-2</v>
      </c>
      <c r="D1975" s="7">
        <v>3.5159999999999997E-2</v>
      </c>
      <c r="E1975" s="7">
        <v>3.5159999999999997E-2</v>
      </c>
      <c r="F1975" s="7">
        <v>3.5159999999999997E-2</v>
      </c>
      <c r="G1975" s="7">
        <v>-8.9999999999999998E-4</v>
      </c>
    </row>
    <row r="1976" spans="2:7" x14ac:dyDescent="0.2">
      <c r="B1976" s="60">
        <v>38671</v>
      </c>
      <c r="C1976" s="7">
        <v>3.5520000000000003E-2</v>
      </c>
      <c r="D1976" s="7">
        <v>3.5520000000000003E-2</v>
      </c>
      <c r="E1976" s="7">
        <v>3.5520000000000003E-2</v>
      </c>
      <c r="F1976" s="7">
        <v>3.5520000000000003E-2</v>
      </c>
      <c r="G1976" s="7">
        <v>1.0200000000000001E-2</v>
      </c>
    </row>
    <row r="1977" spans="2:7" x14ac:dyDescent="0.2">
      <c r="B1977" s="60">
        <v>38672</v>
      </c>
      <c r="C1977" s="7">
        <v>3.4970000000000001E-2</v>
      </c>
      <c r="D1977" s="7">
        <v>3.4970000000000001E-2</v>
      </c>
      <c r="E1977" s="7">
        <v>3.4970000000000001E-2</v>
      </c>
      <c r="F1977" s="7">
        <v>3.4970000000000001E-2</v>
      </c>
      <c r="G1977" s="7">
        <v>-1.55E-2</v>
      </c>
    </row>
    <row r="1978" spans="2:7" x14ac:dyDescent="0.2">
      <c r="B1978" s="60">
        <v>38673</v>
      </c>
      <c r="C1978" s="7">
        <v>3.422E-2</v>
      </c>
      <c r="D1978" s="7">
        <v>3.422E-2</v>
      </c>
      <c r="E1978" s="7">
        <v>3.422E-2</v>
      </c>
      <c r="F1978" s="7">
        <v>3.422E-2</v>
      </c>
      <c r="G1978" s="7">
        <v>-2.1399999999999999E-2</v>
      </c>
    </row>
    <row r="1979" spans="2:7" x14ac:dyDescent="0.2">
      <c r="B1979" s="60">
        <v>38674</v>
      </c>
      <c r="C1979" s="7">
        <v>3.431E-2</v>
      </c>
      <c r="D1979" s="7">
        <v>3.431E-2</v>
      </c>
      <c r="E1979" s="7">
        <v>3.431E-2</v>
      </c>
      <c r="F1979" s="7">
        <v>3.431E-2</v>
      </c>
      <c r="G1979" s="7">
        <v>2.5999999999999999E-3</v>
      </c>
    </row>
    <row r="1980" spans="2:7" x14ac:dyDescent="0.2">
      <c r="B1980" s="60">
        <v>38677</v>
      </c>
      <c r="C1980" s="7">
        <v>3.5220000000000001E-2</v>
      </c>
      <c r="D1980" s="7">
        <v>3.5220000000000001E-2</v>
      </c>
      <c r="E1980" s="7">
        <v>3.5220000000000001E-2</v>
      </c>
      <c r="F1980" s="7">
        <v>3.5220000000000001E-2</v>
      </c>
      <c r="G1980" s="7">
        <v>2.6499999999999999E-2</v>
      </c>
    </row>
    <row r="1981" spans="2:7" x14ac:dyDescent="0.2">
      <c r="B1981" s="60">
        <v>38678</v>
      </c>
      <c r="C1981" s="7">
        <v>3.4959999999999998E-2</v>
      </c>
      <c r="D1981" s="7">
        <v>3.4959999999999998E-2</v>
      </c>
      <c r="E1981" s="7">
        <v>3.4959999999999998E-2</v>
      </c>
      <c r="F1981" s="7">
        <v>3.4959999999999998E-2</v>
      </c>
      <c r="G1981" s="7">
        <v>-7.4000000000000003E-3</v>
      </c>
    </row>
    <row r="1982" spans="2:7" x14ac:dyDescent="0.2">
      <c r="B1982" s="60">
        <v>38679</v>
      </c>
      <c r="C1982" s="7">
        <v>3.474E-2</v>
      </c>
      <c r="D1982" s="7">
        <v>3.474E-2</v>
      </c>
      <c r="E1982" s="7">
        <v>3.474E-2</v>
      </c>
      <c r="F1982" s="7">
        <v>3.474E-2</v>
      </c>
      <c r="G1982" s="7">
        <v>-6.3E-3</v>
      </c>
    </row>
    <row r="1983" spans="2:7" x14ac:dyDescent="0.2">
      <c r="B1983" s="60">
        <v>38680</v>
      </c>
      <c r="C1983" s="7">
        <v>3.474E-2</v>
      </c>
      <c r="D1983" s="7">
        <v>3.474E-2</v>
      </c>
      <c r="E1983" s="7">
        <v>3.474E-2</v>
      </c>
      <c r="F1983" s="7">
        <v>3.474E-2</v>
      </c>
      <c r="G1983" s="7">
        <v>0</v>
      </c>
    </row>
    <row r="1984" spans="2:7" x14ac:dyDescent="0.2">
      <c r="B1984" s="60">
        <v>38681</v>
      </c>
      <c r="C1984" s="7">
        <v>3.3980000000000003E-2</v>
      </c>
      <c r="D1984" s="7">
        <v>3.3980000000000003E-2</v>
      </c>
      <c r="E1984" s="7">
        <v>3.3980000000000003E-2</v>
      </c>
      <c r="F1984" s="7">
        <v>3.3980000000000003E-2</v>
      </c>
      <c r="G1984" s="7">
        <v>-2.1899999999999999E-2</v>
      </c>
    </row>
    <row r="1985" spans="2:7" x14ac:dyDescent="0.2">
      <c r="B1985" s="60">
        <v>38684</v>
      </c>
      <c r="C1985" s="7">
        <v>3.4119999999999998E-2</v>
      </c>
      <c r="D1985" s="7">
        <v>3.4119999999999998E-2</v>
      </c>
      <c r="E1985" s="7">
        <v>3.4119999999999998E-2</v>
      </c>
      <c r="F1985" s="7">
        <v>3.4119999999999998E-2</v>
      </c>
      <c r="G1985" s="7">
        <v>4.1000000000000003E-3</v>
      </c>
    </row>
    <row r="1986" spans="2:7" x14ac:dyDescent="0.2">
      <c r="B1986" s="60">
        <v>38685</v>
      </c>
      <c r="C1986" s="7">
        <v>3.3910000000000003E-2</v>
      </c>
      <c r="D1986" s="7">
        <v>3.3910000000000003E-2</v>
      </c>
      <c r="E1986" s="7">
        <v>3.3910000000000003E-2</v>
      </c>
      <c r="F1986" s="7">
        <v>3.3910000000000003E-2</v>
      </c>
      <c r="G1986" s="7">
        <v>-6.1999999999999998E-3</v>
      </c>
    </row>
    <row r="1987" spans="2:7" x14ac:dyDescent="0.2">
      <c r="B1987" s="60">
        <v>38686</v>
      </c>
      <c r="C1987" s="7">
        <v>3.4509999999999999E-2</v>
      </c>
      <c r="D1987" s="7">
        <v>3.4509999999999999E-2</v>
      </c>
      <c r="E1987" s="7">
        <v>3.4509999999999999E-2</v>
      </c>
      <c r="F1987" s="7">
        <v>3.4509999999999999E-2</v>
      </c>
      <c r="G1987" s="7">
        <v>1.77E-2</v>
      </c>
    </row>
    <row r="1988" spans="2:7" x14ac:dyDescent="0.2">
      <c r="B1988" s="60">
        <v>38687</v>
      </c>
      <c r="C1988" s="7">
        <v>3.4230000000000003E-2</v>
      </c>
      <c r="D1988" s="7">
        <v>3.4230000000000003E-2</v>
      </c>
      <c r="E1988" s="7">
        <v>3.4230000000000003E-2</v>
      </c>
      <c r="F1988" s="7">
        <v>3.4230000000000003E-2</v>
      </c>
      <c r="G1988" s="7">
        <v>-8.0999999999999996E-3</v>
      </c>
    </row>
    <row r="1989" spans="2:7" x14ac:dyDescent="0.2">
      <c r="B1989" s="60">
        <v>38688</v>
      </c>
      <c r="C1989" s="7">
        <v>3.3929999999999995E-2</v>
      </c>
      <c r="D1989" s="7">
        <v>3.3929999999999995E-2</v>
      </c>
      <c r="E1989" s="7">
        <v>3.3929999999999995E-2</v>
      </c>
      <c r="F1989" s="7">
        <v>3.3929999999999995E-2</v>
      </c>
      <c r="G1989" s="7">
        <v>-8.8000000000000005E-3</v>
      </c>
    </row>
    <row r="1990" spans="2:7" x14ac:dyDescent="0.2">
      <c r="B1990" s="60">
        <v>38691</v>
      </c>
      <c r="C1990" s="7">
        <v>3.3860000000000001E-2</v>
      </c>
      <c r="D1990" s="7">
        <v>3.3860000000000001E-2</v>
      </c>
      <c r="E1990" s="7">
        <v>3.3860000000000001E-2</v>
      </c>
      <c r="F1990" s="7">
        <v>3.3860000000000001E-2</v>
      </c>
      <c r="G1990" s="7">
        <v>-2.0999999999999999E-3</v>
      </c>
    </row>
    <row r="1991" spans="2:7" x14ac:dyDescent="0.2">
      <c r="B1991" s="60">
        <v>38692</v>
      </c>
      <c r="C1991" s="7">
        <v>3.4169999999999999E-2</v>
      </c>
      <c r="D1991" s="7">
        <v>3.4169999999999999E-2</v>
      </c>
      <c r="E1991" s="7">
        <v>3.4169999999999999E-2</v>
      </c>
      <c r="F1991" s="7">
        <v>3.4169999999999999E-2</v>
      </c>
      <c r="G1991" s="7">
        <v>9.1999999999999998E-3</v>
      </c>
    </row>
    <row r="1992" spans="2:7" x14ac:dyDescent="0.2">
      <c r="B1992" s="60">
        <v>38693</v>
      </c>
      <c r="C1992" s="7">
        <v>3.3680000000000002E-2</v>
      </c>
      <c r="D1992" s="7">
        <v>3.3680000000000002E-2</v>
      </c>
      <c r="E1992" s="7">
        <v>3.3680000000000002E-2</v>
      </c>
      <c r="F1992" s="7">
        <v>3.3680000000000002E-2</v>
      </c>
      <c r="G1992" s="7">
        <v>-1.43E-2</v>
      </c>
    </row>
    <row r="1993" spans="2:7" x14ac:dyDescent="0.2">
      <c r="B1993" s="60">
        <v>38694</v>
      </c>
      <c r="C1993" s="7">
        <v>3.4049999999999997E-2</v>
      </c>
      <c r="D1993" s="7">
        <v>3.4049999999999997E-2</v>
      </c>
      <c r="E1993" s="7">
        <v>3.4049999999999997E-2</v>
      </c>
      <c r="F1993" s="7">
        <v>3.4049999999999997E-2</v>
      </c>
      <c r="G1993" s="7">
        <v>1.0999999999999999E-2</v>
      </c>
    </row>
    <row r="1994" spans="2:7" x14ac:dyDescent="0.2">
      <c r="B1994" s="60">
        <v>38695</v>
      </c>
      <c r="C1994" s="7">
        <v>3.3709999999999997E-2</v>
      </c>
      <c r="D1994" s="7">
        <v>3.3709999999999997E-2</v>
      </c>
      <c r="E1994" s="7">
        <v>3.3709999999999997E-2</v>
      </c>
      <c r="F1994" s="7">
        <v>3.3709999999999997E-2</v>
      </c>
      <c r="G1994" s="7">
        <v>-0.01</v>
      </c>
    </row>
    <row r="1995" spans="2:7" x14ac:dyDescent="0.2">
      <c r="B1995" s="60">
        <v>38698</v>
      </c>
      <c r="C1995" s="7">
        <v>3.4430000000000002E-2</v>
      </c>
      <c r="D1995" s="7">
        <v>3.4430000000000002E-2</v>
      </c>
      <c r="E1995" s="7">
        <v>3.4430000000000002E-2</v>
      </c>
      <c r="F1995" s="7">
        <v>3.4430000000000002E-2</v>
      </c>
      <c r="G1995" s="7">
        <v>2.1399999999999999E-2</v>
      </c>
    </row>
    <row r="1996" spans="2:7" x14ac:dyDescent="0.2">
      <c r="B1996" s="60">
        <v>38699</v>
      </c>
      <c r="C1996" s="7">
        <v>3.424E-2</v>
      </c>
      <c r="D1996" s="7">
        <v>3.424E-2</v>
      </c>
      <c r="E1996" s="7">
        <v>3.424E-2</v>
      </c>
      <c r="F1996" s="7">
        <v>3.424E-2</v>
      </c>
      <c r="G1996" s="7">
        <v>-5.4999999999999997E-3</v>
      </c>
    </row>
    <row r="1997" spans="2:7" x14ac:dyDescent="0.2">
      <c r="B1997" s="60">
        <v>38700</v>
      </c>
      <c r="C1997" s="7">
        <v>3.3919999999999999E-2</v>
      </c>
      <c r="D1997" s="7">
        <v>3.3919999999999999E-2</v>
      </c>
      <c r="E1997" s="7">
        <v>3.3919999999999999E-2</v>
      </c>
      <c r="F1997" s="7">
        <v>3.3919999999999999E-2</v>
      </c>
      <c r="G1997" s="7">
        <v>-9.2999999999999992E-3</v>
      </c>
    </row>
    <row r="1998" spans="2:7" x14ac:dyDescent="0.2">
      <c r="B1998" s="60">
        <v>38701</v>
      </c>
      <c r="C1998" s="7">
        <v>3.3700000000000001E-2</v>
      </c>
      <c r="D1998" s="7">
        <v>3.3700000000000001E-2</v>
      </c>
      <c r="E1998" s="7">
        <v>3.3700000000000001E-2</v>
      </c>
      <c r="F1998" s="7">
        <v>3.3700000000000001E-2</v>
      </c>
      <c r="G1998" s="7">
        <v>-6.4999999999999997E-3</v>
      </c>
    </row>
    <row r="1999" spans="2:7" x14ac:dyDescent="0.2">
      <c r="B1999" s="60">
        <v>38702</v>
      </c>
      <c r="C1999" s="7">
        <v>3.3579999999999999E-2</v>
      </c>
      <c r="D1999" s="7">
        <v>3.3579999999999999E-2</v>
      </c>
      <c r="E1999" s="7">
        <v>3.3579999999999999E-2</v>
      </c>
      <c r="F1999" s="7">
        <v>3.3579999999999999E-2</v>
      </c>
      <c r="G1999" s="7">
        <v>-3.5999999999999999E-3</v>
      </c>
    </row>
    <row r="2000" spans="2:7" x14ac:dyDescent="0.2">
      <c r="B2000" s="60">
        <v>38705</v>
      </c>
      <c r="C2000" s="7">
        <v>3.3450000000000001E-2</v>
      </c>
      <c r="D2000" s="7">
        <v>3.3450000000000001E-2</v>
      </c>
      <c r="E2000" s="7">
        <v>3.3450000000000001E-2</v>
      </c>
      <c r="F2000" s="7">
        <v>3.3450000000000001E-2</v>
      </c>
      <c r="G2000" s="7">
        <v>-3.8999999999999998E-3</v>
      </c>
    </row>
    <row r="2001" spans="2:7" x14ac:dyDescent="0.2">
      <c r="B2001" s="60">
        <v>38706</v>
      </c>
      <c r="C2001" s="7">
        <v>3.3329999999999999E-2</v>
      </c>
      <c r="D2001" s="7">
        <v>3.3329999999999999E-2</v>
      </c>
      <c r="E2001" s="7">
        <v>3.3329999999999999E-2</v>
      </c>
      <c r="F2001" s="7">
        <v>3.3329999999999999E-2</v>
      </c>
      <c r="G2001" s="7">
        <v>-3.5999999999999999E-3</v>
      </c>
    </row>
    <row r="2002" spans="2:7" x14ac:dyDescent="0.2">
      <c r="B2002" s="60">
        <v>38707</v>
      </c>
      <c r="C2002" s="7">
        <v>3.3479999999999996E-2</v>
      </c>
      <c r="D2002" s="7">
        <v>3.3479999999999996E-2</v>
      </c>
      <c r="E2002" s="7">
        <v>3.3479999999999996E-2</v>
      </c>
      <c r="F2002" s="7">
        <v>3.3479999999999996E-2</v>
      </c>
      <c r="G2002" s="7">
        <v>4.4999999999999997E-3</v>
      </c>
    </row>
    <row r="2003" spans="2:7" x14ac:dyDescent="0.2">
      <c r="B2003" s="60">
        <v>38708</v>
      </c>
      <c r="C2003" s="7">
        <v>3.3620000000000004E-2</v>
      </c>
      <c r="D2003" s="7">
        <v>3.3620000000000004E-2</v>
      </c>
      <c r="E2003" s="7">
        <v>3.3620000000000004E-2</v>
      </c>
      <c r="F2003" s="7">
        <v>3.3620000000000004E-2</v>
      </c>
      <c r="G2003" s="7">
        <v>4.1999999999999997E-3</v>
      </c>
    </row>
    <row r="2004" spans="2:7" x14ac:dyDescent="0.2">
      <c r="B2004" s="60">
        <v>38709</v>
      </c>
      <c r="C2004" s="7">
        <v>3.3270000000000001E-2</v>
      </c>
      <c r="D2004" s="7">
        <v>3.3270000000000001E-2</v>
      </c>
      <c r="E2004" s="7">
        <v>3.3270000000000001E-2</v>
      </c>
      <c r="F2004" s="7">
        <v>3.3270000000000001E-2</v>
      </c>
      <c r="G2004" s="7">
        <v>-1.04E-2</v>
      </c>
    </row>
    <row r="2005" spans="2:7" x14ac:dyDescent="0.2">
      <c r="B2005" s="60">
        <v>38712</v>
      </c>
      <c r="C2005" s="7">
        <v>3.3250000000000002E-2</v>
      </c>
      <c r="D2005" s="7">
        <v>3.3250000000000002E-2</v>
      </c>
      <c r="E2005" s="7">
        <v>3.3250000000000002E-2</v>
      </c>
      <c r="F2005" s="7">
        <v>3.3250000000000002E-2</v>
      </c>
      <c r="G2005" s="7">
        <v>-5.9999999999999995E-4</v>
      </c>
    </row>
    <row r="2006" spans="2:7" x14ac:dyDescent="0.2">
      <c r="B2006" s="60">
        <v>38713</v>
      </c>
      <c r="C2006" s="7">
        <v>3.304E-2</v>
      </c>
      <c r="D2006" s="7">
        <v>3.304E-2</v>
      </c>
      <c r="E2006" s="7">
        <v>3.304E-2</v>
      </c>
      <c r="F2006" s="7">
        <v>3.304E-2</v>
      </c>
      <c r="G2006" s="7">
        <v>-6.3E-3</v>
      </c>
    </row>
    <row r="2007" spans="2:7" x14ac:dyDescent="0.2">
      <c r="B2007" s="60">
        <v>38714</v>
      </c>
      <c r="C2007" s="7">
        <v>3.2939999999999997E-2</v>
      </c>
      <c r="D2007" s="7">
        <v>3.2939999999999997E-2</v>
      </c>
      <c r="E2007" s="7">
        <v>3.2939999999999997E-2</v>
      </c>
      <c r="F2007" s="7">
        <v>3.2939999999999997E-2</v>
      </c>
      <c r="G2007" s="7">
        <v>-3.0000000000000001E-3</v>
      </c>
    </row>
    <row r="2008" spans="2:7" x14ac:dyDescent="0.2">
      <c r="B2008" s="60">
        <v>38715</v>
      </c>
      <c r="C2008" s="7">
        <v>3.2930000000000001E-2</v>
      </c>
      <c r="D2008" s="7">
        <v>3.2930000000000001E-2</v>
      </c>
      <c r="E2008" s="7">
        <v>3.2930000000000001E-2</v>
      </c>
      <c r="F2008" s="7">
        <v>3.2930000000000001E-2</v>
      </c>
      <c r="G2008" s="7">
        <v>-2.9999999999999997E-4</v>
      </c>
    </row>
    <row r="2009" spans="2:7" x14ac:dyDescent="0.2">
      <c r="B2009" s="60">
        <v>38716</v>
      </c>
      <c r="C2009" s="7">
        <v>3.295E-2</v>
      </c>
      <c r="D2009" s="7">
        <v>3.295E-2</v>
      </c>
      <c r="E2009" s="7">
        <v>3.295E-2</v>
      </c>
      <c r="F2009" s="7">
        <v>3.295E-2</v>
      </c>
      <c r="G2009" s="7">
        <v>5.9999999999999995E-4</v>
      </c>
    </row>
    <row r="2010" spans="2:7" x14ac:dyDescent="0.2">
      <c r="B2010" s="60">
        <v>38719</v>
      </c>
      <c r="C2010" s="7">
        <v>3.3059999999999999E-2</v>
      </c>
      <c r="D2010" s="7">
        <v>3.3059999999999999E-2</v>
      </c>
      <c r="E2010" s="7">
        <v>3.3059999999999999E-2</v>
      </c>
      <c r="F2010" s="7">
        <v>3.3059999999999999E-2</v>
      </c>
      <c r="G2010" s="7">
        <v>3.3E-3</v>
      </c>
    </row>
    <row r="2011" spans="2:7" x14ac:dyDescent="0.2">
      <c r="B2011" s="60">
        <v>38720</v>
      </c>
      <c r="C2011" s="7">
        <v>3.338E-2</v>
      </c>
      <c r="D2011" s="7">
        <v>3.338E-2</v>
      </c>
      <c r="E2011" s="7">
        <v>3.338E-2</v>
      </c>
      <c r="F2011" s="7">
        <v>3.338E-2</v>
      </c>
      <c r="G2011" s="7">
        <v>9.7000000000000003E-3</v>
      </c>
    </row>
    <row r="2012" spans="2:7" x14ac:dyDescent="0.2">
      <c r="B2012" s="60">
        <v>38721</v>
      </c>
      <c r="C2012" s="7">
        <v>3.3079999999999998E-2</v>
      </c>
      <c r="D2012" s="7">
        <v>3.3079999999999998E-2</v>
      </c>
      <c r="E2012" s="7">
        <v>3.3079999999999998E-2</v>
      </c>
      <c r="F2012" s="7">
        <v>3.3079999999999998E-2</v>
      </c>
      <c r="G2012" s="7">
        <v>-8.9999999999999993E-3</v>
      </c>
    </row>
    <row r="2013" spans="2:7" x14ac:dyDescent="0.2">
      <c r="B2013" s="60">
        <v>38722</v>
      </c>
      <c r="C2013" s="7">
        <v>3.2750000000000001E-2</v>
      </c>
      <c r="D2013" s="7">
        <v>3.2750000000000001E-2</v>
      </c>
      <c r="E2013" s="7">
        <v>3.2750000000000001E-2</v>
      </c>
      <c r="F2013" s="7">
        <v>3.2750000000000001E-2</v>
      </c>
      <c r="G2013" s="7">
        <v>-0.01</v>
      </c>
    </row>
    <row r="2014" spans="2:7" x14ac:dyDescent="0.2">
      <c r="B2014" s="60">
        <v>38723</v>
      </c>
      <c r="C2014" s="7">
        <v>3.2570000000000002E-2</v>
      </c>
      <c r="D2014" s="7">
        <v>3.2570000000000002E-2</v>
      </c>
      <c r="E2014" s="7">
        <v>3.2570000000000002E-2</v>
      </c>
      <c r="F2014" s="7">
        <v>3.2570000000000002E-2</v>
      </c>
      <c r="G2014" s="7">
        <v>-5.4999999999999997E-3</v>
      </c>
    </row>
    <row r="2015" spans="2:7" x14ac:dyDescent="0.2">
      <c r="B2015" s="60">
        <v>38726</v>
      </c>
      <c r="C2015" s="7">
        <v>3.2590000000000001E-2</v>
      </c>
      <c r="D2015" s="7">
        <v>3.2590000000000001E-2</v>
      </c>
      <c r="E2015" s="7">
        <v>3.2590000000000001E-2</v>
      </c>
      <c r="F2015" s="7">
        <v>3.2590000000000001E-2</v>
      </c>
      <c r="G2015" s="7">
        <v>5.9999999999999995E-4</v>
      </c>
    </row>
    <row r="2016" spans="2:7" x14ac:dyDescent="0.2">
      <c r="B2016" s="60">
        <v>38727</v>
      </c>
      <c r="C2016" s="7">
        <v>3.2370000000000003E-2</v>
      </c>
      <c r="D2016" s="7">
        <v>3.2370000000000003E-2</v>
      </c>
      <c r="E2016" s="7">
        <v>3.2370000000000003E-2</v>
      </c>
      <c r="F2016" s="7">
        <v>3.2370000000000003E-2</v>
      </c>
      <c r="G2016" s="7">
        <v>-6.7999999999999996E-3</v>
      </c>
    </row>
    <row r="2017" spans="2:7" x14ac:dyDescent="0.2">
      <c r="B2017" s="60">
        <v>38728</v>
      </c>
      <c r="C2017" s="7">
        <v>3.2669999999999998E-2</v>
      </c>
      <c r="D2017" s="7">
        <v>3.2669999999999998E-2</v>
      </c>
      <c r="E2017" s="7">
        <v>3.2669999999999998E-2</v>
      </c>
      <c r="F2017" s="7">
        <v>3.2669999999999998E-2</v>
      </c>
      <c r="G2017" s="7">
        <v>9.2999999999999992E-3</v>
      </c>
    </row>
    <row r="2018" spans="2:7" x14ac:dyDescent="0.2">
      <c r="B2018" s="60">
        <v>38729</v>
      </c>
      <c r="C2018" s="7">
        <v>3.2939999999999997E-2</v>
      </c>
      <c r="D2018" s="7">
        <v>3.2939999999999997E-2</v>
      </c>
      <c r="E2018" s="7">
        <v>3.2939999999999997E-2</v>
      </c>
      <c r="F2018" s="7">
        <v>3.2939999999999997E-2</v>
      </c>
      <c r="G2018" s="7">
        <v>8.3000000000000001E-3</v>
      </c>
    </row>
    <row r="2019" spans="2:7" x14ac:dyDescent="0.2">
      <c r="B2019" s="60">
        <v>38730</v>
      </c>
      <c r="C2019" s="7">
        <v>3.252E-2</v>
      </c>
      <c r="D2019" s="7">
        <v>3.252E-2</v>
      </c>
      <c r="E2019" s="7">
        <v>3.252E-2</v>
      </c>
      <c r="F2019" s="7">
        <v>3.252E-2</v>
      </c>
      <c r="G2019" s="7">
        <v>-1.2800000000000001E-2</v>
      </c>
    </row>
    <row r="2020" spans="2:7" x14ac:dyDescent="0.2">
      <c r="B2020" s="60">
        <v>38733</v>
      </c>
      <c r="C2020" s="7">
        <v>3.2410000000000001E-2</v>
      </c>
      <c r="D2020" s="7">
        <v>3.2410000000000001E-2</v>
      </c>
      <c r="E2020" s="7">
        <v>3.2410000000000001E-2</v>
      </c>
      <c r="F2020" s="7">
        <v>3.2410000000000001E-2</v>
      </c>
      <c r="G2020" s="7">
        <v>-3.3999999999999998E-3</v>
      </c>
    </row>
    <row r="2021" spans="2:7" x14ac:dyDescent="0.2">
      <c r="B2021" s="60">
        <v>38734</v>
      </c>
      <c r="C2021" s="7">
        <v>3.252E-2</v>
      </c>
      <c r="D2021" s="7">
        <v>3.252E-2</v>
      </c>
      <c r="E2021" s="7">
        <v>3.252E-2</v>
      </c>
      <c r="F2021" s="7">
        <v>3.252E-2</v>
      </c>
      <c r="G2021" s="7">
        <v>3.3999999999999998E-3</v>
      </c>
    </row>
    <row r="2022" spans="2:7" x14ac:dyDescent="0.2">
      <c r="B2022" s="60">
        <v>38735</v>
      </c>
      <c r="C2022" s="7">
        <v>3.2410000000000001E-2</v>
      </c>
      <c r="D2022" s="7">
        <v>3.2410000000000001E-2</v>
      </c>
      <c r="E2022" s="7">
        <v>3.2410000000000001E-2</v>
      </c>
      <c r="F2022" s="7">
        <v>3.2410000000000001E-2</v>
      </c>
      <c r="G2022" s="7">
        <v>-3.3999999999999998E-3</v>
      </c>
    </row>
    <row r="2023" spans="2:7" x14ac:dyDescent="0.2">
      <c r="B2023" s="60">
        <v>38736</v>
      </c>
      <c r="C2023" s="7">
        <v>3.279E-2</v>
      </c>
      <c r="D2023" s="7">
        <v>3.279E-2</v>
      </c>
      <c r="E2023" s="7">
        <v>3.279E-2</v>
      </c>
      <c r="F2023" s="7">
        <v>3.279E-2</v>
      </c>
      <c r="G2023" s="7">
        <v>1.17E-2</v>
      </c>
    </row>
    <row r="2024" spans="2:7" x14ac:dyDescent="0.2">
      <c r="B2024" s="60">
        <v>38737</v>
      </c>
      <c r="C2024" s="7">
        <v>3.3329999999999999E-2</v>
      </c>
      <c r="D2024" s="7">
        <v>3.3329999999999999E-2</v>
      </c>
      <c r="E2024" s="7">
        <v>3.3329999999999999E-2</v>
      </c>
      <c r="F2024" s="7">
        <v>3.3329999999999999E-2</v>
      </c>
      <c r="G2024" s="7">
        <v>1.6500000000000001E-2</v>
      </c>
    </row>
    <row r="2025" spans="2:7" x14ac:dyDescent="0.2">
      <c r="B2025" s="60">
        <v>38740</v>
      </c>
      <c r="C2025" s="7">
        <v>3.3599999999999998E-2</v>
      </c>
      <c r="D2025" s="7">
        <v>3.3599999999999998E-2</v>
      </c>
      <c r="E2025" s="7">
        <v>3.3599999999999998E-2</v>
      </c>
      <c r="F2025" s="7">
        <v>3.3599999999999998E-2</v>
      </c>
      <c r="G2025" s="7">
        <v>8.0999999999999996E-3</v>
      </c>
    </row>
    <row r="2026" spans="2:7" x14ac:dyDescent="0.2">
      <c r="B2026" s="60">
        <v>38741</v>
      </c>
      <c r="C2026" s="7">
        <v>3.3509999999999998E-2</v>
      </c>
      <c r="D2026" s="7">
        <v>3.3509999999999998E-2</v>
      </c>
      <c r="E2026" s="7">
        <v>3.3509999999999998E-2</v>
      </c>
      <c r="F2026" s="7">
        <v>3.3509999999999998E-2</v>
      </c>
      <c r="G2026" s="7">
        <v>-2.7000000000000001E-3</v>
      </c>
    </row>
    <row r="2027" spans="2:7" x14ac:dyDescent="0.2">
      <c r="B2027" s="60">
        <v>38742</v>
      </c>
      <c r="C2027" s="7">
        <v>3.3660000000000002E-2</v>
      </c>
      <c r="D2027" s="7">
        <v>3.3660000000000002E-2</v>
      </c>
      <c r="E2027" s="7">
        <v>3.3660000000000002E-2</v>
      </c>
      <c r="F2027" s="7">
        <v>3.3660000000000002E-2</v>
      </c>
      <c r="G2027" s="7">
        <v>4.4999999999999997E-3</v>
      </c>
    </row>
    <row r="2028" spans="2:7" x14ac:dyDescent="0.2">
      <c r="B2028" s="60">
        <v>38743</v>
      </c>
      <c r="C2028" s="7">
        <v>3.4259999999999999E-2</v>
      </c>
      <c r="D2028" s="7">
        <v>3.4259999999999999E-2</v>
      </c>
      <c r="E2028" s="7">
        <v>3.4259999999999999E-2</v>
      </c>
      <c r="F2028" s="7">
        <v>3.4259999999999999E-2</v>
      </c>
      <c r="G2028" s="7">
        <v>1.78E-2</v>
      </c>
    </row>
    <row r="2029" spans="2:7" x14ac:dyDescent="0.2">
      <c r="B2029" s="60">
        <v>38744</v>
      </c>
      <c r="C2029" s="7">
        <v>3.4709999999999998E-2</v>
      </c>
      <c r="D2029" s="7">
        <v>3.4709999999999998E-2</v>
      </c>
      <c r="E2029" s="7">
        <v>3.4709999999999998E-2</v>
      </c>
      <c r="F2029" s="7">
        <v>3.4709999999999998E-2</v>
      </c>
      <c r="G2029" s="7">
        <v>1.3100000000000001E-2</v>
      </c>
    </row>
    <row r="2030" spans="2:7" x14ac:dyDescent="0.2">
      <c r="B2030" s="60">
        <v>38747</v>
      </c>
      <c r="C2030" s="7">
        <v>3.4799999999999998E-2</v>
      </c>
      <c r="D2030" s="7">
        <v>3.4799999999999998E-2</v>
      </c>
      <c r="E2030" s="7">
        <v>3.4799999999999998E-2</v>
      </c>
      <c r="F2030" s="7">
        <v>3.4799999999999998E-2</v>
      </c>
      <c r="G2030" s="7">
        <v>2.5999999999999999E-3</v>
      </c>
    </row>
    <row r="2031" spans="2:7" x14ac:dyDescent="0.2">
      <c r="B2031" s="60">
        <v>38748</v>
      </c>
      <c r="C2031" s="7">
        <v>3.456E-2</v>
      </c>
      <c r="D2031" s="7">
        <v>3.456E-2</v>
      </c>
      <c r="E2031" s="7">
        <v>3.456E-2</v>
      </c>
      <c r="F2031" s="7">
        <v>3.456E-2</v>
      </c>
      <c r="G2031" s="7">
        <v>-6.8999999999999999E-3</v>
      </c>
    </row>
    <row r="2032" spans="2:7" x14ac:dyDescent="0.2">
      <c r="B2032" s="60">
        <v>38749</v>
      </c>
      <c r="C2032" s="7">
        <v>3.456E-2</v>
      </c>
      <c r="D2032" s="7">
        <v>3.456E-2</v>
      </c>
      <c r="E2032" s="7">
        <v>3.456E-2</v>
      </c>
      <c r="F2032" s="7">
        <v>3.456E-2</v>
      </c>
      <c r="G2032" s="7">
        <v>0</v>
      </c>
    </row>
    <row r="2033" spans="2:7" x14ac:dyDescent="0.2">
      <c r="B2033" s="60">
        <v>38750</v>
      </c>
      <c r="C2033" s="7">
        <v>3.5049999999999998E-2</v>
      </c>
      <c r="D2033" s="7">
        <v>3.5049999999999998E-2</v>
      </c>
      <c r="E2033" s="7">
        <v>3.5049999999999998E-2</v>
      </c>
      <c r="F2033" s="7">
        <v>3.5049999999999998E-2</v>
      </c>
      <c r="G2033" s="7">
        <v>1.4200000000000001E-2</v>
      </c>
    </row>
    <row r="2034" spans="2:7" x14ac:dyDescent="0.2">
      <c r="B2034" s="60">
        <v>38751</v>
      </c>
      <c r="C2034" s="7">
        <v>3.5040000000000002E-2</v>
      </c>
      <c r="D2034" s="7">
        <v>3.5040000000000002E-2</v>
      </c>
      <c r="E2034" s="7">
        <v>3.5040000000000002E-2</v>
      </c>
      <c r="F2034" s="7">
        <v>3.5040000000000002E-2</v>
      </c>
      <c r="G2034" s="7">
        <v>-2.9999999999999997E-4</v>
      </c>
    </row>
    <row r="2035" spans="2:7" x14ac:dyDescent="0.2">
      <c r="B2035" s="60">
        <v>38754</v>
      </c>
      <c r="C2035" s="7">
        <v>3.4790000000000001E-2</v>
      </c>
      <c r="D2035" s="7">
        <v>3.4790000000000001E-2</v>
      </c>
      <c r="E2035" s="7">
        <v>3.4790000000000001E-2</v>
      </c>
      <c r="F2035" s="7">
        <v>3.4790000000000001E-2</v>
      </c>
      <c r="G2035" s="7">
        <v>-7.1000000000000004E-3</v>
      </c>
    </row>
    <row r="2036" spans="2:7" x14ac:dyDescent="0.2">
      <c r="B2036" s="60">
        <v>38755</v>
      </c>
      <c r="C2036" s="7">
        <v>3.465E-2</v>
      </c>
      <c r="D2036" s="7">
        <v>3.465E-2</v>
      </c>
      <c r="E2036" s="7">
        <v>3.465E-2</v>
      </c>
      <c r="F2036" s="7">
        <v>3.465E-2</v>
      </c>
      <c r="G2036" s="7">
        <v>-4.0000000000000001E-3</v>
      </c>
    </row>
    <row r="2037" spans="2:7" x14ac:dyDescent="0.2">
      <c r="B2037" s="60">
        <v>38756</v>
      </c>
      <c r="C2037" s="7">
        <v>3.4910000000000004E-2</v>
      </c>
      <c r="D2037" s="7">
        <v>3.4910000000000004E-2</v>
      </c>
      <c r="E2037" s="7">
        <v>3.4910000000000004E-2</v>
      </c>
      <c r="F2037" s="7">
        <v>3.4910000000000004E-2</v>
      </c>
      <c r="G2037" s="7">
        <v>7.4999999999999997E-3</v>
      </c>
    </row>
    <row r="2038" spans="2:7" x14ac:dyDescent="0.2">
      <c r="B2038" s="60">
        <v>38757</v>
      </c>
      <c r="C2038" s="7">
        <v>3.4929999999999996E-2</v>
      </c>
      <c r="D2038" s="7">
        <v>3.4929999999999996E-2</v>
      </c>
      <c r="E2038" s="7">
        <v>3.4929999999999996E-2</v>
      </c>
      <c r="F2038" s="7">
        <v>3.4929999999999996E-2</v>
      </c>
      <c r="G2038" s="7">
        <v>5.9999999999999995E-4</v>
      </c>
    </row>
    <row r="2039" spans="2:7" x14ac:dyDescent="0.2">
      <c r="B2039" s="60">
        <v>38758</v>
      </c>
      <c r="C2039" s="7">
        <v>3.4540000000000001E-2</v>
      </c>
      <c r="D2039" s="7">
        <v>3.4540000000000001E-2</v>
      </c>
      <c r="E2039" s="7">
        <v>3.4540000000000001E-2</v>
      </c>
      <c r="F2039" s="7">
        <v>3.4540000000000001E-2</v>
      </c>
      <c r="G2039" s="7">
        <v>-1.12E-2</v>
      </c>
    </row>
    <row r="2040" spans="2:7" x14ac:dyDescent="0.2">
      <c r="B2040" s="60">
        <v>38761</v>
      </c>
      <c r="C2040" s="7">
        <v>3.4910000000000004E-2</v>
      </c>
      <c r="D2040" s="7">
        <v>3.4910000000000004E-2</v>
      </c>
      <c r="E2040" s="7">
        <v>3.4910000000000004E-2</v>
      </c>
      <c r="F2040" s="7">
        <v>3.4910000000000004E-2</v>
      </c>
      <c r="G2040" s="7">
        <v>1.0699999999999999E-2</v>
      </c>
    </row>
    <row r="2041" spans="2:7" x14ac:dyDescent="0.2">
      <c r="B2041" s="60">
        <v>38762</v>
      </c>
      <c r="C2041" s="7">
        <v>3.4810000000000001E-2</v>
      </c>
      <c r="D2041" s="7">
        <v>3.4810000000000001E-2</v>
      </c>
      <c r="E2041" s="7">
        <v>3.4810000000000001E-2</v>
      </c>
      <c r="F2041" s="7">
        <v>3.4810000000000001E-2</v>
      </c>
      <c r="G2041" s="7">
        <v>-2.8999999999999998E-3</v>
      </c>
    </row>
    <row r="2042" spans="2:7" x14ac:dyDescent="0.2">
      <c r="B2042" s="60">
        <v>38763</v>
      </c>
      <c r="C2042" s="7">
        <v>3.4860000000000002E-2</v>
      </c>
      <c r="D2042" s="7">
        <v>3.4860000000000002E-2</v>
      </c>
      <c r="E2042" s="7">
        <v>3.4860000000000002E-2</v>
      </c>
      <c r="F2042" s="7">
        <v>3.4860000000000002E-2</v>
      </c>
      <c r="G2042" s="7">
        <v>1.4E-3</v>
      </c>
    </row>
    <row r="2043" spans="2:7" x14ac:dyDescent="0.2">
      <c r="B2043" s="60">
        <v>38764</v>
      </c>
      <c r="C2043" s="7">
        <v>3.4880000000000001E-2</v>
      </c>
      <c r="D2043" s="7">
        <v>3.4880000000000001E-2</v>
      </c>
      <c r="E2043" s="7">
        <v>3.4880000000000001E-2</v>
      </c>
      <c r="F2043" s="7">
        <v>3.4880000000000001E-2</v>
      </c>
      <c r="G2043" s="7">
        <v>5.9999999999999995E-4</v>
      </c>
    </row>
    <row r="2044" spans="2:7" x14ac:dyDescent="0.2">
      <c r="B2044" s="60">
        <v>38765</v>
      </c>
      <c r="C2044" s="7">
        <v>3.4820000000000004E-2</v>
      </c>
      <c r="D2044" s="7">
        <v>3.4820000000000004E-2</v>
      </c>
      <c r="E2044" s="7">
        <v>3.4820000000000004E-2</v>
      </c>
      <c r="F2044" s="7">
        <v>3.4820000000000004E-2</v>
      </c>
      <c r="G2044" s="7">
        <v>-1.6999999999999999E-3</v>
      </c>
    </row>
    <row r="2045" spans="2:7" x14ac:dyDescent="0.2">
      <c r="B2045" s="60">
        <v>38768</v>
      </c>
      <c r="C2045" s="7">
        <v>3.4529999999999998E-2</v>
      </c>
      <c r="D2045" s="7">
        <v>3.4529999999999998E-2</v>
      </c>
      <c r="E2045" s="7">
        <v>3.4529999999999998E-2</v>
      </c>
      <c r="F2045" s="7">
        <v>3.4529999999999998E-2</v>
      </c>
      <c r="G2045" s="7">
        <v>-8.3000000000000001E-3</v>
      </c>
    </row>
    <row r="2046" spans="2:7" x14ac:dyDescent="0.2">
      <c r="B2046" s="60">
        <v>38769</v>
      </c>
      <c r="C2046" s="7">
        <v>3.4200000000000001E-2</v>
      </c>
      <c r="D2046" s="7">
        <v>3.4200000000000001E-2</v>
      </c>
      <c r="E2046" s="7">
        <v>3.4200000000000001E-2</v>
      </c>
      <c r="F2046" s="7">
        <v>3.4200000000000001E-2</v>
      </c>
      <c r="G2046" s="7">
        <v>-9.5999999999999992E-3</v>
      </c>
    </row>
    <row r="2047" spans="2:7" x14ac:dyDescent="0.2">
      <c r="B2047" s="60">
        <v>38770</v>
      </c>
      <c r="C2047" s="7">
        <v>3.4290000000000001E-2</v>
      </c>
      <c r="D2047" s="7">
        <v>3.4290000000000001E-2</v>
      </c>
      <c r="E2047" s="7">
        <v>3.4290000000000001E-2</v>
      </c>
      <c r="F2047" s="7">
        <v>3.4290000000000001E-2</v>
      </c>
      <c r="G2047" s="7">
        <v>2.5999999999999999E-3</v>
      </c>
    </row>
    <row r="2048" spans="2:7" x14ac:dyDescent="0.2">
      <c r="B2048" s="60">
        <v>38771</v>
      </c>
      <c r="C2048" s="7">
        <v>3.4009999999999999E-2</v>
      </c>
      <c r="D2048" s="7">
        <v>3.4009999999999999E-2</v>
      </c>
      <c r="E2048" s="7">
        <v>3.4009999999999999E-2</v>
      </c>
      <c r="F2048" s="7">
        <v>3.4009999999999999E-2</v>
      </c>
      <c r="G2048" s="7">
        <v>-8.2000000000000007E-3</v>
      </c>
    </row>
    <row r="2049" spans="2:7" x14ac:dyDescent="0.2">
      <c r="B2049" s="60">
        <v>38772</v>
      </c>
      <c r="C2049" s="7">
        <v>3.4810000000000001E-2</v>
      </c>
      <c r="D2049" s="7">
        <v>3.4810000000000001E-2</v>
      </c>
      <c r="E2049" s="7">
        <v>3.4810000000000001E-2</v>
      </c>
      <c r="F2049" s="7">
        <v>3.4810000000000001E-2</v>
      </c>
      <c r="G2049" s="7">
        <v>2.35E-2</v>
      </c>
    </row>
    <row r="2050" spans="2:7" x14ac:dyDescent="0.2">
      <c r="B2050" s="60">
        <v>38775</v>
      </c>
      <c r="C2050" s="7">
        <v>3.4939999999999999E-2</v>
      </c>
      <c r="D2050" s="7">
        <v>3.4939999999999999E-2</v>
      </c>
      <c r="E2050" s="7">
        <v>3.4939999999999999E-2</v>
      </c>
      <c r="F2050" s="7">
        <v>3.4939999999999999E-2</v>
      </c>
      <c r="G2050" s="7">
        <v>3.7000000000000002E-3</v>
      </c>
    </row>
    <row r="2051" spans="2:7" x14ac:dyDescent="0.2">
      <c r="B2051" s="60">
        <v>38776</v>
      </c>
      <c r="C2051" s="7">
        <v>3.5270000000000003E-2</v>
      </c>
      <c r="D2051" s="7">
        <v>3.5270000000000003E-2</v>
      </c>
      <c r="E2051" s="7">
        <v>3.5270000000000003E-2</v>
      </c>
      <c r="F2051" s="7">
        <v>3.5270000000000003E-2</v>
      </c>
      <c r="G2051" s="7">
        <v>9.4000000000000004E-3</v>
      </c>
    </row>
    <row r="2052" spans="2:7" x14ac:dyDescent="0.2">
      <c r="B2052" s="60">
        <v>38777</v>
      </c>
      <c r="C2052" s="7">
        <v>3.4720000000000001E-2</v>
      </c>
      <c r="D2052" s="7">
        <v>3.4720000000000001E-2</v>
      </c>
      <c r="E2052" s="7">
        <v>3.4720000000000001E-2</v>
      </c>
      <c r="F2052" s="7">
        <v>3.4720000000000001E-2</v>
      </c>
      <c r="G2052" s="7">
        <v>-1.5599999999999999E-2</v>
      </c>
    </row>
    <row r="2053" spans="2:7" x14ac:dyDescent="0.2">
      <c r="B2053" s="60">
        <v>38778</v>
      </c>
      <c r="C2053" s="7">
        <v>3.4950000000000002E-2</v>
      </c>
      <c r="D2053" s="7">
        <v>3.4950000000000002E-2</v>
      </c>
      <c r="E2053" s="7">
        <v>3.4950000000000002E-2</v>
      </c>
      <c r="F2053" s="7">
        <v>3.4950000000000002E-2</v>
      </c>
      <c r="G2053" s="7">
        <v>6.6E-3</v>
      </c>
    </row>
    <row r="2054" spans="2:7" x14ac:dyDescent="0.2">
      <c r="B2054" s="60">
        <v>38779</v>
      </c>
      <c r="C2054" s="7">
        <v>3.5720000000000002E-2</v>
      </c>
      <c r="D2054" s="7">
        <v>3.5720000000000002E-2</v>
      </c>
      <c r="E2054" s="7">
        <v>3.5720000000000002E-2</v>
      </c>
      <c r="F2054" s="7">
        <v>3.5720000000000002E-2</v>
      </c>
      <c r="G2054" s="7">
        <v>2.1999999999999999E-2</v>
      </c>
    </row>
    <row r="2055" spans="2:7" x14ac:dyDescent="0.2">
      <c r="B2055" s="60">
        <v>38782</v>
      </c>
      <c r="C2055" s="7">
        <v>3.5859999999999996E-2</v>
      </c>
      <c r="D2055" s="7">
        <v>3.5859999999999996E-2</v>
      </c>
      <c r="E2055" s="7">
        <v>3.5859999999999996E-2</v>
      </c>
      <c r="F2055" s="7">
        <v>3.5859999999999996E-2</v>
      </c>
      <c r="G2055" s="7">
        <v>3.8999999999999998E-3</v>
      </c>
    </row>
    <row r="2056" spans="2:7" x14ac:dyDescent="0.2">
      <c r="B2056" s="60">
        <v>38783</v>
      </c>
      <c r="C2056" s="7">
        <v>3.5910000000000004E-2</v>
      </c>
      <c r="D2056" s="7">
        <v>3.5910000000000004E-2</v>
      </c>
      <c r="E2056" s="7">
        <v>3.5910000000000004E-2</v>
      </c>
      <c r="F2056" s="7">
        <v>3.5910000000000004E-2</v>
      </c>
      <c r="G2056" s="7">
        <v>1.4E-3</v>
      </c>
    </row>
    <row r="2057" spans="2:7" x14ac:dyDescent="0.2">
      <c r="B2057" s="60">
        <v>38784</v>
      </c>
      <c r="C2057" s="7">
        <v>3.6070000000000005E-2</v>
      </c>
      <c r="D2057" s="7">
        <v>3.6070000000000005E-2</v>
      </c>
      <c r="E2057" s="7">
        <v>3.6070000000000005E-2</v>
      </c>
      <c r="F2057" s="7">
        <v>3.6070000000000005E-2</v>
      </c>
      <c r="G2057" s="7">
        <v>4.4999999999999997E-3</v>
      </c>
    </row>
    <row r="2058" spans="2:7" x14ac:dyDescent="0.2">
      <c r="B2058" s="60">
        <v>38785</v>
      </c>
      <c r="C2058" s="7">
        <v>3.6379999999999996E-2</v>
      </c>
      <c r="D2058" s="7">
        <v>3.6379999999999996E-2</v>
      </c>
      <c r="E2058" s="7">
        <v>3.6379999999999996E-2</v>
      </c>
      <c r="F2058" s="7">
        <v>3.6379999999999996E-2</v>
      </c>
      <c r="G2058" s="7">
        <v>8.6E-3</v>
      </c>
    </row>
    <row r="2059" spans="2:7" x14ac:dyDescent="0.2">
      <c r="B2059" s="60">
        <v>38786</v>
      </c>
      <c r="C2059" s="7">
        <v>3.6290000000000003E-2</v>
      </c>
      <c r="D2059" s="7">
        <v>3.6290000000000003E-2</v>
      </c>
      <c r="E2059" s="7">
        <v>3.6290000000000003E-2</v>
      </c>
      <c r="F2059" s="7">
        <v>3.6290000000000003E-2</v>
      </c>
      <c r="G2059" s="7">
        <v>-2.5000000000000001E-3</v>
      </c>
    </row>
    <row r="2060" spans="2:7" x14ac:dyDescent="0.2">
      <c r="B2060" s="60">
        <v>38789</v>
      </c>
      <c r="C2060" s="7">
        <v>3.6680000000000004E-2</v>
      </c>
      <c r="D2060" s="7">
        <v>3.6680000000000004E-2</v>
      </c>
      <c r="E2060" s="7">
        <v>3.6680000000000004E-2</v>
      </c>
      <c r="F2060" s="7">
        <v>3.6680000000000004E-2</v>
      </c>
      <c r="G2060" s="7">
        <v>1.0699999999999999E-2</v>
      </c>
    </row>
    <row r="2061" spans="2:7" x14ac:dyDescent="0.2">
      <c r="B2061" s="60">
        <v>38790</v>
      </c>
      <c r="C2061" s="7">
        <v>3.6889999999999999E-2</v>
      </c>
      <c r="D2061" s="7">
        <v>3.6889999999999999E-2</v>
      </c>
      <c r="E2061" s="7">
        <v>3.6889999999999999E-2</v>
      </c>
      <c r="F2061" s="7">
        <v>3.6889999999999999E-2</v>
      </c>
      <c r="G2061" s="7">
        <v>5.7000000000000002E-3</v>
      </c>
    </row>
    <row r="2062" spans="2:7" x14ac:dyDescent="0.2">
      <c r="B2062" s="60">
        <v>38791</v>
      </c>
      <c r="C2062" s="7">
        <v>3.6400000000000002E-2</v>
      </c>
      <c r="D2062" s="7">
        <v>3.6400000000000002E-2</v>
      </c>
      <c r="E2062" s="7">
        <v>3.6400000000000002E-2</v>
      </c>
      <c r="F2062" s="7">
        <v>3.6400000000000002E-2</v>
      </c>
      <c r="G2062" s="7">
        <v>-1.3299999999999999E-2</v>
      </c>
    </row>
    <row r="2063" spans="2:7" x14ac:dyDescent="0.2">
      <c r="B2063" s="60">
        <v>38792</v>
      </c>
      <c r="C2063" s="7">
        <v>3.6740000000000002E-2</v>
      </c>
      <c r="D2063" s="7">
        <v>3.6740000000000002E-2</v>
      </c>
      <c r="E2063" s="7">
        <v>3.6740000000000002E-2</v>
      </c>
      <c r="F2063" s="7">
        <v>3.6740000000000002E-2</v>
      </c>
      <c r="G2063" s="7">
        <v>9.2999999999999992E-3</v>
      </c>
    </row>
    <row r="2064" spans="2:7" x14ac:dyDescent="0.2">
      <c r="B2064" s="60">
        <v>38793</v>
      </c>
      <c r="C2064" s="7">
        <v>3.6339999999999997E-2</v>
      </c>
      <c r="D2064" s="7">
        <v>3.6339999999999997E-2</v>
      </c>
      <c r="E2064" s="7">
        <v>3.6339999999999997E-2</v>
      </c>
      <c r="F2064" s="7">
        <v>3.6339999999999997E-2</v>
      </c>
      <c r="G2064" s="7">
        <v>-1.09E-2</v>
      </c>
    </row>
    <row r="2065" spans="2:7" x14ac:dyDescent="0.2">
      <c r="B2065" s="60">
        <v>38796</v>
      </c>
      <c r="C2065" s="7">
        <v>3.6760000000000001E-2</v>
      </c>
      <c r="D2065" s="7">
        <v>3.6760000000000001E-2</v>
      </c>
      <c r="E2065" s="7">
        <v>3.6760000000000001E-2</v>
      </c>
      <c r="F2065" s="7">
        <v>3.6760000000000001E-2</v>
      </c>
      <c r="G2065" s="7">
        <v>1.1599999999999999E-2</v>
      </c>
    </row>
    <row r="2066" spans="2:7" x14ac:dyDescent="0.2">
      <c r="B2066" s="60">
        <v>38797</v>
      </c>
      <c r="C2066" s="7">
        <v>3.6600000000000001E-2</v>
      </c>
      <c r="D2066" s="7">
        <v>3.6600000000000001E-2</v>
      </c>
      <c r="E2066" s="7">
        <v>3.6600000000000001E-2</v>
      </c>
      <c r="F2066" s="7">
        <v>3.6600000000000001E-2</v>
      </c>
      <c r="G2066" s="7">
        <v>-4.4000000000000003E-3</v>
      </c>
    </row>
    <row r="2067" spans="2:7" x14ac:dyDescent="0.2">
      <c r="B2067" s="60">
        <v>38798</v>
      </c>
      <c r="C2067" s="7">
        <v>3.6650000000000002E-2</v>
      </c>
      <c r="D2067" s="7">
        <v>3.6650000000000002E-2</v>
      </c>
      <c r="E2067" s="7">
        <v>3.6650000000000002E-2</v>
      </c>
      <c r="F2067" s="7">
        <v>3.6650000000000002E-2</v>
      </c>
      <c r="G2067" s="7">
        <v>1.4E-3</v>
      </c>
    </row>
    <row r="2068" spans="2:7" x14ac:dyDescent="0.2">
      <c r="B2068" s="60">
        <v>38799</v>
      </c>
      <c r="C2068" s="7">
        <v>3.6339999999999997E-2</v>
      </c>
      <c r="D2068" s="7">
        <v>3.6339999999999997E-2</v>
      </c>
      <c r="E2068" s="7">
        <v>3.6339999999999997E-2</v>
      </c>
      <c r="F2068" s="7">
        <v>3.6339999999999997E-2</v>
      </c>
      <c r="G2068" s="7">
        <v>-8.5000000000000006E-3</v>
      </c>
    </row>
    <row r="2069" spans="2:7" x14ac:dyDescent="0.2">
      <c r="B2069" s="60">
        <v>38800</v>
      </c>
      <c r="C2069" s="7">
        <v>3.6769999999999997E-2</v>
      </c>
      <c r="D2069" s="7">
        <v>3.6769999999999997E-2</v>
      </c>
      <c r="E2069" s="7">
        <v>3.6769999999999997E-2</v>
      </c>
      <c r="F2069" s="7">
        <v>3.6769999999999997E-2</v>
      </c>
      <c r="G2069" s="7">
        <v>1.18E-2</v>
      </c>
    </row>
    <row r="2070" spans="2:7" x14ac:dyDescent="0.2">
      <c r="B2070" s="60">
        <v>38803</v>
      </c>
      <c r="C2070" s="7">
        <v>3.6339999999999997E-2</v>
      </c>
      <c r="D2070" s="7">
        <v>3.6339999999999997E-2</v>
      </c>
      <c r="E2070" s="7">
        <v>3.6339999999999997E-2</v>
      </c>
      <c r="F2070" s="7">
        <v>3.6339999999999997E-2</v>
      </c>
      <c r="G2070" s="7">
        <v>-1.17E-2</v>
      </c>
    </row>
    <row r="2071" spans="2:7" x14ac:dyDescent="0.2">
      <c r="B2071" s="60">
        <v>38804</v>
      </c>
      <c r="C2071" s="7">
        <v>3.644E-2</v>
      </c>
      <c r="D2071" s="7">
        <v>3.644E-2</v>
      </c>
      <c r="E2071" s="7">
        <v>3.644E-2</v>
      </c>
      <c r="F2071" s="7">
        <v>3.644E-2</v>
      </c>
      <c r="G2071" s="7">
        <v>2.8E-3</v>
      </c>
    </row>
    <row r="2072" spans="2:7" x14ac:dyDescent="0.2">
      <c r="B2072" s="60">
        <v>38805</v>
      </c>
      <c r="C2072" s="7">
        <v>3.7440000000000001E-2</v>
      </c>
      <c r="D2072" s="7">
        <v>3.7440000000000001E-2</v>
      </c>
      <c r="E2072" s="7">
        <v>3.7440000000000001E-2</v>
      </c>
      <c r="F2072" s="7">
        <v>3.7440000000000001E-2</v>
      </c>
      <c r="G2072" s="7">
        <v>2.7400000000000001E-2</v>
      </c>
    </row>
    <row r="2073" spans="2:7" x14ac:dyDescent="0.2">
      <c r="B2073" s="60">
        <v>38806</v>
      </c>
      <c r="C2073" s="7">
        <v>3.7670000000000002E-2</v>
      </c>
      <c r="D2073" s="7">
        <v>3.7670000000000002E-2</v>
      </c>
      <c r="E2073" s="7">
        <v>3.7670000000000002E-2</v>
      </c>
      <c r="F2073" s="7">
        <v>3.7670000000000002E-2</v>
      </c>
      <c r="G2073" s="7">
        <v>6.1000000000000004E-3</v>
      </c>
    </row>
    <row r="2074" spans="2:7" x14ac:dyDescent="0.2">
      <c r="B2074" s="60">
        <v>38807</v>
      </c>
      <c r="C2074" s="7">
        <v>3.7909999999999999E-2</v>
      </c>
      <c r="D2074" s="7">
        <v>3.7909999999999999E-2</v>
      </c>
      <c r="E2074" s="7">
        <v>3.7909999999999999E-2</v>
      </c>
      <c r="F2074" s="7">
        <v>3.7909999999999999E-2</v>
      </c>
      <c r="G2074" s="7">
        <v>6.4000000000000003E-3</v>
      </c>
    </row>
    <row r="2075" spans="2:7" x14ac:dyDescent="0.2">
      <c r="B2075" s="60">
        <v>38810</v>
      </c>
      <c r="C2075" s="7">
        <v>3.7850000000000002E-2</v>
      </c>
      <c r="D2075" s="7">
        <v>3.7850000000000002E-2</v>
      </c>
      <c r="E2075" s="7">
        <v>3.7850000000000002E-2</v>
      </c>
      <c r="F2075" s="7">
        <v>3.7850000000000002E-2</v>
      </c>
      <c r="G2075" s="7">
        <v>-1.6000000000000001E-3</v>
      </c>
    </row>
    <row r="2076" spans="2:7" x14ac:dyDescent="0.2">
      <c r="B2076" s="60">
        <v>38811</v>
      </c>
      <c r="C2076" s="7">
        <v>3.8089999999999999E-2</v>
      </c>
      <c r="D2076" s="7">
        <v>3.8089999999999999E-2</v>
      </c>
      <c r="E2076" s="7">
        <v>3.8089999999999999E-2</v>
      </c>
      <c r="F2076" s="7">
        <v>3.8089999999999999E-2</v>
      </c>
      <c r="G2076" s="7">
        <v>6.3E-3</v>
      </c>
    </row>
    <row r="2077" spans="2:7" x14ac:dyDescent="0.2">
      <c r="B2077" s="60">
        <v>38812</v>
      </c>
      <c r="C2077" s="7">
        <v>3.8450000000000005E-2</v>
      </c>
      <c r="D2077" s="7">
        <v>3.8450000000000005E-2</v>
      </c>
      <c r="E2077" s="7">
        <v>3.8450000000000005E-2</v>
      </c>
      <c r="F2077" s="7">
        <v>3.8450000000000005E-2</v>
      </c>
      <c r="G2077" s="7">
        <v>9.4999999999999998E-3</v>
      </c>
    </row>
    <row r="2078" spans="2:7" x14ac:dyDescent="0.2">
      <c r="B2078" s="60">
        <v>38813</v>
      </c>
      <c r="C2078" s="7">
        <v>3.8379999999999997E-2</v>
      </c>
      <c r="D2078" s="7">
        <v>3.8379999999999997E-2</v>
      </c>
      <c r="E2078" s="7">
        <v>3.8379999999999997E-2</v>
      </c>
      <c r="F2078" s="7">
        <v>3.8379999999999997E-2</v>
      </c>
      <c r="G2078" s="7">
        <v>-1.8E-3</v>
      </c>
    </row>
    <row r="2079" spans="2:7" x14ac:dyDescent="0.2">
      <c r="B2079" s="60">
        <v>38814</v>
      </c>
      <c r="C2079" s="7">
        <v>3.8780000000000002E-2</v>
      </c>
      <c r="D2079" s="7">
        <v>3.8780000000000002E-2</v>
      </c>
      <c r="E2079" s="7">
        <v>3.8780000000000002E-2</v>
      </c>
      <c r="F2079" s="7">
        <v>3.8780000000000002E-2</v>
      </c>
      <c r="G2079" s="7">
        <v>1.04E-2</v>
      </c>
    </row>
    <row r="2080" spans="2:7" x14ac:dyDescent="0.2">
      <c r="B2080" s="60">
        <v>38817</v>
      </c>
      <c r="C2080" s="7">
        <v>3.9009999999999996E-2</v>
      </c>
      <c r="D2080" s="7">
        <v>3.9009999999999996E-2</v>
      </c>
      <c r="E2080" s="7">
        <v>3.9009999999999996E-2</v>
      </c>
      <c r="F2080" s="7">
        <v>3.9009999999999996E-2</v>
      </c>
      <c r="G2080" s="7">
        <v>5.8999999999999999E-3</v>
      </c>
    </row>
    <row r="2081" spans="2:7" x14ac:dyDescent="0.2">
      <c r="B2081" s="60">
        <v>38818</v>
      </c>
      <c r="C2081" s="7">
        <v>3.9039999999999998E-2</v>
      </c>
      <c r="D2081" s="7">
        <v>3.9039999999999998E-2</v>
      </c>
      <c r="E2081" s="7">
        <v>3.9039999999999998E-2</v>
      </c>
      <c r="F2081" s="7">
        <v>3.9039999999999998E-2</v>
      </c>
      <c r="G2081" s="7">
        <v>8.0000000000000004E-4</v>
      </c>
    </row>
    <row r="2082" spans="2:7" x14ac:dyDescent="0.2">
      <c r="B2082" s="60">
        <v>38819</v>
      </c>
      <c r="C2082" s="7">
        <v>3.8519999999999999E-2</v>
      </c>
      <c r="D2082" s="7">
        <v>3.8519999999999999E-2</v>
      </c>
      <c r="E2082" s="7">
        <v>3.8519999999999999E-2</v>
      </c>
      <c r="F2082" s="7">
        <v>3.8519999999999999E-2</v>
      </c>
      <c r="G2082" s="7">
        <v>-1.3299999999999999E-2</v>
      </c>
    </row>
    <row r="2083" spans="2:7" x14ac:dyDescent="0.2">
      <c r="B2083" s="60">
        <v>38820</v>
      </c>
      <c r="C2083" s="7">
        <v>3.8769999999999999E-2</v>
      </c>
      <c r="D2083" s="7">
        <v>3.8769999999999999E-2</v>
      </c>
      <c r="E2083" s="7">
        <v>3.8769999999999999E-2</v>
      </c>
      <c r="F2083" s="7">
        <v>3.8769999999999999E-2</v>
      </c>
      <c r="G2083" s="7">
        <v>6.4999999999999997E-3</v>
      </c>
    </row>
    <row r="2084" spans="2:7" x14ac:dyDescent="0.2">
      <c r="B2084" s="60">
        <v>38825</v>
      </c>
      <c r="C2084" s="7">
        <v>3.9510000000000003E-2</v>
      </c>
      <c r="D2084" s="7">
        <v>3.9510000000000003E-2</v>
      </c>
      <c r="E2084" s="7">
        <v>3.9510000000000003E-2</v>
      </c>
      <c r="F2084" s="7">
        <v>3.9510000000000003E-2</v>
      </c>
      <c r="G2084" s="7">
        <v>1.9099999999999999E-2</v>
      </c>
    </row>
    <row r="2085" spans="2:7" x14ac:dyDescent="0.2">
      <c r="B2085" s="60">
        <v>38826</v>
      </c>
      <c r="C2085" s="7">
        <v>3.925E-2</v>
      </c>
      <c r="D2085" s="7">
        <v>3.925E-2</v>
      </c>
      <c r="E2085" s="7">
        <v>3.925E-2</v>
      </c>
      <c r="F2085" s="7">
        <v>3.925E-2</v>
      </c>
      <c r="G2085" s="7">
        <v>-6.6E-3</v>
      </c>
    </row>
    <row r="2086" spans="2:7" x14ac:dyDescent="0.2">
      <c r="B2086" s="60">
        <v>38827</v>
      </c>
      <c r="C2086" s="7">
        <v>3.9329999999999997E-2</v>
      </c>
      <c r="D2086" s="7">
        <v>3.9329999999999997E-2</v>
      </c>
      <c r="E2086" s="7">
        <v>3.9329999999999997E-2</v>
      </c>
      <c r="F2086" s="7">
        <v>3.9329999999999997E-2</v>
      </c>
      <c r="G2086" s="7">
        <v>2E-3</v>
      </c>
    </row>
    <row r="2087" spans="2:7" x14ac:dyDescent="0.2">
      <c r="B2087" s="60">
        <v>38828</v>
      </c>
      <c r="C2087" s="7">
        <v>3.925E-2</v>
      </c>
      <c r="D2087" s="7">
        <v>3.925E-2</v>
      </c>
      <c r="E2087" s="7">
        <v>3.925E-2</v>
      </c>
      <c r="F2087" s="7">
        <v>3.925E-2</v>
      </c>
      <c r="G2087" s="7">
        <v>-2E-3</v>
      </c>
    </row>
    <row r="2088" spans="2:7" x14ac:dyDescent="0.2">
      <c r="B2088" s="60">
        <v>38831</v>
      </c>
      <c r="C2088" s="7">
        <v>3.943E-2</v>
      </c>
      <c r="D2088" s="7">
        <v>3.943E-2</v>
      </c>
      <c r="E2088" s="7">
        <v>3.943E-2</v>
      </c>
      <c r="F2088" s="7">
        <v>3.943E-2</v>
      </c>
      <c r="G2088" s="7">
        <v>4.5999999999999999E-3</v>
      </c>
    </row>
    <row r="2089" spans="2:7" x14ac:dyDescent="0.2">
      <c r="B2089" s="60">
        <v>38832</v>
      </c>
      <c r="C2089" s="7">
        <v>3.925E-2</v>
      </c>
      <c r="D2089" s="7">
        <v>3.925E-2</v>
      </c>
      <c r="E2089" s="7">
        <v>3.925E-2</v>
      </c>
      <c r="F2089" s="7">
        <v>3.925E-2</v>
      </c>
      <c r="G2089" s="7">
        <v>-4.5999999999999999E-3</v>
      </c>
    </row>
    <row r="2090" spans="2:7" x14ac:dyDescent="0.2">
      <c r="B2090" s="60">
        <v>38833</v>
      </c>
      <c r="C2090" s="7">
        <v>3.9750000000000001E-2</v>
      </c>
      <c r="D2090" s="7">
        <v>3.9750000000000001E-2</v>
      </c>
      <c r="E2090" s="7">
        <v>3.9750000000000001E-2</v>
      </c>
      <c r="F2090" s="7">
        <v>3.9750000000000001E-2</v>
      </c>
      <c r="G2090" s="7">
        <v>1.2699999999999999E-2</v>
      </c>
    </row>
    <row r="2091" spans="2:7" x14ac:dyDescent="0.2">
      <c r="B2091" s="60">
        <v>38834</v>
      </c>
      <c r="C2091" s="7">
        <v>3.984E-2</v>
      </c>
      <c r="D2091" s="7">
        <v>3.984E-2</v>
      </c>
      <c r="E2091" s="7">
        <v>3.984E-2</v>
      </c>
      <c r="F2091" s="7">
        <v>3.984E-2</v>
      </c>
      <c r="G2091" s="7">
        <v>2.3E-3</v>
      </c>
    </row>
    <row r="2092" spans="2:7" x14ac:dyDescent="0.2">
      <c r="B2092" s="60">
        <v>38835</v>
      </c>
      <c r="C2092" s="7">
        <v>3.9699999999999999E-2</v>
      </c>
      <c r="D2092" s="7">
        <v>3.9699999999999999E-2</v>
      </c>
      <c r="E2092" s="7">
        <v>3.9699999999999999E-2</v>
      </c>
      <c r="F2092" s="7">
        <v>3.9699999999999999E-2</v>
      </c>
      <c r="G2092" s="7">
        <v>-3.5000000000000001E-3</v>
      </c>
    </row>
    <row r="2093" spans="2:7" x14ac:dyDescent="0.2">
      <c r="B2093" s="60">
        <v>38839</v>
      </c>
      <c r="C2093" s="7">
        <v>3.9510000000000003E-2</v>
      </c>
      <c r="D2093" s="7">
        <v>3.9510000000000003E-2</v>
      </c>
      <c r="E2093" s="7">
        <v>3.9510000000000003E-2</v>
      </c>
      <c r="F2093" s="7">
        <v>3.9510000000000003E-2</v>
      </c>
      <c r="G2093" s="7">
        <v>-4.7999999999999996E-3</v>
      </c>
    </row>
    <row r="2094" spans="2:7" x14ac:dyDescent="0.2">
      <c r="B2094" s="60">
        <v>38840</v>
      </c>
      <c r="C2094" s="7">
        <v>3.9710000000000002E-2</v>
      </c>
      <c r="D2094" s="7">
        <v>3.9710000000000002E-2</v>
      </c>
      <c r="E2094" s="7">
        <v>3.9710000000000002E-2</v>
      </c>
      <c r="F2094" s="7">
        <v>3.9710000000000002E-2</v>
      </c>
      <c r="G2094" s="7">
        <v>5.1000000000000004E-3</v>
      </c>
    </row>
    <row r="2095" spans="2:7" x14ac:dyDescent="0.2">
      <c r="B2095" s="60">
        <v>38841</v>
      </c>
      <c r="C2095" s="7">
        <v>3.9900000000000005E-2</v>
      </c>
      <c r="D2095" s="7">
        <v>3.9900000000000005E-2</v>
      </c>
      <c r="E2095" s="7">
        <v>3.9900000000000005E-2</v>
      </c>
      <c r="F2095" s="7">
        <v>3.9900000000000005E-2</v>
      </c>
      <c r="G2095" s="7">
        <v>4.7999999999999996E-3</v>
      </c>
    </row>
    <row r="2096" spans="2:7" x14ac:dyDescent="0.2">
      <c r="B2096" s="60">
        <v>38842</v>
      </c>
      <c r="C2096" s="7">
        <v>4.0170000000000004E-2</v>
      </c>
      <c r="D2096" s="7">
        <v>4.0170000000000004E-2</v>
      </c>
      <c r="E2096" s="7">
        <v>4.0170000000000004E-2</v>
      </c>
      <c r="F2096" s="7">
        <v>4.0170000000000004E-2</v>
      </c>
      <c r="G2096" s="7">
        <v>6.7999999999999996E-3</v>
      </c>
    </row>
    <row r="2097" spans="2:7" x14ac:dyDescent="0.2">
      <c r="B2097" s="60">
        <v>38845</v>
      </c>
      <c r="C2097" s="7">
        <v>3.9989999999999998E-2</v>
      </c>
      <c r="D2097" s="7">
        <v>3.9989999999999998E-2</v>
      </c>
      <c r="E2097" s="7">
        <v>3.9989999999999998E-2</v>
      </c>
      <c r="F2097" s="7">
        <v>3.9989999999999998E-2</v>
      </c>
      <c r="G2097" s="7">
        <v>-4.4999999999999997E-3</v>
      </c>
    </row>
    <row r="2098" spans="2:7" x14ac:dyDescent="0.2">
      <c r="B2098" s="60">
        <v>38846</v>
      </c>
      <c r="C2098" s="7">
        <v>4.0050000000000002E-2</v>
      </c>
      <c r="D2098" s="7">
        <v>4.0050000000000002E-2</v>
      </c>
      <c r="E2098" s="7">
        <v>4.0050000000000002E-2</v>
      </c>
      <c r="F2098" s="7">
        <v>4.0050000000000002E-2</v>
      </c>
      <c r="G2098" s="7">
        <v>1.5E-3</v>
      </c>
    </row>
    <row r="2099" spans="2:7" x14ac:dyDescent="0.2">
      <c r="B2099" s="60">
        <v>38847</v>
      </c>
      <c r="C2099" s="7">
        <v>4.0160000000000001E-2</v>
      </c>
      <c r="D2099" s="7">
        <v>4.0160000000000001E-2</v>
      </c>
      <c r="E2099" s="7">
        <v>4.0160000000000001E-2</v>
      </c>
      <c r="F2099" s="7">
        <v>4.0160000000000001E-2</v>
      </c>
      <c r="G2099" s="7">
        <v>2.7000000000000001E-3</v>
      </c>
    </row>
    <row r="2100" spans="2:7" x14ac:dyDescent="0.2">
      <c r="B2100" s="60">
        <v>38848</v>
      </c>
      <c r="C2100" s="7">
        <v>4.0039999999999992E-2</v>
      </c>
      <c r="D2100" s="7">
        <v>4.0039999999999992E-2</v>
      </c>
      <c r="E2100" s="7">
        <v>4.0039999999999992E-2</v>
      </c>
      <c r="F2100" s="7">
        <v>4.0039999999999992E-2</v>
      </c>
      <c r="G2100" s="7">
        <v>-3.0000000000000001E-3</v>
      </c>
    </row>
    <row r="2101" spans="2:7" x14ac:dyDescent="0.2">
      <c r="B2101" s="60">
        <v>38849</v>
      </c>
      <c r="C2101" s="7">
        <v>4.061E-2</v>
      </c>
      <c r="D2101" s="7">
        <v>4.061E-2</v>
      </c>
      <c r="E2101" s="7">
        <v>4.061E-2</v>
      </c>
      <c r="F2101" s="7">
        <v>4.061E-2</v>
      </c>
      <c r="G2101" s="7">
        <v>1.4200000000000001E-2</v>
      </c>
    </row>
    <row r="2102" spans="2:7" x14ac:dyDescent="0.2">
      <c r="B2102" s="60">
        <v>38852</v>
      </c>
      <c r="C2102" s="7">
        <v>4.0590000000000001E-2</v>
      </c>
      <c r="D2102" s="7">
        <v>4.0590000000000001E-2</v>
      </c>
      <c r="E2102" s="7">
        <v>4.0590000000000001E-2</v>
      </c>
      <c r="F2102" s="7">
        <v>4.0590000000000001E-2</v>
      </c>
      <c r="G2102" s="7">
        <v>-5.0000000000000001E-4</v>
      </c>
    </row>
    <row r="2103" spans="2:7" x14ac:dyDescent="0.2">
      <c r="B2103" s="60">
        <v>38853</v>
      </c>
      <c r="C2103" s="7">
        <v>4.0129999999999999E-2</v>
      </c>
      <c r="D2103" s="7">
        <v>4.0129999999999999E-2</v>
      </c>
      <c r="E2103" s="7">
        <v>4.0129999999999999E-2</v>
      </c>
      <c r="F2103" s="7">
        <v>4.0129999999999999E-2</v>
      </c>
      <c r="G2103" s="7">
        <v>-1.1299999999999999E-2</v>
      </c>
    </row>
    <row r="2104" spans="2:7" x14ac:dyDescent="0.2">
      <c r="B2104" s="60">
        <v>38854</v>
      </c>
      <c r="C2104" s="7">
        <v>4.0670000000000005E-2</v>
      </c>
      <c r="D2104" s="7">
        <v>4.0670000000000005E-2</v>
      </c>
      <c r="E2104" s="7">
        <v>4.0670000000000005E-2</v>
      </c>
      <c r="F2104" s="7">
        <v>4.0670000000000005E-2</v>
      </c>
      <c r="G2104" s="7">
        <v>1.35E-2</v>
      </c>
    </row>
    <row r="2105" spans="2:7" x14ac:dyDescent="0.2">
      <c r="B2105" s="60">
        <v>38855</v>
      </c>
      <c r="C2105" s="7">
        <v>4.0670000000000005E-2</v>
      </c>
      <c r="D2105" s="7">
        <v>4.0670000000000005E-2</v>
      </c>
      <c r="E2105" s="7">
        <v>4.0670000000000005E-2</v>
      </c>
      <c r="F2105" s="7">
        <v>4.0670000000000005E-2</v>
      </c>
      <c r="G2105" s="7">
        <v>0</v>
      </c>
    </row>
    <row r="2106" spans="2:7" x14ac:dyDescent="0.2">
      <c r="B2106" s="60">
        <v>38856</v>
      </c>
      <c r="C2106" s="7">
        <v>4.0069999999999995E-2</v>
      </c>
      <c r="D2106" s="7">
        <v>4.0069999999999995E-2</v>
      </c>
      <c r="E2106" s="7">
        <v>4.0069999999999995E-2</v>
      </c>
      <c r="F2106" s="7">
        <v>4.0069999999999995E-2</v>
      </c>
      <c r="G2106" s="7">
        <v>-1.4800000000000001E-2</v>
      </c>
    </row>
    <row r="2107" spans="2:7" x14ac:dyDescent="0.2">
      <c r="B2107" s="60">
        <v>38859</v>
      </c>
      <c r="C2107" s="7">
        <v>4.002E-2</v>
      </c>
      <c r="D2107" s="7">
        <v>4.002E-2</v>
      </c>
      <c r="E2107" s="7">
        <v>4.002E-2</v>
      </c>
      <c r="F2107" s="7">
        <v>4.002E-2</v>
      </c>
      <c r="G2107" s="7">
        <v>-1.1999999999999999E-3</v>
      </c>
    </row>
    <row r="2108" spans="2:7" x14ac:dyDescent="0.2">
      <c r="B2108" s="60">
        <v>38860</v>
      </c>
      <c r="C2108" s="7">
        <v>3.9289999999999999E-2</v>
      </c>
      <c r="D2108" s="7">
        <v>3.9289999999999999E-2</v>
      </c>
      <c r="E2108" s="7">
        <v>3.9289999999999999E-2</v>
      </c>
      <c r="F2108" s="7">
        <v>3.9289999999999999E-2</v>
      </c>
      <c r="G2108" s="7">
        <v>-1.8200000000000001E-2</v>
      </c>
    </row>
    <row r="2109" spans="2:7" x14ac:dyDescent="0.2">
      <c r="B2109" s="60">
        <v>38861</v>
      </c>
      <c r="C2109" s="7">
        <v>3.918E-2</v>
      </c>
      <c r="D2109" s="7">
        <v>3.918E-2</v>
      </c>
      <c r="E2109" s="7">
        <v>3.918E-2</v>
      </c>
      <c r="F2109" s="7">
        <v>3.918E-2</v>
      </c>
      <c r="G2109" s="7">
        <v>-2.8E-3</v>
      </c>
    </row>
    <row r="2110" spans="2:7" x14ac:dyDescent="0.2">
      <c r="B2110" s="60">
        <v>38862</v>
      </c>
      <c r="C2110" s="7">
        <v>3.8940000000000002E-2</v>
      </c>
      <c r="D2110" s="7">
        <v>3.8940000000000002E-2</v>
      </c>
      <c r="E2110" s="7">
        <v>3.8940000000000002E-2</v>
      </c>
      <c r="F2110" s="7">
        <v>3.8940000000000002E-2</v>
      </c>
      <c r="G2110" s="7">
        <v>-6.1000000000000004E-3</v>
      </c>
    </row>
    <row r="2111" spans="2:7" x14ac:dyDescent="0.2">
      <c r="B2111" s="60">
        <v>38863</v>
      </c>
      <c r="C2111" s="7">
        <v>3.8719999999999997E-2</v>
      </c>
      <c r="D2111" s="7">
        <v>3.8719999999999997E-2</v>
      </c>
      <c r="E2111" s="7">
        <v>3.8719999999999997E-2</v>
      </c>
      <c r="F2111" s="7">
        <v>3.8719999999999997E-2</v>
      </c>
      <c r="G2111" s="7">
        <v>-5.5999999999999999E-3</v>
      </c>
    </row>
    <row r="2112" spans="2:7" x14ac:dyDescent="0.2">
      <c r="B2112" s="60">
        <v>38866</v>
      </c>
      <c r="C2112" s="7">
        <v>3.882E-2</v>
      </c>
      <c r="D2112" s="7">
        <v>3.882E-2</v>
      </c>
      <c r="E2112" s="7">
        <v>3.882E-2</v>
      </c>
      <c r="F2112" s="7">
        <v>3.882E-2</v>
      </c>
      <c r="G2112" s="7">
        <v>2.5999999999999999E-3</v>
      </c>
    </row>
    <row r="2113" spans="2:7" x14ac:dyDescent="0.2">
      <c r="B2113" s="60">
        <v>38867</v>
      </c>
      <c r="C2113" s="7">
        <v>3.8879999999999998E-2</v>
      </c>
      <c r="D2113" s="7">
        <v>3.8879999999999998E-2</v>
      </c>
      <c r="E2113" s="7">
        <v>3.8879999999999998E-2</v>
      </c>
      <c r="F2113" s="7">
        <v>3.8879999999999998E-2</v>
      </c>
      <c r="G2113" s="7">
        <v>1.5E-3</v>
      </c>
    </row>
    <row r="2114" spans="2:7" x14ac:dyDescent="0.2">
      <c r="B2114" s="60">
        <v>38868</v>
      </c>
      <c r="C2114" s="7">
        <v>3.9320000000000001E-2</v>
      </c>
      <c r="D2114" s="7">
        <v>3.9320000000000001E-2</v>
      </c>
      <c r="E2114" s="7">
        <v>3.9320000000000001E-2</v>
      </c>
      <c r="F2114" s="7">
        <v>3.9320000000000001E-2</v>
      </c>
      <c r="G2114" s="7">
        <v>1.1299999999999999E-2</v>
      </c>
    </row>
    <row r="2115" spans="2:7" x14ac:dyDescent="0.2">
      <c r="B2115" s="60">
        <v>38869</v>
      </c>
      <c r="C2115" s="7">
        <v>3.9890000000000002E-2</v>
      </c>
      <c r="D2115" s="7">
        <v>3.9890000000000002E-2</v>
      </c>
      <c r="E2115" s="7">
        <v>3.9890000000000002E-2</v>
      </c>
      <c r="F2115" s="7">
        <v>3.9890000000000002E-2</v>
      </c>
      <c r="G2115" s="7">
        <v>1.4500000000000001E-2</v>
      </c>
    </row>
    <row r="2116" spans="2:7" x14ac:dyDescent="0.2">
      <c r="B2116" s="60">
        <v>38870</v>
      </c>
      <c r="C2116" s="7">
        <v>3.9910000000000001E-2</v>
      </c>
      <c r="D2116" s="7">
        <v>3.9910000000000001E-2</v>
      </c>
      <c r="E2116" s="7">
        <v>3.9910000000000001E-2</v>
      </c>
      <c r="F2116" s="7">
        <v>3.9910000000000001E-2</v>
      </c>
      <c r="G2116" s="7">
        <v>5.0000000000000001E-4</v>
      </c>
    </row>
    <row r="2117" spans="2:7" x14ac:dyDescent="0.2">
      <c r="B2117" s="60">
        <v>38873</v>
      </c>
      <c r="C2117" s="7">
        <v>3.9239999999999997E-2</v>
      </c>
      <c r="D2117" s="7">
        <v>3.9239999999999997E-2</v>
      </c>
      <c r="E2117" s="7">
        <v>3.9239999999999997E-2</v>
      </c>
      <c r="F2117" s="7">
        <v>3.9239999999999997E-2</v>
      </c>
      <c r="G2117" s="7">
        <v>-1.6799999999999999E-2</v>
      </c>
    </row>
    <row r="2118" spans="2:7" x14ac:dyDescent="0.2">
      <c r="B2118" s="60">
        <v>38874</v>
      </c>
      <c r="C2118" s="7">
        <v>3.9599999999999996E-2</v>
      </c>
      <c r="D2118" s="7">
        <v>3.9599999999999996E-2</v>
      </c>
      <c r="E2118" s="7">
        <v>3.9599999999999996E-2</v>
      </c>
      <c r="F2118" s="7">
        <v>3.9599999999999996E-2</v>
      </c>
      <c r="G2118" s="7">
        <v>9.1999999999999998E-3</v>
      </c>
    </row>
    <row r="2119" spans="2:7" x14ac:dyDescent="0.2">
      <c r="B2119" s="60">
        <v>38875</v>
      </c>
      <c r="C2119" s="7">
        <v>3.9980000000000002E-2</v>
      </c>
      <c r="D2119" s="7">
        <v>3.9980000000000002E-2</v>
      </c>
      <c r="E2119" s="7">
        <v>3.9980000000000002E-2</v>
      </c>
      <c r="F2119" s="7">
        <v>3.9980000000000002E-2</v>
      </c>
      <c r="G2119" s="7">
        <v>9.5999999999999992E-3</v>
      </c>
    </row>
    <row r="2120" spans="2:7" x14ac:dyDescent="0.2">
      <c r="B2120" s="60">
        <v>38876</v>
      </c>
      <c r="C2120" s="7">
        <v>3.9980000000000002E-2</v>
      </c>
      <c r="D2120" s="7">
        <v>3.9980000000000002E-2</v>
      </c>
      <c r="E2120" s="7">
        <v>3.9980000000000002E-2</v>
      </c>
      <c r="F2120" s="7">
        <v>3.9980000000000002E-2</v>
      </c>
      <c r="G2120" s="7">
        <v>0</v>
      </c>
    </row>
    <row r="2121" spans="2:7" x14ac:dyDescent="0.2">
      <c r="B2121" s="60">
        <v>38877</v>
      </c>
      <c r="C2121" s="7">
        <v>3.9300000000000002E-2</v>
      </c>
      <c r="D2121" s="7">
        <v>3.9300000000000002E-2</v>
      </c>
      <c r="E2121" s="7">
        <v>3.9300000000000002E-2</v>
      </c>
      <c r="F2121" s="7">
        <v>3.9300000000000002E-2</v>
      </c>
      <c r="G2121" s="7">
        <v>-1.7000000000000001E-2</v>
      </c>
    </row>
    <row r="2122" spans="2:7" x14ac:dyDescent="0.2">
      <c r="B2122" s="60">
        <v>38880</v>
      </c>
      <c r="C2122" s="7">
        <v>3.9300000000000002E-2</v>
      </c>
      <c r="D2122" s="7">
        <v>3.9300000000000002E-2</v>
      </c>
      <c r="E2122" s="7">
        <v>3.9300000000000002E-2</v>
      </c>
      <c r="F2122" s="7">
        <v>3.9300000000000002E-2</v>
      </c>
      <c r="G2122" s="7">
        <v>0</v>
      </c>
    </row>
    <row r="2123" spans="2:7" x14ac:dyDescent="0.2">
      <c r="B2123" s="60">
        <v>38881</v>
      </c>
      <c r="C2123" s="7">
        <v>3.9019999999999999E-2</v>
      </c>
      <c r="D2123" s="7">
        <v>3.9019999999999999E-2</v>
      </c>
      <c r="E2123" s="7">
        <v>3.9019999999999999E-2</v>
      </c>
      <c r="F2123" s="7">
        <v>3.9019999999999999E-2</v>
      </c>
      <c r="G2123" s="7">
        <v>-7.1000000000000004E-3</v>
      </c>
    </row>
    <row r="2124" spans="2:7" x14ac:dyDescent="0.2">
      <c r="B2124" s="60">
        <v>38882</v>
      </c>
      <c r="C2124" s="7">
        <v>3.8640000000000001E-2</v>
      </c>
      <c r="D2124" s="7">
        <v>3.8640000000000001E-2</v>
      </c>
      <c r="E2124" s="7">
        <v>3.8640000000000001E-2</v>
      </c>
      <c r="F2124" s="7">
        <v>3.8640000000000001E-2</v>
      </c>
      <c r="G2124" s="7">
        <v>-9.7000000000000003E-3</v>
      </c>
    </row>
    <row r="2125" spans="2:7" x14ac:dyDescent="0.2">
      <c r="B2125" s="60">
        <v>38883</v>
      </c>
      <c r="C2125" s="7">
        <v>3.9039999999999998E-2</v>
      </c>
      <c r="D2125" s="7">
        <v>3.9039999999999998E-2</v>
      </c>
      <c r="E2125" s="7">
        <v>3.9039999999999998E-2</v>
      </c>
      <c r="F2125" s="7">
        <v>3.9039999999999998E-2</v>
      </c>
      <c r="G2125" s="7">
        <v>1.04E-2</v>
      </c>
    </row>
    <row r="2126" spans="2:7" x14ac:dyDescent="0.2">
      <c r="B2126" s="60">
        <v>38884</v>
      </c>
      <c r="C2126" s="7">
        <v>3.9550000000000002E-2</v>
      </c>
      <c r="D2126" s="7">
        <v>3.9550000000000002E-2</v>
      </c>
      <c r="E2126" s="7">
        <v>3.9550000000000002E-2</v>
      </c>
      <c r="F2126" s="7">
        <v>3.9550000000000002E-2</v>
      </c>
      <c r="G2126" s="7">
        <v>1.3100000000000001E-2</v>
      </c>
    </row>
    <row r="2127" spans="2:7" x14ac:dyDescent="0.2">
      <c r="B2127" s="60">
        <v>38887</v>
      </c>
      <c r="C2127" s="7">
        <v>3.9489999999999997E-2</v>
      </c>
      <c r="D2127" s="7">
        <v>3.9489999999999997E-2</v>
      </c>
      <c r="E2127" s="7">
        <v>3.9489999999999997E-2</v>
      </c>
      <c r="F2127" s="7">
        <v>3.9489999999999997E-2</v>
      </c>
      <c r="G2127" s="7">
        <v>-1.5E-3</v>
      </c>
    </row>
    <row r="2128" spans="2:7" x14ac:dyDescent="0.2">
      <c r="B2128" s="60">
        <v>38888</v>
      </c>
      <c r="C2128" s="7">
        <v>3.9649999999999998E-2</v>
      </c>
      <c r="D2128" s="7">
        <v>3.9649999999999998E-2</v>
      </c>
      <c r="E2128" s="7">
        <v>3.9649999999999998E-2</v>
      </c>
      <c r="F2128" s="7">
        <v>3.9649999999999998E-2</v>
      </c>
      <c r="G2128" s="7">
        <v>4.1000000000000003E-3</v>
      </c>
    </row>
    <row r="2129" spans="2:7" x14ac:dyDescent="0.2">
      <c r="B2129" s="60">
        <v>38889</v>
      </c>
      <c r="C2129" s="7">
        <v>3.9969999999999999E-2</v>
      </c>
      <c r="D2129" s="7">
        <v>3.9969999999999999E-2</v>
      </c>
      <c r="E2129" s="7">
        <v>3.9969999999999999E-2</v>
      </c>
      <c r="F2129" s="7">
        <v>3.9969999999999999E-2</v>
      </c>
      <c r="G2129" s="7">
        <v>8.0999999999999996E-3</v>
      </c>
    </row>
    <row r="2130" spans="2:7" x14ac:dyDescent="0.2">
      <c r="B2130" s="60">
        <v>38890</v>
      </c>
      <c r="C2130" s="7">
        <v>4.0149999999999998E-2</v>
      </c>
      <c r="D2130" s="7">
        <v>4.0149999999999998E-2</v>
      </c>
      <c r="E2130" s="7">
        <v>4.0149999999999998E-2</v>
      </c>
      <c r="F2130" s="7">
        <v>4.0149999999999998E-2</v>
      </c>
      <c r="G2130" s="7">
        <v>4.4999999999999997E-3</v>
      </c>
    </row>
    <row r="2131" spans="2:7" x14ac:dyDescent="0.2">
      <c r="B2131" s="60">
        <v>38891</v>
      </c>
      <c r="C2131" s="7">
        <v>4.0590000000000001E-2</v>
      </c>
      <c r="D2131" s="7">
        <v>4.0590000000000001E-2</v>
      </c>
      <c r="E2131" s="7">
        <v>4.0590000000000001E-2</v>
      </c>
      <c r="F2131" s="7">
        <v>4.0590000000000001E-2</v>
      </c>
      <c r="G2131" s="7">
        <v>1.0999999999999999E-2</v>
      </c>
    </row>
    <row r="2132" spans="2:7" x14ac:dyDescent="0.2">
      <c r="B2132" s="60">
        <v>38894</v>
      </c>
      <c r="C2132" s="7">
        <v>4.0780000000000004E-2</v>
      </c>
      <c r="D2132" s="7">
        <v>4.0780000000000004E-2</v>
      </c>
      <c r="E2132" s="7">
        <v>4.0780000000000004E-2</v>
      </c>
      <c r="F2132" s="7">
        <v>4.0780000000000004E-2</v>
      </c>
      <c r="G2132" s="7">
        <v>4.7000000000000002E-3</v>
      </c>
    </row>
    <row r="2133" spans="2:7" x14ac:dyDescent="0.2">
      <c r="B2133" s="60">
        <v>38895</v>
      </c>
      <c r="C2133" s="7">
        <v>4.0869999999999997E-2</v>
      </c>
      <c r="D2133" s="7">
        <v>4.0869999999999997E-2</v>
      </c>
      <c r="E2133" s="7">
        <v>4.0869999999999997E-2</v>
      </c>
      <c r="F2133" s="7">
        <v>4.0869999999999997E-2</v>
      </c>
      <c r="G2133" s="7">
        <v>2.2000000000000001E-3</v>
      </c>
    </row>
    <row r="2134" spans="2:7" x14ac:dyDescent="0.2">
      <c r="B2134" s="60">
        <v>38896</v>
      </c>
      <c r="C2134" s="7">
        <v>4.0830000000000005E-2</v>
      </c>
      <c r="D2134" s="7">
        <v>4.0830000000000005E-2</v>
      </c>
      <c r="E2134" s="7">
        <v>4.0830000000000005E-2</v>
      </c>
      <c r="F2134" s="7">
        <v>4.0830000000000005E-2</v>
      </c>
      <c r="G2134" s="7">
        <v>-1E-3</v>
      </c>
    </row>
    <row r="2135" spans="2:7" x14ac:dyDescent="0.2">
      <c r="B2135" s="60">
        <v>38897</v>
      </c>
      <c r="C2135" s="7">
        <v>4.095E-2</v>
      </c>
      <c r="D2135" s="7">
        <v>4.095E-2</v>
      </c>
      <c r="E2135" s="7">
        <v>4.095E-2</v>
      </c>
      <c r="F2135" s="7">
        <v>4.095E-2</v>
      </c>
      <c r="G2135" s="7">
        <v>2.8999999999999998E-3</v>
      </c>
    </row>
    <row r="2136" spans="2:7" x14ac:dyDescent="0.2">
      <c r="B2136" s="60">
        <v>38898</v>
      </c>
      <c r="C2136" s="7">
        <v>4.054E-2</v>
      </c>
      <c r="D2136" s="7">
        <v>4.054E-2</v>
      </c>
      <c r="E2136" s="7">
        <v>4.054E-2</v>
      </c>
      <c r="F2136" s="7">
        <v>4.054E-2</v>
      </c>
      <c r="G2136" s="7">
        <v>-0.01</v>
      </c>
    </row>
    <row r="2137" spans="2:7" x14ac:dyDescent="0.2">
      <c r="B2137" s="60">
        <v>38901</v>
      </c>
      <c r="C2137" s="7">
        <v>4.0579999999999998E-2</v>
      </c>
      <c r="D2137" s="7">
        <v>4.0579999999999998E-2</v>
      </c>
      <c r="E2137" s="7">
        <v>4.0579999999999998E-2</v>
      </c>
      <c r="F2137" s="7">
        <v>4.0579999999999998E-2</v>
      </c>
      <c r="G2137" s="7">
        <v>1E-3</v>
      </c>
    </row>
    <row r="2138" spans="2:7" x14ac:dyDescent="0.2">
      <c r="B2138" s="60">
        <v>38902</v>
      </c>
      <c r="C2138" s="7">
        <v>4.0810000000000006E-2</v>
      </c>
      <c r="D2138" s="7">
        <v>4.0810000000000006E-2</v>
      </c>
      <c r="E2138" s="7">
        <v>4.0810000000000006E-2</v>
      </c>
      <c r="F2138" s="7">
        <v>4.0810000000000006E-2</v>
      </c>
      <c r="G2138" s="7">
        <v>5.7000000000000002E-3</v>
      </c>
    </row>
    <row r="2139" spans="2:7" x14ac:dyDescent="0.2">
      <c r="B2139" s="60">
        <v>38903</v>
      </c>
      <c r="C2139" s="7">
        <v>4.0679999999999994E-2</v>
      </c>
      <c r="D2139" s="7">
        <v>4.0679999999999994E-2</v>
      </c>
      <c r="E2139" s="7">
        <v>4.0679999999999994E-2</v>
      </c>
      <c r="F2139" s="7">
        <v>4.0679999999999994E-2</v>
      </c>
      <c r="G2139" s="7">
        <v>-3.2000000000000002E-3</v>
      </c>
    </row>
    <row r="2140" spans="2:7" x14ac:dyDescent="0.2">
      <c r="B2140" s="60">
        <v>38904</v>
      </c>
      <c r="C2140" s="7">
        <v>4.1340000000000002E-2</v>
      </c>
      <c r="D2140" s="7">
        <v>4.1340000000000002E-2</v>
      </c>
      <c r="E2140" s="7">
        <v>4.1340000000000002E-2</v>
      </c>
      <c r="F2140" s="7">
        <v>4.1340000000000002E-2</v>
      </c>
      <c r="G2140" s="7">
        <v>1.6199999999999999E-2</v>
      </c>
    </row>
    <row r="2141" spans="2:7" x14ac:dyDescent="0.2">
      <c r="B2141" s="60">
        <v>38905</v>
      </c>
      <c r="C2141" s="7">
        <v>4.1149999999999999E-2</v>
      </c>
      <c r="D2141" s="7">
        <v>4.1149999999999999E-2</v>
      </c>
      <c r="E2141" s="7">
        <v>4.1149999999999999E-2</v>
      </c>
      <c r="F2141" s="7">
        <v>4.1149999999999999E-2</v>
      </c>
      <c r="G2141" s="7">
        <v>-4.5999999999999999E-3</v>
      </c>
    </row>
    <row r="2142" spans="2:7" x14ac:dyDescent="0.2">
      <c r="B2142" s="60">
        <v>38908</v>
      </c>
      <c r="C2142" s="7">
        <v>4.0590000000000001E-2</v>
      </c>
      <c r="D2142" s="7">
        <v>4.0590000000000001E-2</v>
      </c>
      <c r="E2142" s="7">
        <v>4.0590000000000001E-2</v>
      </c>
      <c r="F2142" s="7">
        <v>4.0590000000000001E-2</v>
      </c>
      <c r="G2142" s="7">
        <v>-1.3599999999999999E-2</v>
      </c>
    </row>
    <row r="2143" spans="2:7" x14ac:dyDescent="0.2">
      <c r="B2143" s="60">
        <v>38909</v>
      </c>
      <c r="C2143" s="7">
        <v>4.0819999999999995E-2</v>
      </c>
      <c r="D2143" s="7">
        <v>4.0819999999999995E-2</v>
      </c>
      <c r="E2143" s="7">
        <v>4.0819999999999995E-2</v>
      </c>
      <c r="F2143" s="7">
        <v>4.0819999999999995E-2</v>
      </c>
      <c r="G2143" s="7">
        <v>5.7000000000000002E-3</v>
      </c>
    </row>
    <row r="2144" spans="2:7" x14ac:dyDescent="0.2">
      <c r="B2144" s="60">
        <v>38910</v>
      </c>
      <c r="C2144" s="7">
        <v>4.0410000000000001E-2</v>
      </c>
      <c r="D2144" s="7">
        <v>4.0410000000000001E-2</v>
      </c>
      <c r="E2144" s="7">
        <v>4.0410000000000001E-2</v>
      </c>
      <c r="F2144" s="7">
        <v>4.0410000000000001E-2</v>
      </c>
      <c r="G2144" s="7">
        <v>-0.01</v>
      </c>
    </row>
    <row r="2145" spans="2:7" x14ac:dyDescent="0.2">
      <c r="B2145" s="60">
        <v>38911</v>
      </c>
      <c r="C2145" s="7">
        <v>4.07E-2</v>
      </c>
      <c r="D2145" s="7">
        <v>4.07E-2</v>
      </c>
      <c r="E2145" s="7">
        <v>4.07E-2</v>
      </c>
      <c r="F2145" s="7">
        <v>4.07E-2</v>
      </c>
      <c r="G2145" s="7">
        <v>7.1999999999999998E-3</v>
      </c>
    </row>
    <row r="2146" spans="2:7" x14ac:dyDescent="0.2">
      <c r="B2146" s="60">
        <v>38912</v>
      </c>
      <c r="C2146" s="7">
        <v>4.0199999999999993E-2</v>
      </c>
      <c r="D2146" s="7">
        <v>4.0199999999999993E-2</v>
      </c>
      <c r="E2146" s="7">
        <v>4.0199999999999993E-2</v>
      </c>
      <c r="F2146" s="7">
        <v>4.0199999999999993E-2</v>
      </c>
      <c r="G2146" s="7">
        <v>-1.23E-2</v>
      </c>
    </row>
    <row r="2147" spans="2:7" x14ac:dyDescent="0.2">
      <c r="B2147" s="60">
        <v>38915</v>
      </c>
      <c r="C2147" s="7">
        <v>3.9800000000000002E-2</v>
      </c>
      <c r="D2147" s="7">
        <v>3.9800000000000002E-2</v>
      </c>
      <c r="E2147" s="7">
        <v>3.9800000000000002E-2</v>
      </c>
      <c r="F2147" s="7">
        <v>3.9800000000000002E-2</v>
      </c>
      <c r="G2147" s="7">
        <v>-0.01</v>
      </c>
    </row>
    <row r="2148" spans="2:7" x14ac:dyDescent="0.2">
      <c r="B2148" s="60">
        <v>38916</v>
      </c>
      <c r="C2148" s="7">
        <v>3.984E-2</v>
      </c>
      <c r="D2148" s="7">
        <v>3.984E-2</v>
      </c>
      <c r="E2148" s="7">
        <v>3.984E-2</v>
      </c>
      <c r="F2148" s="7">
        <v>3.984E-2</v>
      </c>
      <c r="G2148" s="7">
        <v>1E-3</v>
      </c>
    </row>
    <row r="2149" spans="2:7" x14ac:dyDescent="0.2">
      <c r="B2149" s="60">
        <v>38917</v>
      </c>
      <c r="C2149" s="7">
        <v>4.0129999999999999E-2</v>
      </c>
      <c r="D2149" s="7">
        <v>4.0129999999999999E-2</v>
      </c>
      <c r="E2149" s="7">
        <v>4.0129999999999999E-2</v>
      </c>
      <c r="F2149" s="7">
        <v>4.0129999999999999E-2</v>
      </c>
      <c r="G2149" s="7">
        <v>7.3000000000000001E-3</v>
      </c>
    </row>
    <row r="2150" spans="2:7" x14ac:dyDescent="0.2">
      <c r="B2150" s="60">
        <v>38918</v>
      </c>
      <c r="C2150" s="7">
        <v>3.9789999999999999E-2</v>
      </c>
      <c r="D2150" s="7">
        <v>3.9789999999999999E-2</v>
      </c>
      <c r="E2150" s="7">
        <v>3.9789999999999999E-2</v>
      </c>
      <c r="F2150" s="7">
        <v>3.9789999999999999E-2</v>
      </c>
      <c r="G2150" s="7">
        <v>-8.5000000000000006E-3</v>
      </c>
    </row>
    <row r="2151" spans="2:7" x14ac:dyDescent="0.2">
      <c r="B2151" s="60">
        <v>38919</v>
      </c>
      <c r="C2151" s="7">
        <v>3.9660000000000001E-2</v>
      </c>
      <c r="D2151" s="7">
        <v>3.9660000000000001E-2</v>
      </c>
      <c r="E2151" s="7">
        <v>3.9660000000000001E-2</v>
      </c>
      <c r="F2151" s="7">
        <v>3.9660000000000001E-2</v>
      </c>
      <c r="G2151" s="7">
        <v>-3.3E-3</v>
      </c>
    </row>
    <row r="2152" spans="2:7" x14ac:dyDescent="0.2">
      <c r="B2152" s="60">
        <v>38922</v>
      </c>
      <c r="C2152" s="7">
        <v>3.9649999999999998E-2</v>
      </c>
      <c r="D2152" s="7">
        <v>3.9649999999999998E-2</v>
      </c>
      <c r="E2152" s="7">
        <v>3.9649999999999998E-2</v>
      </c>
      <c r="F2152" s="7">
        <v>3.9649999999999998E-2</v>
      </c>
      <c r="G2152" s="7">
        <v>-2.9999999999999997E-4</v>
      </c>
    </row>
    <row r="2153" spans="2:7" x14ac:dyDescent="0.2">
      <c r="B2153" s="60">
        <v>38923</v>
      </c>
      <c r="C2153" s="7">
        <v>3.9609999999999999E-2</v>
      </c>
      <c r="D2153" s="7">
        <v>3.9609999999999999E-2</v>
      </c>
      <c r="E2153" s="7">
        <v>3.9609999999999999E-2</v>
      </c>
      <c r="F2153" s="7">
        <v>3.9609999999999999E-2</v>
      </c>
      <c r="G2153" s="7">
        <v>-1E-3</v>
      </c>
    </row>
    <row r="2154" spans="2:7" x14ac:dyDescent="0.2">
      <c r="B2154" s="60">
        <v>38924</v>
      </c>
      <c r="C2154" s="7">
        <v>3.9640000000000002E-2</v>
      </c>
      <c r="D2154" s="7">
        <v>3.9640000000000002E-2</v>
      </c>
      <c r="E2154" s="7">
        <v>3.9640000000000002E-2</v>
      </c>
      <c r="F2154" s="7">
        <v>3.9640000000000002E-2</v>
      </c>
      <c r="G2154" s="7">
        <v>8.0000000000000004E-4</v>
      </c>
    </row>
    <row r="2155" spans="2:7" x14ac:dyDescent="0.2">
      <c r="B2155" s="60">
        <v>38925</v>
      </c>
      <c r="C2155" s="7">
        <v>3.9699999999999999E-2</v>
      </c>
      <c r="D2155" s="7">
        <v>3.9699999999999999E-2</v>
      </c>
      <c r="E2155" s="7">
        <v>3.9699999999999999E-2</v>
      </c>
      <c r="F2155" s="7">
        <v>3.9699999999999999E-2</v>
      </c>
      <c r="G2155" s="7">
        <v>1.5E-3</v>
      </c>
    </row>
    <row r="2156" spans="2:7" x14ac:dyDescent="0.2">
      <c r="B2156" s="60">
        <v>38926</v>
      </c>
      <c r="C2156" s="7">
        <v>3.9480000000000001E-2</v>
      </c>
      <c r="D2156" s="7">
        <v>3.9480000000000001E-2</v>
      </c>
      <c r="E2156" s="7">
        <v>3.9480000000000001E-2</v>
      </c>
      <c r="F2156" s="7">
        <v>3.9480000000000001E-2</v>
      </c>
      <c r="G2156" s="7">
        <v>-5.4999999999999997E-3</v>
      </c>
    </row>
    <row r="2157" spans="2:7" x14ac:dyDescent="0.2">
      <c r="B2157" s="60">
        <v>38929</v>
      </c>
      <c r="C2157" s="7">
        <v>3.9230000000000001E-2</v>
      </c>
      <c r="D2157" s="7">
        <v>3.9230000000000001E-2</v>
      </c>
      <c r="E2157" s="7">
        <v>3.9230000000000001E-2</v>
      </c>
      <c r="F2157" s="7">
        <v>3.9230000000000001E-2</v>
      </c>
      <c r="G2157" s="7">
        <v>-6.3E-3</v>
      </c>
    </row>
    <row r="2158" spans="2:7" x14ac:dyDescent="0.2">
      <c r="B2158" s="60">
        <v>38930</v>
      </c>
      <c r="C2158" s="7">
        <v>3.9220000000000005E-2</v>
      </c>
      <c r="D2158" s="7">
        <v>3.9220000000000005E-2</v>
      </c>
      <c r="E2158" s="7">
        <v>3.9220000000000005E-2</v>
      </c>
      <c r="F2158" s="7">
        <v>3.9220000000000005E-2</v>
      </c>
      <c r="G2158" s="7">
        <v>-2.9999999999999997E-4</v>
      </c>
    </row>
    <row r="2159" spans="2:7" x14ac:dyDescent="0.2">
      <c r="B2159" s="60">
        <v>38931</v>
      </c>
      <c r="C2159" s="7">
        <v>3.9220000000000005E-2</v>
      </c>
      <c r="D2159" s="7">
        <v>3.9220000000000005E-2</v>
      </c>
      <c r="E2159" s="7">
        <v>3.9220000000000005E-2</v>
      </c>
      <c r="F2159" s="7">
        <v>3.9220000000000005E-2</v>
      </c>
      <c r="G2159" s="7">
        <v>0</v>
      </c>
    </row>
    <row r="2160" spans="2:7" x14ac:dyDescent="0.2">
      <c r="B2160" s="60">
        <v>38932</v>
      </c>
      <c r="C2160" s="7">
        <v>3.9260000000000003E-2</v>
      </c>
      <c r="D2160" s="7">
        <v>3.9260000000000003E-2</v>
      </c>
      <c r="E2160" s="7">
        <v>3.9260000000000003E-2</v>
      </c>
      <c r="F2160" s="7">
        <v>3.9260000000000003E-2</v>
      </c>
      <c r="G2160" s="7">
        <v>1E-3</v>
      </c>
    </row>
    <row r="2161" spans="2:7" x14ac:dyDescent="0.2">
      <c r="B2161" s="60">
        <v>38933</v>
      </c>
      <c r="C2161" s="7">
        <v>3.9649999999999998E-2</v>
      </c>
      <c r="D2161" s="7">
        <v>3.9649999999999998E-2</v>
      </c>
      <c r="E2161" s="7">
        <v>3.9649999999999998E-2</v>
      </c>
      <c r="F2161" s="7">
        <v>3.9649999999999998E-2</v>
      </c>
      <c r="G2161" s="7">
        <v>9.9000000000000008E-3</v>
      </c>
    </row>
    <row r="2162" spans="2:7" x14ac:dyDescent="0.2">
      <c r="B2162" s="60">
        <v>38936</v>
      </c>
      <c r="C2162" s="7">
        <v>3.9079999999999997E-2</v>
      </c>
      <c r="D2162" s="7">
        <v>3.9079999999999997E-2</v>
      </c>
      <c r="E2162" s="7">
        <v>3.9079999999999997E-2</v>
      </c>
      <c r="F2162" s="7">
        <v>3.9079999999999997E-2</v>
      </c>
      <c r="G2162" s="7">
        <v>-1.44E-2</v>
      </c>
    </row>
    <row r="2163" spans="2:7" x14ac:dyDescent="0.2">
      <c r="B2163" s="60">
        <v>38937</v>
      </c>
      <c r="C2163" s="7">
        <v>3.8940000000000002E-2</v>
      </c>
      <c r="D2163" s="7">
        <v>3.8940000000000002E-2</v>
      </c>
      <c r="E2163" s="7">
        <v>3.8940000000000002E-2</v>
      </c>
      <c r="F2163" s="7">
        <v>3.8940000000000002E-2</v>
      </c>
      <c r="G2163" s="7">
        <v>-3.5999999999999999E-3</v>
      </c>
    </row>
    <row r="2164" spans="2:7" x14ac:dyDescent="0.2">
      <c r="B2164" s="60">
        <v>38938</v>
      </c>
      <c r="C2164" s="7">
        <v>3.891E-2</v>
      </c>
      <c r="D2164" s="7">
        <v>3.891E-2</v>
      </c>
      <c r="E2164" s="7">
        <v>3.891E-2</v>
      </c>
      <c r="F2164" s="7">
        <v>3.891E-2</v>
      </c>
      <c r="G2164" s="7">
        <v>-8.0000000000000004E-4</v>
      </c>
    </row>
    <row r="2165" spans="2:7" x14ac:dyDescent="0.2">
      <c r="B2165" s="60">
        <v>38939</v>
      </c>
      <c r="C2165" s="7">
        <v>3.9300000000000002E-2</v>
      </c>
      <c r="D2165" s="7">
        <v>3.9300000000000002E-2</v>
      </c>
      <c r="E2165" s="7">
        <v>3.9300000000000002E-2</v>
      </c>
      <c r="F2165" s="7">
        <v>3.9300000000000002E-2</v>
      </c>
      <c r="G2165" s="7">
        <v>0.01</v>
      </c>
    </row>
    <row r="2166" spans="2:7" x14ac:dyDescent="0.2">
      <c r="B2166" s="60">
        <v>38940</v>
      </c>
      <c r="C2166" s="7">
        <v>3.9320000000000001E-2</v>
      </c>
      <c r="D2166" s="7">
        <v>3.9320000000000001E-2</v>
      </c>
      <c r="E2166" s="7">
        <v>3.9320000000000001E-2</v>
      </c>
      <c r="F2166" s="7">
        <v>3.9320000000000001E-2</v>
      </c>
      <c r="G2166" s="7">
        <v>5.0000000000000001E-4</v>
      </c>
    </row>
    <row r="2167" spans="2:7" x14ac:dyDescent="0.2">
      <c r="B2167" s="60">
        <v>38943</v>
      </c>
      <c r="C2167" s="7">
        <v>3.9820000000000001E-2</v>
      </c>
      <c r="D2167" s="7">
        <v>3.9820000000000001E-2</v>
      </c>
      <c r="E2167" s="7">
        <v>3.9820000000000001E-2</v>
      </c>
      <c r="F2167" s="7">
        <v>3.9820000000000001E-2</v>
      </c>
      <c r="G2167" s="7">
        <v>1.2699999999999999E-2</v>
      </c>
    </row>
    <row r="2168" spans="2:7" x14ac:dyDescent="0.2">
      <c r="B2168" s="60">
        <v>38944</v>
      </c>
      <c r="C2168" s="7">
        <v>4.0010000000000004E-2</v>
      </c>
      <c r="D2168" s="7">
        <v>4.0010000000000004E-2</v>
      </c>
      <c r="E2168" s="7">
        <v>4.0010000000000004E-2</v>
      </c>
      <c r="F2168" s="7">
        <v>4.0010000000000004E-2</v>
      </c>
      <c r="G2168" s="7">
        <v>4.7999999999999996E-3</v>
      </c>
    </row>
    <row r="2169" spans="2:7" x14ac:dyDescent="0.2">
      <c r="B2169" s="60">
        <v>38945</v>
      </c>
      <c r="C2169" s="7">
        <v>3.9759999999999997E-2</v>
      </c>
      <c r="D2169" s="7">
        <v>3.9759999999999997E-2</v>
      </c>
      <c r="E2169" s="7">
        <v>3.9759999999999997E-2</v>
      </c>
      <c r="F2169" s="7">
        <v>3.9759999999999997E-2</v>
      </c>
      <c r="G2169" s="7">
        <v>-6.1999999999999998E-3</v>
      </c>
    </row>
    <row r="2170" spans="2:7" x14ac:dyDescent="0.2">
      <c r="B2170" s="60">
        <v>38946</v>
      </c>
      <c r="C2170" s="7">
        <v>3.9350000000000003E-2</v>
      </c>
      <c r="D2170" s="7">
        <v>3.9350000000000003E-2</v>
      </c>
      <c r="E2170" s="7">
        <v>3.9350000000000003E-2</v>
      </c>
      <c r="F2170" s="7">
        <v>3.9350000000000003E-2</v>
      </c>
      <c r="G2170" s="7">
        <v>-1.03E-2</v>
      </c>
    </row>
    <row r="2171" spans="2:7" x14ac:dyDescent="0.2">
      <c r="B2171" s="60">
        <v>38947</v>
      </c>
      <c r="C2171" s="7">
        <v>3.9120000000000002E-2</v>
      </c>
      <c r="D2171" s="7">
        <v>3.9120000000000002E-2</v>
      </c>
      <c r="E2171" s="7">
        <v>3.9120000000000002E-2</v>
      </c>
      <c r="F2171" s="7">
        <v>3.9120000000000002E-2</v>
      </c>
      <c r="G2171" s="7">
        <v>-5.7999999999999996E-3</v>
      </c>
    </row>
    <row r="2172" spans="2:7" x14ac:dyDescent="0.2">
      <c r="B2172" s="60">
        <v>38950</v>
      </c>
      <c r="C2172" s="7">
        <v>3.8949999999999999E-2</v>
      </c>
      <c r="D2172" s="7">
        <v>3.8949999999999999E-2</v>
      </c>
      <c r="E2172" s="7">
        <v>3.8949999999999999E-2</v>
      </c>
      <c r="F2172" s="7">
        <v>3.8949999999999999E-2</v>
      </c>
      <c r="G2172" s="7">
        <v>-4.3E-3</v>
      </c>
    </row>
    <row r="2173" spans="2:7" x14ac:dyDescent="0.2">
      <c r="B2173" s="60">
        <v>38951</v>
      </c>
      <c r="C2173" s="7">
        <v>3.8580000000000003E-2</v>
      </c>
      <c r="D2173" s="7">
        <v>3.8580000000000003E-2</v>
      </c>
      <c r="E2173" s="7">
        <v>3.8580000000000003E-2</v>
      </c>
      <c r="F2173" s="7">
        <v>3.8580000000000003E-2</v>
      </c>
      <c r="G2173" s="7">
        <v>-9.4999999999999998E-3</v>
      </c>
    </row>
    <row r="2174" spans="2:7" x14ac:dyDescent="0.2">
      <c r="B2174" s="60">
        <v>38952</v>
      </c>
      <c r="C2174" s="7">
        <v>3.814E-2</v>
      </c>
      <c r="D2174" s="7">
        <v>3.814E-2</v>
      </c>
      <c r="E2174" s="7">
        <v>3.814E-2</v>
      </c>
      <c r="F2174" s="7">
        <v>3.814E-2</v>
      </c>
      <c r="G2174" s="7">
        <v>-1.14E-2</v>
      </c>
    </row>
    <row r="2175" spans="2:7" x14ac:dyDescent="0.2">
      <c r="B2175" s="60">
        <v>38953</v>
      </c>
      <c r="C2175" s="7">
        <v>3.8079999999999996E-2</v>
      </c>
      <c r="D2175" s="7">
        <v>3.8079999999999996E-2</v>
      </c>
      <c r="E2175" s="7">
        <v>3.8079999999999996E-2</v>
      </c>
      <c r="F2175" s="7">
        <v>3.8079999999999996E-2</v>
      </c>
      <c r="G2175" s="7">
        <v>-1.6000000000000001E-3</v>
      </c>
    </row>
    <row r="2176" spans="2:7" x14ac:dyDescent="0.2">
      <c r="B2176" s="60">
        <v>38954</v>
      </c>
      <c r="C2176" s="7">
        <v>3.8109999999999998E-2</v>
      </c>
      <c r="D2176" s="7">
        <v>3.8109999999999998E-2</v>
      </c>
      <c r="E2176" s="7">
        <v>3.8109999999999998E-2</v>
      </c>
      <c r="F2176" s="7">
        <v>3.8109999999999998E-2</v>
      </c>
      <c r="G2176" s="7">
        <v>8.0000000000000004E-4</v>
      </c>
    </row>
    <row r="2177" spans="2:7" x14ac:dyDescent="0.2">
      <c r="B2177" s="60">
        <v>38957</v>
      </c>
      <c r="C2177" s="7">
        <v>3.789E-2</v>
      </c>
      <c r="D2177" s="7">
        <v>3.789E-2</v>
      </c>
      <c r="E2177" s="7">
        <v>3.789E-2</v>
      </c>
      <c r="F2177" s="7">
        <v>3.789E-2</v>
      </c>
      <c r="G2177" s="7">
        <v>-5.7999999999999996E-3</v>
      </c>
    </row>
    <row r="2178" spans="2:7" x14ac:dyDescent="0.2">
      <c r="B2178" s="60">
        <v>38958</v>
      </c>
      <c r="C2178" s="7">
        <v>3.798E-2</v>
      </c>
      <c r="D2178" s="7">
        <v>3.798E-2</v>
      </c>
      <c r="E2178" s="7">
        <v>3.798E-2</v>
      </c>
      <c r="F2178" s="7">
        <v>3.798E-2</v>
      </c>
      <c r="G2178" s="7">
        <v>2.3999999999999998E-3</v>
      </c>
    </row>
    <row r="2179" spans="2:7" x14ac:dyDescent="0.2">
      <c r="B2179" s="60">
        <v>38959</v>
      </c>
      <c r="C2179" s="7">
        <v>3.8060000000000004E-2</v>
      </c>
      <c r="D2179" s="7">
        <v>3.8060000000000004E-2</v>
      </c>
      <c r="E2179" s="7">
        <v>3.8060000000000004E-2</v>
      </c>
      <c r="F2179" s="7">
        <v>3.8060000000000004E-2</v>
      </c>
      <c r="G2179" s="7">
        <v>2.0999999999999999E-3</v>
      </c>
    </row>
    <row r="2180" spans="2:7" x14ac:dyDescent="0.2">
      <c r="B2180" s="60">
        <v>38960</v>
      </c>
      <c r="C2180" s="7">
        <v>3.8039999999999997E-2</v>
      </c>
      <c r="D2180" s="7">
        <v>3.8039999999999997E-2</v>
      </c>
      <c r="E2180" s="7">
        <v>3.8039999999999997E-2</v>
      </c>
      <c r="F2180" s="7">
        <v>3.8039999999999997E-2</v>
      </c>
      <c r="G2180" s="7">
        <v>-5.0000000000000001E-4</v>
      </c>
    </row>
    <row r="2181" spans="2:7" x14ac:dyDescent="0.2">
      <c r="B2181" s="60">
        <v>38961</v>
      </c>
      <c r="C2181" s="7">
        <v>3.755E-2</v>
      </c>
      <c r="D2181" s="7">
        <v>3.755E-2</v>
      </c>
      <c r="E2181" s="7">
        <v>3.755E-2</v>
      </c>
      <c r="F2181" s="7">
        <v>3.755E-2</v>
      </c>
      <c r="G2181" s="7">
        <v>-1.29E-2</v>
      </c>
    </row>
    <row r="2182" spans="2:7" x14ac:dyDescent="0.2">
      <c r="B2182" s="60">
        <v>38964</v>
      </c>
      <c r="C2182" s="7">
        <v>3.737E-2</v>
      </c>
      <c r="D2182" s="7">
        <v>3.737E-2</v>
      </c>
      <c r="E2182" s="7">
        <v>3.737E-2</v>
      </c>
      <c r="F2182" s="7">
        <v>3.737E-2</v>
      </c>
      <c r="G2182" s="7">
        <v>-4.7999999999999996E-3</v>
      </c>
    </row>
    <row r="2183" spans="2:7" x14ac:dyDescent="0.2">
      <c r="B2183" s="60">
        <v>38965</v>
      </c>
      <c r="C2183" s="7">
        <v>3.7479999999999999E-2</v>
      </c>
      <c r="D2183" s="7">
        <v>3.7479999999999999E-2</v>
      </c>
      <c r="E2183" s="7">
        <v>3.7479999999999999E-2</v>
      </c>
      <c r="F2183" s="7">
        <v>3.7479999999999999E-2</v>
      </c>
      <c r="G2183" s="7">
        <v>2.8999999999999998E-3</v>
      </c>
    </row>
    <row r="2184" spans="2:7" x14ac:dyDescent="0.2">
      <c r="B2184" s="60">
        <v>38966</v>
      </c>
      <c r="C2184" s="7">
        <v>3.7970000000000004E-2</v>
      </c>
      <c r="D2184" s="7">
        <v>3.7970000000000004E-2</v>
      </c>
      <c r="E2184" s="7">
        <v>3.7970000000000004E-2</v>
      </c>
      <c r="F2184" s="7">
        <v>3.7970000000000004E-2</v>
      </c>
      <c r="G2184" s="7">
        <v>1.3100000000000001E-2</v>
      </c>
    </row>
    <row r="2185" spans="2:7" x14ac:dyDescent="0.2">
      <c r="B2185" s="60">
        <v>38967</v>
      </c>
      <c r="C2185" s="7">
        <v>3.8120000000000001E-2</v>
      </c>
      <c r="D2185" s="7">
        <v>3.8120000000000001E-2</v>
      </c>
      <c r="E2185" s="7">
        <v>3.8120000000000001E-2</v>
      </c>
      <c r="F2185" s="7">
        <v>3.8120000000000001E-2</v>
      </c>
      <c r="G2185" s="7">
        <v>4.0000000000000001E-3</v>
      </c>
    </row>
    <row r="2186" spans="2:7" x14ac:dyDescent="0.2">
      <c r="B2186" s="60">
        <v>38968</v>
      </c>
      <c r="C2186" s="7">
        <v>3.8089999999999999E-2</v>
      </c>
      <c r="D2186" s="7">
        <v>3.8089999999999999E-2</v>
      </c>
      <c r="E2186" s="7">
        <v>3.8089999999999999E-2</v>
      </c>
      <c r="F2186" s="7">
        <v>3.8089999999999999E-2</v>
      </c>
      <c r="G2186" s="7">
        <v>-8.0000000000000004E-4</v>
      </c>
    </row>
    <row r="2187" spans="2:7" x14ac:dyDescent="0.2">
      <c r="B2187" s="60">
        <v>38971</v>
      </c>
      <c r="C2187" s="7">
        <v>3.7919999999999995E-2</v>
      </c>
      <c r="D2187" s="7">
        <v>3.7919999999999995E-2</v>
      </c>
      <c r="E2187" s="7">
        <v>3.7919999999999995E-2</v>
      </c>
      <c r="F2187" s="7">
        <v>3.7919999999999995E-2</v>
      </c>
      <c r="G2187" s="7">
        <v>-4.4999999999999997E-3</v>
      </c>
    </row>
    <row r="2188" spans="2:7" x14ac:dyDescent="0.2">
      <c r="B2188" s="60">
        <v>38972</v>
      </c>
      <c r="C2188" s="7">
        <v>3.8019999999999998E-2</v>
      </c>
      <c r="D2188" s="7">
        <v>3.8019999999999998E-2</v>
      </c>
      <c r="E2188" s="7">
        <v>3.8019999999999998E-2</v>
      </c>
      <c r="F2188" s="7">
        <v>3.8019999999999998E-2</v>
      </c>
      <c r="G2188" s="7">
        <v>2.5999999999999999E-3</v>
      </c>
    </row>
    <row r="2189" spans="2:7" x14ac:dyDescent="0.2">
      <c r="B2189" s="60">
        <v>38973</v>
      </c>
      <c r="C2189" s="7">
        <v>3.8079999999999996E-2</v>
      </c>
      <c r="D2189" s="7">
        <v>3.8079999999999996E-2</v>
      </c>
      <c r="E2189" s="7">
        <v>3.8079999999999996E-2</v>
      </c>
      <c r="F2189" s="7">
        <v>3.8079999999999996E-2</v>
      </c>
      <c r="G2189" s="7">
        <v>1.6000000000000001E-3</v>
      </c>
    </row>
    <row r="2190" spans="2:7" x14ac:dyDescent="0.2">
      <c r="B2190" s="60">
        <v>38974</v>
      </c>
      <c r="C2190" s="7">
        <v>3.7769999999999998E-2</v>
      </c>
      <c r="D2190" s="7">
        <v>3.7769999999999998E-2</v>
      </c>
      <c r="E2190" s="7">
        <v>3.7769999999999998E-2</v>
      </c>
      <c r="F2190" s="7">
        <v>3.7769999999999998E-2</v>
      </c>
      <c r="G2190" s="7">
        <v>-8.0999999999999996E-3</v>
      </c>
    </row>
    <row r="2191" spans="2:7" x14ac:dyDescent="0.2">
      <c r="B2191" s="60">
        <v>38975</v>
      </c>
      <c r="C2191" s="7">
        <v>3.8060000000000004E-2</v>
      </c>
      <c r="D2191" s="7">
        <v>3.8060000000000004E-2</v>
      </c>
      <c r="E2191" s="7">
        <v>3.8060000000000004E-2</v>
      </c>
      <c r="F2191" s="7">
        <v>3.8060000000000004E-2</v>
      </c>
      <c r="G2191" s="7">
        <v>7.7000000000000002E-3</v>
      </c>
    </row>
    <row r="2192" spans="2:7" x14ac:dyDescent="0.2">
      <c r="B2192" s="60">
        <v>38978</v>
      </c>
      <c r="C2192" s="7">
        <v>3.7740000000000003E-2</v>
      </c>
      <c r="D2192" s="7">
        <v>3.7740000000000003E-2</v>
      </c>
      <c r="E2192" s="7">
        <v>3.7740000000000003E-2</v>
      </c>
      <c r="F2192" s="7">
        <v>3.7740000000000003E-2</v>
      </c>
      <c r="G2192" s="7">
        <v>-8.3999999999999995E-3</v>
      </c>
    </row>
    <row r="2193" spans="2:7" x14ac:dyDescent="0.2">
      <c r="B2193" s="60">
        <v>38979</v>
      </c>
      <c r="C2193" s="7">
        <v>3.8159999999999999E-2</v>
      </c>
      <c r="D2193" s="7">
        <v>3.8159999999999999E-2</v>
      </c>
      <c r="E2193" s="7">
        <v>3.8159999999999999E-2</v>
      </c>
      <c r="F2193" s="7">
        <v>3.8159999999999999E-2</v>
      </c>
      <c r="G2193" s="7">
        <v>1.11E-2</v>
      </c>
    </row>
    <row r="2194" spans="2:7" x14ac:dyDescent="0.2">
      <c r="B2194" s="60">
        <v>38980</v>
      </c>
      <c r="C2194" s="7">
        <v>3.773E-2</v>
      </c>
      <c r="D2194" s="7">
        <v>3.773E-2</v>
      </c>
      <c r="E2194" s="7">
        <v>3.773E-2</v>
      </c>
      <c r="F2194" s="7">
        <v>3.773E-2</v>
      </c>
      <c r="G2194" s="7">
        <v>-1.1299999999999999E-2</v>
      </c>
    </row>
    <row r="2195" spans="2:7" x14ac:dyDescent="0.2">
      <c r="B2195" s="60">
        <v>38981</v>
      </c>
      <c r="C2195" s="7">
        <v>3.7170000000000002E-2</v>
      </c>
      <c r="D2195" s="7">
        <v>3.7170000000000002E-2</v>
      </c>
      <c r="E2195" s="7">
        <v>3.7170000000000002E-2</v>
      </c>
      <c r="F2195" s="7">
        <v>3.7170000000000002E-2</v>
      </c>
      <c r="G2195" s="7">
        <v>-1.4800000000000001E-2</v>
      </c>
    </row>
    <row r="2196" spans="2:7" x14ac:dyDescent="0.2">
      <c r="B2196" s="60">
        <v>38982</v>
      </c>
      <c r="C2196" s="7">
        <v>3.7170000000000002E-2</v>
      </c>
      <c r="D2196" s="7">
        <v>3.7170000000000002E-2</v>
      </c>
      <c r="E2196" s="7">
        <v>3.7170000000000002E-2</v>
      </c>
      <c r="F2196" s="7">
        <v>3.7170000000000002E-2</v>
      </c>
      <c r="G2196" s="7">
        <v>0</v>
      </c>
    </row>
    <row r="2197" spans="2:7" x14ac:dyDescent="0.2">
      <c r="B2197" s="60">
        <v>38985</v>
      </c>
      <c r="C2197" s="7">
        <v>3.687E-2</v>
      </c>
      <c r="D2197" s="7">
        <v>3.687E-2</v>
      </c>
      <c r="E2197" s="7">
        <v>3.687E-2</v>
      </c>
      <c r="F2197" s="7">
        <v>3.687E-2</v>
      </c>
      <c r="G2197" s="7">
        <v>-8.0999999999999996E-3</v>
      </c>
    </row>
    <row r="2198" spans="2:7" x14ac:dyDescent="0.2">
      <c r="B2198" s="60">
        <v>38986</v>
      </c>
      <c r="C2198" s="7">
        <v>3.6569999999999998E-2</v>
      </c>
      <c r="D2198" s="7">
        <v>3.6569999999999998E-2</v>
      </c>
      <c r="E2198" s="7">
        <v>3.6569999999999998E-2</v>
      </c>
      <c r="F2198" s="7">
        <v>3.6569999999999998E-2</v>
      </c>
      <c r="G2198" s="7">
        <v>-8.0999999999999996E-3</v>
      </c>
    </row>
    <row r="2199" spans="2:7" x14ac:dyDescent="0.2">
      <c r="B2199" s="60">
        <v>38987</v>
      </c>
      <c r="C2199" s="7">
        <v>3.6539999999999996E-2</v>
      </c>
      <c r="D2199" s="7">
        <v>3.6539999999999996E-2</v>
      </c>
      <c r="E2199" s="7">
        <v>3.6539999999999996E-2</v>
      </c>
      <c r="F2199" s="7">
        <v>3.6539999999999996E-2</v>
      </c>
      <c r="G2199" s="7">
        <v>-8.0000000000000004E-4</v>
      </c>
    </row>
    <row r="2200" spans="2:7" x14ac:dyDescent="0.2">
      <c r="B2200" s="60">
        <v>38988</v>
      </c>
      <c r="C2200" s="7">
        <v>3.6769999999999997E-2</v>
      </c>
      <c r="D2200" s="7">
        <v>3.6769999999999997E-2</v>
      </c>
      <c r="E2200" s="7">
        <v>3.6769999999999997E-2</v>
      </c>
      <c r="F2200" s="7">
        <v>3.6769999999999997E-2</v>
      </c>
      <c r="G2200" s="7">
        <v>6.3E-3</v>
      </c>
    </row>
    <row r="2201" spans="2:7" x14ac:dyDescent="0.2">
      <c r="B2201" s="60">
        <v>38989</v>
      </c>
      <c r="C2201" s="7">
        <v>3.6810000000000002E-2</v>
      </c>
      <c r="D2201" s="7">
        <v>3.6810000000000002E-2</v>
      </c>
      <c r="E2201" s="7">
        <v>3.6810000000000002E-2</v>
      </c>
      <c r="F2201" s="7">
        <v>3.6810000000000002E-2</v>
      </c>
      <c r="G2201" s="7">
        <v>1.1000000000000001E-3</v>
      </c>
    </row>
    <row r="2202" spans="2:7" x14ac:dyDescent="0.2">
      <c r="B2202" s="60">
        <v>38992</v>
      </c>
      <c r="C2202" s="7">
        <v>3.7060000000000003E-2</v>
      </c>
      <c r="D2202" s="7">
        <v>3.7060000000000003E-2</v>
      </c>
      <c r="E2202" s="7">
        <v>3.7060000000000003E-2</v>
      </c>
      <c r="F2202" s="7">
        <v>3.7060000000000003E-2</v>
      </c>
      <c r="G2202" s="7">
        <v>6.7999999999999996E-3</v>
      </c>
    </row>
    <row r="2203" spans="2:7" x14ac:dyDescent="0.2">
      <c r="B2203" s="60">
        <v>38993</v>
      </c>
      <c r="C2203" s="7">
        <v>3.6929999999999998E-2</v>
      </c>
      <c r="D2203" s="7">
        <v>3.6929999999999998E-2</v>
      </c>
      <c r="E2203" s="7">
        <v>3.6929999999999998E-2</v>
      </c>
      <c r="F2203" s="7">
        <v>3.6929999999999998E-2</v>
      </c>
      <c r="G2203" s="7">
        <v>-3.5000000000000001E-3</v>
      </c>
    </row>
    <row r="2204" spans="2:7" x14ac:dyDescent="0.2">
      <c r="B2204" s="60">
        <v>38994</v>
      </c>
      <c r="C2204" s="7">
        <v>3.7290000000000004E-2</v>
      </c>
      <c r="D2204" s="7">
        <v>3.7290000000000004E-2</v>
      </c>
      <c r="E2204" s="7">
        <v>3.7290000000000004E-2</v>
      </c>
      <c r="F2204" s="7">
        <v>3.7290000000000004E-2</v>
      </c>
      <c r="G2204" s="7">
        <v>9.7000000000000003E-3</v>
      </c>
    </row>
    <row r="2205" spans="2:7" x14ac:dyDescent="0.2">
      <c r="B2205" s="60">
        <v>38995</v>
      </c>
      <c r="C2205" s="7">
        <v>3.6900000000000002E-2</v>
      </c>
      <c r="D2205" s="7">
        <v>3.6900000000000002E-2</v>
      </c>
      <c r="E2205" s="7">
        <v>3.6900000000000002E-2</v>
      </c>
      <c r="F2205" s="7">
        <v>3.6900000000000002E-2</v>
      </c>
      <c r="G2205" s="7">
        <v>-1.0500000000000001E-2</v>
      </c>
    </row>
    <row r="2206" spans="2:7" x14ac:dyDescent="0.2">
      <c r="B2206" s="60">
        <v>38996</v>
      </c>
      <c r="C2206" s="7">
        <v>3.7170000000000002E-2</v>
      </c>
      <c r="D2206" s="7">
        <v>3.7170000000000002E-2</v>
      </c>
      <c r="E2206" s="7">
        <v>3.7170000000000002E-2</v>
      </c>
      <c r="F2206" s="7">
        <v>3.7170000000000002E-2</v>
      </c>
      <c r="G2206" s="7">
        <v>7.3000000000000001E-3</v>
      </c>
    </row>
    <row r="2207" spans="2:7" x14ac:dyDescent="0.2">
      <c r="B2207" s="60">
        <v>38999</v>
      </c>
      <c r="C2207" s="7">
        <v>3.7659999999999999E-2</v>
      </c>
      <c r="D2207" s="7">
        <v>3.7659999999999999E-2</v>
      </c>
      <c r="E2207" s="7">
        <v>3.7659999999999999E-2</v>
      </c>
      <c r="F2207" s="7">
        <v>3.7659999999999999E-2</v>
      </c>
      <c r="G2207" s="7">
        <v>1.32E-2</v>
      </c>
    </row>
    <row r="2208" spans="2:7" x14ac:dyDescent="0.2">
      <c r="B2208" s="60">
        <v>39000</v>
      </c>
      <c r="C2208" s="7">
        <v>3.7620000000000001E-2</v>
      </c>
      <c r="D2208" s="7">
        <v>3.7620000000000001E-2</v>
      </c>
      <c r="E2208" s="7">
        <v>3.7620000000000001E-2</v>
      </c>
      <c r="F2208" s="7">
        <v>3.7620000000000001E-2</v>
      </c>
      <c r="G2208" s="7">
        <v>-1.1000000000000001E-3</v>
      </c>
    </row>
    <row r="2209" spans="2:7" x14ac:dyDescent="0.2">
      <c r="B2209" s="60">
        <v>39001</v>
      </c>
      <c r="C2209" s="7">
        <v>3.8199999999999998E-2</v>
      </c>
      <c r="D2209" s="7">
        <v>3.8199999999999998E-2</v>
      </c>
      <c r="E2209" s="7">
        <v>3.8199999999999998E-2</v>
      </c>
      <c r="F2209" s="7">
        <v>3.8199999999999998E-2</v>
      </c>
      <c r="G2209" s="7">
        <v>1.54E-2</v>
      </c>
    </row>
    <row r="2210" spans="2:7" x14ac:dyDescent="0.2">
      <c r="B2210" s="60">
        <v>39002</v>
      </c>
      <c r="C2210" s="7">
        <v>3.8350000000000002E-2</v>
      </c>
      <c r="D2210" s="7">
        <v>3.8350000000000002E-2</v>
      </c>
      <c r="E2210" s="7">
        <v>3.8350000000000002E-2</v>
      </c>
      <c r="F2210" s="7">
        <v>3.8350000000000002E-2</v>
      </c>
      <c r="G2210" s="7">
        <v>3.8999999999999998E-3</v>
      </c>
    </row>
    <row r="2211" spans="2:7" x14ac:dyDescent="0.2">
      <c r="B2211" s="60">
        <v>39003</v>
      </c>
      <c r="C2211" s="7">
        <v>3.8109999999999998E-2</v>
      </c>
      <c r="D2211" s="7">
        <v>3.8109999999999998E-2</v>
      </c>
      <c r="E2211" s="7">
        <v>3.8109999999999998E-2</v>
      </c>
      <c r="F2211" s="7">
        <v>3.8109999999999998E-2</v>
      </c>
      <c r="G2211" s="7">
        <v>-6.3E-3</v>
      </c>
    </row>
    <row r="2212" spans="2:7" x14ac:dyDescent="0.2">
      <c r="B2212" s="60">
        <v>39006</v>
      </c>
      <c r="C2212" s="7">
        <v>3.8330000000000003E-2</v>
      </c>
      <c r="D2212" s="7">
        <v>3.8330000000000003E-2</v>
      </c>
      <c r="E2212" s="7">
        <v>3.8330000000000003E-2</v>
      </c>
      <c r="F2212" s="7">
        <v>3.8330000000000003E-2</v>
      </c>
      <c r="G2212" s="7">
        <v>5.7999999999999996E-3</v>
      </c>
    </row>
    <row r="2213" spans="2:7" x14ac:dyDescent="0.2">
      <c r="B2213" s="60">
        <v>39007</v>
      </c>
      <c r="C2213" s="7">
        <v>3.8309999999999997E-2</v>
      </c>
      <c r="D2213" s="7">
        <v>3.8309999999999997E-2</v>
      </c>
      <c r="E2213" s="7">
        <v>3.8309999999999997E-2</v>
      </c>
      <c r="F2213" s="7">
        <v>3.8309999999999997E-2</v>
      </c>
      <c r="G2213" s="7">
        <v>-5.0000000000000001E-4</v>
      </c>
    </row>
    <row r="2214" spans="2:7" x14ac:dyDescent="0.2">
      <c r="B2214" s="60">
        <v>39008</v>
      </c>
      <c r="C2214" s="7">
        <v>3.8120000000000001E-2</v>
      </c>
      <c r="D2214" s="7">
        <v>3.8120000000000001E-2</v>
      </c>
      <c r="E2214" s="7">
        <v>3.8120000000000001E-2</v>
      </c>
      <c r="F2214" s="7">
        <v>3.8120000000000001E-2</v>
      </c>
      <c r="G2214" s="7">
        <v>-5.0000000000000001E-3</v>
      </c>
    </row>
    <row r="2215" spans="2:7" x14ac:dyDescent="0.2">
      <c r="B2215" s="60">
        <v>39009</v>
      </c>
      <c r="C2215" s="7">
        <v>3.8199999999999998E-2</v>
      </c>
      <c r="D2215" s="7">
        <v>3.8199999999999998E-2</v>
      </c>
      <c r="E2215" s="7">
        <v>3.8199999999999998E-2</v>
      </c>
      <c r="F2215" s="7">
        <v>3.8199999999999998E-2</v>
      </c>
      <c r="G2215" s="7">
        <v>2.0999999999999999E-3</v>
      </c>
    </row>
    <row r="2216" spans="2:7" x14ac:dyDescent="0.2">
      <c r="B2216" s="60">
        <v>39010</v>
      </c>
      <c r="C2216" s="7">
        <v>3.8359999999999998E-2</v>
      </c>
      <c r="D2216" s="7">
        <v>3.8359999999999998E-2</v>
      </c>
      <c r="E2216" s="7">
        <v>3.8359999999999998E-2</v>
      </c>
      <c r="F2216" s="7">
        <v>3.8359999999999998E-2</v>
      </c>
      <c r="G2216" s="7">
        <v>4.1999999999999997E-3</v>
      </c>
    </row>
    <row r="2217" spans="2:7" x14ac:dyDescent="0.2">
      <c r="B2217" s="60">
        <v>39013</v>
      </c>
      <c r="C2217" s="7">
        <v>3.8379999999999997E-2</v>
      </c>
      <c r="D2217" s="7">
        <v>3.8379999999999997E-2</v>
      </c>
      <c r="E2217" s="7">
        <v>3.8379999999999997E-2</v>
      </c>
      <c r="F2217" s="7">
        <v>3.8379999999999997E-2</v>
      </c>
      <c r="G2217" s="7">
        <v>5.0000000000000001E-4</v>
      </c>
    </row>
    <row r="2218" spans="2:7" x14ac:dyDescent="0.2">
      <c r="B2218" s="60">
        <v>39014</v>
      </c>
      <c r="C2218" s="7">
        <v>3.8789999999999998E-2</v>
      </c>
      <c r="D2218" s="7">
        <v>3.8789999999999998E-2</v>
      </c>
      <c r="E2218" s="7">
        <v>3.8789999999999998E-2</v>
      </c>
      <c r="F2218" s="7">
        <v>3.8789999999999998E-2</v>
      </c>
      <c r="G2218" s="7">
        <v>1.0699999999999999E-2</v>
      </c>
    </row>
    <row r="2219" spans="2:7" x14ac:dyDescent="0.2">
      <c r="B2219" s="60">
        <v>39015</v>
      </c>
      <c r="C2219" s="7">
        <v>3.8789999999999998E-2</v>
      </c>
      <c r="D2219" s="7">
        <v>3.8789999999999998E-2</v>
      </c>
      <c r="E2219" s="7">
        <v>3.8789999999999998E-2</v>
      </c>
      <c r="F2219" s="7">
        <v>3.8789999999999998E-2</v>
      </c>
      <c r="G2219" s="7">
        <v>0</v>
      </c>
    </row>
    <row r="2220" spans="2:7" x14ac:dyDescent="0.2">
      <c r="B2220" s="60">
        <v>39016</v>
      </c>
      <c r="C2220" s="7">
        <v>3.8599999999999995E-2</v>
      </c>
      <c r="D2220" s="7">
        <v>3.8599999999999995E-2</v>
      </c>
      <c r="E2220" s="7">
        <v>3.8599999999999995E-2</v>
      </c>
      <c r="F2220" s="7">
        <v>3.8599999999999995E-2</v>
      </c>
      <c r="G2220" s="7">
        <v>-4.8999999999999998E-3</v>
      </c>
    </row>
    <row r="2221" spans="2:7" x14ac:dyDescent="0.2">
      <c r="B2221" s="60">
        <v>39017</v>
      </c>
      <c r="C2221" s="7">
        <v>3.8550000000000001E-2</v>
      </c>
      <c r="D2221" s="7">
        <v>3.8550000000000001E-2</v>
      </c>
      <c r="E2221" s="7">
        <v>3.8550000000000001E-2</v>
      </c>
      <c r="F2221" s="7">
        <v>3.8550000000000001E-2</v>
      </c>
      <c r="G2221" s="7">
        <v>-1.2999999999999999E-3</v>
      </c>
    </row>
    <row r="2222" spans="2:7" x14ac:dyDescent="0.2">
      <c r="B2222" s="60">
        <v>39020</v>
      </c>
      <c r="C2222" s="7">
        <v>3.805E-2</v>
      </c>
      <c r="D2222" s="7">
        <v>3.805E-2</v>
      </c>
      <c r="E2222" s="7">
        <v>3.805E-2</v>
      </c>
      <c r="F2222" s="7">
        <v>3.805E-2</v>
      </c>
      <c r="G2222" s="7">
        <v>-1.2999999999999999E-2</v>
      </c>
    </row>
    <row r="2223" spans="2:7" x14ac:dyDescent="0.2">
      <c r="B2223" s="60">
        <v>39021</v>
      </c>
      <c r="C2223" s="7">
        <v>3.7870000000000001E-2</v>
      </c>
      <c r="D2223" s="7">
        <v>3.7870000000000001E-2</v>
      </c>
      <c r="E2223" s="7">
        <v>3.7870000000000001E-2</v>
      </c>
      <c r="F2223" s="7">
        <v>3.7870000000000001E-2</v>
      </c>
      <c r="G2223" s="7">
        <v>-4.7000000000000002E-3</v>
      </c>
    </row>
    <row r="2224" spans="2:7" x14ac:dyDescent="0.2">
      <c r="B2224" s="60">
        <v>39022</v>
      </c>
      <c r="C2224" s="7">
        <v>3.7400000000000003E-2</v>
      </c>
      <c r="D2224" s="7">
        <v>3.7400000000000003E-2</v>
      </c>
      <c r="E2224" s="7">
        <v>3.7400000000000003E-2</v>
      </c>
      <c r="F2224" s="7">
        <v>3.7400000000000003E-2</v>
      </c>
      <c r="G2224" s="7">
        <v>-1.24E-2</v>
      </c>
    </row>
    <row r="2225" spans="2:7" x14ac:dyDescent="0.2">
      <c r="B2225" s="60">
        <v>39023</v>
      </c>
      <c r="C2225" s="7">
        <v>3.703E-2</v>
      </c>
      <c r="D2225" s="7">
        <v>3.703E-2</v>
      </c>
      <c r="E2225" s="7">
        <v>3.703E-2</v>
      </c>
      <c r="F2225" s="7">
        <v>3.703E-2</v>
      </c>
      <c r="G2225" s="7">
        <v>-9.9000000000000008E-3</v>
      </c>
    </row>
    <row r="2226" spans="2:7" x14ac:dyDescent="0.2">
      <c r="B2226" s="60">
        <v>39024</v>
      </c>
      <c r="C2226" s="7">
        <v>3.7429999999999998E-2</v>
      </c>
      <c r="D2226" s="7">
        <v>3.7429999999999998E-2</v>
      </c>
      <c r="E2226" s="7">
        <v>3.7429999999999998E-2</v>
      </c>
      <c r="F2226" s="7">
        <v>3.7429999999999998E-2</v>
      </c>
      <c r="G2226" s="7">
        <v>1.0800000000000001E-2</v>
      </c>
    </row>
    <row r="2227" spans="2:7" x14ac:dyDescent="0.2">
      <c r="B2227" s="60">
        <v>39027</v>
      </c>
      <c r="C2227" s="7">
        <v>3.7810000000000003E-2</v>
      </c>
      <c r="D2227" s="7">
        <v>3.7810000000000003E-2</v>
      </c>
      <c r="E2227" s="7">
        <v>3.7810000000000003E-2</v>
      </c>
      <c r="F2227" s="7">
        <v>3.7810000000000003E-2</v>
      </c>
      <c r="G2227" s="7">
        <v>1.0200000000000001E-2</v>
      </c>
    </row>
    <row r="2228" spans="2:7" x14ac:dyDescent="0.2">
      <c r="B2228" s="60">
        <v>39028</v>
      </c>
      <c r="C2228" s="7">
        <v>3.7830000000000003E-2</v>
      </c>
      <c r="D2228" s="7">
        <v>3.7830000000000003E-2</v>
      </c>
      <c r="E2228" s="7">
        <v>3.7830000000000003E-2</v>
      </c>
      <c r="F2228" s="7">
        <v>3.7830000000000003E-2</v>
      </c>
      <c r="G2228" s="7">
        <v>5.0000000000000001E-4</v>
      </c>
    </row>
    <row r="2229" spans="2:7" x14ac:dyDescent="0.2">
      <c r="B2229" s="60">
        <v>39029</v>
      </c>
      <c r="C2229" s="7">
        <v>3.7479999999999999E-2</v>
      </c>
      <c r="D2229" s="7">
        <v>3.7479999999999999E-2</v>
      </c>
      <c r="E2229" s="7">
        <v>3.7479999999999999E-2</v>
      </c>
      <c r="F2229" s="7">
        <v>3.7479999999999999E-2</v>
      </c>
      <c r="G2229" s="7">
        <v>-9.2999999999999992E-3</v>
      </c>
    </row>
    <row r="2230" spans="2:7" x14ac:dyDescent="0.2">
      <c r="B2230" s="60">
        <v>39030</v>
      </c>
      <c r="C2230" s="7">
        <v>3.7479999999999999E-2</v>
      </c>
      <c r="D2230" s="7">
        <v>3.7479999999999999E-2</v>
      </c>
      <c r="E2230" s="7">
        <v>3.7479999999999999E-2</v>
      </c>
      <c r="F2230" s="7">
        <v>3.7479999999999999E-2</v>
      </c>
      <c r="G2230" s="7">
        <v>0</v>
      </c>
    </row>
    <row r="2231" spans="2:7" x14ac:dyDescent="0.2">
      <c r="B2231" s="60">
        <v>39031</v>
      </c>
      <c r="C2231" s="7">
        <v>3.7440000000000001E-2</v>
      </c>
      <c r="D2231" s="7">
        <v>3.7440000000000001E-2</v>
      </c>
      <c r="E2231" s="7">
        <v>3.7440000000000001E-2</v>
      </c>
      <c r="F2231" s="7">
        <v>3.7440000000000001E-2</v>
      </c>
      <c r="G2231" s="7">
        <v>-1.1000000000000001E-3</v>
      </c>
    </row>
    <row r="2232" spans="2:7" x14ac:dyDescent="0.2">
      <c r="B2232" s="60">
        <v>39034</v>
      </c>
      <c r="C2232" s="7">
        <v>3.7190000000000001E-2</v>
      </c>
      <c r="D2232" s="7">
        <v>3.7190000000000001E-2</v>
      </c>
      <c r="E2232" s="7">
        <v>3.7190000000000001E-2</v>
      </c>
      <c r="F2232" s="7">
        <v>3.7190000000000001E-2</v>
      </c>
      <c r="G2232" s="7">
        <v>-6.7000000000000002E-3</v>
      </c>
    </row>
    <row r="2233" spans="2:7" x14ac:dyDescent="0.2">
      <c r="B2233" s="60">
        <v>39035</v>
      </c>
      <c r="C2233" s="7">
        <v>3.7290000000000004E-2</v>
      </c>
      <c r="D2233" s="7">
        <v>3.7290000000000004E-2</v>
      </c>
      <c r="E2233" s="7">
        <v>3.7290000000000004E-2</v>
      </c>
      <c r="F2233" s="7">
        <v>3.7290000000000004E-2</v>
      </c>
      <c r="G2233" s="7">
        <v>2.7000000000000001E-3</v>
      </c>
    </row>
    <row r="2234" spans="2:7" x14ac:dyDescent="0.2">
      <c r="B2234" s="60">
        <v>39036</v>
      </c>
      <c r="C2234" s="7">
        <v>3.7200000000000004E-2</v>
      </c>
      <c r="D2234" s="7">
        <v>3.7200000000000004E-2</v>
      </c>
      <c r="E2234" s="7">
        <v>3.7200000000000004E-2</v>
      </c>
      <c r="F2234" s="7">
        <v>3.7200000000000004E-2</v>
      </c>
      <c r="G2234" s="7">
        <v>-2.3999999999999998E-3</v>
      </c>
    </row>
    <row r="2235" spans="2:7" x14ac:dyDescent="0.2">
      <c r="B2235" s="60">
        <v>39037</v>
      </c>
      <c r="C2235" s="7">
        <v>3.7409999999999999E-2</v>
      </c>
      <c r="D2235" s="7">
        <v>3.7409999999999999E-2</v>
      </c>
      <c r="E2235" s="7">
        <v>3.7409999999999999E-2</v>
      </c>
      <c r="F2235" s="7">
        <v>3.7409999999999999E-2</v>
      </c>
      <c r="G2235" s="7">
        <v>5.5999999999999999E-3</v>
      </c>
    </row>
    <row r="2236" spans="2:7" x14ac:dyDescent="0.2">
      <c r="B2236" s="60">
        <v>39038</v>
      </c>
      <c r="C2236" s="7">
        <v>3.7610000000000005E-2</v>
      </c>
      <c r="D2236" s="7">
        <v>3.7610000000000005E-2</v>
      </c>
      <c r="E2236" s="7">
        <v>3.7610000000000005E-2</v>
      </c>
      <c r="F2236" s="7">
        <v>3.7610000000000005E-2</v>
      </c>
      <c r="G2236" s="7">
        <v>5.3E-3</v>
      </c>
    </row>
    <row r="2237" spans="2:7" x14ac:dyDescent="0.2">
      <c r="B2237" s="60">
        <v>39041</v>
      </c>
      <c r="C2237" s="7">
        <v>3.721E-2</v>
      </c>
      <c r="D2237" s="7">
        <v>3.721E-2</v>
      </c>
      <c r="E2237" s="7">
        <v>3.721E-2</v>
      </c>
      <c r="F2237" s="7">
        <v>3.721E-2</v>
      </c>
      <c r="G2237" s="7">
        <v>-1.06E-2</v>
      </c>
    </row>
    <row r="2238" spans="2:7" x14ac:dyDescent="0.2">
      <c r="B2238" s="60">
        <v>39042</v>
      </c>
      <c r="C2238" s="7">
        <v>3.7139999999999999E-2</v>
      </c>
      <c r="D2238" s="7">
        <v>3.7139999999999999E-2</v>
      </c>
      <c r="E2238" s="7">
        <v>3.7139999999999999E-2</v>
      </c>
      <c r="F2238" s="7">
        <v>3.7139999999999999E-2</v>
      </c>
      <c r="G2238" s="7">
        <v>-1.9E-3</v>
      </c>
    </row>
    <row r="2239" spans="2:7" x14ac:dyDescent="0.2">
      <c r="B2239" s="60">
        <v>39043</v>
      </c>
      <c r="C2239" s="7">
        <v>3.7089999999999998E-2</v>
      </c>
      <c r="D2239" s="7">
        <v>3.7089999999999998E-2</v>
      </c>
      <c r="E2239" s="7">
        <v>3.7089999999999998E-2</v>
      </c>
      <c r="F2239" s="7">
        <v>3.7089999999999998E-2</v>
      </c>
      <c r="G2239" s="7">
        <v>-1.2999999999999999E-3</v>
      </c>
    </row>
    <row r="2240" spans="2:7" x14ac:dyDescent="0.2">
      <c r="B2240" s="60">
        <v>39044</v>
      </c>
      <c r="C2240" s="7">
        <v>3.7200000000000004E-2</v>
      </c>
      <c r="D2240" s="7">
        <v>3.7200000000000004E-2</v>
      </c>
      <c r="E2240" s="7">
        <v>3.7200000000000004E-2</v>
      </c>
      <c r="F2240" s="7">
        <v>3.7200000000000004E-2</v>
      </c>
      <c r="G2240" s="7">
        <v>3.0000000000000001E-3</v>
      </c>
    </row>
    <row r="2241" spans="2:7" x14ac:dyDescent="0.2">
      <c r="B2241" s="60">
        <v>39045</v>
      </c>
      <c r="C2241" s="7">
        <v>3.7409999999999999E-2</v>
      </c>
      <c r="D2241" s="7">
        <v>3.7409999999999999E-2</v>
      </c>
      <c r="E2241" s="7">
        <v>3.7409999999999999E-2</v>
      </c>
      <c r="F2241" s="7">
        <v>3.7409999999999999E-2</v>
      </c>
      <c r="G2241" s="7">
        <v>5.5999999999999999E-3</v>
      </c>
    </row>
    <row r="2242" spans="2:7" x14ac:dyDescent="0.2">
      <c r="B2242" s="60">
        <v>39048</v>
      </c>
      <c r="C2242" s="7">
        <v>3.6929999999999998E-2</v>
      </c>
      <c r="D2242" s="7">
        <v>3.6929999999999998E-2</v>
      </c>
      <c r="E2242" s="7">
        <v>3.6929999999999998E-2</v>
      </c>
      <c r="F2242" s="7">
        <v>3.6929999999999998E-2</v>
      </c>
      <c r="G2242" s="7">
        <v>-1.2800000000000001E-2</v>
      </c>
    </row>
    <row r="2243" spans="2:7" x14ac:dyDescent="0.2">
      <c r="B2243" s="60">
        <v>39049</v>
      </c>
      <c r="C2243" s="7">
        <v>3.7170000000000002E-2</v>
      </c>
      <c r="D2243" s="7">
        <v>3.7170000000000002E-2</v>
      </c>
      <c r="E2243" s="7">
        <v>3.7170000000000002E-2</v>
      </c>
      <c r="F2243" s="7">
        <v>3.7170000000000002E-2</v>
      </c>
      <c r="G2243" s="7">
        <v>6.4999999999999997E-3</v>
      </c>
    </row>
    <row r="2244" spans="2:7" x14ac:dyDescent="0.2">
      <c r="B2244" s="60">
        <v>39050</v>
      </c>
      <c r="C2244" s="7">
        <v>3.7010000000000001E-2</v>
      </c>
      <c r="D2244" s="7">
        <v>3.7010000000000001E-2</v>
      </c>
      <c r="E2244" s="7">
        <v>3.7010000000000001E-2</v>
      </c>
      <c r="F2244" s="7">
        <v>3.7010000000000001E-2</v>
      </c>
      <c r="G2244" s="7">
        <v>-4.3E-3</v>
      </c>
    </row>
    <row r="2245" spans="2:7" x14ac:dyDescent="0.2">
      <c r="B2245" s="60">
        <v>39051</v>
      </c>
      <c r="C2245" s="7">
        <v>3.6909999999999998E-2</v>
      </c>
      <c r="D2245" s="7">
        <v>3.6909999999999998E-2</v>
      </c>
      <c r="E2245" s="7">
        <v>3.6909999999999998E-2</v>
      </c>
      <c r="F2245" s="7">
        <v>3.6909999999999998E-2</v>
      </c>
      <c r="G2245" s="7">
        <v>-2.7000000000000001E-3</v>
      </c>
    </row>
    <row r="2246" spans="2:7" x14ac:dyDescent="0.2">
      <c r="B2246" s="60">
        <v>39052</v>
      </c>
      <c r="C2246" s="7">
        <v>3.6920000000000001E-2</v>
      </c>
      <c r="D2246" s="7">
        <v>3.6920000000000001E-2</v>
      </c>
      <c r="E2246" s="7">
        <v>3.6920000000000001E-2</v>
      </c>
      <c r="F2246" s="7">
        <v>3.6920000000000001E-2</v>
      </c>
      <c r="G2246" s="7">
        <v>2.9999999999999997E-4</v>
      </c>
    </row>
    <row r="2247" spans="2:7" x14ac:dyDescent="0.2">
      <c r="B2247" s="60">
        <v>39055</v>
      </c>
      <c r="C2247" s="7">
        <v>3.662E-2</v>
      </c>
      <c r="D2247" s="7">
        <v>3.662E-2</v>
      </c>
      <c r="E2247" s="7">
        <v>3.662E-2</v>
      </c>
      <c r="F2247" s="7">
        <v>3.662E-2</v>
      </c>
      <c r="G2247" s="7">
        <v>-8.0999999999999996E-3</v>
      </c>
    </row>
    <row r="2248" spans="2:7" x14ac:dyDescent="0.2">
      <c r="B2248" s="60">
        <v>39056</v>
      </c>
      <c r="C2248" s="7">
        <v>3.6650000000000002E-2</v>
      </c>
      <c r="D2248" s="7">
        <v>3.6650000000000002E-2</v>
      </c>
      <c r="E2248" s="7">
        <v>3.6650000000000002E-2</v>
      </c>
      <c r="F2248" s="7">
        <v>3.6650000000000002E-2</v>
      </c>
      <c r="G2248" s="7">
        <v>8.0000000000000004E-4</v>
      </c>
    </row>
    <row r="2249" spans="2:7" x14ac:dyDescent="0.2">
      <c r="B2249" s="60">
        <v>39057</v>
      </c>
      <c r="C2249" s="7">
        <v>3.669E-2</v>
      </c>
      <c r="D2249" s="7">
        <v>3.669E-2</v>
      </c>
      <c r="E2249" s="7">
        <v>3.669E-2</v>
      </c>
      <c r="F2249" s="7">
        <v>3.669E-2</v>
      </c>
      <c r="G2249" s="7">
        <v>1.1000000000000001E-3</v>
      </c>
    </row>
    <row r="2250" spans="2:7" x14ac:dyDescent="0.2">
      <c r="B2250" s="60">
        <v>39058</v>
      </c>
      <c r="C2250" s="7">
        <v>3.6889999999999999E-2</v>
      </c>
      <c r="D2250" s="7">
        <v>3.6889999999999999E-2</v>
      </c>
      <c r="E2250" s="7">
        <v>3.6889999999999999E-2</v>
      </c>
      <c r="F2250" s="7">
        <v>3.6889999999999999E-2</v>
      </c>
      <c r="G2250" s="7">
        <v>5.4999999999999997E-3</v>
      </c>
    </row>
    <row r="2251" spans="2:7" x14ac:dyDescent="0.2">
      <c r="B2251" s="60">
        <v>39059</v>
      </c>
      <c r="C2251" s="7">
        <v>3.712E-2</v>
      </c>
      <c r="D2251" s="7">
        <v>3.712E-2</v>
      </c>
      <c r="E2251" s="7">
        <v>3.712E-2</v>
      </c>
      <c r="F2251" s="7">
        <v>3.712E-2</v>
      </c>
      <c r="G2251" s="7">
        <v>6.1999999999999998E-3</v>
      </c>
    </row>
    <row r="2252" spans="2:7" x14ac:dyDescent="0.2">
      <c r="B2252" s="60">
        <v>39062</v>
      </c>
      <c r="C2252" s="7">
        <v>3.7350000000000001E-2</v>
      </c>
      <c r="D2252" s="7">
        <v>3.7350000000000001E-2</v>
      </c>
      <c r="E2252" s="7">
        <v>3.7350000000000001E-2</v>
      </c>
      <c r="F2252" s="7">
        <v>3.7350000000000001E-2</v>
      </c>
      <c r="G2252" s="7">
        <v>6.1999999999999998E-3</v>
      </c>
    </row>
    <row r="2253" spans="2:7" x14ac:dyDescent="0.2">
      <c r="B2253" s="60">
        <v>39063</v>
      </c>
      <c r="C2253" s="7">
        <v>3.7400000000000003E-2</v>
      </c>
      <c r="D2253" s="7">
        <v>3.7400000000000003E-2</v>
      </c>
      <c r="E2253" s="7">
        <v>3.7400000000000003E-2</v>
      </c>
      <c r="F2253" s="7">
        <v>3.7400000000000003E-2</v>
      </c>
      <c r="G2253" s="7">
        <v>1.2999999999999999E-3</v>
      </c>
    </row>
    <row r="2254" spans="2:7" x14ac:dyDescent="0.2">
      <c r="B2254" s="60">
        <v>39064</v>
      </c>
      <c r="C2254" s="7">
        <v>3.7360000000000004E-2</v>
      </c>
      <c r="D2254" s="7">
        <v>3.7360000000000004E-2</v>
      </c>
      <c r="E2254" s="7">
        <v>3.7360000000000004E-2</v>
      </c>
      <c r="F2254" s="7">
        <v>3.7360000000000004E-2</v>
      </c>
      <c r="G2254" s="7">
        <v>-1.1000000000000001E-3</v>
      </c>
    </row>
    <row r="2255" spans="2:7" x14ac:dyDescent="0.2">
      <c r="B2255" s="60">
        <v>39065</v>
      </c>
      <c r="C2255" s="7">
        <v>3.7530000000000001E-2</v>
      </c>
      <c r="D2255" s="7">
        <v>3.7530000000000001E-2</v>
      </c>
      <c r="E2255" s="7">
        <v>3.7530000000000001E-2</v>
      </c>
      <c r="F2255" s="7">
        <v>3.7530000000000001E-2</v>
      </c>
      <c r="G2255" s="7">
        <v>4.5999999999999999E-3</v>
      </c>
    </row>
    <row r="2256" spans="2:7" x14ac:dyDescent="0.2">
      <c r="B2256" s="60">
        <v>39066</v>
      </c>
      <c r="C2256" s="7">
        <v>3.7850000000000002E-2</v>
      </c>
      <c r="D2256" s="7">
        <v>3.7850000000000002E-2</v>
      </c>
      <c r="E2256" s="7">
        <v>3.7850000000000002E-2</v>
      </c>
      <c r="F2256" s="7">
        <v>3.7850000000000002E-2</v>
      </c>
      <c r="G2256" s="7">
        <v>8.5000000000000006E-3</v>
      </c>
    </row>
    <row r="2257" spans="2:7" x14ac:dyDescent="0.2">
      <c r="B2257" s="60">
        <v>39069</v>
      </c>
      <c r="C2257" s="7">
        <v>3.8060000000000004E-2</v>
      </c>
      <c r="D2257" s="7">
        <v>3.8060000000000004E-2</v>
      </c>
      <c r="E2257" s="7">
        <v>3.8060000000000004E-2</v>
      </c>
      <c r="F2257" s="7">
        <v>3.8060000000000004E-2</v>
      </c>
      <c r="G2257" s="7">
        <v>5.4999999999999997E-3</v>
      </c>
    </row>
    <row r="2258" spans="2:7" x14ac:dyDescent="0.2">
      <c r="B2258" s="60">
        <v>39070</v>
      </c>
      <c r="C2258" s="7">
        <v>3.8260000000000002E-2</v>
      </c>
      <c r="D2258" s="7">
        <v>3.8260000000000002E-2</v>
      </c>
      <c r="E2258" s="7">
        <v>3.8260000000000002E-2</v>
      </c>
      <c r="F2258" s="7">
        <v>3.8260000000000002E-2</v>
      </c>
      <c r="G2258" s="7">
        <v>5.3E-3</v>
      </c>
    </row>
    <row r="2259" spans="2:7" x14ac:dyDescent="0.2">
      <c r="B2259" s="60">
        <v>39071</v>
      </c>
      <c r="C2259" s="7">
        <v>3.8640000000000001E-2</v>
      </c>
      <c r="D2259" s="7">
        <v>3.8640000000000001E-2</v>
      </c>
      <c r="E2259" s="7">
        <v>3.8640000000000001E-2</v>
      </c>
      <c r="F2259" s="7">
        <v>3.8640000000000001E-2</v>
      </c>
      <c r="G2259" s="7">
        <v>9.9000000000000008E-3</v>
      </c>
    </row>
    <row r="2260" spans="2:7" x14ac:dyDescent="0.2">
      <c r="B2260" s="60">
        <v>39072</v>
      </c>
      <c r="C2260" s="7">
        <v>3.8620000000000002E-2</v>
      </c>
      <c r="D2260" s="7">
        <v>3.8620000000000002E-2</v>
      </c>
      <c r="E2260" s="7">
        <v>3.8620000000000002E-2</v>
      </c>
      <c r="F2260" s="7">
        <v>3.8620000000000002E-2</v>
      </c>
      <c r="G2260" s="7">
        <v>-5.0000000000000001E-4</v>
      </c>
    </row>
    <row r="2261" spans="2:7" x14ac:dyDescent="0.2">
      <c r="B2261" s="60">
        <v>39073</v>
      </c>
      <c r="C2261" s="7">
        <v>3.8629999999999998E-2</v>
      </c>
      <c r="D2261" s="7">
        <v>3.8629999999999998E-2</v>
      </c>
      <c r="E2261" s="7">
        <v>3.8629999999999998E-2</v>
      </c>
      <c r="F2261" s="7">
        <v>3.8629999999999998E-2</v>
      </c>
      <c r="G2261" s="7">
        <v>2.9999999999999997E-4</v>
      </c>
    </row>
    <row r="2262" spans="2:7" x14ac:dyDescent="0.2">
      <c r="B2262" s="60">
        <v>39078</v>
      </c>
      <c r="C2262" s="7">
        <v>3.8859999999999999E-2</v>
      </c>
      <c r="D2262" s="7">
        <v>3.8859999999999999E-2</v>
      </c>
      <c r="E2262" s="7">
        <v>3.8859999999999999E-2</v>
      </c>
      <c r="F2262" s="7">
        <v>3.8859999999999999E-2</v>
      </c>
      <c r="G2262" s="7">
        <v>6.0000000000000001E-3</v>
      </c>
    </row>
    <row r="2263" spans="2:7" x14ac:dyDescent="0.2">
      <c r="B2263" s="60">
        <v>39079</v>
      </c>
      <c r="C2263" s="7">
        <v>3.9320000000000001E-2</v>
      </c>
      <c r="D2263" s="7">
        <v>3.9320000000000001E-2</v>
      </c>
      <c r="E2263" s="7">
        <v>3.9320000000000001E-2</v>
      </c>
      <c r="F2263" s="7">
        <v>3.9320000000000001E-2</v>
      </c>
      <c r="G2263" s="7">
        <v>1.18E-2</v>
      </c>
    </row>
    <row r="2264" spans="2:7" x14ac:dyDescent="0.2">
      <c r="B2264" s="60">
        <v>39080</v>
      </c>
      <c r="C2264" s="7">
        <v>3.9460000000000002E-2</v>
      </c>
      <c r="D2264" s="7">
        <v>3.9460000000000002E-2</v>
      </c>
      <c r="E2264" s="7">
        <v>3.9460000000000002E-2</v>
      </c>
      <c r="F2264" s="7">
        <v>3.9460000000000002E-2</v>
      </c>
      <c r="G2264" s="7">
        <v>3.5999999999999999E-3</v>
      </c>
    </row>
    <row r="2265" spans="2:7" x14ac:dyDescent="0.2">
      <c r="B2265" s="60">
        <v>39084</v>
      </c>
      <c r="C2265" s="7">
        <v>3.959E-2</v>
      </c>
      <c r="D2265" s="7">
        <v>3.959E-2</v>
      </c>
      <c r="E2265" s="7">
        <v>3.959E-2</v>
      </c>
      <c r="F2265" s="7">
        <v>3.959E-2</v>
      </c>
      <c r="G2265" s="7">
        <v>3.3E-3</v>
      </c>
    </row>
    <row r="2266" spans="2:7" x14ac:dyDescent="0.2">
      <c r="B2266" s="60">
        <v>39085</v>
      </c>
      <c r="C2266" s="7">
        <v>3.9280000000000002E-2</v>
      </c>
      <c r="D2266" s="7">
        <v>3.9280000000000002E-2</v>
      </c>
      <c r="E2266" s="7">
        <v>3.9280000000000002E-2</v>
      </c>
      <c r="F2266" s="7">
        <v>3.9280000000000002E-2</v>
      </c>
      <c r="G2266" s="7">
        <v>-7.7999999999999996E-3</v>
      </c>
    </row>
    <row r="2267" spans="2:7" x14ac:dyDescent="0.2">
      <c r="B2267" s="60">
        <v>39086</v>
      </c>
      <c r="C2267" s="7">
        <v>3.9379999999999998E-2</v>
      </c>
      <c r="D2267" s="7">
        <v>3.9379999999999998E-2</v>
      </c>
      <c r="E2267" s="7">
        <v>3.9379999999999998E-2</v>
      </c>
      <c r="F2267" s="7">
        <v>3.9379999999999998E-2</v>
      </c>
      <c r="G2267" s="7">
        <v>2.5000000000000001E-3</v>
      </c>
    </row>
    <row r="2268" spans="2:7" x14ac:dyDescent="0.2">
      <c r="B2268" s="60">
        <v>39087</v>
      </c>
      <c r="C2268" s="7">
        <v>3.9350000000000003E-2</v>
      </c>
      <c r="D2268" s="7">
        <v>3.9350000000000003E-2</v>
      </c>
      <c r="E2268" s="7">
        <v>3.9350000000000003E-2</v>
      </c>
      <c r="F2268" s="7">
        <v>3.9350000000000003E-2</v>
      </c>
      <c r="G2268" s="7">
        <v>-8.0000000000000004E-4</v>
      </c>
    </row>
    <row r="2269" spans="2:7" x14ac:dyDescent="0.2">
      <c r="B2269" s="60">
        <v>39090</v>
      </c>
      <c r="C2269" s="7">
        <v>3.9730000000000001E-2</v>
      </c>
      <c r="D2269" s="7">
        <v>3.9730000000000001E-2</v>
      </c>
      <c r="E2269" s="7">
        <v>3.9730000000000001E-2</v>
      </c>
      <c r="F2269" s="7">
        <v>3.9730000000000001E-2</v>
      </c>
      <c r="G2269" s="7">
        <v>9.7000000000000003E-3</v>
      </c>
    </row>
    <row r="2270" spans="2:7" x14ac:dyDescent="0.2">
      <c r="B2270" s="60">
        <v>39091</v>
      </c>
      <c r="C2270" s="7">
        <v>3.9730000000000001E-2</v>
      </c>
      <c r="D2270" s="7">
        <v>3.9730000000000001E-2</v>
      </c>
      <c r="E2270" s="7">
        <v>3.9730000000000001E-2</v>
      </c>
      <c r="F2270" s="7">
        <v>3.9730000000000001E-2</v>
      </c>
      <c r="G2270" s="7">
        <v>0</v>
      </c>
    </row>
    <row r="2271" spans="2:7" x14ac:dyDescent="0.2">
      <c r="B2271" s="60">
        <v>39092</v>
      </c>
      <c r="C2271" s="7">
        <v>4.0149999999999998E-2</v>
      </c>
      <c r="D2271" s="7">
        <v>4.0149999999999998E-2</v>
      </c>
      <c r="E2271" s="7">
        <v>4.0149999999999998E-2</v>
      </c>
      <c r="F2271" s="7">
        <v>4.0149999999999998E-2</v>
      </c>
      <c r="G2271" s="7">
        <v>1.06E-2</v>
      </c>
    </row>
    <row r="2272" spans="2:7" x14ac:dyDescent="0.2">
      <c r="B2272" s="60">
        <v>39093</v>
      </c>
      <c r="C2272" s="7">
        <v>4.018E-2</v>
      </c>
      <c r="D2272" s="7">
        <v>4.018E-2</v>
      </c>
      <c r="E2272" s="7">
        <v>4.018E-2</v>
      </c>
      <c r="F2272" s="7">
        <v>4.018E-2</v>
      </c>
      <c r="G2272" s="7">
        <v>6.9999999999999999E-4</v>
      </c>
    </row>
    <row r="2273" spans="2:7" x14ac:dyDescent="0.2">
      <c r="B2273" s="60">
        <v>39094</v>
      </c>
      <c r="C2273" s="7">
        <v>4.0279999999999996E-2</v>
      </c>
      <c r="D2273" s="7">
        <v>4.0279999999999996E-2</v>
      </c>
      <c r="E2273" s="7">
        <v>4.0279999999999996E-2</v>
      </c>
      <c r="F2273" s="7">
        <v>4.0279999999999996E-2</v>
      </c>
      <c r="G2273" s="7">
        <v>2.5000000000000001E-3</v>
      </c>
    </row>
    <row r="2274" spans="2:7" x14ac:dyDescent="0.2">
      <c r="B2274" s="60">
        <v>39097</v>
      </c>
      <c r="C2274" s="7">
        <v>4.0620000000000003E-2</v>
      </c>
      <c r="D2274" s="7">
        <v>4.0620000000000003E-2</v>
      </c>
      <c r="E2274" s="7">
        <v>4.0620000000000003E-2</v>
      </c>
      <c r="F2274" s="7">
        <v>4.0620000000000003E-2</v>
      </c>
      <c r="G2274" s="7">
        <v>8.3999999999999995E-3</v>
      </c>
    </row>
    <row r="2275" spans="2:7" x14ac:dyDescent="0.2">
      <c r="B2275" s="60">
        <v>39098</v>
      </c>
      <c r="C2275" s="7">
        <v>4.0570000000000002E-2</v>
      </c>
      <c r="D2275" s="7">
        <v>4.0570000000000002E-2</v>
      </c>
      <c r="E2275" s="7">
        <v>4.0570000000000002E-2</v>
      </c>
      <c r="F2275" s="7">
        <v>4.0570000000000002E-2</v>
      </c>
      <c r="G2275" s="7">
        <v>-1.1999999999999999E-3</v>
      </c>
    </row>
    <row r="2276" spans="2:7" x14ac:dyDescent="0.2">
      <c r="B2276" s="60">
        <v>39099</v>
      </c>
      <c r="C2276" s="7">
        <v>4.0410000000000001E-2</v>
      </c>
      <c r="D2276" s="7">
        <v>4.0410000000000001E-2</v>
      </c>
      <c r="E2276" s="7">
        <v>4.0410000000000001E-2</v>
      </c>
      <c r="F2276" s="7">
        <v>4.0410000000000001E-2</v>
      </c>
      <c r="G2276" s="7">
        <v>-3.8999999999999998E-3</v>
      </c>
    </row>
    <row r="2277" spans="2:7" x14ac:dyDescent="0.2">
      <c r="B2277" s="60">
        <v>39100</v>
      </c>
      <c r="C2277" s="7">
        <v>4.0410000000000001E-2</v>
      </c>
      <c r="D2277" s="7">
        <v>4.0410000000000001E-2</v>
      </c>
      <c r="E2277" s="7">
        <v>4.0410000000000001E-2</v>
      </c>
      <c r="F2277" s="7">
        <v>4.0410000000000001E-2</v>
      </c>
      <c r="G2277" s="7">
        <v>0</v>
      </c>
    </row>
    <row r="2278" spans="2:7" x14ac:dyDescent="0.2">
      <c r="B2278" s="60">
        <v>39101</v>
      </c>
      <c r="C2278" s="7">
        <v>4.0439999999999997E-2</v>
      </c>
      <c r="D2278" s="7">
        <v>4.0439999999999997E-2</v>
      </c>
      <c r="E2278" s="7">
        <v>4.0439999999999997E-2</v>
      </c>
      <c r="F2278" s="7">
        <v>4.0439999999999997E-2</v>
      </c>
      <c r="G2278" s="7">
        <v>6.9999999999999999E-4</v>
      </c>
    </row>
    <row r="2279" spans="2:7" x14ac:dyDescent="0.2">
      <c r="B2279" s="60">
        <v>39104</v>
      </c>
      <c r="C2279" s="7">
        <v>4.0500000000000001E-2</v>
      </c>
      <c r="D2279" s="7">
        <v>4.0500000000000001E-2</v>
      </c>
      <c r="E2279" s="7">
        <v>4.0500000000000001E-2</v>
      </c>
      <c r="F2279" s="7">
        <v>4.0500000000000001E-2</v>
      </c>
      <c r="G2279" s="7">
        <v>1.5E-3</v>
      </c>
    </row>
    <row r="2280" spans="2:7" x14ac:dyDescent="0.2">
      <c r="B2280" s="60">
        <v>39105</v>
      </c>
      <c r="C2280" s="7">
        <v>4.011E-2</v>
      </c>
      <c r="D2280" s="7">
        <v>4.011E-2</v>
      </c>
      <c r="E2280" s="7">
        <v>4.011E-2</v>
      </c>
      <c r="F2280" s="7">
        <v>4.011E-2</v>
      </c>
      <c r="G2280" s="7">
        <v>-9.5999999999999992E-3</v>
      </c>
    </row>
    <row r="2281" spans="2:7" x14ac:dyDescent="0.2">
      <c r="B2281" s="60">
        <v>39106</v>
      </c>
      <c r="C2281" s="7">
        <v>4.0239999999999998E-2</v>
      </c>
      <c r="D2281" s="7">
        <v>4.0239999999999998E-2</v>
      </c>
      <c r="E2281" s="7">
        <v>4.0239999999999998E-2</v>
      </c>
      <c r="F2281" s="7">
        <v>4.0239999999999998E-2</v>
      </c>
      <c r="G2281" s="7">
        <v>3.2000000000000002E-3</v>
      </c>
    </row>
    <row r="2282" spans="2:7" x14ac:dyDescent="0.2">
      <c r="B2282" s="60">
        <v>39107</v>
      </c>
      <c r="C2282" s="7">
        <v>4.0279999999999996E-2</v>
      </c>
      <c r="D2282" s="7">
        <v>4.0279999999999996E-2</v>
      </c>
      <c r="E2282" s="7">
        <v>4.0279999999999996E-2</v>
      </c>
      <c r="F2282" s="7">
        <v>4.0279999999999996E-2</v>
      </c>
      <c r="G2282" s="7">
        <v>1E-3</v>
      </c>
    </row>
    <row r="2283" spans="2:7" x14ac:dyDescent="0.2">
      <c r="B2283" s="60">
        <v>39108</v>
      </c>
      <c r="C2283" s="7">
        <v>4.0670000000000005E-2</v>
      </c>
      <c r="D2283" s="7">
        <v>4.0670000000000005E-2</v>
      </c>
      <c r="E2283" s="7">
        <v>4.0670000000000005E-2</v>
      </c>
      <c r="F2283" s="7">
        <v>4.0670000000000005E-2</v>
      </c>
      <c r="G2283" s="7">
        <v>9.7000000000000003E-3</v>
      </c>
    </row>
    <row r="2284" spans="2:7" x14ac:dyDescent="0.2">
      <c r="B2284" s="60">
        <v>39111</v>
      </c>
      <c r="C2284" s="7">
        <v>4.0899999999999999E-2</v>
      </c>
      <c r="D2284" s="7">
        <v>4.0899999999999999E-2</v>
      </c>
      <c r="E2284" s="7">
        <v>4.0899999999999999E-2</v>
      </c>
      <c r="F2284" s="7">
        <v>4.0899999999999999E-2</v>
      </c>
      <c r="G2284" s="7">
        <v>5.7000000000000002E-3</v>
      </c>
    </row>
    <row r="2285" spans="2:7" x14ac:dyDescent="0.2">
      <c r="B2285" s="60">
        <v>39112</v>
      </c>
      <c r="C2285" s="7">
        <v>4.1130000000000007E-2</v>
      </c>
      <c r="D2285" s="7">
        <v>4.1130000000000007E-2</v>
      </c>
      <c r="E2285" s="7">
        <v>4.1130000000000007E-2</v>
      </c>
      <c r="F2285" s="7">
        <v>4.1130000000000007E-2</v>
      </c>
      <c r="G2285" s="7">
        <v>5.5999999999999999E-3</v>
      </c>
    </row>
    <row r="2286" spans="2:7" x14ac:dyDescent="0.2">
      <c r="B2286" s="60">
        <v>39113</v>
      </c>
      <c r="C2286" s="7">
        <v>4.1029999999999997E-2</v>
      </c>
      <c r="D2286" s="7">
        <v>4.1029999999999997E-2</v>
      </c>
      <c r="E2286" s="7">
        <v>4.1029999999999997E-2</v>
      </c>
      <c r="F2286" s="7">
        <v>4.1029999999999997E-2</v>
      </c>
      <c r="G2286" s="7">
        <v>-2.3999999999999998E-3</v>
      </c>
    </row>
    <row r="2287" spans="2:7" x14ac:dyDescent="0.2">
      <c r="B2287" s="60">
        <v>39114</v>
      </c>
      <c r="C2287" s="7">
        <v>4.095E-2</v>
      </c>
      <c r="D2287" s="7">
        <v>4.095E-2</v>
      </c>
      <c r="E2287" s="7">
        <v>4.095E-2</v>
      </c>
      <c r="F2287" s="7">
        <v>4.095E-2</v>
      </c>
      <c r="G2287" s="7">
        <v>-1.9E-3</v>
      </c>
    </row>
    <row r="2288" spans="2:7" x14ac:dyDescent="0.2">
      <c r="B2288" s="60">
        <v>39115</v>
      </c>
      <c r="C2288" s="7">
        <v>4.0940000000000004E-2</v>
      </c>
      <c r="D2288" s="7">
        <v>4.0940000000000004E-2</v>
      </c>
      <c r="E2288" s="7">
        <v>4.0940000000000004E-2</v>
      </c>
      <c r="F2288" s="7">
        <v>4.0940000000000004E-2</v>
      </c>
      <c r="G2288" s="7">
        <v>-2.0000000000000001E-4</v>
      </c>
    </row>
    <row r="2289" spans="2:7" x14ac:dyDescent="0.2">
      <c r="B2289" s="60">
        <v>39118</v>
      </c>
      <c r="C2289" s="7">
        <v>4.0570000000000002E-2</v>
      </c>
      <c r="D2289" s="7">
        <v>4.0570000000000002E-2</v>
      </c>
      <c r="E2289" s="7">
        <v>4.0570000000000002E-2</v>
      </c>
      <c r="F2289" s="7">
        <v>4.0570000000000002E-2</v>
      </c>
      <c r="G2289" s="7">
        <v>-8.9999999999999993E-3</v>
      </c>
    </row>
    <row r="2290" spans="2:7" x14ac:dyDescent="0.2">
      <c r="B2290" s="60">
        <v>39119</v>
      </c>
      <c r="C2290" s="7">
        <v>4.0359999999999993E-2</v>
      </c>
      <c r="D2290" s="7">
        <v>4.0359999999999993E-2</v>
      </c>
      <c r="E2290" s="7">
        <v>4.0359999999999993E-2</v>
      </c>
      <c r="F2290" s="7">
        <v>4.0359999999999993E-2</v>
      </c>
      <c r="G2290" s="7">
        <v>-5.1999999999999998E-3</v>
      </c>
    </row>
    <row r="2291" spans="2:7" x14ac:dyDescent="0.2">
      <c r="B2291" s="60">
        <v>39120</v>
      </c>
      <c r="C2291" s="7">
        <v>4.0209999999999996E-2</v>
      </c>
      <c r="D2291" s="7">
        <v>4.0209999999999996E-2</v>
      </c>
      <c r="E2291" s="7">
        <v>4.0209999999999996E-2</v>
      </c>
      <c r="F2291" s="7">
        <v>4.0209999999999996E-2</v>
      </c>
      <c r="G2291" s="7">
        <v>-3.7000000000000002E-3</v>
      </c>
    </row>
    <row r="2292" spans="2:7" x14ac:dyDescent="0.2">
      <c r="B2292" s="60">
        <v>39121</v>
      </c>
      <c r="C2292" s="7">
        <v>4.0220000000000006E-2</v>
      </c>
      <c r="D2292" s="7">
        <v>4.0220000000000006E-2</v>
      </c>
      <c r="E2292" s="7">
        <v>4.0220000000000006E-2</v>
      </c>
      <c r="F2292" s="7">
        <v>4.0220000000000006E-2</v>
      </c>
      <c r="G2292" s="7">
        <v>2.0000000000000001E-4</v>
      </c>
    </row>
    <row r="2293" spans="2:7" x14ac:dyDescent="0.2">
      <c r="B2293" s="60">
        <v>39122</v>
      </c>
      <c r="C2293" s="7">
        <v>4.0490000000000005E-2</v>
      </c>
      <c r="D2293" s="7">
        <v>4.0490000000000005E-2</v>
      </c>
      <c r="E2293" s="7">
        <v>4.0490000000000005E-2</v>
      </c>
      <c r="F2293" s="7">
        <v>4.0490000000000005E-2</v>
      </c>
      <c r="G2293" s="7">
        <v>6.7000000000000002E-3</v>
      </c>
    </row>
    <row r="2294" spans="2:7" x14ac:dyDescent="0.2">
      <c r="B2294" s="60">
        <v>39125</v>
      </c>
      <c r="C2294" s="7">
        <v>4.095E-2</v>
      </c>
      <c r="D2294" s="7">
        <v>4.095E-2</v>
      </c>
      <c r="E2294" s="7">
        <v>4.095E-2</v>
      </c>
      <c r="F2294" s="7">
        <v>4.095E-2</v>
      </c>
      <c r="G2294" s="7">
        <v>1.14E-2</v>
      </c>
    </row>
    <row r="2295" spans="2:7" x14ac:dyDescent="0.2">
      <c r="B2295" s="60">
        <v>39126</v>
      </c>
      <c r="C2295" s="7">
        <v>4.1149999999999999E-2</v>
      </c>
      <c r="D2295" s="7">
        <v>4.1149999999999999E-2</v>
      </c>
      <c r="E2295" s="7">
        <v>4.1149999999999999E-2</v>
      </c>
      <c r="F2295" s="7">
        <v>4.1149999999999999E-2</v>
      </c>
      <c r="G2295" s="7">
        <v>4.8999999999999998E-3</v>
      </c>
    </row>
    <row r="2296" spans="2:7" x14ac:dyDescent="0.2">
      <c r="B2296" s="60">
        <v>39127</v>
      </c>
      <c r="C2296" s="7">
        <v>4.1280000000000004E-2</v>
      </c>
      <c r="D2296" s="7">
        <v>4.1280000000000004E-2</v>
      </c>
      <c r="E2296" s="7">
        <v>4.1280000000000004E-2</v>
      </c>
      <c r="F2296" s="7">
        <v>4.1280000000000004E-2</v>
      </c>
      <c r="G2296" s="7">
        <v>3.2000000000000002E-3</v>
      </c>
    </row>
    <row r="2297" spans="2:7" x14ac:dyDescent="0.2">
      <c r="B2297" s="60">
        <v>39128</v>
      </c>
      <c r="C2297" s="7">
        <v>4.0970000000000006E-2</v>
      </c>
      <c r="D2297" s="7">
        <v>4.0970000000000006E-2</v>
      </c>
      <c r="E2297" s="7">
        <v>4.0970000000000006E-2</v>
      </c>
      <c r="F2297" s="7">
        <v>4.0970000000000006E-2</v>
      </c>
      <c r="G2297" s="7">
        <v>-7.4999999999999997E-3</v>
      </c>
    </row>
    <row r="2298" spans="2:7" x14ac:dyDescent="0.2">
      <c r="B2298" s="60">
        <v>39129</v>
      </c>
      <c r="C2298" s="7">
        <v>4.0480000000000002E-2</v>
      </c>
      <c r="D2298" s="7">
        <v>4.0480000000000002E-2</v>
      </c>
      <c r="E2298" s="7">
        <v>4.0480000000000002E-2</v>
      </c>
      <c r="F2298" s="7">
        <v>4.0480000000000002E-2</v>
      </c>
      <c r="G2298" s="7">
        <v>-1.2E-2</v>
      </c>
    </row>
    <row r="2299" spans="2:7" x14ac:dyDescent="0.2">
      <c r="B2299" s="60">
        <v>39132</v>
      </c>
      <c r="C2299" s="7">
        <v>4.0480000000000002E-2</v>
      </c>
      <c r="D2299" s="7">
        <v>4.0480000000000002E-2</v>
      </c>
      <c r="E2299" s="7">
        <v>4.0480000000000002E-2</v>
      </c>
      <c r="F2299" s="7">
        <v>4.0480000000000002E-2</v>
      </c>
      <c r="G2299" s="7">
        <v>0</v>
      </c>
    </row>
    <row r="2300" spans="2:7" x14ac:dyDescent="0.2">
      <c r="B2300" s="60">
        <v>39133</v>
      </c>
      <c r="C2300" s="7">
        <v>4.0670000000000005E-2</v>
      </c>
      <c r="D2300" s="7">
        <v>4.0670000000000005E-2</v>
      </c>
      <c r="E2300" s="7">
        <v>4.0670000000000005E-2</v>
      </c>
      <c r="F2300" s="7">
        <v>4.0670000000000005E-2</v>
      </c>
      <c r="G2300" s="7">
        <v>4.7000000000000002E-3</v>
      </c>
    </row>
    <row r="2301" spans="2:7" x14ac:dyDescent="0.2">
      <c r="B2301" s="60">
        <v>39134</v>
      </c>
      <c r="C2301" s="7">
        <v>4.054E-2</v>
      </c>
      <c r="D2301" s="7">
        <v>4.054E-2</v>
      </c>
      <c r="E2301" s="7">
        <v>4.054E-2</v>
      </c>
      <c r="F2301" s="7">
        <v>4.054E-2</v>
      </c>
      <c r="G2301" s="7">
        <v>-3.2000000000000002E-3</v>
      </c>
    </row>
    <row r="2302" spans="2:7" x14ac:dyDescent="0.2">
      <c r="B2302" s="60">
        <v>39135</v>
      </c>
      <c r="C2302" s="7">
        <v>4.0460000000000003E-2</v>
      </c>
      <c r="D2302" s="7">
        <v>4.0460000000000003E-2</v>
      </c>
      <c r="E2302" s="7">
        <v>4.0460000000000003E-2</v>
      </c>
      <c r="F2302" s="7">
        <v>4.0460000000000003E-2</v>
      </c>
      <c r="G2302" s="7">
        <v>-2E-3</v>
      </c>
    </row>
    <row r="2303" spans="2:7" x14ac:dyDescent="0.2">
      <c r="B2303" s="60">
        <v>39136</v>
      </c>
      <c r="C2303" s="7">
        <v>4.095E-2</v>
      </c>
      <c r="D2303" s="7">
        <v>4.095E-2</v>
      </c>
      <c r="E2303" s="7">
        <v>4.095E-2</v>
      </c>
      <c r="F2303" s="7">
        <v>4.095E-2</v>
      </c>
      <c r="G2303" s="7">
        <v>1.21E-2</v>
      </c>
    </row>
    <row r="2304" spans="2:7" x14ac:dyDescent="0.2">
      <c r="B2304" s="60">
        <v>39139</v>
      </c>
      <c r="C2304" s="7">
        <v>4.045E-2</v>
      </c>
      <c r="D2304" s="7">
        <v>4.045E-2</v>
      </c>
      <c r="E2304" s="7">
        <v>4.045E-2</v>
      </c>
      <c r="F2304" s="7">
        <v>4.045E-2</v>
      </c>
      <c r="G2304" s="7">
        <v>-1.2200000000000001E-2</v>
      </c>
    </row>
    <row r="2305" spans="2:7" x14ac:dyDescent="0.2">
      <c r="B2305" s="60">
        <v>39140</v>
      </c>
      <c r="C2305" s="7">
        <v>3.9940000000000003E-2</v>
      </c>
      <c r="D2305" s="7">
        <v>3.9940000000000003E-2</v>
      </c>
      <c r="E2305" s="7">
        <v>3.9940000000000003E-2</v>
      </c>
      <c r="F2305" s="7">
        <v>3.9940000000000003E-2</v>
      </c>
      <c r="G2305" s="7">
        <v>-1.26E-2</v>
      </c>
    </row>
    <row r="2306" spans="2:7" x14ac:dyDescent="0.2">
      <c r="B2306" s="60">
        <v>39141</v>
      </c>
      <c r="C2306" s="7">
        <v>3.9220000000000005E-2</v>
      </c>
      <c r="D2306" s="7">
        <v>3.9220000000000005E-2</v>
      </c>
      <c r="E2306" s="7">
        <v>3.9220000000000005E-2</v>
      </c>
      <c r="F2306" s="7">
        <v>3.9220000000000005E-2</v>
      </c>
      <c r="G2306" s="7">
        <v>-1.7999999999999999E-2</v>
      </c>
    </row>
    <row r="2307" spans="2:7" x14ac:dyDescent="0.2">
      <c r="B2307" s="60">
        <v>39142</v>
      </c>
      <c r="C2307" s="7">
        <v>3.9640000000000002E-2</v>
      </c>
      <c r="D2307" s="7">
        <v>3.9640000000000002E-2</v>
      </c>
      <c r="E2307" s="7">
        <v>3.9640000000000002E-2</v>
      </c>
      <c r="F2307" s="7">
        <v>3.9640000000000002E-2</v>
      </c>
      <c r="G2307" s="7">
        <v>1.0699999999999999E-2</v>
      </c>
    </row>
    <row r="2308" spans="2:7" x14ac:dyDescent="0.2">
      <c r="B2308" s="60">
        <v>39143</v>
      </c>
      <c r="C2308" s="7">
        <v>3.9550000000000002E-2</v>
      </c>
      <c r="D2308" s="7">
        <v>3.9550000000000002E-2</v>
      </c>
      <c r="E2308" s="7">
        <v>3.9550000000000002E-2</v>
      </c>
      <c r="F2308" s="7">
        <v>3.9550000000000002E-2</v>
      </c>
      <c r="G2308" s="7">
        <v>-2.3E-3</v>
      </c>
    </row>
    <row r="2309" spans="2:7" x14ac:dyDescent="0.2">
      <c r="B2309" s="60">
        <v>39146</v>
      </c>
      <c r="C2309" s="7">
        <v>3.9320000000000001E-2</v>
      </c>
      <c r="D2309" s="7">
        <v>3.9320000000000001E-2</v>
      </c>
      <c r="E2309" s="7">
        <v>3.9320000000000001E-2</v>
      </c>
      <c r="F2309" s="7">
        <v>3.9320000000000001E-2</v>
      </c>
      <c r="G2309" s="7">
        <v>-5.7999999999999996E-3</v>
      </c>
    </row>
    <row r="2310" spans="2:7" x14ac:dyDescent="0.2">
      <c r="B2310" s="60">
        <v>39147</v>
      </c>
      <c r="C2310" s="7">
        <v>3.9060000000000004E-2</v>
      </c>
      <c r="D2310" s="7">
        <v>3.9060000000000004E-2</v>
      </c>
      <c r="E2310" s="7">
        <v>3.9060000000000004E-2</v>
      </c>
      <c r="F2310" s="7">
        <v>3.9060000000000004E-2</v>
      </c>
      <c r="G2310" s="7">
        <v>-6.6E-3</v>
      </c>
    </row>
    <row r="2311" spans="2:7" x14ac:dyDescent="0.2">
      <c r="B2311" s="60">
        <v>39148</v>
      </c>
      <c r="C2311" s="7">
        <v>3.9280000000000002E-2</v>
      </c>
      <c r="D2311" s="7">
        <v>3.9280000000000002E-2</v>
      </c>
      <c r="E2311" s="7">
        <v>3.9280000000000002E-2</v>
      </c>
      <c r="F2311" s="7">
        <v>3.9280000000000002E-2</v>
      </c>
      <c r="G2311" s="7">
        <v>5.5999999999999999E-3</v>
      </c>
    </row>
    <row r="2312" spans="2:7" x14ac:dyDescent="0.2">
      <c r="B2312" s="60">
        <v>39149</v>
      </c>
      <c r="C2312" s="7">
        <v>3.9149999999999997E-2</v>
      </c>
      <c r="D2312" s="7">
        <v>3.9149999999999997E-2</v>
      </c>
      <c r="E2312" s="7">
        <v>3.9149999999999997E-2</v>
      </c>
      <c r="F2312" s="7">
        <v>3.9149999999999997E-2</v>
      </c>
      <c r="G2312" s="7">
        <v>-3.3E-3</v>
      </c>
    </row>
    <row r="2313" spans="2:7" x14ac:dyDescent="0.2">
      <c r="B2313" s="60">
        <v>39150</v>
      </c>
      <c r="C2313" s="7">
        <v>3.925E-2</v>
      </c>
      <c r="D2313" s="7">
        <v>3.925E-2</v>
      </c>
      <c r="E2313" s="7">
        <v>3.925E-2</v>
      </c>
      <c r="F2313" s="7">
        <v>3.925E-2</v>
      </c>
      <c r="G2313" s="7">
        <v>2.5999999999999999E-3</v>
      </c>
    </row>
    <row r="2314" spans="2:7" x14ac:dyDescent="0.2">
      <c r="B2314" s="60">
        <v>39153</v>
      </c>
      <c r="C2314" s="7">
        <v>3.9570000000000001E-2</v>
      </c>
      <c r="D2314" s="7">
        <v>3.9570000000000001E-2</v>
      </c>
      <c r="E2314" s="7">
        <v>3.9570000000000001E-2</v>
      </c>
      <c r="F2314" s="7">
        <v>3.9570000000000001E-2</v>
      </c>
      <c r="G2314" s="7">
        <v>8.2000000000000007E-3</v>
      </c>
    </row>
    <row r="2315" spans="2:7" x14ac:dyDescent="0.2">
      <c r="B2315" s="60">
        <v>39154</v>
      </c>
      <c r="C2315" s="7">
        <v>3.9280000000000002E-2</v>
      </c>
      <c r="D2315" s="7">
        <v>3.9280000000000002E-2</v>
      </c>
      <c r="E2315" s="7">
        <v>3.9280000000000002E-2</v>
      </c>
      <c r="F2315" s="7">
        <v>3.9280000000000002E-2</v>
      </c>
      <c r="G2315" s="7">
        <v>-7.3000000000000001E-3</v>
      </c>
    </row>
    <row r="2316" spans="2:7" x14ac:dyDescent="0.2">
      <c r="B2316" s="60">
        <v>39155</v>
      </c>
      <c r="C2316" s="7">
        <v>3.8859999999999999E-2</v>
      </c>
      <c r="D2316" s="7">
        <v>3.8859999999999999E-2</v>
      </c>
      <c r="E2316" s="7">
        <v>3.8859999999999999E-2</v>
      </c>
      <c r="F2316" s="7">
        <v>3.8859999999999999E-2</v>
      </c>
      <c r="G2316" s="7">
        <v>-1.0699999999999999E-2</v>
      </c>
    </row>
    <row r="2317" spans="2:7" x14ac:dyDescent="0.2">
      <c r="B2317" s="60">
        <v>39156</v>
      </c>
      <c r="C2317" s="7">
        <v>3.9009999999999996E-2</v>
      </c>
      <c r="D2317" s="7">
        <v>3.9009999999999996E-2</v>
      </c>
      <c r="E2317" s="7">
        <v>3.9009999999999996E-2</v>
      </c>
      <c r="F2317" s="7">
        <v>3.9009999999999996E-2</v>
      </c>
      <c r="G2317" s="7">
        <v>3.8999999999999998E-3</v>
      </c>
    </row>
    <row r="2318" spans="2:7" x14ac:dyDescent="0.2">
      <c r="B2318" s="60">
        <v>39157</v>
      </c>
      <c r="C2318" s="7">
        <v>3.9039999999999998E-2</v>
      </c>
      <c r="D2318" s="7">
        <v>3.9039999999999998E-2</v>
      </c>
      <c r="E2318" s="7">
        <v>3.9039999999999998E-2</v>
      </c>
      <c r="F2318" s="7">
        <v>3.9039999999999998E-2</v>
      </c>
      <c r="G2318" s="7">
        <v>8.0000000000000004E-4</v>
      </c>
    </row>
    <row r="2319" spans="2:7" x14ac:dyDescent="0.2">
      <c r="B2319" s="60">
        <v>39160</v>
      </c>
      <c r="C2319" s="7">
        <v>3.9030000000000002E-2</v>
      </c>
      <c r="D2319" s="7">
        <v>3.9030000000000002E-2</v>
      </c>
      <c r="E2319" s="7">
        <v>3.9030000000000002E-2</v>
      </c>
      <c r="F2319" s="7">
        <v>3.9030000000000002E-2</v>
      </c>
      <c r="G2319" s="7">
        <v>-2.9999999999999997E-4</v>
      </c>
    </row>
    <row r="2320" spans="2:7" x14ac:dyDescent="0.2">
      <c r="B2320" s="60">
        <v>39161</v>
      </c>
      <c r="C2320" s="7">
        <v>3.9120000000000002E-2</v>
      </c>
      <c r="D2320" s="7">
        <v>3.9120000000000002E-2</v>
      </c>
      <c r="E2320" s="7">
        <v>3.9120000000000002E-2</v>
      </c>
      <c r="F2320" s="7">
        <v>3.9120000000000002E-2</v>
      </c>
      <c r="G2320" s="7">
        <v>2.3E-3</v>
      </c>
    </row>
    <row r="2321" spans="2:7" x14ac:dyDescent="0.2">
      <c r="B2321" s="60">
        <v>39162</v>
      </c>
      <c r="C2321" s="7">
        <v>3.9129999999999998E-2</v>
      </c>
      <c r="D2321" s="7">
        <v>3.9129999999999998E-2</v>
      </c>
      <c r="E2321" s="7">
        <v>3.9129999999999998E-2</v>
      </c>
      <c r="F2321" s="7">
        <v>3.9129999999999998E-2</v>
      </c>
      <c r="G2321" s="7">
        <v>2.9999999999999997E-4</v>
      </c>
    </row>
    <row r="2322" spans="2:7" x14ac:dyDescent="0.2">
      <c r="B2322" s="60">
        <v>39163</v>
      </c>
      <c r="C2322" s="7">
        <v>3.8929999999999999E-2</v>
      </c>
      <c r="D2322" s="7">
        <v>3.8929999999999999E-2</v>
      </c>
      <c r="E2322" s="7">
        <v>3.8929999999999999E-2</v>
      </c>
      <c r="F2322" s="7">
        <v>3.8929999999999999E-2</v>
      </c>
      <c r="G2322" s="7">
        <v>-5.1000000000000004E-3</v>
      </c>
    </row>
    <row r="2323" spans="2:7" x14ac:dyDescent="0.2">
      <c r="B2323" s="60">
        <v>39164</v>
      </c>
      <c r="C2323" s="7">
        <v>3.9640000000000002E-2</v>
      </c>
      <c r="D2323" s="7">
        <v>3.9640000000000002E-2</v>
      </c>
      <c r="E2323" s="7">
        <v>3.9640000000000002E-2</v>
      </c>
      <c r="F2323" s="7">
        <v>3.9640000000000002E-2</v>
      </c>
      <c r="G2323" s="7">
        <v>1.8200000000000001E-2</v>
      </c>
    </row>
    <row r="2324" spans="2:7" x14ac:dyDescent="0.2">
      <c r="B2324" s="60">
        <v>39167</v>
      </c>
      <c r="C2324" s="7">
        <v>4.002E-2</v>
      </c>
      <c r="D2324" s="7">
        <v>4.002E-2</v>
      </c>
      <c r="E2324" s="7">
        <v>4.002E-2</v>
      </c>
      <c r="F2324" s="7">
        <v>4.002E-2</v>
      </c>
      <c r="G2324" s="7">
        <v>9.5999999999999992E-3</v>
      </c>
    </row>
    <row r="2325" spans="2:7" x14ac:dyDescent="0.2">
      <c r="B2325" s="60">
        <v>39168</v>
      </c>
      <c r="C2325" s="7">
        <v>4.0220000000000006E-2</v>
      </c>
      <c r="D2325" s="7">
        <v>4.0220000000000006E-2</v>
      </c>
      <c r="E2325" s="7">
        <v>4.0220000000000006E-2</v>
      </c>
      <c r="F2325" s="7">
        <v>4.0220000000000006E-2</v>
      </c>
      <c r="G2325" s="7">
        <v>5.0000000000000001E-3</v>
      </c>
    </row>
    <row r="2326" spans="2:7" x14ac:dyDescent="0.2">
      <c r="B2326" s="60">
        <v>39169</v>
      </c>
      <c r="C2326" s="7">
        <v>4.027E-2</v>
      </c>
      <c r="D2326" s="7">
        <v>4.027E-2</v>
      </c>
      <c r="E2326" s="7">
        <v>4.027E-2</v>
      </c>
      <c r="F2326" s="7">
        <v>4.027E-2</v>
      </c>
      <c r="G2326" s="7">
        <v>1.1999999999999999E-3</v>
      </c>
    </row>
    <row r="2327" spans="2:7" x14ac:dyDescent="0.2">
      <c r="B2327" s="60">
        <v>39170</v>
      </c>
      <c r="C2327" s="7">
        <v>4.0469999999999999E-2</v>
      </c>
      <c r="D2327" s="7">
        <v>4.0469999999999999E-2</v>
      </c>
      <c r="E2327" s="7">
        <v>4.0469999999999999E-2</v>
      </c>
      <c r="F2327" s="7">
        <v>4.0469999999999999E-2</v>
      </c>
      <c r="G2327" s="7">
        <v>5.0000000000000001E-3</v>
      </c>
    </row>
    <row r="2328" spans="2:7" x14ac:dyDescent="0.2">
      <c r="B2328" s="60">
        <v>39171</v>
      </c>
      <c r="C2328" s="7">
        <v>4.061E-2</v>
      </c>
      <c r="D2328" s="7">
        <v>4.061E-2</v>
      </c>
      <c r="E2328" s="7">
        <v>4.061E-2</v>
      </c>
      <c r="F2328" s="7">
        <v>4.061E-2</v>
      </c>
      <c r="G2328" s="7">
        <v>3.5000000000000001E-3</v>
      </c>
    </row>
    <row r="2329" spans="2:7" x14ac:dyDescent="0.2">
      <c r="B2329" s="60">
        <v>39174</v>
      </c>
      <c r="C2329" s="7">
        <v>4.0640000000000003E-2</v>
      </c>
      <c r="D2329" s="7">
        <v>4.0640000000000003E-2</v>
      </c>
      <c r="E2329" s="7">
        <v>4.0640000000000003E-2</v>
      </c>
      <c r="F2329" s="7">
        <v>4.0640000000000003E-2</v>
      </c>
      <c r="G2329" s="7">
        <v>6.9999999999999999E-4</v>
      </c>
    </row>
    <row r="2330" spans="2:7" x14ac:dyDescent="0.2">
      <c r="B2330" s="60">
        <v>39175</v>
      </c>
      <c r="C2330" s="7">
        <v>4.0819999999999995E-2</v>
      </c>
      <c r="D2330" s="7">
        <v>4.0819999999999995E-2</v>
      </c>
      <c r="E2330" s="7">
        <v>4.0819999999999995E-2</v>
      </c>
      <c r="F2330" s="7">
        <v>4.0819999999999995E-2</v>
      </c>
      <c r="G2330" s="7">
        <v>4.4000000000000003E-3</v>
      </c>
    </row>
    <row r="2331" spans="2:7" x14ac:dyDescent="0.2">
      <c r="B2331" s="60">
        <v>39176</v>
      </c>
      <c r="C2331" s="7">
        <v>4.1029999999999997E-2</v>
      </c>
      <c r="D2331" s="7">
        <v>4.1029999999999997E-2</v>
      </c>
      <c r="E2331" s="7">
        <v>4.1029999999999997E-2</v>
      </c>
      <c r="F2331" s="7">
        <v>4.1029999999999997E-2</v>
      </c>
      <c r="G2331" s="7">
        <v>5.1000000000000004E-3</v>
      </c>
    </row>
    <row r="2332" spans="2:7" x14ac:dyDescent="0.2">
      <c r="B2332" s="60">
        <v>39177</v>
      </c>
      <c r="C2332" s="7">
        <v>4.0819999999999995E-2</v>
      </c>
      <c r="D2332" s="7">
        <v>4.0819999999999995E-2</v>
      </c>
      <c r="E2332" s="7">
        <v>4.0819999999999995E-2</v>
      </c>
      <c r="F2332" s="7">
        <v>4.0819999999999995E-2</v>
      </c>
      <c r="G2332" s="7">
        <v>-5.1000000000000004E-3</v>
      </c>
    </row>
    <row r="2333" spans="2:7" x14ac:dyDescent="0.2">
      <c r="B2333" s="60">
        <v>39182</v>
      </c>
      <c r="C2333" s="7">
        <v>4.0930000000000001E-2</v>
      </c>
      <c r="D2333" s="7">
        <v>4.0930000000000001E-2</v>
      </c>
      <c r="E2333" s="7">
        <v>4.0930000000000001E-2</v>
      </c>
      <c r="F2333" s="7">
        <v>4.0930000000000001E-2</v>
      </c>
      <c r="G2333" s="7">
        <v>2.7000000000000001E-3</v>
      </c>
    </row>
    <row r="2334" spans="2:7" x14ac:dyDescent="0.2">
      <c r="B2334" s="60">
        <v>39183</v>
      </c>
      <c r="C2334" s="7">
        <v>4.1289999999999993E-2</v>
      </c>
      <c r="D2334" s="7">
        <v>4.1289999999999993E-2</v>
      </c>
      <c r="E2334" s="7">
        <v>4.1289999999999993E-2</v>
      </c>
      <c r="F2334" s="7">
        <v>4.1289999999999993E-2</v>
      </c>
      <c r="G2334" s="7">
        <v>8.8000000000000005E-3</v>
      </c>
    </row>
    <row r="2335" spans="2:7" x14ac:dyDescent="0.2">
      <c r="B2335" s="60">
        <v>39184</v>
      </c>
      <c r="C2335" s="7">
        <v>4.1599999999999998E-2</v>
      </c>
      <c r="D2335" s="7">
        <v>4.1599999999999998E-2</v>
      </c>
      <c r="E2335" s="7">
        <v>4.1599999999999998E-2</v>
      </c>
      <c r="F2335" s="7">
        <v>4.1599999999999998E-2</v>
      </c>
      <c r="G2335" s="7">
        <v>7.4999999999999997E-3</v>
      </c>
    </row>
    <row r="2336" spans="2:7" x14ac:dyDescent="0.2">
      <c r="B2336" s="60">
        <v>39185</v>
      </c>
      <c r="C2336" s="7">
        <v>4.199E-2</v>
      </c>
      <c r="D2336" s="7">
        <v>4.199E-2</v>
      </c>
      <c r="E2336" s="7">
        <v>4.199E-2</v>
      </c>
      <c r="F2336" s="7">
        <v>4.199E-2</v>
      </c>
      <c r="G2336" s="7">
        <v>9.4000000000000004E-3</v>
      </c>
    </row>
    <row r="2337" spans="2:7" x14ac:dyDescent="0.2">
      <c r="B2337" s="60">
        <v>39188</v>
      </c>
      <c r="C2337" s="7">
        <v>4.2350000000000006E-2</v>
      </c>
      <c r="D2337" s="7">
        <v>4.2350000000000006E-2</v>
      </c>
      <c r="E2337" s="7">
        <v>4.2350000000000006E-2</v>
      </c>
      <c r="F2337" s="7">
        <v>4.2350000000000006E-2</v>
      </c>
      <c r="G2337" s="7">
        <v>8.6E-3</v>
      </c>
    </row>
    <row r="2338" spans="2:7" x14ac:dyDescent="0.2">
      <c r="B2338" s="60">
        <v>39189</v>
      </c>
      <c r="C2338" s="7">
        <v>4.2069999999999996E-2</v>
      </c>
      <c r="D2338" s="7">
        <v>4.2069999999999996E-2</v>
      </c>
      <c r="E2338" s="7">
        <v>4.2069999999999996E-2</v>
      </c>
      <c r="F2338" s="7">
        <v>4.2069999999999996E-2</v>
      </c>
      <c r="G2338" s="7">
        <v>-6.6E-3</v>
      </c>
    </row>
    <row r="2339" spans="2:7" x14ac:dyDescent="0.2">
      <c r="B2339" s="60">
        <v>39190</v>
      </c>
      <c r="C2339" s="7">
        <v>4.181E-2</v>
      </c>
      <c r="D2339" s="7">
        <v>4.181E-2</v>
      </c>
      <c r="E2339" s="7">
        <v>4.181E-2</v>
      </c>
      <c r="F2339" s="7">
        <v>4.181E-2</v>
      </c>
      <c r="G2339" s="7">
        <v>-6.1999999999999998E-3</v>
      </c>
    </row>
    <row r="2340" spans="2:7" x14ac:dyDescent="0.2">
      <c r="B2340" s="60">
        <v>39191</v>
      </c>
      <c r="C2340" s="7">
        <v>4.1550000000000004E-2</v>
      </c>
      <c r="D2340" s="7">
        <v>4.1550000000000004E-2</v>
      </c>
      <c r="E2340" s="7">
        <v>4.1550000000000004E-2</v>
      </c>
      <c r="F2340" s="7">
        <v>4.1550000000000004E-2</v>
      </c>
      <c r="G2340" s="7">
        <v>-6.1999999999999998E-3</v>
      </c>
    </row>
    <row r="2341" spans="2:7" x14ac:dyDescent="0.2">
      <c r="B2341" s="60">
        <v>39192</v>
      </c>
      <c r="C2341" s="7">
        <v>4.2050000000000004E-2</v>
      </c>
      <c r="D2341" s="7">
        <v>4.2050000000000004E-2</v>
      </c>
      <c r="E2341" s="7">
        <v>4.2050000000000004E-2</v>
      </c>
      <c r="F2341" s="7">
        <v>4.2050000000000004E-2</v>
      </c>
      <c r="G2341" s="7">
        <v>1.2E-2</v>
      </c>
    </row>
    <row r="2342" spans="2:7" x14ac:dyDescent="0.2">
      <c r="B2342" s="60">
        <v>39195</v>
      </c>
      <c r="C2342" s="7">
        <v>4.1950000000000001E-2</v>
      </c>
      <c r="D2342" s="7">
        <v>4.1950000000000001E-2</v>
      </c>
      <c r="E2342" s="7">
        <v>4.1950000000000001E-2</v>
      </c>
      <c r="F2342" s="7">
        <v>4.1950000000000001E-2</v>
      </c>
      <c r="G2342" s="7">
        <v>-2.3999999999999998E-3</v>
      </c>
    </row>
    <row r="2343" spans="2:7" x14ac:dyDescent="0.2">
      <c r="B2343" s="60">
        <v>39196</v>
      </c>
      <c r="C2343" s="7">
        <v>4.1829999999999999E-2</v>
      </c>
      <c r="D2343" s="7">
        <v>4.1829999999999999E-2</v>
      </c>
      <c r="E2343" s="7">
        <v>4.1829999999999999E-2</v>
      </c>
      <c r="F2343" s="7">
        <v>4.1829999999999999E-2</v>
      </c>
      <c r="G2343" s="7">
        <v>-2.8999999999999998E-3</v>
      </c>
    </row>
    <row r="2344" spans="2:7" x14ac:dyDescent="0.2">
      <c r="B2344" s="60">
        <v>39197</v>
      </c>
      <c r="C2344" s="7">
        <v>4.1700000000000001E-2</v>
      </c>
      <c r="D2344" s="7">
        <v>4.1700000000000001E-2</v>
      </c>
      <c r="E2344" s="7">
        <v>4.1700000000000001E-2</v>
      </c>
      <c r="F2344" s="7">
        <v>4.1700000000000001E-2</v>
      </c>
      <c r="G2344" s="7">
        <v>-3.0999999999999999E-3</v>
      </c>
    </row>
    <row r="2345" spans="2:7" x14ac:dyDescent="0.2">
      <c r="B2345" s="60">
        <v>39198</v>
      </c>
      <c r="C2345" s="7">
        <v>4.1779999999999998E-2</v>
      </c>
      <c r="D2345" s="7">
        <v>4.1779999999999998E-2</v>
      </c>
      <c r="E2345" s="7">
        <v>4.1779999999999998E-2</v>
      </c>
      <c r="F2345" s="7">
        <v>4.1779999999999998E-2</v>
      </c>
      <c r="G2345" s="7">
        <v>1.9E-3</v>
      </c>
    </row>
    <row r="2346" spans="2:7" x14ac:dyDescent="0.2">
      <c r="B2346" s="60">
        <v>39199</v>
      </c>
      <c r="C2346" s="7">
        <v>4.2140000000000004E-2</v>
      </c>
      <c r="D2346" s="7">
        <v>4.2140000000000004E-2</v>
      </c>
      <c r="E2346" s="7">
        <v>4.2140000000000004E-2</v>
      </c>
      <c r="F2346" s="7">
        <v>4.2140000000000004E-2</v>
      </c>
      <c r="G2346" s="7">
        <v>8.6E-3</v>
      </c>
    </row>
    <row r="2347" spans="2:7" x14ac:dyDescent="0.2">
      <c r="B2347" s="60">
        <v>39202</v>
      </c>
      <c r="C2347" s="7">
        <v>4.2190000000000005E-2</v>
      </c>
      <c r="D2347" s="7">
        <v>4.2190000000000005E-2</v>
      </c>
      <c r="E2347" s="7">
        <v>4.2190000000000005E-2</v>
      </c>
      <c r="F2347" s="7">
        <v>4.2190000000000005E-2</v>
      </c>
      <c r="G2347" s="7">
        <v>1.1999999999999999E-3</v>
      </c>
    </row>
    <row r="2348" spans="2:7" x14ac:dyDescent="0.2">
      <c r="B2348" s="60">
        <v>39204</v>
      </c>
      <c r="C2348" s="7">
        <v>4.1420000000000005E-2</v>
      </c>
      <c r="D2348" s="7">
        <v>4.1420000000000005E-2</v>
      </c>
      <c r="E2348" s="7">
        <v>4.1420000000000005E-2</v>
      </c>
      <c r="F2348" s="7">
        <v>4.1420000000000005E-2</v>
      </c>
      <c r="G2348" s="7">
        <v>-1.83E-2</v>
      </c>
    </row>
    <row r="2349" spans="2:7" x14ac:dyDescent="0.2">
      <c r="B2349" s="60">
        <v>39205</v>
      </c>
      <c r="C2349" s="7">
        <v>4.2020000000000002E-2</v>
      </c>
      <c r="D2349" s="7">
        <v>4.2020000000000002E-2</v>
      </c>
      <c r="E2349" s="7">
        <v>4.2020000000000002E-2</v>
      </c>
      <c r="F2349" s="7">
        <v>4.2020000000000002E-2</v>
      </c>
      <c r="G2349" s="7">
        <v>1.4500000000000001E-2</v>
      </c>
    </row>
    <row r="2350" spans="2:7" x14ac:dyDescent="0.2">
      <c r="B2350" s="60">
        <v>39206</v>
      </c>
      <c r="C2350" s="7">
        <v>4.2320000000000003E-2</v>
      </c>
      <c r="D2350" s="7">
        <v>4.2320000000000003E-2</v>
      </c>
      <c r="E2350" s="7">
        <v>4.2320000000000003E-2</v>
      </c>
      <c r="F2350" s="7">
        <v>4.2320000000000003E-2</v>
      </c>
      <c r="G2350" s="7">
        <v>7.1000000000000004E-3</v>
      </c>
    </row>
    <row r="2351" spans="2:7" x14ac:dyDescent="0.2">
      <c r="B2351" s="60">
        <v>39209</v>
      </c>
      <c r="C2351" s="7">
        <v>4.197E-2</v>
      </c>
      <c r="D2351" s="7">
        <v>4.197E-2</v>
      </c>
      <c r="E2351" s="7">
        <v>4.197E-2</v>
      </c>
      <c r="F2351" s="7">
        <v>4.197E-2</v>
      </c>
      <c r="G2351" s="7">
        <v>-8.3000000000000001E-3</v>
      </c>
    </row>
    <row r="2352" spans="2:7" x14ac:dyDescent="0.2">
      <c r="B2352" s="60">
        <v>39210</v>
      </c>
      <c r="C2352" s="7">
        <v>4.2069999999999996E-2</v>
      </c>
      <c r="D2352" s="7">
        <v>4.2069999999999996E-2</v>
      </c>
      <c r="E2352" s="7">
        <v>4.2069999999999996E-2</v>
      </c>
      <c r="F2352" s="7">
        <v>4.2069999999999996E-2</v>
      </c>
      <c r="G2352" s="7">
        <v>2.3999999999999998E-3</v>
      </c>
    </row>
    <row r="2353" spans="2:7" x14ac:dyDescent="0.2">
      <c r="B2353" s="60">
        <v>39211</v>
      </c>
      <c r="C2353" s="7">
        <v>4.2079999999999999E-2</v>
      </c>
      <c r="D2353" s="7">
        <v>4.2079999999999999E-2</v>
      </c>
      <c r="E2353" s="7">
        <v>4.2079999999999999E-2</v>
      </c>
      <c r="F2353" s="7">
        <v>4.2079999999999999E-2</v>
      </c>
      <c r="G2353" s="7">
        <v>2.0000000000000001E-4</v>
      </c>
    </row>
    <row r="2354" spans="2:7" x14ac:dyDescent="0.2">
      <c r="B2354" s="60">
        <v>39212</v>
      </c>
      <c r="C2354" s="7">
        <v>4.2279999999999998E-2</v>
      </c>
      <c r="D2354" s="7">
        <v>4.2279999999999998E-2</v>
      </c>
      <c r="E2354" s="7">
        <v>4.2279999999999998E-2</v>
      </c>
      <c r="F2354" s="7">
        <v>4.2279999999999998E-2</v>
      </c>
      <c r="G2354" s="7">
        <v>4.7999999999999996E-3</v>
      </c>
    </row>
    <row r="2355" spans="2:7" x14ac:dyDescent="0.2">
      <c r="B2355" s="60">
        <v>39213</v>
      </c>
      <c r="C2355" s="7">
        <v>4.199E-2</v>
      </c>
      <c r="D2355" s="7">
        <v>4.199E-2</v>
      </c>
      <c r="E2355" s="7">
        <v>4.199E-2</v>
      </c>
      <c r="F2355" s="7">
        <v>4.199E-2</v>
      </c>
      <c r="G2355" s="7">
        <v>-6.8999999999999999E-3</v>
      </c>
    </row>
    <row r="2356" spans="2:7" x14ac:dyDescent="0.2">
      <c r="B2356" s="60">
        <v>39216</v>
      </c>
      <c r="C2356" s="7">
        <v>4.2300000000000004E-2</v>
      </c>
      <c r="D2356" s="7">
        <v>4.2300000000000004E-2</v>
      </c>
      <c r="E2356" s="7">
        <v>4.2300000000000004E-2</v>
      </c>
      <c r="F2356" s="7">
        <v>4.2300000000000004E-2</v>
      </c>
      <c r="G2356" s="7">
        <v>7.4000000000000003E-3</v>
      </c>
    </row>
    <row r="2357" spans="2:7" x14ac:dyDescent="0.2">
      <c r="B2357" s="60">
        <v>39217</v>
      </c>
      <c r="C2357" s="7">
        <v>4.274E-2</v>
      </c>
      <c r="D2357" s="7">
        <v>4.274E-2</v>
      </c>
      <c r="E2357" s="7">
        <v>4.274E-2</v>
      </c>
      <c r="F2357" s="7">
        <v>4.274E-2</v>
      </c>
      <c r="G2357" s="7">
        <v>1.04E-2</v>
      </c>
    </row>
    <row r="2358" spans="2:7" x14ac:dyDescent="0.2">
      <c r="B2358" s="60">
        <v>39218</v>
      </c>
      <c r="C2358" s="7">
        <v>4.3049999999999998E-2</v>
      </c>
      <c r="D2358" s="7">
        <v>4.3049999999999998E-2</v>
      </c>
      <c r="E2358" s="7">
        <v>4.3049999999999998E-2</v>
      </c>
      <c r="F2358" s="7">
        <v>4.3049999999999998E-2</v>
      </c>
      <c r="G2358" s="7">
        <v>7.3000000000000001E-3</v>
      </c>
    </row>
    <row r="2359" spans="2:7" x14ac:dyDescent="0.2">
      <c r="B2359" s="60">
        <v>39219</v>
      </c>
      <c r="C2359" s="7">
        <v>4.3159999999999997E-2</v>
      </c>
      <c r="D2359" s="7">
        <v>4.3159999999999997E-2</v>
      </c>
      <c r="E2359" s="7">
        <v>4.3159999999999997E-2</v>
      </c>
      <c r="F2359" s="7">
        <v>4.3159999999999997E-2</v>
      </c>
      <c r="G2359" s="7">
        <v>2.5999999999999999E-3</v>
      </c>
    </row>
    <row r="2360" spans="2:7" x14ac:dyDescent="0.2">
      <c r="B2360" s="60">
        <v>39220</v>
      </c>
      <c r="C2360" s="7">
        <v>4.3200000000000002E-2</v>
      </c>
      <c r="D2360" s="7">
        <v>4.3200000000000002E-2</v>
      </c>
      <c r="E2360" s="7">
        <v>4.3200000000000002E-2</v>
      </c>
      <c r="F2360" s="7">
        <v>4.3200000000000002E-2</v>
      </c>
      <c r="G2360" s="7">
        <v>8.9999999999999998E-4</v>
      </c>
    </row>
    <row r="2361" spans="2:7" x14ac:dyDescent="0.2">
      <c r="B2361" s="60">
        <v>39223</v>
      </c>
      <c r="C2361" s="7">
        <v>4.3200000000000002E-2</v>
      </c>
      <c r="D2361" s="7">
        <v>4.3200000000000002E-2</v>
      </c>
      <c r="E2361" s="7">
        <v>4.3200000000000002E-2</v>
      </c>
      <c r="F2361" s="7">
        <v>4.3200000000000002E-2</v>
      </c>
      <c r="G2361" s="7">
        <v>0</v>
      </c>
    </row>
    <row r="2362" spans="2:7" x14ac:dyDescent="0.2">
      <c r="B2362" s="60">
        <v>39224</v>
      </c>
      <c r="C2362" s="7">
        <v>4.3129999999999995E-2</v>
      </c>
      <c r="D2362" s="7">
        <v>4.3129999999999995E-2</v>
      </c>
      <c r="E2362" s="7">
        <v>4.3129999999999995E-2</v>
      </c>
      <c r="F2362" s="7">
        <v>4.3129999999999995E-2</v>
      </c>
      <c r="G2362" s="7">
        <v>-1.6000000000000001E-3</v>
      </c>
    </row>
    <row r="2363" spans="2:7" x14ac:dyDescent="0.2">
      <c r="B2363" s="60">
        <v>39225</v>
      </c>
      <c r="C2363" s="7">
        <v>4.3520000000000003E-2</v>
      </c>
      <c r="D2363" s="7">
        <v>4.3520000000000003E-2</v>
      </c>
      <c r="E2363" s="7">
        <v>4.3520000000000003E-2</v>
      </c>
      <c r="F2363" s="7">
        <v>4.3520000000000003E-2</v>
      </c>
      <c r="G2363" s="7">
        <v>8.9999999999999993E-3</v>
      </c>
    </row>
    <row r="2364" spans="2:7" x14ac:dyDescent="0.2">
      <c r="B2364" s="60">
        <v>39226</v>
      </c>
      <c r="C2364" s="7">
        <v>4.3749999999999997E-2</v>
      </c>
      <c r="D2364" s="7">
        <v>4.3749999999999997E-2</v>
      </c>
      <c r="E2364" s="7">
        <v>4.3749999999999997E-2</v>
      </c>
      <c r="F2364" s="7">
        <v>4.3749999999999997E-2</v>
      </c>
      <c r="G2364" s="7">
        <v>5.3E-3</v>
      </c>
    </row>
    <row r="2365" spans="2:7" x14ac:dyDescent="0.2">
      <c r="B2365" s="60">
        <v>39227</v>
      </c>
      <c r="C2365" s="7">
        <v>4.2960000000000005E-2</v>
      </c>
      <c r="D2365" s="7">
        <v>4.2960000000000005E-2</v>
      </c>
      <c r="E2365" s="7">
        <v>4.2960000000000005E-2</v>
      </c>
      <c r="F2365" s="7">
        <v>4.2960000000000005E-2</v>
      </c>
      <c r="G2365" s="7">
        <v>-1.8100000000000002E-2</v>
      </c>
    </row>
    <row r="2366" spans="2:7" x14ac:dyDescent="0.2">
      <c r="B2366" s="60">
        <v>39231</v>
      </c>
      <c r="C2366" s="7">
        <v>4.3959999999999999E-2</v>
      </c>
      <c r="D2366" s="7">
        <v>4.3959999999999999E-2</v>
      </c>
      <c r="E2366" s="7">
        <v>4.3959999999999999E-2</v>
      </c>
      <c r="F2366" s="7">
        <v>4.3959999999999999E-2</v>
      </c>
      <c r="G2366" s="7">
        <v>2.3300000000000001E-2</v>
      </c>
    </row>
    <row r="2367" spans="2:7" x14ac:dyDescent="0.2">
      <c r="B2367" s="60">
        <v>39232</v>
      </c>
      <c r="C2367" s="7">
        <v>4.3979999999999998E-2</v>
      </c>
      <c r="D2367" s="7">
        <v>4.3979999999999998E-2</v>
      </c>
      <c r="E2367" s="7">
        <v>4.3979999999999998E-2</v>
      </c>
      <c r="F2367" s="7">
        <v>4.3979999999999998E-2</v>
      </c>
      <c r="G2367" s="7">
        <v>5.0000000000000001E-4</v>
      </c>
    </row>
    <row r="2368" spans="2:7" x14ac:dyDescent="0.2">
      <c r="B2368" s="60">
        <v>39233</v>
      </c>
      <c r="C2368" s="7">
        <v>4.3880000000000002E-2</v>
      </c>
      <c r="D2368" s="7">
        <v>4.3880000000000002E-2</v>
      </c>
      <c r="E2368" s="7">
        <v>4.3880000000000002E-2</v>
      </c>
      <c r="F2368" s="7">
        <v>4.3880000000000002E-2</v>
      </c>
      <c r="G2368" s="7">
        <v>-2.3E-3</v>
      </c>
    </row>
    <row r="2369" spans="2:7" x14ac:dyDescent="0.2">
      <c r="B2369" s="60">
        <v>39234</v>
      </c>
      <c r="C2369" s="7">
        <v>4.4119999999999999E-2</v>
      </c>
      <c r="D2369" s="7">
        <v>4.4119999999999999E-2</v>
      </c>
      <c r="E2369" s="7">
        <v>4.4119999999999999E-2</v>
      </c>
      <c r="F2369" s="7">
        <v>4.4119999999999999E-2</v>
      </c>
      <c r="G2369" s="7">
        <v>5.4999999999999997E-3</v>
      </c>
    </row>
    <row r="2370" spans="2:7" x14ac:dyDescent="0.2">
      <c r="B2370" s="60">
        <v>39237</v>
      </c>
      <c r="C2370" s="7">
        <v>4.4610000000000004E-2</v>
      </c>
      <c r="D2370" s="7">
        <v>4.4610000000000004E-2</v>
      </c>
      <c r="E2370" s="7">
        <v>4.4610000000000004E-2</v>
      </c>
      <c r="F2370" s="7">
        <v>4.4610000000000004E-2</v>
      </c>
      <c r="G2370" s="7">
        <v>1.11E-2</v>
      </c>
    </row>
    <row r="2371" spans="2:7" x14ac:dyDescent="0.2">
      <c r="B2371" s="60">
        <v>39238</v>
      </c>
      <c r="C2371" s="7">
        <v>4.4549999999999999E-2</v>
      </c>
      <c r="D2371" s="7">
        <v>4.4549999999999999E-2</v>
      </c>
      <c r="E2371" s="7">
        <v>4.4549999999999999E-2</v>
      </c>
      <c r="F2371" s="7">
        <v>4.4549999999999999E-2</v>
      </c>
      <c r="G2371" s="7">
        <v>-1.2999999999999999E-3</v>
      </c>
    </row>
    <row r="2372" spans="2:7" x14ac:dyDescent="0.2">
      <c r="B2372" s="60">
        <v>39239</v>
      </c>
      <c r="C2372" s="7">
        <v>4.4889999999999999E-2</v>
      </c>
      <c r="D2372" s="7">
        <v>4.4889999999999999E-2</v>
      </c>
      <c r="E2372" s="7">
        <v>4.4889999999999999E-2</v>
      </c>
      <c r="F2372" s="7">
        <v>4.4889999999999999E-2</v>
      </c>
      <c r="G2372" s="7">
        <v>7.6E-3</v>
      </c>
    </row>
    <row r="2373" spans="2:7" x14ac:dyDescent="0.2">
      <c r="B2373" s="60">
        <v>39240</v>
      </c>
      <c r="C2373" s="7">
        <v>4.4500000000000005E-2</v>
      </c>
      <c r="D2373" s="7">
        <v>4.4500000000000005E-2</v>
      </c>
      <c r="E2373" s="7">
        <v>4.4500000000000005E-2</v>
      </c>
      <c r="F2373" s="7">
        <v>4.4500000000000005E-2</v>
      </c>
      <c r="G2373" s="7">
        <v>-8.6999999999999994E-3</v>
      </c>
    </row>
    <row r="2374" spans="2:7" x14ac:dyDescent="0.2">
      <c r="B2374" s="60">
        <v>39241</v>
      </c>
      <c r="C2374" s="7">
        <v>4.546E-2</v>
      </c>
      <c r="D2374" s="7">
        <v>4.546E-2</v>
      </c>
      <c r="E2374" s="7">
        <v>4.546E-2</v>
      </c>
      <c r="F2374" s="7">
        <v>4.546E-2</v>
      </c>
      <c r="G2374" s="7">
        <v>2.1600000000000001E-2</v>
      </c>
    </row>
    <row r="2375" spans="2:7" x14ac:dyDescent="0.2">
      <c r="B2375" s="60">
        <v>39244</v>
      </c>
      <c r="C2375" s="7">
        <v>4.5530000000000001E-2</v>
      </c>
      <c r="D2375" s="7">
        <v>4.5530000000000001E-2</v>
      </c>
      <c r="E2375" s="7">
        <v>4.5530000000000001E-2</v>
      </c>
      <c r="F2375" s="7">
        <v>4.5530000000000001E-2</v>
      </c>
      <c r="G2375" s="7">
        <v>1.5E-3</v>
      </c>
    </row>
    <row r="2376" spans="2:7" x14ac:dyDescent="0.2">
      <c r="B2376" s="60">
        <v>39245</v>
      </c>
      <c r="C2376" s="7">
        <v>4.5650000000000003E-2</v>
      </c>
      <c r="D2376" s="7">
        <v>4.5650000000000003E-2</v>
      </c>
      <c r="E2376" s="7">
        <v>4.5650000000000003E-2</v>
      </c>
      <c r="F2376" s="7">
        <v>4.5650000000000003E-2</v>
      </c>
      <c r="G2376" s="7">
        <v>2.5999999999999999E-3</v>
      </c>
    </row>
    <row r="2377" spans="2:7" x14ac:dyDescent="0.2">
      <c r="B2377" s="60">
        <v>39246</v>
      </c>
      <c r="C2377" s="7">
        <v>4.6120000000000001E-2</v>
      </c>
      <c r="D2377" s="7">
        <v>4.6120000000000001E-2</v>
      </c>
      <c r="E2377" s="7">
        <v>4.6120000000000001E-2</v>
      </c>
      <c r="F2377" s="7">
        <v>4.6120000000000001E-2</v>
      </c>
      <c r="G2377" s="7">
        <v>1.03E-2</v>
      </c>
    </row>
    <row r="2378" spans="2:7" x14ac:dyDescent="0.2">
      <c r="B2378" s="60">
        <v>39247</v>
      </c>
      <c r="C2378" s="7">
        <v>4.6330000000000003E-2</v>
      </c>
      <c r="D2378" s="7">
        <v>4.6330000000000003E-2</v>
      </c>
      <c r="E2378" s="7">
        <v>4.6330000000000003E-2</v>
      </c>
      <c r="F2378" s="7">
        <v>4.6330000000000003E-2</v>
      </c>
      <c r="G2378" s="7">
        <v>4.5999999999999999E-3</v>
      </c>
    </row>
    <row r="2379" spans="2:7" x14ac:dyDescent="0.2">
      <c r="B2379" s="60">
        <v>39248</v>
      </c>
      <c r="C2379" s="7">
        <v>4.6349999999999995E-2</v>
      </c>
      <c r="D2379" s="7">
        <v>4.6349999999999995E-2</v>
      </c>
      <c r="E2379" s="7">
        <v>4.6349999999999995E-2</v>
      </c>
      <c r="F2379" s="7">
        <v>4.6349999999999995E-2</v>
      </c>
      <c r="G2379" s="7">
        <v>4.0000000000000002E-4</v>
      </c>
    </row>
    <row r="2380" spans="2:7" x14ac:dyDescent="0.2">
      <c r="B2380" s="60">
        <v>39251</v>
      </c>
      <c r="C2380" s="7">
        <v>4.6449999999999998E-2</v>
      </c>
      <c r="D2380" s="7">
        <v>4.6449999999999998E-2</v>
      </c>
      <c r="E2380" s="7">
        <v>4.6449999999999998E-2</v>
      </c>
      <c r="F2380" s="7">
        <v>4.6449999999999998E-2</v>
      </c>
      <c r="G2380" s="7">
        <v>2.2000000000000001E-3</v>
      </c>
    </row>
    <row r="2381" spans="2:7" x14ac:dyDescent="0.2">
      <c r="B2381" s="60">
        <v>39252</v>
      </c>
      <c r="C2381" s="7">
        <v>4.6399999999999997E-2</v>
      </c>
      <c r="D2381" s="7">
        <v>4.6399999999999997E-2</v>
      </c>
      <c r="E2381" s="7">
        <v>4.6399999999999997E-2</v>
      </c>
      <c r="F2381" s="7">
        <v>4.6399999999999997E-2</v>
      </c>
      <c r="G2381" s="7">
        <v>-1.1000000000000001E-3</v>
      </c>
    </row>
    <row r="2382" spans="2:7" x14ac:dyDescent="0.2">
      <c r="B2382" s="60">
        <v>39253</v>
      </c>
      <c r="C2382" s="7">
        <v>4.5929999999999999E-2</v>
      </c>
      <c r="D2382" s="7">
        <v>4.5929999999999999E-2</v>
      </c>
      <c r="E2382" s="7">
        <v>4.5929999999999999E-2</v>
      </c>
      <c r="F2382" s="7">
        <v>4.5929999999999999E-2</v>
      </c>
      <c r="G2382" s="7">
        <v>-1.01E-2</v>
      </c>
    </row>
    <row r="2383" spans="2:7" x14ac:dyDescent="0.2">
      <c r="B2383" s="60">
        <v>39254</v>
      </c>
      <c r="C2383" s="7">
        <v>4.6399999999999997E-2</v>
      </c>
      <c r="D2383" s="7">
        <v>4.6399999999999997E-2</v>
      </c>
      <c r="E2383" s="7">
        <v>4.6399999999999997E-2</v>
      </c>
      <c r="F2383" s="7">
        <v>4.6399999999999997E-2</v>
      </c>
      <c r="G2383" s="7">
        <v>1.0200000000000001E-2</v>
      </c>
    </row>
    <row r="2384" spans="2:7" x14ac:dyDescent="0.2">
      <c r="B2384" s="60">
        <v>39255</v>
      </c>
      <c r="C2384" s="7">
        <v>4.6500000000000007E-2</v>
      </c>
      <c r="D2384" s="7">
        <v>4.6500000000000007E-2</v>
      </c>
      <c r="E2384" s="7">
        <v>4.6500000000000007E-2</v>
      </c>
      <c r="F2384" s="7">
        <v>4.6500000000000007E-2</v>
      </c>
      <c r="G2384" s="7">
        <v>2.2000000000000001E-3</v>
      </c>
    </row>
    <row r="2385" spans="2:7" x14ac:dyDescent="0.2">
      <c r="B2385" s="60">
        <v>39258</v>
      </c>
      <c r="C2385" s="7">
        <v>4.6260000000000003E-2</v>
      </c>
      <c r="D2385" s="7">
        <v>4.6260000000000003E-2</v>
      </c>
      <c r="E2385" s="7">
        <v>4.6260000000000003E-2</v>
      </c>
      <c r="F2385" s="7">
        <v>4.6260000000000003E-2</v>
      </c>
      <c r="G2385" s="7">
        <v>-5.1999999999999998E-3</v>
      </c>
    </row>
    <row r="2386" spans="2:7" x14ac:dyDescent="0.2">
      <c r="B2386" s="60">
        <v>39259</v>
      </c>
      <c r="C2386" s="7">
        <v>4.6029999999999995E-2</v>
      </c>
      <c r="D2386" s="7">
        <v>4.6029999999999995E-2</v>
      </c>
      <c r="E2386" s="7">
        <v>4.6029999999999995E-2</v>
      </c>
      <c r="F2386" s="7">
        <v>4.6029999999999995E-2</v>
      </c>
      <c r="G2386" s="7">
        <v>-5.0000000000000001E-3</v>
      </c>
    </row>
    <row r="2387" spans="2:7" x14ac:dyDescent="0.2">
      <c r="B2387" s="60">
        <v>39260</v>
      </c>
      <c r="C2387" s="7">
        <v>4.5999999999999999E-2</v>
      </c>
      <c r="D2387" s="7">
        <v>4.5999999999999999E-2</v>
      </c>
      <c r="E2387" s="7">
        <v>4.5999999999999999E-2</v>
      </c>
      <c r="F2387" s="7">
        <v>4.5999999999999999E-2</v>
      </c>
      <c r="G2387" s="7">
        <v>-6.9999999999999999E-4</v>
      </c>
    </row>
    <row r="2388" spans="2:7" x14ac:dyDescent="0.2">
      <c r="B2388" s="60">
        <v>39261</v>
      </c>
      <c r="C2388" s="7">
        <v>4.5579999999999996E-2</v>
      </c>
      <c r="D2388" s="7">
        <v>4.5579999999999996E-2</v>
      </c>
      <c r="E2388" s="7">
        <v>4.5579999999999996E-2</v>
      </c>
      <c r="F2388" s="7">
        <v>4.5579999999999996E-2</v>
      </c>
      <c r="G2388" s="7">
        <v>-9.1000000000000004E-3</v>
      </c>
    </row>
    <row r="2389" spans="2:7" x14ac:dyDescent="0.2">
      <c r="B2389" s="60">
        <v>39262</v>
      </c>
      <c r="C2389" s="7">
        <v>4.555E-2</v>
      </c>
      <c r="D2389" s="7">
        <v>4.555E-2</v>
      </c>
      <c r="E2389" s="7">
        <v>4.555E-2</v>
      </c>
      <c r="F2389" s="7">
        <v>4.555E-2</v>
      </c>
      <c r="G2389" s="7">
        <v>-6.9999999999999999E-4</v>
      </c>
    </row>
    <row r="2390" spans="2:7" x14ac:dyDescent="0.2">
      <c r="B2390" s="60">
        <v>39265</v>
      </c>
      <c r="C2390" s="7">
        <v>4.555E-2</v>
      </c>
      <c r="D2390" s="7">
        <v>4.555E-2</v>
      </c>
      <c r="E2390" s="7">
        <v>4.555E-2</v>
      </c>
      <c r="F2390" s="7">
        <v>4.555E-2</v>
      </c>
      <c r="G2390" s="7">
        <v>0</v>
      </c>
    </row>
    <row r="2391" spans="2:7" x14ac:dyDescent="0.2">
      <c r="B2391" s="60">
        <v>39266</v>
      </c>
      <c r="C2391" s="7">
        <v>4.4839999999999998E-2</v>
      </c>
      <c r="D2391" s="7">
        <v>4.4839999999999998E-2</v>
      </c>
      <c r="E2391" s="7">
        <v>4.4839999999999998E-2</v>
      </c>
      <c r="F2391" s="7">
        <v>4.4839999999999998E-2</v>
      </c>
      <c r="G2391" s="7">
        <v>-1.5599999999999999E-2</v>
      </c>
    </row>
    <row r="2392" spans="2:7" x14ac:dyDescent="0.2">
      <c r="B2392" s="60">
        <v>39267</v>
      </c>
      <c r="C2392" s="7">
        <v>4.564E-2</v>
      </c>
      <c r="D2392" s="7">
        <v>4.564E-2</v>
      </c>
      <c r="E2392" s="7">
        <v>4.564E-2</v>
      </c>
      <c r="F2392" s="7">
        <v>4.564E-2</v>
      </c>
      <c r="G2392" s="7">
        <v>1.78E-2</v>
      </c>
    </row>
    <row r="2393" spans="2:7" x14ac:dyDescent="0.2">
      <c r="B2393" s="60">
        <v>39268</v>
      </c>
      <c r="C2393" s="7">
        <v>4.6120000000000001E-2</v>
      </c>
      <c r="D2393" s="7">
        <v>4.6120000000000001E-2</v>
      </c>
      <c r="E2393" s="7">
        <v>4.6120000000000001E-2</v>
      </c>
      <c r="F2393" s="7">
        <v>4.6120000000000001E-2</v>
      </c>
      <c r="G2393" s="7">
        <v>1.0500000000000001E-2</v>
      </c>
    </row>
    <row r="2394" spans="2:7" x14ac:dyDescent="0.2">
      <c r="B2394" s="60">
        <v>39269</v>
      </c>
      <c r="C2394" s="7">
        <v>4.6539999999999998E-2</v>
      </c>
      <c r="D2394" s="7">
        <v>4.6539999999999998E-2</v>
      </c>
      <c r="E2394" s="7">
        <v>4.6539999999999998E-2</v>
      </c>
      <c r="F2394" s="7">
        <v>4.6539999999999998E-2</v>
      </c>
      <c r="G2394" s="7">
        <v>9.1000000000000004E-3</v>
      </c>
    </row>
    <row r="2395" spans="2:7" x14ac:dyDescent="0.2">
      <c r="B2395" s="60">
        <v>39272</v>
      </c>
      <c r="C2395" s="7">
        <v>4.6870000000000002E-2</v>
      </c>
      <c r="D2395" s="7">
        <v>4.6870000000000002E-2</v>
      </c>
      <c r="E2395" s="7">
        <v>4.6870000000000002E-2</v>
      </c>
      <c r="F2395" s="7">
        <v>4.6870000000000002E-2</v>
      </c>
      <c r="G2395" s="7">
        <v>7.1000000000000004E-3</v>
      </c>
    </row>
    <row r="2396" spans="2:7" x14ac:dyDescent="0.2">
      <c r="B2396" s="60">
        <v>39273</v>
      </c>
      <c r="C2396" s="7">
        <v>4.6630000000000005E-2</v>
      </c>
      <c r="D2396" s="7">
        <v>4.6630000000000005E-2</v>
      </c>
      <c r="E2396" s="7">
        <v>4.6630000000000005E-2</v>
      </c>
      <c r="F2396" s="7">
        <v>4.6630000000000005E-2</v>
      </c>
      <c r="G2396" s="7">
        <v>-5.1000000000000004E-3</v>
      </c>
    </row>
    <row r="2397" spans="2:7" x14ac:dyDescent="0.2">
      <c r="B2397" s="60">
        <v>39274</v>
      </c>
      <c r="C2397" s="7">
        <v>4.5909999999999999E-2</v>
      </c>
      <c r="D2397" s="7">
        <v>4.5909999999999999E-2</v>
      </c>
      <c r="E2397" s="7">
        <v>4.5909999999999999E-2</v>
      </c>
      <c r="F2397" s="7">
        <v>4.5909999999999999E-2</v>
      </c>
      <c r="G2397" s="7">
        <v>-1.54E-2</v>
      </c>
    </row>
    <row r="2398" spans="2:7" x14ac:dyDescent="0.2">
      <c r="B2398" s="60">
        <v>39275</v>
      </c>
      <c r="C2398" s="7">
        <v>4.5880000000000004E-2</v>
      </c>
      <c r="D2398" s="7">
        <v>4.5880000000000004E-2</v>
      </c>
      <c r="E2398" s="7">
        <v>4.5880000000000004E-2</v>
      </c>
      <c r="F2398" s="7">
        <v>4.5880000000000004E-2</v>
      </c>
      <c r="G2398" s="7">
        <v>-6.9999999999999999E-4</v>
      </c>
    </row>
    <row r="2399" spans="2:7" x14ac:dyDescent="0.2">
      <c r="B2399" s="60">
        <v>39276</v>
      </c>
      <c r="C2399" s="7">
        <v>4.6399999999999997E-2</v>
      </c>
      <c r="D2399" s="7">
        <v>4.6399999999999997E-2</v>
      </c>
      <c r="E2399" s="7">
        <v>4.6399999999999997E-2</v>
      </c>
      <c r="F2399" s="7">
        <v>4.6399999999999997E-2</v>
      </c>
      <c r="G2399" s="7">
        <v>1.1299999999999999E-2</v>
      </c>
    </row>
    <row r="2400" spans="2:7" x14ac:dyDescent="0.2">
      <c r="B2400" s="60">
        <v>39279</v>
      </c>
      <c r="C2400" s="7">
        <v>4.6180000000000006E-2</v>
      </c>
      <c r="D2400" s="7">
        <v>4.6180000000000006E-2</v>
      </c>
      <c r="E2400" s="7">
        <v>4.6180000000000006E-2</v>
      </c>
      <c r="F2400" s="7">
        <v>4.6180000000000006E-2</v>
      </c>
      <c r="G2400" s="7">
        <v>-4.7000000000000002E-3</v>
      </c>
    </row>
    <row r="2401" spans="2:7" x14ac:dyDescent="0.2">
      <c r="B2401" s="60">
        <v>39280</v>
      </c>
      <c r="C2401" s="7">
        <v>4.5499999999999999E-2</v>
      </c>
      <c r="D2401" s="7">
        <v>4.5499999999999999E-2</v>
      </c>
      <c r="E2401" s="7">
        <v>4.5499999999999999E-2</v>
      </c>
      <c r="F2401" s="7">
        <v>4.5499999999999999E-2</v>
      </c>
      <c r="G2401" s="7">
        <v>-1.47E-2</v>
      </c>
    </row>
    <row r="2402" spans="2:7" x14ac:dyDescent="0.2">
      <c r="B2402" s="60">
        <v>39281</v>
      </c>
      <c r="C2402" s="7">
        <v>4.582E-2</v>
      </c>
      <c r="D2402" s="7">
        <v>4.582E-2</v>
      </c>
      <c r="E2402" s="7">
        <v>4.582E-2</v>
      </c>
      <c r="F2402" s="7">
        <v>4.582E-2</v>
      </c>
      <c r="G2402" s="7">
        <v>7.0000000000000001E-3</v>
      </c>
    </row>
    <row r="2403" spans="2:7" x14ac:dyDescent="0.2">
      <c r="B2403" s="60">
        <v>39282</v>
      </c>
      <c r="C2403" s="7">
        <v>4.539E-2</v>
      </c>
      <c r="D2403" s="7">
        <v>4.539E-2</v>
      </c>
      <c r="E2403" s="7">
        <v>4.539E-2</v>
      </c>
      <c r="F2403" s="7">
        <v>4.539E-2</v>
      </c>
      <c r="G2403" s="7">
        <v>-9.4000000000000004E-3</v>
      </c>
    </row>
    <row r="2404" spans="2:7" x14ac:dyDescent="0.2">
      <c r="B2404" s="60">
        <v>39283</v>
      </c>
      <c r="C2404" s="7">
        <v>4.5449999999999997E-2</v>
      </c>
      <c r="D2404" s="7">
        <v>4.5449999999999997E-2</v>
      </c>
      <c r="E2404" s="7">
        <v>4.5449999999999997E-2</v>
      </c>
      <c r="F2404" s="7">
        <v>4.5449999999999997E-2</v>
      </c>
      <c r="G2404" s="7">
        <v>1.2999999999999999E-3</v>
      </c>
    </row>
    <row r="2405" spans="2:7" x14ac:dyDescent="0.2">
      <c r="B2405" s="60">
        <v>39286</v>
      </c>
      <c r="C2405" s="7">
        <v>4.4389999999999999E-2</v>
      </c>
      <c r="D2405" s="7">
        <v>4.4389999999999999E-2</v>
      </c>
      <c r="E2405" s="7">
        <v>4.4389999999999999E-2</v>
      </c>
      <c r="F2405" s="7">
        <v>4.4389999999999999E-2</v>
      </c>
      <c r="G2405" s="7">
        <v>-2.3300000000000001E-2</v>
      </c>
    </row>
    <row r="2406" spans="2:7" x14ac:dyDescent="0.2">
      <c r="B2406" s="60">
        <v>39287</v>
      </c>
      <c r="C2406" s="7">
        <v>4.4320000000000005E-2</v>
      </c>
      <c r="D2406" s="7">
        <v>4.4320000000000005E-2</v>
      </c>
      <c r="E2406" s="7">
        <v>4.4320000000000005E-2</v>
      </c>
      <c r="F2406" s="7">
        <v>4.4320000000000005E-2</v>
      </c>
      <c r="G2406" s="7">
        <v>-1.6000000000000001E-3</v>
      </c>
    </row>
    <row r="2407" spans="2:7" x14ac:dyDescent="0.2">
      <c r="B2407" s="60">
        <v>39288</v>
      </c>
      <c r="C2407" s="7">
        <v>4.4199999999999996E-2</v>
      </c>
      <c r="D2407" s="7">
        <v>4.4199999999999996E-2</v>
      </c>
      <c r="E2407" s="7">
        <v>4.4199999999999996E-2</v>
      </c>
      <c r="F2407" s="7">
        <v>4.4199999999999996E-2</v>
      </c>
      <c r="G2407" s="7">
        <v>-2.7000000000000001E-3</v>
      </c>
    </row>
    <row r="2408" spans="2:7" x14ac:dyDescent="0.2">
      <c r="B2408" s="60">
        <v>39289</v>
      </c>
      <c r="C2408" s="7">
        <v>4.4080000000000001E-2</v>
      </c>
      <c r="D2408" s="7">
        <v>4.4080000000000001E-2</v>
      </c>
      <c r="E2408" s="7">
        <v>4.4080000000000001E-2</v>
      </c>
      <c r="F2408" s="7">
        <v>4.4080000000000001E-2</v>
      </c>
      <c r="G2408" s="7">
        <v>-2.7000000000000001E-3</v>
      </c>
    </row>
    <row r="2409" spans="2:7" x14ac:dyDescent="0.2">
      <c r="B2409" s="60">
        <v>39290</v>
      </c>
      <c r="C2409" s="7">
        <v>4.2939999999999999E-2</v>
      </c>
      <c r="D2409" s="7">
        <v>4.2939999999999999E-2</v>
      </c>
      <c r="E2409" s="7">
        <v>4.2939999999999999E-2</v>
      </c>
      <c r="F2409" s="7">
        <v>4.2939999999999999E-2</v>
      </c>
      <c r="G2409" s="7">
        <v>-2.5899999999999999E-2</v>
      </c>
    </row>
    <row r="2410" spans="2:7" x14ac:dyDescent="0.2">
      <c r="B2410" s="60">
        <v>39293</v>
      </c>
      <c r="C2410" s="7">
        <v>4.3310000000000001E-2</v>
      </c>
      <c r="D2410" s="7">
        <v>4.3310000000000001E-2</v>
      </c>
      <c r="E2410" s="7">
        <v>4.3310000000000001E-2</v>
      </c>
      <c r="F2410" s="7">
        <v>4.3310000000000001E-2</v>
      </c>
      <c r="G2410" s="7">
        <v>8.6E-3</v>
      </c>
    </row>
    <row r="2411" spans="2:7" x14ac:dyDescent="0.2">
      <c r="B2411" s="60">
        <v>39294</v>
      </c>
      <c r="C2411" s="7">
        <v>4.3280000000000006E-2</v>
      </c>
      <c r="D2411" s="7">
        <v>4.3280000000000006E-2</v>
      </c>
      <c r="E2411" s="7">
        <v>4.3280000000000006E-2</v>
      </c>
      <c r="F2411" s="7">
        <v>4.3280000000000006E-2</v>
      </c>
      <c r="G2411" s="7">
        <v>-6.9999999999999999E-4</v>
      </c>
    </row>
    <row r="2412" spans="2:7" x14ac:dyDescent="0.2">
      <c r="B2412" s="60">
        <v>39295</v>
      </c>
      <c r="C2412" s="7">
        <v>4.3159999999999997E-2</v>
      </c>
      <c r="D2412" s="7">
        <v>4.3159999999999997E-2</v>
      </c>
      <c r="E2412" s="7">
        <v>4.3159999999999997E-2</v>
      </c>
      <c r="F2412" s="7">
        <v>4.3159999999999997E-2</v>
      </c>
      <c r="G2412" s="7">
        <v>-2.8E-3</v>
      </c>
    </row>
    <row r="2413" spans="2:7" x14ac:dyDescent="0.2">
      <c r="B2413" s="60">
        <v>39296</v>
      </c>
      <c r="C2413" s="7">
        <v>4.3529999999999999E-2</v>
      </c>
      <c r="D2413" s="7">
        <v>4.3529999999999999E-2</v>
      </c>
      <c r="E2413" s="7">
        <v>4.3529999999999999E-2</v>
      </c>
      <c r="F2413" s="7">
        <v>4.3529999999999999E-2</v>
      </c>
      <c r="G2413" s="7">
        <v>8.6E-3</v>
      </c>
    </row>
    <row r="2414" spans="2:7" x14ac:dyDescent="0.2">
      <c r="B2414" s="60">
        <v>39297</v>
      </c>
      <c r="C2414" s="7">
        <v>4.3589999999999997E-2</v>
      </c>
      <c r="D2414" s="7">
        <v>4.3589999999999997E-2</v>
      </c>
      <c r="E2414" s="7">
        <v>4.3589999999999997E-2</v>
      </c>
      <c r="F2414" s="7">
        <v>4.3589999999999997E-2</v>
      </c>
      <c r="G2414" s="7">
        <v>1.4E-3</v>
      </c>
    </row>
    <row r="2415" spans="2:7" x14ac:dyDescent="0.2">
      <c r="B2415" s="60">
        <v>39300</v>
      </c>
      <c r="C2415" s="7">
        <v>4.3060000000000001E-2</v>
      </c>
      <c r="D2415" s="7">
        <v>4.3060000000000001E-2</v>
      </c>
      <c r="E2415" s="7">
        <v>4.3060000000000001E-2</v>
      </c>
      <c r="F2415" s="7">
        <v>4.3060000000000001E-2</v>
      </c>
      <c r="G2415" s="7">
        <v>-1.2200000000000001E-2</v>
      </c>
    </row>
    <row r="2416" spans="2:7" x14ac:dyDescent="0.2">
      <c r="B2416" s="60">
        <v>39301</v>
      </c>
      <c r="C2416" s="7">
        <v>4.3240000000000001E-2</v>
      </c>
      <c r="D2416" s="7">
        <v>4.3240000000000001E-2</v>
      </c>
      <c r="E2416" s="7">
        <v>4.3240000000000001E-2</v>
      </c>
      <c r="F2416" s="7">
        <v>4.3240000000000001E-2</v>
      </c>
      <c r="G2416" s="7">
        <v>4.1999999999999997E-3</v>
      </c>
    </row>
    <row r="2417" spans="2:7" x14ac:dyDescent="0.2">
      <c r="B2417" s="60">
        <v>39302</v>
      </c>
      <c r="C2417" s="7">
        <v>4.333E-2</v>
      </c>
      <c r="D2417" s="7">
        <v>4.333E-2</v>
      </c>
      <c r="E2417" s="7">
        <v>4.333E-2</v>
      </c>
      <c r="F2417" s="7">
        <v>4.333E-2</v>
      </c>
      <c r="G2417" s="7">
        <v>2.0999999999999999E-3</v>
      </c>
    </row>
    <row r="2418" spans="2:7" x14ac:dyDescent="0.2">
      <c r="B2418" s="60">
        <v>39303</v>
      </c>
      <c r="C2418" s="7">
        <v>4.4349999999999994E-2</v>
      </c>
      <c r="D2418" s="7">
        <v>4.4349999999999994E-2</v>
      </c>
      <c r="E2418" s="7">
        <v>4.4349999999999994E-2</v>
      </c>
      <c r="F2418" s="7">
        <v>4.4349999999999994E-2</v>
      </c>
      <c r="G2418" s="7">
        <v>2.35E-2</v>
      </c>
    </row>
    <row r="2419" spans="2:7" x14ac:dyDescent="0.2">
      <c r="B2419" s="60">
        <v>39304</v>
      </c>
      <c r="C2419" s="7">
        <v>4.3959999999999999E-2</v>
      </c>
      <c r="D2419" s="7">
        <v>4.3959999999999999E-2</v>
      </c>
      <c r="E2419" s="7">
        <v>4.3959999999999999E-2</v>
      </c>
      <c r="F2419" s="7">
        <v>4.3959999999999999E-2</v>
      </c>
      <c r="G2419" s="7">
        <v>-8.8000000000000005E-3</v>
      </c>
    </row>
    <row r="2420" spans="2:7" x14ac:dyDescent="0.2">
      <c r="B2420" s="60">
        <v>39307</v>
      </c>
      <c r="C2420" s="7">
        <v>4.3650000000000001E-2</v>
      </c>
      <c r="D2420" s="7">
        <v>4.3650000000000001E-2</v>
      </c>
      <c r="E2420" s="7">
        <v>4.3650000000000001E-2</v>
      </c>
      <c r="F2420" s="7">
        <v>4.3650000000000001E-2</v>
      </c>
      <c r="G2420" s="7">
        <v>-7.1000000000000004E-3</v>
      </c>
    </row>
    <row r="2421" spans="2:7" x14ac:dyDescent="0.2">
      <c r="B2421" s="60">
        <v>39308</v>
      </c>
      <c r="C2421" s="7">
        <v>4.3520000000000003E-2</v>
      </c>
      <c r="D2421" s="7">
        <v>4.3520000000000003E-2</v>
      </c>
      <c r="E2421" s="7">
        <v>4.3520000000000003E-2</v>
      </c>
      <c r="F2421" s="7">
        <v>4.3520000000000003E-2</v>
      </c>
      <c r="G2421" s="7">
        <v>-3.0000000000000001E-3</v>
      </c>
    </row>
    <row r="2422" spans="2:7" x14ac:dyDescent="0.2">
      <c r="B2422" s="60">
        <v>39309</v>
      </c>
      <c r="C2422" s="7">
        <v>4.3579999999999994E-2</v>
      </c>
      <c r="D2422" s="7">
        <v>4.3579999999999994E-2</v>
      </c>
      <c r="E2422" s="7">
        <v>4.3579999999999994E-2</v>
      </c>
      <c r="F2422" s="7">
        <v>4.3579999999999994E-2</v>
      </c>
      <c r="G2422" s="7">
        <v>1.4E-3</v>
      </c>
    </row>
    <row r="2423" spans="2:7" x14ac:dyDescent="0.2">
      <c r="B2423" s="60">
        <v>39310</v>
      </c>
      <c r="C2423" s="7">
        <v>4.3099999999999999E-2</v>
      </c>
      <c r="D2423" s="7">
        <v>4.3099999999999999E-2</v>
      </c>
      <c r="E2423" s="7">
        <v>4.3099999999999999E-2</v>
      </c>
      <c r="F2423" s="7">
        <v>4.3099999999999999E-2</v>
      </c>
      <c r="G2423" s="7">
        <v>-1.0999999999999999E-2</v>
      </c>
    </row>
    <row r="2424" spans="2:7" x14ac:dyDescent="0.2">
      <c r="B2424" s="60">
        <v>39311</v>
      </c>
      <c r="C2424" s="7">
        <v>4.2380000000000001E-2</v>
      </c>
      <c r="D2424" s="7">
        <v>4.2380000000000001E-2</v>
      </c>
      <c r="E2424" s="7">
        <v>4.2380000000000001E-2</v>
      </c>
      <c r="F2424" s="7">
        <v>4.2380000000000001E-2</v>
      </c>
      <c r="G2424" s="7">
        <v>-1.67E-2</v>
      </c>
    </row>
    <row r="2425" spans="2:7" x14ac:dyDescent="0.2">
      <c r="B2425" s="60">
        <v>39314</v>
      </c>
      <c r="C2425" s="7">
        <v>4.2930000000000003E-2</v>
      </c>
      <c r="D2425" s="7">
        <v>4.2930000000000003E-2</v>
      </c>
      <c r="E2425" s="7">
        <v>4.2930000000000003E-2</v>
      </c>
      <c r="F2425" s="7">
        <v>4.2930000000000003E-2</v>
      </c>
      <c r="G2425" s="7">
        <v>1.2999999999999999E-2</v>
      </c>
    </row>
    <row r="2426" spans="2:7" x14ac:dyDescent="0.2">
      <c r="B2426" s="60">
        <v>39315</v>
      </c>
      <c r="C2426" s="7">
        <v>4.2770000000000002E-2</v>
      </c>
      <c r="D2426" s="7">
        <v>4.2770000000000002E-2</v>
      </c>
      <c r="E2426" s="7">
        <v>4.2770000000000002E-2</v>
      </c>
      <c r="F2426" s="7">
        <v>4.2770000000000002E-2</v>
      </c>
      <c r="G2426" s="7">
        <v>-3.7000000000000002E-3</v>
      </c>
    </row>
    <row r="2427" spans="2:7" x14ac:dyDescent="0.2">
      <c r="B2427" s="60">
        <v>39316</v>
      </c>
      <c r="C2427" s="7">
        <v>4.233E-2</v>
      </c>
      <c r="D2427" s="7">
        <v>4.233E-2</v>
      </c>
      <c r="E2427" s="7">
        <v>4.233E-2</v>
      </c>
      <c r="F2427" s="7">
        <v>4.233E-2</v>
      </c>
      <c r="G2427" s="7">
        <v>-1.03E-2</v>
      </c>
    </row>
    <row r="2428" spans="2:7" x14ac:dyDescent="0.2">
      <c r="B2428" s="60">
        <v>39317</v>
      </c>
      <c r="C2428" s="7">
        <v>4.2809999999999994E-2</v>
      </c>
      <c r="D2428" s="7">
        <v>4.2809999999999994E-2</v>
      </c>
      <c r="E2428" s="7">
        <v>4.2809999999999994E-2</v>
      </c>
      <c r="F2428" s="7">
        <v>4.2809999999999994E-2</v>
      </c>
      <c r="G2428" s="7">
        <v>1.1299999999999999E-2</v>
      </c>
    </row>
    <row r="2429" spans="2:7" x14ac:dyDescent="0.2">
      <c r="B2429" s="60">
        <v>39318</v>
      </c>
      <c r="C2429" s="7">
        <v>4.2689999999999999E-2</v>
      </c>
      <c r="D2429" s="7">
        <v>4.2689999999999999E-2</v>
      </c>
      <c r="E2429" s="7">
        <v>4.2689999999999999E-2</v>
      </c>
      <c r="F2429" s="7">
        <v>4.2689999999999999E-2</v>
      </c>
      <c r="G2429" s="7">
        <v>-2.8E-3</v>
      </c>
    </row>
    <row r="2430" spans="2:7" x14ac:dyDescent="0.2">
      <c r="B2430" s="60">
        <v>39321</v>
      </c>
      <c r="C2430" s="7">
        <v>4.2660000000000003E-2</v>
      </c>
      <c r="D2430" s="7">
        <v>4.2660000000000003E-2</v>
      </c>
      <c r="E2430" s="7">
        <v>4.2660000000000003E-2</v>
      </c>
      <c r="F2430" s="7">
        <v>4.2660000000000003E-2</v>
      </c>
      <c r="G2430" s="7">
        <v>-6.9999999999999999E-4</v>
      </c>
    </row>
    <row r="2431" spans="2:7" x14ac:dyDescent="0.2">
      <c r="B2431" s="60">
        <v>39322</v>
      </c>
      <c r="C2431" s="7">
        <v>4.249E-2</v>
      </c>
      <c r="D2431" s="7">
        <v>4.249E-2</v>
      </c>
      <c r="E2431" s="7">
        <v>4.249E-2</v>
      </c>
      <c r="F2431" s="7">
        <v>4.249E-2</v>
      </c>
      <c r="G2431" s="7">
        <v>-4.0000000000000001E-3</v>
      </c>
    </row>
    <row r="2432" spans="2:7" x14ac:dyDescent="0.2">
      <c r="B2432" s="60">
        <v>39323</v>
      </c>
      <c r="C2432" s="7">
        <v>4.2190000000000005E-2</v>
      </c>
      <c r="D2432" s="7">
        <v>4.2190000000000005E-2</v>
      </c>
      <c r="E2432" s="7">
        <v>4.2190000000000005E-2</v>
      </c>
      <c r="F2432" s="7">
        <v>4.2190000000000005E-2</v>
      </c>
      <c r="G2432" s="7">
        <v>-7.1000000000000004E-3</v>
      </c>
    </row>
    <row r="2433" spans="2:7" x14ac:dyDescent="0.2">
      <c r="B2433" s="60">
        <v>39324</v>
      </c>
      <c r="C2433" s="7">
        <v>4.2450000000000002E-2</v>
      </c>
      <c r="D2433" s="7">
        <v>4.2450000000000002E-2</v>
      </c>
      <c r="E2433" s="7">
        <v>4.2450000000000002E-2</v>
      </c>
      <c r="F2433" s="7">
        <v>4.2450000000000002E-2</v>
      </c>
      <c r="G2433" s="7">
        <v>6.1999999999999998E-3</v>
      </c>
    </row>
    <row r="2434" spans="2:7" x14ac:dyDescent="0.2">
      <c r="B2434" s="60">
        <v>39325</v>
      </c>
      <c r="C2434" s="7">
        <v>4.2160000000000003E-2</v>
      </c>
      <c r="D2434" s="7">
        <v>4.2160000000000003E-2</v>
      </c>
      <c r="E2434" s="7">
        <v>4.2160000000000003E-2</v>
      </c>
      <c r="F2434" s="7">
        <v>4.2160000000000003E-2</v>
      </c>
      <c r="G2434" s="7">
        <v>-6.7999999999999996E-3</v>
      </c>
    </row>
    <row r="2435" spans="2:7" x14ac:dyDescent="0.2">
      <c r="B2435" s="60">
        <v>39328</v>
      </c>
      <c r="C2435" s="7">
        <v>4.249E-2</v>
      </c>
      <c r="D2435" s="7">
        <v>4.249E-2</v>
      </c>
      <c r="E2435" s="7">
        <v>4.249E-2</v>
      </c>
      <c r="F2435" s="7">
        <v>4.249E-2</v>
      </c>
      <c r="G2435" s="7">
        <v>7.7999999999999996E-3</v>
      </c>
    </row>
    <row r="2436" spans="2:7" x14ac:dyDescent="0.2">
      <c r="B2436" s="60">
        <v>39329</v>
      </c>
      <c r="C2436" s="7">
        <v>4.2640000000000004E-2</v>
      </c>
      <c r="D2436" s="7">
        <v>4.2640000000000004E-2</v>
      </c>
      <c r="E2436" s="7">
        <v>4.2640000000000004E-2</v>
      </c>
      <c r="F2436" s="7">
        <v>4.2640000000000004E-2</v>
      </c>
      <c r="G2436" s="7">
        <v>3.5000000000000001E-3</v>
      </c>
    </row>
    <row r="2437" spans="2:7" x14ac:dyDescent="0.2">
      <c r="B2437" s="60">
        <v>39330</v>
      </c>
      <c r="C2437" s="7">
        <v>4.2809999999999994E-2</v>
      </c>
      <c r="D2437" s="7">
        <v>4.2809999999999994E-2</v>
      </c>
      <c r="E2437" s="7">
        <v>4.2809999999999994E-2</v>
      </c>
      <c r="F2437" s="7">
        <v>4.2809999999999994E-2</v>
      </c>
      <c r="G2437" s="7">
        <v>4.0000000000000001E-3</v>
      </c>
    </row>
    <row r="2438" spans="2:7" x14ac:dyDescent="0.2">
      <c r="B2438" s="60">
        <v>39331</v>
      </c>
      <c r="C2438" s="7">
        <v>4.215E-2</v>
      </c>
      <c r="D2438" s="7">
        <v>4.215E-2</v>
      </c>
      <c r="E2438" s="7">
        <v>4.215E-2</v>
      </c>
      <c r="F2438" s="7">
        <v>4.215E-2</v>
      </c>
      <c r="G2438" s="7">
        <v>-1.54E-2</v>
      </c>
    </row>
    <row r="2439" spans="2:7" x14ac:dyDescent="0.2">
      <c r="B2439" s="60">
        <v>39332</v>
      </c>
      <c r="C2439" s="7">
        <v>4.2140000000000004E-2</v>
      </c>
      <c r="D2439" s="7">
        <v>4.2140000000000004E-2</v>
      </c>
      <c r="E2439" s="7">
        <v>4.2140000000000004E-2</v>
      </c>
      <c r="F2439" s="7">
        <v>4.2140000000000004E-2</v>
      </c>
      <c r="G2439" s="7">
        <v>-2.0000000000000001E-4</v>
      </c>
    </row>
    <row r="2440" spans="2:7" x14ac:dyDescent="0.2">
      <c r="B2440" s="60">
        <v>39335</v>
      </c>
      <c r="C2440" s="7">
        <v>4.1180000000000001E-2</v>
      </c>
      <c r="D2440" s="7">
        <v>4.1180000000000001E-2</v>
      </c>
      <c r="E2440" s="7">
        <v>4.1180000000000001E-2</v>
      </c>
      <c r="F2440" s="7">
        <v>4.1180000000000001E-2</v>
      </c>
      <c r="G2440" s="7">
        <v>-2.2800000000000001E-2</v>
      </c>
    </row>
    <row r="2441" spans="2:7" x14ac:dyDescent="0.2">
      <c r="B2441" s="60">
        <v>39336</v>
      </c>
      <c r="C2441" s="7">
        <v>4.0830000000000005E-2</v>
      </c>
      <c r="D2441" s="7">
        <v>4.0830000000000005E-2</v>
      </c>
      <c r="E2441" s="7">
        <v>4.0830000000000005E-2</v>
      </c>
      <c r="F2441" s="7">
        <v>4.0830000000000005E-2</v>
      </c>
      <c r="G2441" s="7">
        <v>-8.5000000000000006E-3</v>
      </c>
    </row>
    <row r="2442" spans="2:7" x14ac:dyDescent="0.2">
      <c r="B2442" s="60">
        <v>39337</v>
      </c>
      <c r="C2442" s="7">
        <v>4.1130000000000007E-2</v>
      </c>
      <c r="D2442" s="7">
        <v>4.1130000000000007E-2</v>
      </c>
      <c r="E2442" s="7">
        <v>4.1130000000000007E-2</v>
      </c>
      <c r="F2442" s="7">
        <v>4.1130000000000007E-2</v>
      </c>
      <c r="G2442" s="7">
        <v>7.3000000000000001E-3</v>
      </c>
    </row>
    <row r="2443" spans="2:7" x14ac:dyDescent="0.2">
      <c r="B2443" s="60">
        <v>39338</v>
      </c>
      <c r="C2443" s="7">
        <v>4.122E-2</v>
      </c>
      <c r="D2443" s="7">
        <v>4.122E-2</v>
      </c>
      <c r="E2443" s="7">
        <v>4.122E-2</v>
      </c>
      <c r="F2443" s="7">
        <v>4.122E-2</v>
      </c>
      <c r="G2443" s="7">
        <v>2.2000000000000001E-3</v>
      </c>
    </row>
    <row r="2444" spans="2:7" x14ac:dyDescent="0.2">
      <c r="B2444" s="60">
        <v>39339</v>
      </c>
      <c r="C2444" s="7">
        <v>4.1669999999999999E-2</v>
      </c>
      <c r="D2444" s="7">
        <v>4.1669999999999999E-2</v>
      </c>
      <c r="E2444" s="7">
        <v>4.1669999999999999E-2</v>
      </c>
      <c r="F2444" s="7">
        <v>4.1669999999999999E-2</v>
      </c>
      <c r="G2444" s="7">
        <v>1.09E-2</v>
      </c>
    </row>
    <row r="2445" spans="2:7" x14ac:dyDescent="0.2">
      <c r="B2445" s="60">
        <v>39342</v>
      </c>
      <c r="C2445" s="7">
        <v>4.1669999999999999E-2</v>
      </c>
      <c r="D2445" s="7">
        <v>4.1669999999999999E-2</v>
      </c>
      <c r="E2445" s="7">
        <v>4.1669999999999999E-2</v>
      </c>
      <c r="F2445" s="7">
        <v>4.1669999999999999E-2</v>
      </c>
      <c r="G2445" s="7">
        <v>0</v>
      </c>
    </row>
    <row r="2446" spans="2:7" x14ac:dyDescent="0.2">
      <c r="B2446" s="60">
        <v>39343</v>
      </c>
      <c r="C2446" s="7">
        <v>4.1520000000000001E-2</v>
      </c>
      <c r="D2446" s="7">
        <v>4.1520000000000001E-2</v>
      </c>
      <c r="E2446" s="7">
        <v>4.1520000000000001E-2</v>
      </c>
      <c r="F2446" s="7">
        <v>4.1520000000000001E-2</v>
      </c>
      <c r="G2446" s="7">
        <v>-3.5999999999999999E-3</v>
      </c>
    </row>
    <row r="2447" spans="2:7" x14ac:dyDescent="0.2">
      <c r="B2447" s="60">
        <v>39344</v>
      </c>
      <c r="C2447" s="7">
        <v>4.1890000000000004E-2</v>
      </c>
      <c r="D2447" s="7">
        <v>4.1890000000000004E-2</v>
      </c>
      <c r="E2447" s="7">
        <v>4.1890000000000004E-2</v>
      </c>
      <c r="F2447" s="7">
        <v>4.1890000000000004E-2</v>
      </c>
      <c r="G2447" s="7">
        <v>8.8999999999999999E-3</v>
      </c>
    </row>
    <row r="2448" spans="2:7" x14ac:dyDescent="0.2">
      <c r="B2448" s="60">
        <v>39345</v>
      </c>
      <c r="C2448" s="7">
        <v>4.2649999999999993E-2</v>
      </c>
      <c r="D2448" s="7">
        <v>4.2649999999999993E-2</v>
      </c>
      <c r="E2448" s="7">
        <v>4.2649999999999993E-2</v>
      </c>
      <c r="F2448" s="7">
        <v>4.2649999999999993E-2</v>
      </c>
      <c r="G2448" s="7">
        <v>1.8100000000000002E-2</v>
      </c>
    </row>
    <row r="2449" spans="2:7" x14ac:dyDescent="0.2">
      <c r="B2449" s="60">
        <v>39346</v>
      </c>
      <c r="C2449" s="7">
        <v>4.3479999999999998E-2</v>
      </c>
      <c r="D2449" s="7">
        <v>4.3479999999999998E-2</v>
      </c>
      <c r="E2449" s="7">
        <v>4.3479999999999998E-2</v>
      </c>
      <c r="F2449" s="7">
        <v>4.3479999999999998E-2</v>
      </c>
      <c r="G2449" s="7">
        <v>1.95E-2</v>
      </c>
    </row>
    <row r="2450" spans="2:7" x14ac:dyDescent="0.2">
      <c r="B2450" s="60">
        <v>39349</v>
      </c>
      <c r="C2450" s="7">
        <v>4.3570000000000005E-2</v>
      </c>
      <c r="D2450" s="7">
        <v>4.3570000000000005E-2</v>
      </c>
      <c r="E2450" s="7">
        <v>4.3570000000000005E-2</v>
      </c>
      <c r="F2450" s="7">
        <v>4.3570000000000005E-2</v>
      </c>
      <c r="G2450" s="7">
        <v>2.0999999999999999E-3</v>
      </c>
    </row>
    <row r="2451" spans="2:7" x14ac:dyDescent="0.2">
      <c r="B2451" s="60">
        <v>39350</v>
      </c>
      <c r="C2451" s="7">
        <v>4.3589999999999997E-2</v>
      </c>
      <c r="D2451" s="7">
        <v>4.3589999999999997E-2</v>
      </c>
      <c r="E2451" s="7">
        <v>4.3589999999999997E-2</v>
      </c>
      <c r="F2451" s="7">
        <v>4.3589999999999997E-2</v>
      </c>
      <c r="G2451" s="7">
        <v>5.0000000000000001E-4</v>
      </c>
    </row>
    <row r="2452" spans="2:7" x14ac:dyDescent="0.2">
      <c r="B2452" s="60">
        <v>39351</v>
      </c>
      <c r="C2452" s="7">
        <v>4.3419999999999993E-2</v>
      </c>
      <c r="D2452" s="7">
        <v>4.3419999999999993E-2</v>
      </c>
      <c r="E2452" s="7">
        <v>4.3419999999999993E-2</v>
      </c>
      <c r="F2452" s="7">
        <v>4.3419999999999993E-2</v>
      </c>
      <c r="G2452" s="7">
        <v>-3.8999999999999998E-3</v>
      </c>
    </row>
    <row r="2453" spans="2:7" x14ac:dyDescent="0.2">
      <c r="B2453" s="60">
        <v>39352</v>
      </c>
      <c r="C2453" s="7">
        <v>4.3749999999999997E-2</v>
      </c>
      <c r="D2453" s="7">
        <v>4.3749999999999997E-2</v>
      </c>
      <c r="E2453" s="7">
        <v>4.3749999999999997E-2</v>
      </c>
      <c r="F2453" s="7">
        <v>4.3749999999999997E-2</v>
      </c>
      <c r="G2453" s="7">
        <v>7.6E-3</v>
      </c>
    </row>
    <row r="2454" spans="2:7" x14ac:dyDescent="0.2">
      <c r="B2454" s="60">
        <v>39353</v>
      </c>
      <c r="C2454" s="7">
        <v>4.36E-2</v>
      </c>
      <c r="D2454" s="7">
        <v>4.36E-2</v>
      </c>
      <c r="E2454" s="7">
        <v>4.36E-2</v>
      </c>
      <c r="F2454" s="7">
        <v>4.36E-2</v>
      </c>
      <c r="G2454" s="7">
        <v>-3.3999999999999998E-3</v>
      </c>
    </row>
    <row r="2455" spans="2:7" x14ac:dyDescent="0.2">
      <c r="B2455" s="60">
        <v>39356</v>
      </c>
      <c r="C2455" s="7">
        <v>4.3440000000000006E-2</v>
      </c>
      <c r="D2455" s="7">
        <v>4.3440000000000006E-2</v>
      </c>
      <c r="E2455" s="7">
        <v>4.3440000000000006E-2</v>
      </c>
      <c r="F2455" s="7">
        <v>4.3440000000000006E-2</v>
      </c>
      <c r="G2455" s="7">
        <v>-3.7000000000000002E-3</v>
      </c>
    </row>
    <row r="2456" spans="2:7" x14ac:dyDescent="0.2">
      <c r="B2456" s="60">
        <v>39357</v>
      </c>
      <c r="C2456" s="7">
        <v>4.3289999999999995E-2</v>
      </c>
      <c r="D2456" s="7">
        <v>4.3289999999999995E-2</v>
      </c>
      <c r="E2456" s="7">
        <v>4.3289999999999995E-2</v>
      </c>
      <c r="F2456" s="7">
        <v>4.3289999999999995E-2</v>
      </c>
      <c r="G2456" s="7">
        <v>-3.5000000000000001E-3</v>
      </c>
    </row>
    <row r="2457" spans="2:7" x14ac:dyDescent="0.2">
      <c r="B2457" s="60">
        <v>39358</v>
      </c>
      <c r="C2457" s="7">
        <v>4.3150000000000001E-2</v>
      </c>
      <c r="D2457" s="7">
        <v>4.3150000000000001E-2</v>
      </c>
      <c r="E2457" s="7">
        <v>4.3150000000000001E-2</v>
      </c>
      <c r="F2457" s="7">
        <v>4.3150000000000001E-2</v>
      </c>
      <c r="G2457" s="7">
        <v>-3.2000000000000002E-3</v>
      </c>
    </row>
    <row r="2458" spans="2:7" x14ac:dyDescent="0.2">
      <c r="B2458" s="60">
        <v>39359</v>
      </c>
      <c r="C2458" s="7">
        <v>4.333E-2</v>
      </c>
      <c r="D2458" s="7">
        <v>4.333E-2</v>
      </c>
      <c r="E2458" s="7">
        <v>4.333E-2</v>
      </c>
      <c r="F2458" s="7">
        <v>4.333E-2</v>
      </c>
      <c r="G2458" s="7">
        <v>4.1999999999999997E-3</v>
      </c>
    </row>
    <row r="2459" spans="2:7" x14ac:dyDescent="0.2">
      <c r="B2459" s="60">
        <v>39360</v>
      </c>
      <c r="C2459" s="7">
        <v>4.2859999999999995E-2</v>
      </c>
      <c r="D2459" s="7">
        <v>4.2859999999999995E-2</v>
      </c>
      <c r="E2459" s="7">
        <v>4.2859999999999995E-2</v>
      </c>
      <c r="F2459" s="7">
        <v>4.2859999999999995E-2</v>
      </c>
      <c r="G2459" s="7">
        <v>-1.0800000000000001E-2</v>
      </c>
    </row>
    <row r="2460" spans="2:7" x14ac:dyDescent="0.2">
      <c r="B2460" s="60">
        <v>39363</v>
      </c>
      <c r="C2460" s="7">
        <v>4.3520000000000003E-2</v>
      </c>
      <c r="D2460" s="7">
        <v>4.3520000000000003E-2</v>
      </c>
      <c r="E2460" s="7">
        <v>4.3520000000000003E-2</v>
      </c>
      <c r="F2460" s="7">
        <v>4.3520000000000003E-2</v>
      </c>
      <c r="G2460" s="7">
        <v>1.54E-2</v>
      </c>
    </row>
    <row r="2461" spans="2:7" x14ac:dyDescent="0.2">
      <c r="B2461" s="60">
        <v>39364</v>
      </c>
      <c r="C2461" s="7">
        <v>4.3419999999999993E-2</v>
      </c>
      <c r="D2461" s="7">
        <v>4.3419999999999993E-2</v>
      </c>
      <c r="E2461" s="7">
        <v>4.3419999999999993E-2</v>
      </c>
      <c r="F2461" s="7">
        <v>4.3419999999999993E-2</v>
      </c>
      <c r="G2461" s="7">
        <v>-2.3E-3</v>
      </c>
    </row>
    <row r="2462" spans="2:7" x14ac:dyDescent="0.2">
      <c r="B2462" s="60">
        <v>39365</v>
      </c>
      <c r="C2462" s="7">
        <v>4.3380000000000002E-2</v>
      </c>
      <c r="D2462" s="7">
        <v>4.3380000000000002E-2</v>
      </c>
      <c r="E2462" s="7">
        <v>4.3380000000000002E-2</v>
      </c>
      <c r="F2462" s="7">
        <v>4.3380000000000002E-2</v>
      </c>
      <c r="G2462" s="7">
        <v>-8.9999999999999998E-4</v>
      </c>
    </row>
    <row r="2463" spans="2:7" x14ac:dyDescent="0.2">
      <c r="B2463" s="60">
        <v>39366</v>
      </c>
      <c r="C2463" s="7">
        <v>4.3390000000000005E-2</v>
      </c>
      <c r="D2463" s="7">
        <v>4.3390000000000005E-2</v>
      </c>
      <c r="E2463" s="7">
        <v>4.3390000000000005E-2</v>
      </c>
      <c r="F2463" s="7">
        <v>4.3390000000000005E-2</v>
      </c>
      <c r="G2463" s="7">
        <v>2.0000000000000001E-4</v>
      </c>
    </row>
    <row r="2464" spans="2:7" x14ac:dyDescent="0.2">
      <c r="B2464" s="60">
        <v>39367</v>
      </c>
      <c r="C2464" s="7">
        <v>4.369E-2</v>
      </c>
      <c r="D2464" s="7">
        <v>4.369E-2</v>
      </c>
      <c r="E2464" s="7">
        <v>4.369E-2</v>
      </c>
      <c r="F2464" s="7">
        <v>4.369E-2</v>
      </c>
      <c r="G2464" s="7">
        <v>6.8999999999999999E-3</v>
      </c>
    </row>
    <row r="2465" spans="2:7" x14ac:dyDescent="0.2">
      <c r="B2465" s="60">
        <v>39370</v>
      </c>
      <c r="C2465" s="7">
        <v>4.4320000000000005E-2</v>
      </c>
      <c r="D2465" s="7">
        <v>4.4320000000000005E-2</v>
      </c>
      <c r="E2465" s="7">
        <v>4.4320000000000005E-2</v>
      </c>
      <c r="F2465" s="7">
        <v>4.4320000000000005E-2</v>
      </c>
      <c r="G2465" s="7">
        <v>1.44E-2</v>
      </c>
    </row>
    <row r="2466" spans="2:7" x14ac:dyDescent="0.2">
      <c r="B2466" s="60">
        <v>39371</v>
      </c>
      <c r="C2466" s="7">
        <v>4.4299999999999999E-2</v>
      </c>
      <c r="D2466" s="7">
        <v>4.4299999999999999E-2</v>
      </c>
      <c r="E2466" s="7">
        <v>4.4299999999999999E-2</v>
      </c>
      <c r="F2466" s="7">
        <v>4.4299999999999999E-2</v>
      </c>
      <c r="G2466" s="7">
        <v>-5.0000000000000001E-4</v>
      </c>
    </row>
    <row r="2467" spans="2:7" x14ac:dyDescent="0.2">
      <c r="B2467" s="60">
        <v>39372</v>
      </c>
      <c r="C2467" s="7">
        <v>4.437E-2</v>
      </c>
      <c r="D2467" s="7">
        <v>4.437E-2</v>
      </c>
      <c r="E2467" s="7">
        <v>4.437E-2</v>
      </c>
      <c r="F2467" s="7">
        <v>4.437E-2</v>
      </c>
      <c r="G2467" s="7">
        <v>1.6000000000000001E-3</v>
      </c>
    </row>
    <row r="2468" spans="2:7" x14ac:dyDescent="0.2">
      <c r="B2468" s="60">
        <v>39373</v>
      </c>
      <c r="C2468" s="7">
        <v>4.3799999999999999E-2</v>
      </c>
      <c r="D2468" s="7">
        <v>4.3799999999999999E-2</v>
      </c>
      <c r="E2468" s="7">
        <v>4.3799999999999999E-2</v>
      </c>
      <c r="F2468" s="7">
        <v>4.3799999999999999E-2</v>
      </c>
      <c r="G2468" s="7">
        <v>-1.2800000000000001E-2</v>
      </c>
    </row>
    <row r="2469" spans="2:7" x14ac:dyDescent="0.2">
      <c r="B2469" s="60">
        <v>39374</v>
      </c>
      <c r="C2469" s="7">
        <v>4.3240000000000001E-2</v>
      </c>
      <c r="D2469" s="7">
        <v>4.3240000000000001E-2</v>
      </c>
      <c r="E2469" s="7">
        <v>4.3240000000000001E-2</v>
      </c>
      <c r="F2469" s="7">
        <v>4.3240000000000001E-2</v>
      </c>
      <c r="G2469" s="7">
        <v>-1.2800000000000001E-2</v>
      </c>
    </row>
    <row r="2470" spans="2:7" x14ac:dyDescent="0.2">
      <c r="B2470" s="60">
        <v>39377</v>
      </c>
      <c r="C2470" s="7">
        <v>4.2020000000000002E-2</v>
      </c>
      <c r="D2470" s="7">
        <v>4.2020000000000002E-2</v>
      </c>
      <c r="E2470" s="7">
        <v>4.2020000000000002E-2</v>
      </c>
      <c r="F2470" s="7">
        <v>4.2020000000000002E-2</v>
      </c>
      <c r="G2470" s="7">
        <v>-2.8199999999999999E-2</v>
      </c>
    </row>
    <row r="2471" spans="2:7" x14ac:dyDescent="0.2">
      <c r="B2471" s="60">
        <v>39378</v>
      </c>
      <c r="C2471" s="7">
        <v>4.1820000000000003E-2</v>
      </c>
      <c r="D2471" s="7">
        <v>4.1820000000000003E-2</v>
      </c>
      <c r="E2471" s="7">
        <v>4.1820000000000003E-2</v>
      </c>
      <c r="F2471" s="7">
        <v>4.1820000000000003E-2</v>
      </c>
      <c r="G2471" s="7">
        <v>-4.7999999999999996E-3</v>
      </c>
    </row>
    <row r="2472" spans="2:7" x14ac:dyDescent="0.2">
      <c r="B2472" s="60">
        <v>39379</v>
      </c>
      <c r="C2472" s="7">
        <v>4.1880000000000001E-2</v>
      </c>
      <c r="D2472" s="7">
        <v>4.1880000000000001E-2</v>
      </c>
      <c r="E2472" s="7">
        <v>4.1880000000000001E-2</v>
      </c>
      <c r="F2472" s="7">
        <v>4.1880000000000001E-2</v>
      </c>
      <c r="G2472" s="7">
        <v>1.4E-3</v>
      </c>
    </row>
    <row r="2473" spans="2:7" x14ac:dyDescent="0.2">
      <c r="B2473" s="60">
        <v>39380</v>
      </c>
      <c r="C2473" s="7">
        <v>4.1529999999999997E-2</v>
      </c>
      <c r="D2473" s="7">
        <v>4.1529999999999997E-2</v>
      </c>
      <c r="E2473" s="7">
        <v>4.1529999999999997E-2</v>
      </c>
      <c r="F2473" s="7">
        <v>4.1529999999999997E-2</v>
      </c>
      <c r="G2473" s="7">
        <v>-8.3999999999999995E-3</v>
      </c>
    </row>
    <row r="2474" spans="2:7" x14ac:dyDescent="0.2">
      <c r="B2474" s="60">
        <v>39381</v>
      </c>
      <c r="C2474" s="7">
        <v>4.1609999999999994E-2</v>
      </c>
      <c r="D2474" s="7">
        <v>4.1609999999999994E-2</v>
      </c>
      <c r="E2474" s="7">
        <v>4.1609999999999994E-2</v>
      </c>
      <c r="F2474" s="7">
        <v>4.1609999999999994E-2</v>
      </c>
      <c r="G2474" s="7">
        <v>1.9E-3</v>
      </c>
    </row>
    <row r="2475" spans="2:7" x14ac:dyDescent="0.2">
      <c r="B2475" s="60">
        <v>39384</v>
      </c>
      <c r="C2475" s="7">
        <v>4.1730000000000003E-2</v>
      </c>
      <c r="D2475" s="7">
        <v>4.1730000000000003E-2</v>
      </c>
      <c r="E2475" s="7">
        <v>4.1730000000000003E-2</v>
      </c>
      <c r="F2475" s="7">
        <v>4.1730000000000003E-2</v>
      </c>
      <c r="G2475" s="7">
        <v>2.8999999999999998E-3</v>
      </c>
    </row>
    <row r="2476" spans="2:7" x14ac:dyDescent="0.2">
      <c r="B2476" s="60">
        <v>39385</v>
      </c>
      <c r="C2476" s="7">
        <v>4.1730000000000003E-2</v>
      </c>
      <c r="D2476" s="7">
        <v>4.1730000000000003E-2</v>
      </c>
      <c r="E2476" s="7">
        <v>4.1730000000000003E-2</v>
      </c>
      <c r="F2476" s="7">
        <v>4.1730000000000003E-2</v>
      </c>
      <c r="G2476" s="7">
        <v>0</v>
      </c>
    </row>
    <row r="2477" spans="2:7" x14ac:dyDescent="0.2">
      <c r="B2477" s="60">
        <v>39386</v>
      </c>
      <c r="C2477" s="7">
        <v>4.1769999999999995E-2</v>
      </c>
      <c r="D2477" s="7">
        <v>4.1769999999999995E-2</v>
      </c>
      <c r="E2477" s="7">
        <v>4.1769999999999995E-2</v>
      </c>
      <c r="F2477" s="7">
        <v>4.1769999999999995E-2</v>
      </c>
      <c r="G2477" s="7">
        <v>1E-3</v>
      </c>
    </row>
    <row r="2478" spans="2:7" x14ac:dyDescent="0.2">
      <c r="B2478" s="60">
        <v>39387</v>
      </c>
      <c r="C2478" s="7">
        <v>4.2930000000000003E-2</v>
      </c>
      <c r="D2478" s="7">
        <v>4.2930000000000003E-2</v>
      </c>
      <c r="E2478" s="7">
        <v>4.2930000000000003E-2</v>
      </c>
      <c r="F2478" s="7">
        <v>4.2930000000000003E-2</v>
      </c>
      <c r="G2478" s="7">
        <v>2.7799999999999998E-2</v>
      </c>
    </row>
    <row r="2479" spans="2:7" x14ac:dyDescent="0.2">
      <c r="B2479" s="60">
        <v>39388</v>
      </c>
      <c r="C2479" s="7">
        <v>4.1860000000000001E-2</v>
      </c>
      <c r="D2479" s="7">
        <v>4.1860000000000001E-2</v>
      </c>
      <c r="E2479" s="7">
        <v>4.1860000000000001E-2</v>
      </c>
      <c r="F2479" s="7">
        <v>4.1860000000000001E-2</v>
      </c>
      <c r="G2479" s="7">
        <v>-2.4899999999999999E-2</v>
      </c>
    </row>
    <row r="2480" spans="2:7" x14ac:dyDescent="0.2">
      <c r="B2480" s="60">
        <v>39391</v>
      </c>
      <c r="C2480" s="7">
        <v>4.1790000000000001E-2</v>
      </c>
      <c r="D2480" s="7">
        <v>4.1790000000000001E-2</v>
      </c>
      <c r="E2480" s="7">
        <v>4.1790000000000001E-2</v>
      </c>
      <c r="F2480" s="7">
        <v>4.1790000000000001E-2</v>
      </c>
      <c r="G2480" s="7">
        <v>-1.6999999999999999E-3</v>
      </c>
    </row>
    <row r="2481" spans="2:7" x14ac:dyDescent="0.2">
      <c r="B2481" s="60">
        <v>39392</v>
      </c>
      <c r="C2481" s="7">
        <v>4.1880000000000001E-2</v>
      </c>
      <c r="D2481" s="7">
        <v>4.1880000000000001E-2</v>
      </c>
      <c r="E2481" s="7">
        <v>4.1880000000000001E-2</v>
      </c>
      <c r="F2481" s="7">
        <v>4.1880000000000001E-2</v>
      </c>
      <c r="G2481" s="7">
        <v>2.2000000000000001E-3</v>
      </c>
    </row>
    <row r="2482" spans="2:7" x14ac:dyDescent="0.2">
      <c r="B2482" s="60">
        <v>39393</v>
      </c>
      <c r="C2482" s="7">
        <v>4.2039999999999994E-2</v>
      </c>
      <c r="D2482" s="7">
        <v>4.2039999999999994E-2</v>
      </c>
      <c r="E2482" s="7">
        <v>4.2039999999999994E-2</v>
      </c>
      <c r="F2482" s="7">
        <v>4.2039999999999994E-2</v>
      </c>
      <c r="G2482" s="7">
        <v>3.8E-3</v>
      </c>
    </row>
    <row r="2483" spans="2:7" x14ac:dyDescent="0.2">
      <c r="B2483" s="60">
        <v>39394</v>
      </c>
      <c r="C2483" s="7">
        <v>4.1299999999999996E-2</v>
      </c>
      <c r="D2483" s="7">
        <v>4.1299999999999996E-2</v>
      </c>
      <c r="E2483" s="7">
        <v>4.1299999999999996E-2</v>
      </c>
      <c r="F2483" s="7">
        <v>4.1299999999999996E-2</v>
      </c>
      <c r="G2483" s="7">
        <v>-1.7600000000000001E-2</v>
      </c>
    </row>
    <row r="2484" spans="2:7" x14ac:dyDescent="0.2">
      <c r="B2484" s="60">
        <v>39395</v>
      </c>
      <c r="C2484" s="7">
        <v>4.1309999999999999E-2</v>
      </c>
      <c r="D2484" s="7">
        <v>4.1309999999999999E-2</v>
      </c>
      <c r="E2484" s="7">
        <v>4.1309999999999999E-2</v>
      </c>
      <c r="F2484" s="7">
        <v>4.1309999999999999E-2</v>
      </c>
      <c r="G2484" s="7">
        <v>2.0000000000000001E-4</v>
      </c>
    </row>
    <row r="2485" spans="2:7" x14ac:dyDescent="0.2">
      <c r="B2485" s="60">
        <v>39398</v>
      </c>
      <c r="C2485" s="7">
        <v>4.0919999999999998E-2</v>
      </c>
      <c r="D2485" s="7">
        <v>4.0919999999999998E-2</v>
      </c>
      <c r="E2485" s="7">
        <v>4.0919999999999998E-2</v>
      </c>
      <c r="F2485" s="7">
        <v>4.0919999999999998E-2</v>
      </c>
      <c r="G2485" s="7">
        <v>-9.4000000000000004E-3</v>
      </c>
    </row>
    <row r="2486" spans="2:7" x14ac:dyDescent="0.2">
      <c r="B2486" s="60">
        <v>39399</v>
      </c>
      <c r="C2486" s="7">
        <v>4.1020000000000001E-2</v>
      </c>
      <c r="D2486" s="7">
        <v>4.1020000000000001E-2</v>
      </c>
      <c r="E2486" s="7">
        <v>4.1020000000000001E-2</v>
      </c>
      <c r="F2486" s="7">
        <v>4.1020000000000001E-2</v>
      </c>
      <c r="G2486" s="7">
        <v>2.3999999999999998E-3</v>
      </c>
    </row>
    <row r="2487" spans="2:7" x14ac:dyDescent="0.2">
      <c r="B2487" s="60">
        <v>39400</v>
      </c>
      <c r="C2487" s="7">
        <v>4.1449999999999994E-2</v>
      </c>
      <c r="D2487" s="7">
        <v>4.1449999999999994E-2</v>
      </c>
      <c r="E2487" s="7">
        <v>4.1449999999999994E-2</v>
      </c>
      <c r="F2487" s="7">
        <v>4.1449999999999994E-2</v>
      </c>
      <c r="G2487" s="7">
        <v>1.0500000000000001E-2</v>
      </c>
    </row>
    <row r="2488" spans="2:7" x14ac:dyDescent="0.2">
      <c r="B2488" s="60">
        <v>39401</v>
      </c>
      <c r="C2488" s="7">
        <v>4.1329999999999999E-2</v>
      </c>
      <c r="D2488" s="7">
        <v>4.1329999999999999E-2</v>
      </c>
      <c r="E2488" s="7">
        <v>4.1329999999999999E-2</v>
      </c>
      <c r="F2488" s="7">
        <v>4.1329999999999999E-2</v>
      </c>
      <c r="G2488" s="7">
        <v>-2.8999999999999998E-3</v>
      </c>
    </row>
    <row r="2489" spans="2:7" x14ac:dyDescent="0.2">
      <c r="B2489" s="60">
        <v>39402</v>
      </c>
      <c r="C2489" s="7">
        <v>4.138E-2</v>
      </c>
      <c r="D2489" s="7">
        <v>4.138E-2</v>
      </c>
      <c r="E2489" s="7">
        <v>4.138E-2</v>
      </c>
      <c r="F2489" s="7">
        <v>4.138E-2</v>
      </c>
      <c r="G2489" s="7">
        <v>1.1999999999999999E-3</v>
      </c>
    </row>
    <row r="2490" spans="2:7" x14ac:dyDescent="0.2">
      <c r="B2490" s="60">
        <v>39405</v>
      </c>
      <c r="C2490" s="7">
        <v>4.1260000000000005E-2</v>
      </c>
      <c r="D2490" s="7">
        <v>4.1260000000000005E-2</v>
      </c>
      <c r="E2490" s="7">
        <v>4.1260000000000005E-2</v>
      </c>
      <c r="F2490" s="7">
        <v>4.1260000000000005E-2</v>
      </c>
      <c r="G2490" s="7">
        <v>-2.8999999999999998E-3</v>
      </c>
    </row>
    <row r="2491" spans="2:7" x14ac:dyDescent="0.2">
      <c r="B2491" s="60">
        <v>39406</v>
      </c>
      <c r="C2491" s="7">
        <v>4.0519999999999994E-2</v>
      </c>
      <c r="D2491" s="7">
        <v>4.0519999999999994E-2</v>
      </c>
      <c r="E2491" s="7">
        <v>4.0519999999999994E-2</v>
      </c>
      <c r="F2491" s="7">
        <v>4.0519999999999994E-2</v>
      </c>
      <c r="G2491" s="7">
        <v>-1.7899999999999999E-2</v>
      </c>
    </row>
    <row r="2492" spans="2:7" x14ac:dyDescent="0.2">
      <c r="B2492" s="60">
        <v>39407</v>
      </c>
      <c r="C2492" s="7">
        <v>4.0719999999999999E-2</v>
      </c>
      <c r="D2492" s="7">
        <v>4.0719999999999999E-2</v>
      </c>
      <c r="E2492" s="7">
        <v>4.0719999999999999E-2</v>
      </c>
      <c r="F2492" s="7">
        <v>4.0719999999999999E-2</v>
      </c>
      <c r="G2492" s="7">
        <v>4.8999999999999998E-3</v>
      </c>
    </row>
    <row r="2493" spans="2:7" x14ac:dyDescent="0.2">
      <c r="B2493" s="60">
        <v>39408</v>
      </c>
      <c r="C2493" s="7">
        <v>4.0309999999999999E-2</v>
      </c>
      <c r="D2493" s="7">
        <v>4.0309999999999999E-2</v>
      </c>
      <c r="E2493" s="7">
        <v>4.0309999999999999E-2</v>
      </c>
      <c r="F2493" s="7">
        <v>4.0309999999999999E-2</v>
      </c>
      <c r="G2493" s="7">
        <v>-1.01E-2</v>
      </c>
    </row>
    <row r="2494" spans="2:7" x14ac:dyDescent="0.2">
      <c r="B2494" s="60">
        <v>39409</v>
      </c>
      <c r="C2494" s="7">
        <v>4.0250000000000001E-2</v>
      </c>
      <c r="D2494" s="7">
        <v>4.0250000000000001E-2</v>
      </c>
      <c r="E2494" s="7">
        <v>4.0250000000000001E-2</v>
      </c>
      <c r="F2494" s="7">
        <v>4.0250000000000001E-2</v>
      </c>
      <c r="G2494" s="7">
        <v>-1.5E-3</v>
      </c>
    </row>
    <row r="2495" spans="2:7" x14ac:dyDescent="0.2">
      <c r="B2495" s="60">
        <v>39412</v>
      </c>
      <c r="C2495" s="7">
        <v>4.0369999999999996E-2</v>
      </c>
      <c r="D2495" s="7">
        <v>4.0369999999999996E-2</v>
      </c>
      <c r="E2495" s="7">
        <v>4.0369999999999996E-2</v>
      </c>
      <c r="F2495" s="7">
        <v>4.0369999999999996E-2</v>
      </c>
      <c r="G2495" s="7">
        <v>3.0000000000000001E-3</v>
      </c>
    </row>
    <row r="2496" spans="2:7" x14ac:dyDescent="0.2">
      <c r="B2496" s="60">
        <v>39413</v>
      </c>
      <c r="C2496" s="7">
        <v>4.0430000000000001E-2</v>
      </c>
      <c r="D2496" s="7">
        <v>4.0430000000000001E-2</v>
      </c>
      <c r="E2496" s="7">
        <v>4.0430000000000001E-2</v>
      </c>
      <c r="F2496" s="7">
        <v>4.0430000000000001E-2</v>
      </c>
      <c r="G2496" s="7">
        <v>1.5E-3</v>
      </c>
    </row>
    <row r="2497" spans="2:7" x14ac:dyDescent="0.2">
      <c r="B2497" s="60">
        <v>39414</v>
      </c>
      <c r="C2497" s="7">
        <v>4.0599999999999997E-2</v>
      </c>
      <c r="D2497" s="7">
        <v>4.0599999999999997E-2</v>
      </c>
      <c r="E2497" s="7">
        <v>4.0599999999999997E-2</v>
      </c>
      <c r="F2497" s="7">
        <v>4.0599999999999997E-2</v>
      </c>
      <c r="G2497" s="7">
        <v>4.1999999999999997E-3</v>
      </c>
    </row>
    <row r="2498" spans="2:7" x14ac:dyDescent="0.2">
      <c r="B2498" s="60">
        <v>39415</v>
      </c>
      <c r="C2498" s="7">
        <v>4.1340000000000002E-2</v>
      </c>
      <c r="D2498" s="7">
        <v>4.1340000000000002E-2</v>
      </c>
      <c r="E2498" s="7">
        <v>4.1340000000000002E-2</v>
      </c>
      <c r="F2498" s="7">
        <v>4.1340000000000002E-2</v>
      </c>
      <c r="G2498" s="7">
        <v>1.8200000000000001E-2</v>
      </c>
    </row>
    <row r="2499" spans="2:7" x14ac:dyDescent="0.2">
      <c r="B2499" s="60">
        <v>39416</v>
      </c>
      <c r="C2499" s="7">
        <v>4.0899999999999999E-2</v>
      </c>
      <c r="D2499" s="7">
        <v>4.0899999999999999E-2</v>
      </c>
      <c r="E2499" s="7">
        <v>4.0899999999999999E-2</v>
      </c>
      <c r="F2499" s="7">
        <v>4.0899999999999999E-2</v>
      </c>
      <c r="G2499" s="7">
        <v>-1.06E-2</v>
      </c>
    </row>
    <row r="2500" spans="2:7" x14ac:dyDescent="0.2">
      <c r="B2500" s="60">
        <v>39419</v>
      </c>
      <c r="C2500" s="7">
        <v>4.1589999999999995E-2</v>
      </c>
      <c r="D2500" s="7">
        <v>4.1589999999999995E-2</v>
      </c>
      <c r="E2500" s="7">
        <v>4.1589999999999995E-2</v>
      </c>
      <c r="F2500" s="7">
        <v>4.1589999999999995E-2</v>
      </c>
      <c r="G2500" s="7">
        <v>1.6899999999999998E-2</v>
      </c>
    </row>
    <row r="2501" spans="2:7" x14ac:dyDescent="0.2">
      <c r="B2501" s="60">
        <v>39420</v>
      </c>
      <c r="C2501" s="7">
        <v>4.0819999999999995E-2</v>
      </c>
      <c r="D2501" s="7">
        <v>4.0819999999999995E-2</v>
      </c>
      <c r="E2501" s="7">
        <v>4.0819999999999995E-2</v>
      </c>
      <c r="F2501" s="7">
        <v>4.0819999999999995E-2</v>
      </c>
      <c r="G2501" s="7">
        <v>-1.8499999999999999E-2</v>
      </c>
    </row>
    <row r="2502" spans="2:7" x14ac:dyDescent="0.2">
      <c r="B2502" s="60">
        <v>39421</v>
      </c>
      <c r="C2502" s="7">
        <v>4.0419999999999998E-2</v>
      </c>
      <c r="D2502" s="7">
        <v>4.0419999999999998E-2</v>
      </c>
      <c r="E2502" s="7">
        <v>4.0419999999999998E-2</v>
      </c>
      <c r="F2502" s="7">
        <v>4.0419999999999998E-2</v>
      </c>
      <c r="G2502" s="7">
        <v>-9.7999999999999997E-3</v>
      </c>
    </row>
    <row r="2503" spans="2:7" x14ac:dyDescent="0.2">
      <c r="B2503" s="60">
        <v>39422</v>
      </c>
      <c r="C2503" s="7">
        <v>4.0320000000000002E-2</v>
      </c>
      <c r="D2503" s="7">
        <v>4.0320000000000002E-2</v>
      </c>
      <c r="E2503" s="7">
        <v>4.0320000000000002E-2</v>
      </c>
      <c r="F2503" s="7">
        <v>4.0320000000000002E-2</v>
      </c>
      <c r="G2503" s="7">
        <v>-2.5000000000000001E-3</v>
      </c>
    </row>
    <row r="2504" spans="2:7" x14ac:dyDescent="0.2">
      <c r="B2504" s="60">
        <v>39423</v>
      </c>
      <c r="C2504" s="7">
        <v>4.1050000000000003E-2</v>
      </c>
      <c r="D2504" s="7">
        <v>4.1050000000000003E-2</v>
      </c>
      <c r="E2504" s="7">
        <v>4.1050000000000003E-2</v>
      </c>
      <c r="F2504" s="7">
        <v>4.1050000000000003E-2</v>
      </c>
      <c r="G2504" s="7">
        <v>1.8100000000000002E-2</v>
      </c>
    </row>
    <row r="2505" spans="2:7" x14ac:dyDescent="0.2">
      <c r="B2505" s="60">
        <v>39426</v>
      </c>
      <c r="C2505" s="7">
        <v>4.2190000000000005E-2</v>
      </c>
      <c r="D2505" s="7">
        <v>4.2190000000000005E-2</v>
      </c>
      <c r="E2505" s="7">
        <v>4.2190000000000005E-2</v>
      </c>
      <c r="F2505" s="7">
        <v>4.2190000000000005E-2</v>
      </c>
      <c r="G2505" s="7">
        <v>2.7799999999999998E-2</v>
      </c>
    </row>
    <row r="2506" spans="2:7" x14ac:dyDescent="0.2">
      <c r="B2506" s="60">
        <v>39427</v>
      </c>
      <c r="C2506" s="7">
        <v>4.2830000000000007E-2</v>
      </c>
      <c r="D2506" s="7">
        <v>4.2830000000000007E-2</v>
      </c>
      <c r="E2506" s="7">
        <v>4.2830000000000007E-2</v>
      </c>
      <c r="F2506" s="7">
        <v>4.2830000000000007E-2</v>
      </c>
      <c r="G2506" s="7">
        <v>1.52E-2</v>
      </c>
    </row>
    <row r="2507" spans="2:7" x14ac:dyDescent="0.2">
      <c r="B2507" s="60">
        <v>39428</v>
      </c>
      <c r="C2507" s="7">
        <v>4.2699999999999995E-2</v>
      </c>
      <c r="D2507" s="7">
        <v>4.2699999999999995E-2</v>
      </c>
      <c r="E2507" s="7">
        <v>4.2699999999999995E-2</v>
      </c>
      <c r="F2507" s="7">
        <v>4.2699999999999995E-2</v>
      </c>
      <c r="G2507" s="7">
        <v>-3.0000000000000001E-3</v>
      </c>
    </row>
    <row r="2508" spans="2:7" x14ac:dyDescent="0.2">
      <c r="B2508" s="60">
        <v>39429</v>
      </c>
      <c r="C2508" s="7">
        <v>4.3380000000000002E-2</v>
      </c>
      <c r="D2508" s="7">
        <v>4.3380000000000002E-2</v>
      </c>
      <c r="E2508" s="7">
        <v>4.3380000000000002E-2</v>
      </c>
      <c r="F2508" s="7">
        <v>4.3380000000000002E-2</v>
      </c>
      <c r="G2508" s="7">
        <v>1.5900000000000001E-2</v>
      </c>
    </row>
    <row r="2509" spans="2:7" x14ac:dyDescent="0.2">
      <c r="B2509" s="60">
        <v>39430</v>
      </c>
      <c r="C2509" s="7">
        <v>4.3040000000000002E-2</v>
      </c>
      <c r="D2509" s="7">
        <v>4.3040000000000002E-2</v>
      </c>
      <c r="E2509" s="7">
        <v>4.3040000000000002E-2</v>
      </c>
      <c r="F2509" s="7">
        <v>4.3040000000000002E-2</v>
      </c>
      <c r="G2509" s="7">
        <v>-7.7999999999999996E-3</v>
      </c>
    </row>
    <row r="2510" spans="2:7" x14ac:dyDescent="0.2">
      <c r="B2510" s="60">
        <v>39433</v>
      </c>
      <c r="C2510" s="7">
        <v>4.3390000000000005E-2</v>
      </c>
      <c r="D2510" s="7">
        <v>4.3390000000000005E-2</v>
      </c>
      <c r="E2510" s="7">
        <v>4.3390000000000005E-2</v>
      </c>
      <c r="F2510" s="7">
        <v>4.3390000000000005E-2</v>
      </c>
      <c r="G2510" s="7">
        <v>8.0999999999999996E-3</v>
      </c>
    </row>
    <row r="2511" spans="2:7" x14ac:dyDescent="0.2">
      <c r="B2511" s="60">
        <v>39434</v>
      </c>
      <c r="C2511" s="7">
        <v>4.317E-2</v>
      </c>
      <c r="D2511" s="7">
        <v>4.317E-2</v>
      </c>
      <c r="E2511" s="7">
        <v>4.317E-2</v>
      </c>
      <c r="F2511" s="7">
        <v>4.317E-2</v>
      </c>
      <c r="G2511" s="7">
        <v>-5.1000000000000004E-3</v>
      </c>
    </row>
    <row r="2512" spans="2:7" x14ac:dyDescent="0.2">
      <c r="B2512" s="60">
        <v>39435</v>
      </c>
      <c r="C2512" s="7">
        <v>4.3049999999999998E-2</v>
      </c>
      <c r="D2512" s="7">
        <v>4.3049999999999998E-2</v>
      </c>
      <c r="E2512" s="7">
        <v>4.3049999999999998E-2</v>
      </c>
      <c r="F2512" s="7">
        <v>4.3049999999999998E-2</v>
      </c>
      <c r="G2512" s="7">
        <v>-2.8E-3</v>
      </c>
    </row>
    <row r="2513" spans="2:7" x14ac:dyDescent="0.2">
      <c r="B2513" s="60">
        <v>39436</v>
      </c>
      <c r="C2513" s="7">
        <v>4.292E-2</v>
      </c>
      <c r="D2513" s="7">
        <v>4.292E-2</v>
      </c>
      <c r="E2513" s="7">
        <v>4.292E-2</v>
      </c>
      <c r="F2513" s="7">
        <v>4.292E-2</v>
      </c>
      <c r="G2513" s="7">
        <v>-3.0000000000000001E-3</v>
      </c>
    </row>
    <row r="2514" spans="2:7" x14ac:dyDescent="0.2">
      <c r="B2514" s="60">
        <v>39437</v>
      </c>
      <c r="C2514" s="7">
        <v>4.2679999999999996E-2</v>
      </c>
      <c r="D2514" s="7">
        <v>4.2679999999999996E-2</v>
      </c>
      <c r="E2514" s="7">
        <v>4.2679999999999996E-2</v>
      </c>
      <c r="F2514" s="7">
        <v>4.2679999999999996E-2</v>
      </c>
      <c r="G2514" s="7">
        <v>-5.5999999999999999E-3</v>
      </c>
    </row>
    <row r="2515" spans="2:7" x14ac:dyDescent="0.2">
      <c r="B2515" s="60">
        <v>39443</v>
      </c>
      <c r="C2515" s="7">
        <v>4.3280000000000006E-2</v>
      </c>
      <c r="D2515" s="7">
        <v>4.3280000000000006E-2</v>
      </c>
      <c r="E2515" s="7">
        <v>4.3280000000000006E-2</v>
      </c>
      <c r="F2515" s="7">
        <v>4.3280000000000006E-2</v>
      </c>
      <c r="G2515" s="7">
        <v>1.41E-2</v>
      </c>
    </row>
    <row r="2516" spans="2:7" x14ac:dyDescent="0.2">
      <c r="B2516" s="60">
        <v>39444</v>
      </c>
      <c r="C2516" s="7">
        <v>4.3680000000000004E-2</v>
      </c>
      <c r="D2516" s="7">
        <v>4.3680000000000004E-2</v>
      </c>
      <c r="E2516" s="7">
        <v>4.3680000000000004E-2</v>
      </c>
      <c r="F2516" s="7">
        <v>4.3680000000000004E-2</v>
      </c>
      <c r="G2516" s="7">
        <v>9.1999999999999998E-3</v>
      </c>
    </row>
    <row r="2517" spans="2:7" x14ac:dyDescent="0.2">
      <c r="B2517" s="60">
        <v>39449</v>
      </c>
      <c r="C2517" s="7">
        <v>4.3240000000000001E-2</v>
      </c>
      <c r="D2517" s="7">
        <v>4.3240000000000001E-2</v>
      </c>
      <c r="E2517" s="7">
        <v>4.3240000000000001E-2</v>
      </c>
      <c r="F2517" s="7">
        <v>4.3240000000000001E-2</v>
      </c>
      <c r="G2517" s="7">
        <v>-1.01E-2</v>
      </c>
    </row>
    <row r="2518" spans="2:7" x14ac:dyDescent="0.2">
      <c r="B2518" s="60">
        <v>39450</v>
      </c>
      <c r="C2518" s="7">
        <v>4.2130000000000001E-2</v>
      </c>
      <c r="D2518" s="7">
        <v>4.2130000000000001E-2</v>
      </c>
      <c r="E2518" s="7">
        <v>4.2130000000000001E-2</v>
      </c>
      <c r="F2518" s="7">
        <v>4.2130000000000001E-2</v>
      </c>
      <c r="G2518" s="7">
        <v>-2.5700000000000001E-2</v>
      </c>
    </row>
    <row r="2519" spans="2:7" x14ac:dyDescent="0.2">
      <c r="B2519" s="60">
        <v>39451</v>
      </c>
      <c r="C2519" s="7">
        <v>4.1929999999999995E-2</v>
      </c>
      <c r="D2519" s="7">
        <v>4.1929999999999995E-2</v>
      </c>
      <c r="E2519" s="7">
        <v>4.1929999999999995E-2</v>
      </c>
      <c r="F2519" s="7">
        <v>4.1929999999999995E-2</v>
      </c>
      <c r="G2519" s="7">
        <v>-4.7000000000000002E-3</v>
      </c>
    </row>
    <row r="2520" spans="2:7" x14ac:dyDescent="0.2">
      <c r="B2520" s="60">
        <v>39454</v>
      </c>
      <c r="C2520" s="7">
        <v>4.1340000000000002E-2</v>
      </c>
      <c r="D2520" s="7">
        <v>4.1340000000000002E-2</v>
      </c>
      <c r="E2520" s="7">
        <v>4.1340000000000002E-2</v>
      </c>
      <c r="F2520" s="7">
        <v>4.1340000000000002E-2</v>
      </c>
      <c r="G2520" s="7">
        <v>-1.41E-2</v>
      </c>
    </row>
    <row r="2521" spans="2:7" x14ac:dyDescent="0.2">
      <c r="B2521" s="60">
        <v>39455</v>
      </c>
      <c r="C2521" s="7">
        <v>4.1130000000000007E-2</v>
      </c>
      <c r="D2521" s="7">
        <v>4.1130000000000007E-2</v>
      </c>
      <c r="E2521" s="7">
        <v>4.1130000000000007E-2</v>
      </c>
      <c r="F2521" s="7">
        <v>4.1130000000000007E-2</v>
      </c>
      <c r="G2521" s="7">
        <v>-5.1000000000000004E-3</v>
      </c>
    </row>
    <row r="2522" spans="2:7" x14ac:dyDescent="0.2">
      <c r="B2522" s="60">
        <v>39456</v>
      </c>
      <c r="C2522" s="7">
        <v>4.1299999999999996E-2</v>
      </c>
      <c r="D2522" s="7">
        <v>4.1299999999999996E-2</v>
      </c>
      <c r="E2522" s="7">
        <v>4.1299999999999996E-2</v>
      </c>
      <c r="F2522" s="7">
        <v>4.1299999999999996E-2</v>
      </c>
      <c r="G2522" s="7">
        <v>4.1000000000000003E-3</v>
      </c>
    </row>
    <row r="2523" spans="2:7" x14ac:dyDescent="0.2">
      <c r="B2523" s="60">
        <v>39457</v>
      </c>
      <c r="C2523" s="7">
        <v>4.095E-2</v>
      </c>
      <c r="D2523" s="7">
        <v>4.095E-2</v>
      </c>
      <c r="E2523" s="7">
        <v>4.095E-2</v>
      </c>
      <c r="F2523" s="7">
        <v>4.095E-2</v>
      </c>
      <c r="G2523" s="7">
        <v>-8.5000000000000006E-3</v>
      </c>
    </row>
    <row r="2524" spans="2:7" x14ac:dyDescent="0.2">
      <c r="B2524" s="60">
        <v>39458</v>
      </c>
      <c r="C2524" s="7">
        <v>4.0869999999999997E-2</v>
      </c>
      <c r="D2524" s="7">
        <v>4.0869999999999997E-2</v>
      </c>
      <c r="E2524" s="7">
        <v>4.0869999999999997E-2</v>
      </c>
      <c r="F2524" s="7">
        <v>4.0869999999999997E-2</v>
      </c>
      <c r="G2524" s="7">
        <v>-2E-3</v>
      </c>
    </row>
    <row r="2525" spans="2:7" x14ac:dyDescent="0.2">
      <c r="B2525" s="60">
        <v>39461</v>
      </c>
      <c r="C2525" s="7">
        <v>4.0750000000000001E-2</v>
      </c>
      <c r="D2525" s="7">
        <v>4.0750000000000001E-2</v>
      </c>
      <c r="E2525" s="7">
        <v>4.0750000000000001E-2</v>
      </c>
      <c r="F2525" s="7">
        <v>4.0750000000000001E-2</v>
      </c>
      <c r="G2525" s="7">
        <v>-2.8999999999999998E-3</v>
      </c>
    </row>
    <row r="2526" spans="2:7" x14ac:dyDescent="0.2">
      <c r="B2526" s="60">
        <v>39462</v>
      </c>
      <c r="C2526" s="7">
        <v>4.0599999999999997E-2</v>
      </c>
      <c r="D2526" s="7">
        <v>4.0599999999999997E-2</v>
      </c>
      <c r="E2526" s="7">
        <v>4.0599999999999997E-2</v>
      </c>
      <c r="F2526" s="7">
        <v>4.0599999999999997E-2</v>
      </c>
      <c r="G2526" s="7">
        <v>-3.7000000000000002E-3</v>
      </c>
    </row>
    <row r="2527" spans="2:7" x14ac:dyDescent="0.2">
      <c r="B2527" s="60">
        <v>39463</v>
      </c>
      <c r="C2527" s="7">
        <v>4.0220000000000006E-2</v>
      </c>
      <c r="D2527" s="7">
        <v>4.0220000000000006E-2</v>
      </c>
      <c r="E2527" s="7">
        <v>4.0220000000000006E-2</v>
      </c>
      <c r="F2527" s="7">
        <v>4.0220000000000006E-2</v>
      </c>
      <c r="G2527" s="7">
        <v>-9.4000000000000004E-3</v>
      </c>
    </row>
    <row r="2528" spans="2:7" x14ac:dyDescent="0.2">
      <c r="B2528" s="60">
        <v>39464</v>
      </c>
      <c r="C2528" s="7">
        <v>3.9740000000000004E-2</v>
      </c>
      <c r="D2528" s="7">
        <v>3.9740000000000004E-2</v>
      </c>
      <c r="E2528" s="7">
        <v>3.9740000000000004E-2</v>
      </c>
      <c r="F2528" s="7">
        <v>3.9740000000000004E-2</v>
      </c>
      <c r="G2528" s="7">
        <v>-1.1900000000000001E-2</v>
      </c>
    </row>
    <row r="2529" spans="2:7" x14ac:dyDescent="0.2">
      <c r="B2529" s="60">
        <v>39465</v>
      </c>
      <c r="C2529" s="7">
        <v>3.9480000000000001E-2</v>
      </c>
      <c r="D2529" s="7">
        <v>3.9480000000000001E-2</v>
      </c>
      <c r="E2529" s="7">
        <v>3.9480000000000001E-2</v>
      </c>
      <c r="F2529" s="7">
        <v>3.9480000000000001E-2</v>
      </c>
      <c r="G2529" s="7">
        <v>-6.4999999999999997E-3</v>
      </c>
    </row>
    <row r="2530" spans="2:7" x14ac:dyDescent="0.2">
      <c r="B2530" s="60">
        <v>39468</v>
      </c>
      <c r="C2530" s="7">
        <v>3.9780000000000003E-2</v>
      </c>
      <c r="D2530" s="7">
        <v>3.9780000000000003E-2</v>
      </c>
      <c r="E2530" s="7">
        <v>3.9780000000000003E-2</v>
      </c>
      <c r="F2530" s="7">
        <v>3.9780000000000003E-2</v>
      </c>
      <c r="G2530" s="7">
        <v>7.6E-3</v>
      </c>
    </row>
    <row r="2531" spans="2:7" x14ac:dyDescent="0.2">
      <c r="B2531" s="60">
        <v>39469</v>
      </c>
      <c r="C2531" s="7">
        <v>3.9100000000000003E-2</v>
      </c>
      <c r="D2531" s="7">
        <v>3.9100000000000003E-2</v>
      </c>
      <c r="E2531" s="7">
        <v>3.9100000000000003E-2</v>
      </c>
      <c r="F2531" s="7">
        <v>3.9100000000000003E-2</v>
      </c>
      <c r="G2531" s="7">
        <v>-1.7100000000000001E-2</v>
      </c>
    </row>
    <row r="2532" spans="2:7" x14ac:dyDescent="0.2">
      <c r="B2532" s="60">
        <v>39470</v>
      </c>
      <c r="C2532" s="7">
        <v>3.9800000000000002E-2</v>
      </c>
      <c r="D2532" s="7">
        <v>3.9800000000000002E-2</v>
      </c>
      <c r="E2532" s="7">
        <v>3.9800000000000002E-2</v>
      </c>
      <c r="F2532" s="7">
        <v>3.9800000000000002E-2</v>
      </c>
      <c r="G2532" s="7">
        <v>1.7899999999999999E-2</v>
      </c>
    </row>
    <row r="2533" spans="2:7" x14ac:dyDescent="0.2">
      <c r="B2533" s="60">
        <v>39471</v>
      </c>
      <c r="C2533" s="7">
        <v>3.909E-2</v>
      </c>
      <c r="D2533" s="7">
        <v>3.909E-2</v>
      </c>
      <c r="E2533" s="7">
        <v>3.909E-2</v>
      </c>
      <c r="F2533" s="7">
        <v>3.909E-2</v>
      </c>
      <c r="G2533" s="7">
        <v>-1.78E-2</v>
      </c>
    </row>
    <row r="2534" spans="2:7" x14ac:dyDescent="0.2">
      <c r="B2534" s="60">
        <v>39472</v>
      </c>
      <c r="C2534" s="7">
        <v>4.011E-2</v>
      </c>
      <c r="D2534" s="7">
        <v>4.011E-2</v>
      </c>
      <c r="E2534" s="7">
        <v>4.011E-2</v>
      </c>
      <c r="F2534" s="7">
        <v>4.011E-2</v>
      </c>
      <c r="G2534" s="7">
        <v>2.6100000000000002E-2</v>
      </c>
    </row>
    <row r="2535" spans="2:7" x14ac:dyDescent="0.2">
      <c r="B2535" s="60">
        <v>39475</v>
      </c>
      <c r="C2535" s="7">
        <v>3.9710000000000002E-2</v>
      </c>
      <c r="D2535" s="7">
        <v>3.9710000000000002E-2</v>
      </c>
      <c r="E2535" s="7">
        <v>3.9710000000000002E-2</v>
      </c>
      <c r="F2535" s="7">
        <v>3.9710000000000002E-2</v>
      </c>
      <c r="G2535" s="7">
        <v>-0.01</v>
      </c>
    </row>
    <row r="2536" spans="2:7" x14ac:dyDescent="0.2">
      <c r="B2536" s="60">
        <v>39476</v>
      </c>
      <c r="C2536" s="7">
        <v>3.95E-2</v>
      </c>
      <c r="D2536" s="7">
        <v>3.95E-2</v>
      </c>
      <c r="E2536" s="7">
        <v>3.95E-2</v>
      </c>
      <c r="F2536" s="7">
        <v>3.95E-2</v>
      </c>
      <c r="G2536" s="7">
        <v>-5.3E-3</v>
      </c>
    </row>
    <row r="2537" spans="2:7" x14ac:dyDescent="0.2">
      <c r="B2537" s="60">
        <v>39477</v>
      </c>
      <c r="C2537" s="7">
        <v>3.986E-2</v>
      </c>
      <c r="D2537" s="7">
        <v>3.986E-2</v>
      </c>
      <c r="E2537" s="7">
        <v>3.986E-2</v>
      </c>
      <c r="F2537" s="7">
        <v>3.986E-2</v>
      </c>
      <c r="G2537" s="7">
        <v>9.1000000000000004E-3</v>
      </c>
    </row>
    <row r="2538" spans="2:7" x14ac:dyDescent="0.2">
      <c r="B2538" s="60">
        <v>39478</v>
      </c>
      <c r="C2538" s="7">
        <v>4.011E-2</v>
      </c>
      <c r="D2538" s="7">
        <v>4.011E-2</v>
      </c>
      <c r="E2538" s="7">
        <v>4.011E-2</v>
      </c>
      <c r="F2538" s="7">
        <v>4.011E-2</v>
      </c>
      <c r="G2538" s="7">
        <v>6.3E-3</v>
      </c>
    </row>
    <row r="2539" spans="2:7" x14ac:dyDescent="0.2">
      <c r="B2539" s="60">
        <v>39479</v>
      </c>
      <c r="C2539" s="7">
        <v>3.9329999999999997E-2</v>
      </c>
      <c r="D2539" s="7">
        <v>3.9329999999999997E-2</v>
      </c>
      <c r="E2539" s="7">
        <v>3.9329999999999997E-2</v>
      </c>
      <c r="F2539" s="7">
        <v>3.9329999999999997E-2</v>
      </c>
      <c r="G2539" s="7">
        <v>-1.9400000000000001E-2</v>
      </c>
    </row>
    <row r="2540" spans="2:7" x14ac:dyDescent="0.2">
      <c r="B2540" s="60">
        <v>39482</v>
      </c>
      <c r="C2540" s="7">
        <v>3.909E-2</v>
      </c>
      <c r="D2540" s="7">
        <v>3.909E-2</v>
      </c>
      <c r="E2540" s="7">
        <v>3.909E-2</v>
      </c>
      <c r="F2540" s="7">
        <v>3.909E-2</v>
      </c>
      <c r="G2540" s="7">
        <v>-6.1000000000000004E-3</v>
      </c>
    </row>
    <row r="2541" spans="2:7" x14ac:dyDescent="0.2">
      <c r="B2541" s="60">
        <v>39483</v>
      </c>
      <c r="C2541" s="7">
        <v>3.9289999999999999E-2</v>
      </c>
      <c r="D2541" s="7">
        <v>3.9289999999999999E-2</v>
      </c>
      <c r="E2541" s="7">
        <v>3.9289999999999999E-2</v>
      </c>
      <c r="F2541" s="7">
        <v>3.9289999999999999E-2</v>
      </c>
      <c r="G2541" s="7">
        <v>5.1000000000000004E-3</v>
      </c>
    </row>
    <row r="2542" spans="2:7" x14ac:dyDescent="0.2">
      <c r="B2542" s="60">
        <v>39484</v>
      </c>
      <c r="C2542" s="7">
        <v>3.8359999999999998E-2</v>
      </c>
      <c r="D2542" s="7">
        <v>3.8359999999999998E-2</v>
      </c>
      <c r="E2542" s="7">
        <v>3.8359999999999998E-2</v>
      </c>
      <c r="F2542" s="7">
        <v>3.8359999999999998E-2</v>
      </c>
      <c r="G2542" s="7">
        <v>-2.3699999999999999E-2</v>
      </c>
    </row>
    <row r="2543" spans="2:7" x14ac:dyDescent="0.2">
      <c r="B2543" s="60">
        <v>39485</v>
      </c>
      <c r="C2543" s="7">
        <v>3.875E-2</v>
      </c>
      <c r="D2543" s="7">
        <v>3.875E-2</v>
      </c>
      <c r="E2543" s="7">
        <v>3.875E-2</v>
      </c>
      <c r="F2543" s="7">
        <v>3.875E-2</v>
      </c>
      <c r="G2543" s="7">
        <v>1.0200000000000001E-2</v>
      </c>
    </row>
    <row r="2544" spans="2:7" x14ac:dyDescent="0.2">
      <c r="B2544" s="60">
        <v>39486</v>
      </c>
      <c r="C2544" s="7">
        <v>3.8949999999999999E-2</v>
      </c>
      <c r="D2544" s="7">
        <v>3.8949999999999999E-2</v>
      </c>
      <c r="E2544" s="7">
        <v>3.8949999999999999E-2</v>
      </c>
      <c r="F2544" s="7">
        <v>3.8949999999999999E-2</v>
      </c>
      <c r="G2544" s="7">
        <v>5.1999999999999998E-3</v>
      </c>
    </row>
    <row r="2545" spans="2:7" x14ac:dyDescent="0.2">
      <c r="B2545" s="60">
        <v>39489</v>
      </c>
      <c r="C2545" s="7">
        <v>3.8519999999999999E-2</v>
      </c>
      <c r="D2545" s="7">
        <v>3.8519999999999999E-2</v>
      </c>
      <c r="E2545" s="7">
        <v>3.8519999999999999E-2</v>
      </c>
      <c r="F2545" s="7">
        <v>3.8519999999999999E-2</v>
      </c>
      <c r="G2545" s="7">
        <v>-1.0999999999999999E-2</v>
      </c>
    </row>
    <row r="2546" spans="2:7" x14ac:dyDescent="0.2">
      <c r="B2546" s="60">
        <v>39490</v>
      </c>
      <c r="C2546" s="7">
        <v>3.8759999999999996E-2</v>
      </c>
      <c r="D2546" s="7">
        <v>3.8759999999999996E-2</v>
      </c>
      <c r="E2546" s="7">
        <v>3.8759999999999996E-2</v>
      </c>
      <c r="F2546" s="7">
        <v>3.8759999999999996E-2</v>
      </c>
      <c r="G2546" s="7">
        <v>6.1999999999999998E-3</v>
      </c>
    </row>
    <row r="2547" spans="2:7" x14ac:dyDescent="0.2">
      <c r="B2547" s="60">
        <v>39491</v>
      </c>
      <c r="C2547" s="7">
        <v>3.9199999999999999E-2</v>
      </c>
      <c r="D2547" s="7">
        <v>3.9199999999999999E-2</v>
      </c>
      <c r="E2547" s="7">
        <v>3.9199999999999999E-2</v>
      </c>
      <c r="F2547" s="7">
        <v>3.9199999999999999E-2</v>
      </c>
      <c r="G2547" s="7">
        <v>1.14E-2</v>
      </c>
    </row>
    <row r="2548" spans="2:7" x14ac:dyDescent="0.2">
      <c r="B2548" s="60">
        <v>39492</v>
      </c>
      <c r="C2548" s="7">
        <v>3.986E-2</v>
      </c>
      <c r="D2548" s="7">
        <v>3.986E-2</v>
      </c>
      <c r="E2548" s="7">
        <v>3.986E-2</v>
      </c>
      <c r="F2548" s="7">
        <v>3.986E-2</v>
      </c>
      <c r="G2548" s="7">
        <v>1.6799999999999999E-2</v>
      </c>
    </row>
    <row r="2549" spans="2:7" x14ac:dyDescent="0.2">
      <c r="B2549" s="60">
        <v>39493</v>
      </c>
      <c r="C2549" s="7">
        <v>4.0079999999999998E-2</v>
      </c>
      <c r="D2549" s="7">
        <v>4.0079999999999998E-2</v>
      </c>
      <c r="E2549" s="7">
        <v>4.0079999999999998E-2</v>
      </c>
      <c r="F2549" s="7">
        <v>4.0079999999999998E-2</v>
      </c>
      <c r="G2549" s="7">
        <v>5.4999999999999997E-3</v>
      </c>
    </row>
    <row r="2550" spans="2:7" x14ac:dyDescent="0.2">
      <c r="B2550" s="60">
        <v>39496</v>
      </c>
      <c r="C2550" s="7">
        <v>3.9570000000000001E-2</v>
      </c>
      <c r="D2550" s="7">
        <v>3.9570000000000001E-2</v>
      </c>
      <c r="E2550" s="7">
        <v>3.9570000000000001E-2</v>
      </c>
      <c r="F2550" s="7">
        <v>3.9570000000000001E-2</v>
      </c>
      <c r="G2550" s="7">
        <v>-1.2699999999999999E-2</v>
      </c>
    </row>
    <row r="2551" spans="2:7" x14ac:dyDescent="0.2">
      <c r="B2551" s="60">
        <v>39497</v>
      </c>
      <c r="C2551" s="7">
        <v>4.0099999999999997E-2</v>
      </c>
      <c r="D2551" s="7">
        <v>4.0099999999999997E-2</v>
      </c>
      <c r="E2551" s="7">
        <v>4.0099999999999997E-2</v>
      </c>
      <c r="F2551" s="7">
        <v>4.0099999999999997E-2</v>
      </c>
      <c r="G2551" s="7">
        <v>1.34E-2</v>
      </c>
    </row>
    <row r="2552" spans="2:7" x14ac:dyDescent="0.2">
      <c r="B2552" s="60">
        <v>39498</v>
      </c>
      <c r="C2552" s="7">
        <v>4.0279999999999996E-2</v>
      </c>
      <c r="D2552" s="7">
        <v>4.0279999999999996E-2</v>
      </c>
      <c r="E2552" s="7">
        <v>4.0279999999999996E-2</v>
      </c>
      <c r="F2552" s="7">
        <v>4.0279999999999996E-2</v>
      </c>
      <c r="G2552" s="7">
        <v>4.4999999999999997E-3</v>
      </c>
    </row>
    <row r="2553" spans="2:7" x14ac:dyDescent="0.2">
      <c r="B2553" s="60">
        <v>39499</v>
      </c>
      <c r="C2553" s="7">
        <v>4.0330000000000005E-2</v>
      </c>
      <c r="D2553" s="7">
        <v>4.0330000000000005E-2</v>
      </c>
      <c r="E2553" s="7">
        <v>4.0330000000000005E-2</v>
      </c>
      <c r="F2553" s="7">
        <v>4.0330000000000005E-2</v>
      </c>
      <c r="G2553" s="7">
        <v>1.1999999999999999E-3</v>
      </c>
    </row>
    <row r="2554" spans="2:7" x14ac:dyDescent="0.2">
      <c r="B2554" s="60">
        <v>39500</v>
      </c>
      <c r="C2554" s="7">
        <v>3.9940000000000003E-2</v>
      </c>
      <c r="D2554" s="7">
        <v>3.9940000000000003E-2</v>
      </c>
      <c r="E2554" s="7">
        <v>3.9940000000000003E-2</v>
      </c>
      <c r="F2554" s="7">
        <v>3.9940000000000003E-2</v>
      </c>
      <c r="G2554" s="7">
        <v>-9.7000000000000003E-3</v>
      </c>
    </row>
    <row r="2555" spans="2:7" x14ac:dyDescent="0.2">
      <c r="B2555" s="60">
        <v>39503</v>
      </c>
      <c r="C2555" s="7">
        <v>3.9949999999999999E-2</v>
      </c>
      <c r="D2555" s="7">
        <v>3.9949999999999999E-2</v>
      </c>
      <c r="E2555" s="7">
        <v>3.9949999999999999E-2</v>
      </c>
      <c r="F2555" s="7">
        <v>3.9949999999999999E-2</v>
      </c>
      <c r="G2555" s="7">
        <v>2.9999999999999997E-4</v>
      </c>
    </row>
    <row r="2556" spans="2:7" x14ac:dyDescent="0.2">
      <c r="B2556" s="60">
        <v>39504</v>
      </c>
      <c r="C2556" s="7">
        <v>4.0389999999999995E-2</v>
      </c>
      <c r="D2556" s="7">
        <v>4.0389999999999995E-2</v>
      </c>
      <c r="E2556" s="7">
        <v>4.0389999999999995E-2</v>
      </c>
      <c r="F2556" s="7">
        <v>4.0389999999999995E-2</v>
      </c>
      <c r="G2556" s="7">
        <v>1.0999999999999999E-2</v>
      </c>
    </row>
    <row r="2557" spans="2:7" x14ac:dyDescent="0.2">
      <c r="B2557" s="60">
        <v>39505</v>
      </c>
      <c r="C2557" s="7">
        <v>4.0780000000000004E-2</v>
      </c>
      <c r="D2557" s="7">
        <v>4.0780000000000004E-2</v>
      </c>
      <c r="E2557" s="7">
        <v>4.0780000000000004E-2</v>
      </c>
      <c r="F2557" s="7">
        <v>4.0780000000000004E-2</v>
      </c>
      <c r="G2557" s="7">
        <v>9.7000000000000003E-3</v>
      </c>
    </row>
    <row r="2558" spans="2:7" x14ac:dyDescent="0.2">
      <c r="B2558" s="60">
        <v>39506</v>
      </c>
      <c r="C2558" s="7">
        <v>4.0819999999999995E-2</v>
      </c>
      <c r="D2558" s="7">
        <v>4.0819999999999995E-2</v>
      </c>
      <c r="E2558" s="7">
        <v>4.0819999999999995E-2</v>
      </c>
      <c r="F2558" s="7">
        <v>4.0819999999999995E-2</v>
      </c>
      <c r="G2558" s="7">
        <v>1E-3</v>
      </c>
    </row>
    <row r="2559" spans="2:7" x14ac:dyDescent="0.2">
      <c r="B2559" s="60">
        <v>39507</v>
      </c>
      <c r="C2559" s="7">
        <v>3.9890000000000002E-2</v>
      </c>
      <c r="D2559" s="7">
        <v>3.9890000000000002E-2</v>
      </c>
      <c r="E2559" s="7">
        <v>3.9890000000000002E-2</v>
      </c>
      <c r="F2559" s="7">
        <v>3.9890000000000002E-2</v>
      </c>
      <c r="G2559" s="7">
        <v>-2.2800000000000001E-2</v>
      </c>
    </row>
    <row r="2560" spans="2:7" x14ac:dyDescent="0.2">
      <c r="B2560" s="60">
        <v>39510</v>
      </c>
      <c r="C2560" s="7">
        <v>3.8740000000000004E-2</v>
      </c>
      <c r="D2560" s="7">
        <v>3.8740000000000004E-2</v>
      </c>
      <c r="E2560" s="7">
        <v>3.8740000000000004E-2</v>
      </c>
      <c r="F2560" s="7">
        <v>3.8740000000000004E-2</v>
      </c>
      <c r="G2560" s="7">
        <v>-2.8799999999999999E-2</v>
      </c>
    </row>
    <row r="2561" spans="2:7" x14ac:dyDescent="0.2">
      <c r="B2561" s="60">
        <v>39511</v>
      </c>
      <c r="C2561" s="7">
        <v>3.8599999999999995E-2</v>
      </c>
      <c r="D2561" s="7">
        <v>3.8599999999999995E-2</v>
      </c>
      <c r="E2561" s="7">
        <v>3.8599999999999995E-2</v>
      </c>
      <c r="F2561" s="7">
        <v>3.8599999999999995E-2</v>
      </c>
      <c r="G2561" s="7">
        <v>-3.5999999999999999E-3</v>
      </c>
    </row>
    <row r="2562" spans="2:7" x14ac:dyDescent="0.2">
      <c r="B2562" s="60">
        <v>39512</v>
      </c>
      <c r="C2562" s="7">
        <v>3.8109999999999998E-2</v>
      </c>
      <c r="D2562" s="7">
        <v>3.8109999999999998E-2</v>
      </c>
      <c r="E2562" s="7">
        <v>3.8109999999999998E-2</v>
      </c>
      <c r="F2562" s="7">
        <v>3.8109999999999998E-2</v>
      </c>
      <c r="G2562" s="7">
        <v>-1.2699999999999999E-2</v>
      </c>
    </row>
    <row r="2563" spans="2:7" x14ac:dyDescent="0.2">
      <c r="B2563" s="60">
        <v>39513</v>
      </c>
      <c r="C2563" s="7">
        <v>3.8559999999999997E-2</v>
      </c>
      <c r="D2563" s="7">
        <v>3.8559999999999997E-2</v>
      </c>
      <c r="E2563" s="7">
        <v>3.8559999999999997E-2</v>
      </c>
      <c r="F2563" s="7">
        <v>3.8559999999999997E-2</v>
      </c>
      <c r="G2563" s="7">
        <v>1.18E-2</v>
      </c>
    </row>
    <row r="2564" spans="2:7" x14ac:dyDescent="0.2">
      <c r="B2564" s="60">
        <v>39514</v>
      </c>
      <c r="C2564" s="7">
        <v>3.7970000000000004E-2</v>
      </c>
      <c r="D2564" s="7">
        <v>3.7970000000000004E-2</v>
      </c>
      <c r="E2564" s="7">
        <v>3.7970000000000004E-2</v>
      </c>
      <c r="F2564" s="7">
        <v>3.7970000000000004E-2</v>
      </c>
      <c r="G2564" s="7">
        <v>-1.5299999999999999E-2</v>
      </c>
    </row>
    <row r="2565" spans="2:7" x14ac:dyDescent="0.2">
      <c r="B2565" s="60">
        <v>39517</v>
      </c>
      <c r="C2565" s="7">
        <v>3.7740000000000003E-2</v>
      </c>
      <c r="D2565" s="7">
        <v>3.7740000000000003E-2</v>
      </c>
      <c r="E2565" s="7">
        <v>3.7740000000000003E-2</v>
      </c>
      <c r="F2565" s="7">
        <v>3.7740000000000003E-2</v>
      </c>
      <c r="G2565" s="7">
        <v>-6.1000000000000004E-3</v>
      </c>
    </row>
    <row r="2566" spans="2:7" x14ac:dyDescent="0.2">
      <c r="B2566" s="60">
        <v>39518</v>
      </c>
      <c r="C2566" s="7">
        <v>3.7309999999999996E-2</v>
      </c>
      <c r="D2566" s="7">
        <v>3.7309999999999996E-2</v>
      </c>
      <c r="E2566" s="7">
        <v>3.7309999999999996E-2</v>
      </c>
      <c r="F2566" s="7">
        <v>3.7309999999999996E-2</v>
      </c>
      <c r="G2566" s="7">
        <v>-1.14E-2</v>
      </c>
    </row>
    <row r="2567" spans="2:7" x14ac:dyDescent="0.2">
      <c r="B2567" s="60">
        <v>39519</v>
      </c>
      <c r="C2567" s="7">
        <v>3.7970000000000004E-2</v>
      </c>
      <c r="D2567" s="7">
        <v>3.7970000000000004E-2</v>
      </c>
      <c r="E2567" s="7">
        <v>3.7970000000000004E-2</v>
      </c>
      <c r="F2567" s="7">
        <v>3.7970000000000004E-2</v>
      </c>
      <c r="G2567" s="7">
        <v>1.77E-2</v>
      </c>
    </row>
    <row r="2568" spans="2:7" x14ac:dyDescent="0.2">
      <c r="B2568" s="60">
        <v>39520</v>
      </c>
      <c r="C2568" s="7">
        <v>3.755E-2</v>
      </c>
      <c r="D2568" s="7">
        <v>3.755E-2</v>
      </c>
      <c r="E2568" s="7">
        <v>3.755E-2</v>
      </c>
      <c r="F2568" s="7">
        <v>3.755E-2</v>
      </c>
      <c r="G2568" s="7">
        <v>-1.11E-2</v>
      </c>
    </row>
    <row r="2569" spans="2:7" x14ac:dyDescent="0.2">
      <c r="B2569" s="60">
        <v>39521</v>
      </c>
      <c r="C2569" s="7">
        <v>3.7599999999999995E-2</v>
      </c>
      <c r="D2569" s="7">
        <v>3.7599999999999995E-2</v>
      </c>
      <c r="E2569" s="7">
        <v>3.7599999999999995E-2</v>
      </c>
      <c r="F2569" s="7">
        <v>3.7599999999999995E-2</v>
      </c>
      <c r="G2569" s="7">
        <v>1.2999999999999999E-3</v>
      </c>
    </row>
    <row r="2570" spans="2:7" x14ac:dyDescent="0.2">
      <c r="B2570" s="60">
        <v>39524</v>
      </c>
      <c r="C2570" s="7">
        <v>3.7240000000000002E-2</v>
      </c>
      <c r="D2570" s="7">
        <v>3.7240000000000002E-2</v>
      </c>
      <c r="E2570" s="7">
        <v>3.7240000000000002E-2</v>
      </c>
      <c r="F2570" s="7">
        <v>3.7240000000000002E-2</v>
      </c>
      <c r="G2570" s="7">
        <v>-9.5999999999999992E-3</v>
      </c>
    </row>
    <row r="2571" spans="2:7" x14ac:dyDescent="0.2">
      <c r="B2571" s="60">
        <v>39525</v>
      </c>
      <c r="C2571" s="7">
        <v>3.6929999999999998E-2</v>
      </c>
      <c r="D2571" s="7">
        <v>3.6929999999999998E-2</v>
      </c>
      <c r="E2571" s="7">
        <v>3.6929999999999998E-2</v>
      </c>
      <c r="F2571" s="7">
        <v>3.6929999999999998E-2</v>
      </c>
      <c r="G2571" s="7">
        <v>-8.3000000000000001E-3</v>
      </c>
    </row>
    <row r="2572" spans="2:7" x14ac:dyDescent="0.2">
      <c r="B2572" s="60">
        <v>39526</v>
      </c>
      <c r="C2572" s="7">
        <v>3.7659999999999999E-2</v>
      </c>
      <c r="D2572" s="7">
        <v>3.7659999999999999E-2</v>
      </c>
      <c r="E2572" s="7">
        <v>3.7659999999999999E-2</v>
      </c>
      <c r="F2572" s="7">
        <v>3.7659999999999999E-2</v>
      </c>
      <c r="G2572" s="7">
        <v>1.9800000000000002E-2</v>
      </c>
    </row>
    <row r="2573" spans="2:7" x14ac:dyDescent="0.2">
      <c r="B2573" s="60">
        <v>39527</v>
      </c>
      <c r="C2573" s="7">
        <v>3.7229999999999999E-2</v>
      </c>
      <c r="D2573" s="7">
        <v>3.7229999999999999E-2</v>
      </c>
      <c r="E2573" s="7">
        <v>3.7229999999999999E-2</v>
      </c>
      <c r="F2573" s="7">
        <v>3.7229999999999999E-2</v>
      </c>
      <c r="G2573" s="7">
        <v>-1.14E-2</v>
      </c>
    </row>
    <row r="2574" spans="2:7" x14ac:dyDescent="0.2">
      <c r="B2574" s="60">
        <v>39532</v>
      </c>
      <c r="C2574" s="7">
        <v>3.7629999999999997E-2</v>
      </c>
      <c r="D2574" s="7">
        <v>3.7629999999999997E-2</v>
      </c>
      <c r="E2574" s="7">
        <v>3.7629999999999997E-2</v>
      </c>
      <c r="F2574" s="7">
        <v>3.7629999999999997E-2</v>
      </c>
      <c r="G2574" s="7">
        <v>1.0699999999999999E-2</v>
      </c>
    </row>
    <row r="2575" spans="2:7" x14ac:dyDescent="0.2">
      <c r="B2575" s="60">
        <v>39533</v>
      </c>
      <c r="C2575" s="7">
        <v>3.8830000000000003E-2</v>
      </c>
      <c r="D2575" s="7">
        <v>3.8830000000000003E-2</v>
      </c>
      <c r="E2575" s="7">
        <v>3.8830000000000003E-2</v>
      </c>
      <c r="F2575" s="7">
        <v>3.8830000000000003E-2</v>
      </c>
      <c r="G2575" s="7">
        <v>3.1899999999999998E-2</v>
      </c>
    </row>
    <row r="2576" spans="2:7" x14ac:dyDescent="0.2">
      <c r="B2576" s="60">
        <v>39534</v>
      </c>
      <c r="C2576" s="7">
        <v>3.8650000000000004E-2</v>
      </c>
      <c r="D2576" s="7">
        <v>3.8650000000000004E-2</v>
      </c>
      <c r="E2576" s="7">
        <v>3.8650000000000004E-2</v>
      </c>
      <c r="F2576" s="7">
        <v>3.8650000000000004E-2</v>
      </c>
      <c r="G2576" s="7">
        <v>-4.5999999999999999E-3</v>
      </c>
    </row>
    <row r="2577" spans="2:7" x14ac:dyDescent="0.2">
      <c r="B2577" s="60">
        <v>39535</v>
      </c>
      <c r="C2577" s="7">
        <v>3.9149999999999997E-2</v>
      </c>
      <c r="D2577" s="7">
        <v>3.9149999999999997E-2</v>
      </c>
      <c r="E2577" s="7">
        <v>3.9149999999999997E-2</v>
      </c>
      <c r="F2577" s="7">
        <v>3.9149999999999997E-2</v>
      </c>
      <c r="G2577" s="7">
        <v>1.29E-2</v>
      </c>
    </row>
    <row r="2578" spans="2:7" x14ac:dyDescent="0.2">
      <c r="B2578" s="60">
        <v>39538</v>
      </c>
      <c r="C2578" s="7">
        <v>3.9009999999999996E-2</v>
      </c>
      <c r="D2578" s="7">
        <v>3.9009999999999996E-2</v>
      </c>
      <c r="E2578" s="7">
        <v>3.9009999999999996E-2</v>
      </c>
      <c r="F2578" s="7">
        <v>3.9009999999999996E-2</v>
      </c>
      <c r="G2578" s="7">
        <v>-3.5999999999999999E-3</v>
      </c>
    </row>
    <row r="2579" spans="2:7" x14ac:dyDescent="0.2">
      <c r="B2579" s="60">
        <v>39539</v>
      </c>
      <c r="C2579" s="7">
        <v>3.9599999999999996E-2</v>
      </c>
      <c r="D2579" s="7">
        <v>3.9599999999999996E-2</v>
      </c>
      <c r="E2579" s="7">
        <v>3.9599999999999996E-2</v>
      </c>
      <c r="F2579" s="7">
        <v>3.9599999999999996E-2</v>
      </c>
      <c r="G2579" s="7">
        <v>1.5100000000000001E-2</v>
      </c>
    </row>
    <row r="2580" spans="2:7" x14ac:dyDescent="0.2">
      <c r="B2580" s="60">
        <v>39540</v>
      </c>
      <c r="C2580" s="7">
        <v>3.9599999999999996E-2</v>
      </c>
      <c r="D2580" s="7">
        <v>3.9599999999999996E-2</v>
      </c>
      <c r="E2580" s="7">
        <v>3.9599999999999996E-2</v>
      </c>
      <c r="F2580" s="7">
        <v>3.9599999999999996E-2</v>
      </c>
      <c r="G2580" s="7">
        <v>0</v>
      </c>
    </row>
    <row r="2581" spans="2:7" x14ac:dyDescent="0.2">
      <c r="B2581" s="60">
        <v>39541</v>
      </c>
      <c r="C2581" s="7">
        <v>3.9789999999999999E-2</v>
      </c>
      <c r="D2581" s="7">
        <v>3.9789999999999999E-2</v>
      </c>
      <c r="E2581" s="7">
        <v>3.9789999999999999E-2</v>
      </c>
      <c r="F2581" s="7">
        <v>3.9789999999999999E-2</v>
      </c>
      <c r="G2581" s="7">
        <v>4.7999999999999996E-3</v>
      </c>
    </row>
    <row r="2582" spans="2:7" x14ac:dyDescent="0.2">
      <c r="B2582" s="60">
        <v>39542</v>
      </c>
      <c r="C2582" s="7">
        <v>3.9849999999999997E-2</v>
      </c>
      <c r="D2582" s="7">
        <v>3.9849999999999997E-2</v>
      </c>
      <c r="E2582" s="7">
        <v>3.9849999999999997E-2</v>
      </c>
      <c r="F2582" s="7">
        <v>3.9849999999999997E-2</v>
      </c>
      <c r="G2582" s="7">
        <v>1.5E-3</v>
      </c>
    </row>
    <row r="2583" spans="2:7" x14ac:dyDescent="0.2">
      <c r="B2583" s="60">
        <v>39545</v>
      </c>
      <c r="C2583" s="7">
        <v>3.9510000000000003E-2</v>
      </c>
      <c r="D2583" s="7">
        <v>3.9510000000000003E-2</v>
      </c>
      <c r="E2583" s="7">
        <v>3.9510000000000003E-2</v>
      </c>
      <c r="F2583" s="7">
        <v>3.9510000000000003E-2</v>
      </c>
      <c r="G2583" s="7">
        <v>-8.5000000000000006E-3</v>
      </c>
    </row>
    <row r="2584" spans="2:7" x14ac:dyDescent="0.2">
      <c r="B2584" s="60">
        <v>39546</v>
      </c>
      <c r="C2584" s="7">
        <v>4.0090000000000001E-2</v>
      </c>
      <c r="D2584" s="7">
        <v>4.0090000000000001E-2</v>
      </c>
      <c r="E2584" s="7">
        <v>4.0090000000000001E-2</v>
      </c>
      <c r="F2584" s="7">
        <v>4.0090000000000001E-2</v>
      </c>
      <c r="G2584" s="7">
        <v>1.47E-2</v>
      </c>
    </row>
    <row r="2585" spans="2:7" x14ac:dyDescent="0.2">
      <c r="B2585" s="60">
        <v>39547</v>
      </c>
      <c r="C2585" s="7">
        <v>4.0229999999999995E-2</v>
      </c>
      <c r="D2585" s="7">
        <v>4.0229999999999995E-2</v>
      </c>
      <c r="E2585" s="7">
        <v>4.0229999999999995E-2</v>
      </c>
      <c r="F2585" s="7">
        <v>4.0229999999999995E-2</v>
      </c>
      <c r="G2585" s="7">
        <v>3.5000000000000001E-3</v>
      </c>
    </row>
    <row r="2586" spans="2:7" x14ac:dyDescent="0.2">
      <c r="B2586" s="60">
        <v>39548</v>
      </c>
      <c r="C2586" s="7">
        <v>3.986E-2</v>
      </c>
      <c r="D2586" s="7">
        <v>3.986E-2</v>
      </c>
      <c r="E2586" s="7">
        <v>3.986E-2</v>
      </c>
      <c r="F2586" s="7">
        <v>3.986E-2</v>
      </c>
      <c r="G2586" s="7">
        <v>-9.1999999999999998E-3</v>
      </c>
    </row>
    <row r="2587" spans="2:7" x14ac:dyDescent="0.2">
      <c r="B2587" s="60">
        <v>39549</v>
      </c>
      <c r="C2587" s="7">
        <v>3.986E-2</v>
      </c>
      <c r="D2587" s="7">
        <v>3.986E-2</v>
      </c>
      <c r="E2587" s="7">
        <v>3.986E-2</v>
      </c>
      <c r="F2587" s="7">
        <v>3.986E-2</v>
      </c>
      <c r="G2587" s="7">
        <v>0</v>
      </c>
    </row>
    <row r="2588" spans="2:7" x14ac:dyDescent="0.2">
      <c r="B2588" s="60">
        <v>39552</v>
      </c>
      <c r="C2588" s="7">
        <v>3.9209999999999995E-2</v>
      </c>
      <c r="D2588" s="7">
        <v>3.9209999999999995E-2</v>
      </c>
      <c r="E2588" s="7">
        <v>3.9209999999999995E-2</v>
      </c>
      <c r="F2588" s="7">
        <v>3.9209999999999995E-2</v>
      </c>
      <c r="G2588" s="7">
        <v>-1.6299999999999999E-2</v>
      </c>
    </row>
    <row r="2589" spans="2:7" x14ac:dyDescent="0.2">
      <c r="B2589" s="60">
        <v>39553</v>
      </c>
      <c r="C2589" s="7">
        <v>3.9730000000000001E-2</v>
      </c>
      <c r="D2589" s="7">
        <v>3.9730000000000001E-2</v>
      </c>
      <c r="E2589" s="7">
        <v>3.9730000000000001E-2</v>
      </c>
      <c r="F2589" s="7">
        <v>3.9730000000000001E-2</v>
      </c>
      <c r="G2589" s="7">
        <v>1.3299999999999999E-2</v>
      </c>
    </row>
    <row r="2590" spans="2:7" x14ac:dyDescent="0.2">
      <c r="B2590" s="60">
        <v>39554</v>
      </c>
      <c r="C2590" s="7">
        <v>4.0430000000000001E-2</v>
      </c>
      <c r="D2590" s="7">
        <v>4.0430000000000001E-2</v>
      </c>
      <c r="E2590" s="7">
        <v>4.0430000000000001E-2</v>
      </c>
      <c r="F2590" s="7">
        <v>4.0430000000000001E-2</v>
      </c>
      <c r="G2590" s="7">
        <v>1.7600000000000001E-2</v>
      </c>
    </row>
    <row r="2591" spans="2:7" x14ac:dyDescent="0.2">
      <c r="B2591" s="60">
        <v>39555</v>
      </c>
      <c r="C2591" s="7">
        <v>4.0839999999999994E-2</v>
      </c>
      <c r="D2591" s="7">
        <v>4.0839999999999994E-2</v>
      </c>
      <c r="E2591" s="7">
        <v>4.0839999999999994E-2</v>
      </c>
      <c r="F2591" s="7">
        <v>4.0839999999999994E-2</v>
      </c>
      <c r="G2591" s="7">
        <v>1.01E-2</v>
      </c>
    </row>
    <row r="2592" spans="2:7" x14ac:dyDescent="0.2">
      <c r="B2592" s="60">
        <v>39556</v>
      </c>
      <c r="C2592" s="7">
        <v>4.1390000000000003E-2</v>
      </c>
      <c r="D2592" s="7">
        <v>4.1390000000000003E-2</v>
      </c>
      <c r="E2592" s="7">
        <v>4.1390000000000003E-2</v>
      </c>
      <c r="F2592" s="7">
        <v>4.1390000000000003E-2</v>
      </c>
      <c r="G2592" s="7">
        <v>1.35E-2</v>
      </c>
    </row>
    <row r="2593" spans="2:7" x14ac:dyDescent="0.2">
      <c r="B2593" s="60">
        <v>39559</v>
      </c>
      <c r="C2593" s="7">
        <v>4.1079999999999998E-2</v>
      </c>
      <c r="D2593" s="7">
        <v>4.1079999999999998E-2</v>
      </c>
      <c r="E2593" s="7">
        <v>4.1079999999999998E-2</v>
      </c>
      <c r="F2593" s="7">
        <v>4.1079999999999998E-2</v>
      </c>
      <c r="G2593" s="7">
        <v>-7.4999999999999997E-3</v>
      </c>
    </row>
    <row r="2594" spans="2:7" x14ac:dyDescent="0.2">
      <c r="B2594" s="60">
        <v>39560</v>
      </c>
      <c r="C2594" s="7">
        <v>4.1410000000000002E-2</v>
      </c>
      <c r="D2594" s="7">
        <v>4.1410000000000002E-2</v>
      </c>
      <c r="E2594" s="7">
        <v>4.1410000000000002E-2</v>
      </c>
      <c r="F2594" s="7">
        <v>4.1410000000000002E-2</v>
      </c>
      <c r="G2594" s="7">
        <v>8.0000000000000002E-3</v>
      </c>
    </row>
    <row r="2595" spans="2:7" x14ac:dyDescent="0.2">
      <c r="B2595" s="60">
        <v>39561</v>
      </c>
      <c r="C2595" s="7">
        <v>4.1500000000000002E-2</v>
      </c>
      <c r="D2595" s="7">
        <v>4.1500000000000002E-2</v>
      </c>
      <c r="E2595" s="7">
        <v>4.1500000000000002E-2</v>
      </c>
      <c r="F2595" s="7">
        <v>4.1500000000000002E-2</v>
      </c>
      <c r="G2595" s="7">
        <v>2.2000000000000001E-3</v>
      </c>
    </row>
    <row r="2596" spans="2:7" x14ac:dyDescent="0.2">
      <c r="B2596" s="60">
        <v>39562</v>
      </c>
      <c r="C2596" s="7">
        <v>4.1980000000000003E-2</v>
      </c>
      <c r="D2596" s="7">
        <v>4.1980000000000003E-2</v>
      </c>
      <c r="E2596" s="7">
        <v>4.1980000000000003E-2</v>
      </c>
      <c r="F2596" s="7">
        <v>4.1980000000000003E-2</v>
      </c>
      <c r="G2596" s="7">
        <v>1.1599999999999999E-2</v>
      </c>
    </row>
    <row r="2597" spans="2:7" x14ac:dyDescent="0.2">
      <c r="B2597" s="60">
        <v>39563</v>
      </c>
      <c r="C2597" s="7">
        <v>4.1799999999999997E-2</v>
      </c>
      <c r="D2597" s="7">
        <v>4.1799999999999997E-2</v>
      </c>
      <c r="E2597" s="7">
        <v>4.1799999999999997E-2</v>
      </c>
      <c r="F2597" s="7">
        <v>4.1799999999999997E-2</v>
      </c>
      <c r="G2597" s="7">
        <v>-4.3E-3</v>
      </c>
    </row>
    <row r="2598" spans="2:7" x14ac:dyDescent="0.2">
      <c r="B2598" s="60">
        <v>39566</v>
      </c>
      <c r="C2598" s="7">
        <v>4.2110000000000002E-2</v>
      </c>
      <c r="D2598" s="7">
        <v>4.2110000000000002E-2</v>
      </c>
      <c r="E2598" s="7">
        <v>4.2110000000000002E-2</v>
      </c>
      <c r="F2598" s="7">
        <v>4.2110000000000002E-2</v>
      </c>
      <c r="G2598" s="7">
        <v>7.4000000000000003E-3</v>
      </c>
    </row>
    <row r="2599" spans="2:7" x14ac:dyDescent="0.2">
      <c r="B2599" s="60">
        <v>39567</v>
      </c>
      <c r="C2599" s="7">
        <v>4.1360000000000001E-2</v>
      </c>
      <c r="D2599" s="7">
        <v>4.1360000000000001E-2</v>
      </c>
      <c r="E2599" s="7">
        <v>4.1360000000000001E-2</v>
      </c>
      <c r="F2599" s="7">
        <v>4.1360000000000001E-2</v>
      </c>
      <c r="G2599" s="7">
        <v>-1.78E-2</v>
      </c>
    </row>
    <row r="2600" spans="2:7" x14ac:dyDescent="0.2">
      <c r="B2600" s="60">
        <v>39568</v>
      </c>
      <c r="C2600" s="7">
        <v>4.1159999999999995E-2</v>
      </c>
      <c r="D2600" s="7">
        <v>4.1159999999999995E-2</v>
      </c>
      <c r="E2600" s="7">
        <v>4.1159999999999995E-2</v>
      </c>
      <c r="F2600" s="7">
        <v>4.1159999999999995E-2</v>
      </c>
      <c r="G2600" s="7">
        <v>-4.7999999999999996E-3</v>
      </c>
    </row>
    <row r="2601" spans="2:7" x14ac:dyDescent="0.2">
      <c r="B2601" s="60">
        <v>39570</v>
      </c>
      <c r="C2601" s="7">
        <v>4.1980000000000003E-2</v>
      </c>
      <c r="D2601" s="7">
        <v>4.1980000000000003E-2</v>
      </c>
      <c r="E2601" s="7">
        <v>4.1980000000000003E-2</v>
      </c>
      <c r="F2601" s="7">
        <v>4.1980000000000003E-2</v>
      </c>
      <c r="G2601" s="7">
        <v>1.9900000000000001E-2</v>
      </c>
    </row>
    <row r="2602" spans="2:7" x14ac:dyDescent="0.2">
      <c r="B2602" s="60">
        <v>39573</v>
      </c>
      <c r="C2602" s="7">
        <v>4.1609999999999994E-2</v>
      </c>
      <c r="D2602" s="7">
        <v>4.1609999999999994E-2</v>
      </c>
      <c r="E2602" s="7">
        <v>4.1609999999999994E-2</v>
      </c>
      <c r="F2602" s="7">
        <v>4.1609999999999994E-2</v>
      </c>
      <c r="G2602" s="7">
        <v>-8.8000000000000005E-3</v>
      </c>
    </row>
    <row r="2603" spans="2:7" x14ac:dyDescent="0.2">
      <c r="B2603" s="60">
        <v>39574</v>
      </c>
      <c r="C2603" s="7">
        <v>4.1360000000000001E-2</v>
      </c>
      <c r="D2603" s="7">
        <v>4.1360000000000001E-2</v>
      </c>
      <c r="E2603" s="7">
        <v>4.1360000000000001E-2</v>
      </c>
      <c r="F2603" s="7">
        <v>4.1360000000000001E-2</v>
      </c>
      <c r="G2603" s="7">
        <v>-6.0000000000000001E-3</v>
      </c>
    </row>
    <row r="2604" spans="2:7" x14ac:dyDescent="0.2">
      <c r="B2604" s="60">
        <v>39575</v>
      </c>
      <c r="C2604" s="7">
        <v>4.1840000000000002E-2</v>
      </c>
      <c r="D2604" s="7">
        <v>4.1840000000000002E-2</v>
      </c>
      <c r="E2604" s="7">
        <v>4.1840000000000002E-2</v>
      </c>
      <c r="F2604" s="7">
        <v>4.1840000000000002E-2</v>
      </c>
      <c r="G2604" s="7">
        <v>1.1599999999999999E-2</v>
      </c>
    </row>
    <row r="2605" spans="2:7" x14ac:dyDescent="0.2">
      <c r="B2605" s="60">
        <v>39576</v>
      </c>
      <c r="C2605" s="7">
        <v>4.0670000000000005E-2</v>
      </c>
      <c r="D2605" s="7">
        <v>4.0670000000000005E-2</v>
      </c>
      <c r="E2605" s="7">
        <v>4.0670000000000005E-2</v>
      </c>
      <c r="F2605" s="7">
        <v>4.0670000000000005E-2</v>
      </c>
      <c r="G2605" s="7">
        <v>-2.8000000000000001E-2</v>
      </c>
    </row>
    <row r="2606" spans="2:7" x14ac:dyDescent="0.2">
      <c r="B2606" s="60">
        <v>39577</v>
      </c>
      <c r="C2606" s="7">
        <v>3.9910000000000001E-2</v>
      </c>
      <c r="D2606" s="7">
        <v>3.9910000000000001E-2</v>
      </c>
      <c r="E2606" s="7">
        <v>3.9910000000000001E-2</v>
      </c>
      <c r="F2606" s="7">
        <v>3.9910000000000001E-2</v>
      </c>
      <c r="G2606" s="7">
        <v>-1.8700000000000001E-2</v>
      </c>
    </row>
    <row r="2607" spans="2:7" x14ac:dyDescent="0.2">
      <c r="B2607" s="60">
        <v>39580</v>
      </c>
      <c r="C2607" s="7">
        <v>4.011E-2</v>
      </c>
      <c r="D2607" s="7">
        <v>4.011E-2</v>
      </c>
      <c r="E2607" s="7">
        <v>4.011E-2</v>
      </c>
      <c r="F2607" s="7">
        <v>4.011E-2</v>
      </c>
      <c r="G2607" s="7">
        <v>5.0000000000000001E-3</v>
      </c>
    </row>
    <row r="2608" spans="2:7" x14ac:dyDescent="0.2">
      <c r="B2608" s="60">
        <v>39581</v>
      </c>
      <c r="C2608" s="7">
        <v>4.0940000000000004E-2</v>
      </c>
      <c r="D2608" s="7">
        <v>4.0940000000000004E-2</v>
      </c>
      <c r="E2608" s="7">
        <v>4.0940000000000004E-2</v>
      </c>
      <c r="F2608" s="7">
        <v>4.0940000000000004E-2</v>
      </c>
      <c r="G2608" s="7">
        <v>2.07E-2</v>
      </c>
    </row>
    <row r="2609" spans="2:7" x14ac:dyDescent="0.2">
      <c r="B2609" s="60">
        <v>39582</v>
      </c>
      <c r="C2609" s="7">
        <v>4.172E-2</v>
      </c>
      <c r="D2609" s="7">
        <v>4.172E-2</v>
      </c>
      <c r="E2609" s="7">
        <v>4.172E-2</v>
      </c>
      <c r="F2609" s="7">
        <v>4.172E-2</v>
      </c>
      <c r="G2609" s="7">
        <v>1.9099999999999999E-2</v>
      </c>
    </row>
    <row r="2610" spans="2:7" x14ac:dyDescent="0.2">
      <c r="B2610" s="60">
        <v>39583</v>
      </c>
      <c r="C2610" s="7">
        <v>4.2069999999999996E-2</v>
      </c>
      <c r="D2610" s="7">
        <v>4.2069999999999996E-2</v>
      </c>
      <c r="E2610" s="7">
        <v>4.2069999999999996E-2</v>
      </c>
      <c r="F2610" s="7">
        <v>4.2069999999999996E-2</v>
      </c>
      <c r="G2610" s="7">
        <v>8.3999999999999995E-3</v>
      </c>
    </row>
    <row r="2611" spans="2:7" x14ac:dyDescent="0.2">
      <c r="B2611" s="60">
        <v>39584</v>
      </c>
      <c r="C2611" s="7">
        <v>4.1779999999999998E-2</v>
      </c>
      <c r="D2611" s="7">
        <v>4.1779999999999998E-2</v>
      </c>
      <c r="E2611" s="7">
        <v>4.1779999999999998E-2</v>
      </c>
      <c r="F2611" s="7">
        <v>4.1779999999999998E-2</v>
      </c>
      <c r="G2611" s="7">
        <v>-6.8999999999999999E-3</v>
      </c>
    </row>
    <row r="2612" spans="2:7" x14ac:dyDescent="0.2">
      <c r="B2612" s="60">
        <v>39587</v>
      </c>
      <c r="C2612" s="7">
        <v>4.2130000000000001E-2</v>
      </c>
      <c r="D2612" s="7">
        <v>4.2130000000000001E-2</v>
      </c>
      <c r="E2612" s="7">
        <v>4.2130000000000001E-2</v>
      </c>
      <c r="F2612" s="7">
        <v>4.2130000000000001E-2</v>
      </c>
      <c r="G2612" s="7">
        <v>8.3999999999999995E-3</v>
      </c>
    </row>
    <row r="2613" spans="2:7" x14ac:dyDescent="0.2">
      <c r="B2613" s="60">
        <v>39588</v>
      </c>
      <c r="C2613" s="7">
        <v>4.1919999999999999E-2</v>
      </c>
      <c r="D2613" s="7">
        <v>4.1919999999999999E-2</v>
      </c>
      <c r="E2613" s="7">
        <v>4.1919999999999999E-2</v>
      </c>
      <c r="F2613" s="7">
        <v>4.1919999999999999E-2</v>
      </c>
      <c r="G2613" s="7">
        <v>-5.0000000000000001E-3</v>
      </c>
    </row>
    <row r="2614" spans="2:7" x14ac:dyDescent="0.2">
      <c r="B2614" s="60">
        <v>39589</v>
      </c>
      <c r="C2614" s="7">
        <v>4.2670000000000007E-2</v>
      </c>
      <c r="D2614" s="7">
        <v>4.2670000000000007E-2</v>
      </c>
      <c r="E2614" s="7">
        <v>4.2670000000000007E-2</v>
      </c>
      <c r="F2614" s="7">
        <v>4.2670000000000007E-2</v>
      </c>
      <c r="G2614" s="7">
        <v>1.7899999999999999E-2</v>
      </c>
    </row>
    <row r="2615" spans="2:7" x14ac:dyDescent="0.2">
      <c r="B2615" s="60">
        <v>39590</v>
      </c>
      <c r="C2615" s="7">
        <v>4.3070000000000004E-2</v>
      </c>
      <c r="D2615" s="7">
        <v>4.3070000000000004E-2</v>
      </c>
      <c r="E2615" s="7">
        <v>4.3070000000000004E-2</v>
      </c>
      <c r="F2615" s="7">
        <v>4.3070000000000004E-2</v>
      </c>
      <c r="G2615" s="7">
        <v>9.4000000000000004E-3</v>
      </c>
    </row>
    <row r="2616" spans="2:7" x14ac:dyDescent="0.2">
      <c r="B2616" s="60">
        <v>39591</v>
      </c>
      <c r="C2616" s="7">
        <v>4.2640000000000004E-2</v>
      </c>
      <c r="D2616" s="7">
        <v>4.2640000000000004E-2</v>
      </c>
      <c r="E2616" s="7">
        <v>4.2640000000000004E-2</v>
      </c>
      <c r="F2616" s="7">
        <v>4.2640000000000004E-2</v>
      </c>
      <c r="G2616" s="7">
        <v>-0.01</v>
      </c>
    </row>
    <row r="2617" spans="2:7" x14ac:dyDescent="0.2">
      <c r="B2617" s="60">
        <v>39594</v>
      </c>
      <c r="C2617" s="7">
        <v>4.2939999999999999E-2</v>
      </c>
      <c r="D2617" s="7">
        <v>4.2939999999999999E-2</v>
      </c>
      <c r="E2617" s="7">
        <v>4.2939999999999999E-2</v>
      </c>
      <c r="F2617" s="7">
        <v>4.2939999999999999E-2</v>
      </c>
      <c r="G2617" s="7">
        <v>7.0000000000000001E-3</v>
      </c>
    </row>
    <row r="2618" spans="2:7" x14ac:dyDescent="0.2">
      <c r="B2618" s="60">
        <v>39595</v>
      </c>
      <c r="C2618" s="7">
        <v>4.3129999999999995E-2</v>
      </c>
      <c r="D2618" s="7">
        <v>4.3129999999999995E-2</v>
      </c>
      <c r="E2618" s="7">
        <v>4.3129999999999995E-2</v>
      </c>
      <c r="F2618" s="7">
        <v>4.3129999999999995E-2</v>
      </c>
      <c r="G2618" s="7">
        <v>4.4000000000000003E-3</v>
      </c>
    </row>
    <row r="2619" spans="2:7" x14ac:dyDescent="0.2">
      <c r="B2619" s="60">
        <v>39596</v>
      </c>
      <c r="C2619" s="7">
        <v>4.3589999999999997E-2</v>
      </c>
      <c r="D2619" s="7">
        <v>4.3589999999999997E-2</v>
      </c>
      <c r="E2619" s="7">
        <v>4.3589999999999997E-2</v>
      </c>
      <c r="F2619" s="7">
        <v>4.3589999999999997E-2</v>
      </c>
      <c r="G2619" s="7">
        <v>1.0699999999999999E-2</v>
      </c>
    </row>
    <row r="2620" spans="2:7" x14ac:dyDescent="0.2">
      <c r="B2620" s="60">
        <v>39597</v>
      </c>
      <c r="C2620" s="7">
        <v>4.4600000000000001E-2</v>
      </c>
      <c r="D2620" s="7">
        <v>4.4600000000000001E-2</v>
      </c>
      <c r="E2620" s="7">
        <v>4.4600000000000001E-2</v>
      </c>
      <c r="F2620" s="7">
        <v>4.4600000000000001E-2</v>
      </c>
      <c r="G2620" s="7">
        <v>2.3199999999999998E-2</v>
      </c>
    </row>
    <row r="2621" spans="2:7" x14ac:dyDescent="0.2">
      <c r="B2621" s="60">
        <v>39598</v>
      </c>
      <c r="C2621" s="7">
        <v>4.4539999999999996E-2</v>
      </c>
      <c r="D2621" s="7">
        <v>4.4539999999999996E-2</v>
      </c>
      <c r="E2621" s="7">
        <v>4.4539999999999996E-2</v>
      </c>
      <c r="F2621" s="7">
        <v>4.4539999999999996E-2</v>
      </c>
      <c r="G2621" s="7">
        <v>-1.2999999999999999E-3</v>
      </c>
    </row>
    <row r="2622" spans="2:7" x14ac:dyDescent="0.2">
      <c r="B2622" s="60">
        <v>39601</v>
      </c>
      <c r="C2622" s="7">
        <v>4.369E-2</v>
      </c>
      <c r="D2622" s="7">
        <v>4.369E-2</v>
      </c>
      <c r="E2622" s="7">
        <v>4.369E-2</v>
      </c>
      <c r="F2622" s="7">
        <v>4.369E-2</v>
      </c>
      <c r="G2622" s="7">
        <v>-1.9099999999999999E-2</v>
      </c>
    </row>
    <row r="2623" spans="2:7" x14ac:dyDescent="0.2">
      <c r="B2623" s="60">
        <v>39602</v>
      </c>
      <c r="C2623" s="7">
        <v>4.4379999999999996E-2</v>
      </c>
      <c r="D2623" s="7">
        <v>4.4379999999999996E-2</v>
      </c>
      <c r="E2623" s="7">
        <v>4.4379999999999996E-2</v>
      </c>
      <c r="F2623" s="7">
        <v>4.4379999999999996E-2</v>
      </c>
      <c r="G2623" s="7">
        <v>1.5800000000000002E-2</v>
      </c>
    </row>
    <row r="2624" spans="2:7" x14ac:dyDescent="0.2">
      <c r="B2624" s="60">
        <v>39603</v>
      </c>
      <c r="C2624" s="7">
        <v>4.4330000000000001E-2</v>
      </c>
      <c r="D2624" s="7">
        <v>4.4330000000000001E-2</v>
      </c>
      <c r="E2624" s="7">
        <v>4.4330000000000001E-2</v>
      </c>
      <c r="F2624" s="7">
        <v>4.4330000000000001E-2</v>
      </c>
      <c r="G2624" s="7">
        <v>-1.1000000000000001E-3</v>
      </c>
    </row>
    <row r="2625" spans="2:7" x14ac:dyDescent="0.2">
      <c r="B2625" s="60">
        <v>39604</v>
      </c>
      <c r="C2625" s="7">
        <v>4.4950000000000004E-2</v>
      </c>
      <c r="D2625" s="7">
        <v>4.4950000000000004E-2</v>
      </c>
      <c r="E2625" s="7">
        <v>4.4950000000000004E-2</v>
      </c>
      <c r="F2625" s="7">
        <v>4.4950000000000004E-2</v>
      </c>
      <c r="G2625" s="7">
        <v>1.4E-2</v>
      </c>
    </row>
    <row r="2626" spans="2:7" x14ac:dyDescent="0.2">
      <c r="B2626" s="60">
        <v>39605</v>
      </c>
      <c r="C2626" s="7">
        <v>4.4229999999999998E-2</v>
      </c>
      <c r="D2626" s="7">
        <v>4.4229999999999998E-2</v>
      </c>
      <c r="E2626" s="7">
        <v>4.4229999999999998E-2</v>
      </c>
      <c r="F2626" s="7">
        <v>4.4229999999999998E-2</v>
      </c>
      <c r="G2626" s="7">
        <v>-1.6E-2</v>
      </c>
    </row>
    <row r="2627" spans="2:7" x14ac:dyDescent="0.2">
      <c r="B2627" s="60">
        <v>39608</v>
      </c>
      <c r="C2627" s="7">
        <v>4.4770000000000004E-2</v>
      </c>
      <c r="D2627" s="7">
        <v>4.4770000000000004E-2</v>
      </c>
      <c r="E2627" s="7">
        <v>4.4770000000000004E-2</v>
      </c>
      <c r="F2627" s="7">
        <v>4.4770000000000004E-2</v>
      </c>
      <c r="G2627" s="7">
        <v>1.2200000000000001E-2</v>
      </c>
    </row>
    <row r="2628" spans="2:7" x14ac:dyDescent="0.2">
      <c r="B2628" s="60">
        <v>39609</v>
      </c>
      <c r="C2628" s="7">
        <v>4.5510000000000002E-2</v>
      </c>
      <c r="D2628" s="7">
        <v>4.5510000000000002E-2</v>
      </c>
      <c r="E2628" s="7">
        <v>4.5510000000000002E-2</v>
      </c>
      <c r="F2628" s="7">
        <v>4.5510000000000002E-2</v>
      </c>
      <c r="G2628" s="7">
        <v>1.6500000000000001E-2</v>
      </c>
    </row>
    <row r="2629" spans="2:7" x14ac:dyDescent="0.2">
      <c r="B2629" s="60">
        <v>39610</v>
      </c>
      <c r="C2629" s="7">
        <v>4.5690000000000001E-2</v>
      </c>
      <c r="D2629" s="7">
        <v>4.5690000000000001E-2</v>
      </c>
      <c r="E2629" s="7">
        <v>4.5690000000000001E-2</v>
      </c>
      <c r="F2629" s="7">
        <v>4.5690000000000001E-2</v>
      </c>
      <c r="G2629" s="7">
        <v>4.0000000000000001E-3</v>
      </c>
    </row>
    <row r="2630" spans="2:7" x14ac:dyDescent="0.2">
      <c r="B2630" s="60">
        <v>39611</v>
      </c>
      <c r="C2630" s="7">
        <v>4.6170000000000003E-2</v>
      </c>
      <c r="D2630" s="7">
        <v>4.6170000000000003E-2</v>
      </c>
      <c r="E2630" s="7">
        <v>4.6170000000000003E-2</v>
      </c>
      <c r="F2630" s="7">
        <v>4.6170000000000003E-2</v>
      </c>
      <c r="G2630" s="7">
        <v>1.0500000000000001E-2</v>
      </c>
    </row>
    <row r="2631" spans="2:7" x14ac:dyDescent="0.2">
      <c r="B2631" s="60">
        <v>39612</v>
      </c>
      <c r="C2631" s="7">
        <v>4.6550000000000001E-2</v>
      </c>
      <c r="D2631" s="7">
        <v>4.6550000000000001E-2</v>
      </c>
      <c r="E2631" s="7">
        <v>4.6550000000000001E-2</v>
      </c>
      <c r="F2631" s="7">
        <v>4.6550000000000001E-2</v>
      </c>
      <c r="G2631" s="7">
        <v>8.2000000000000007E-3</v>
      </c>
    </row>
    <row r="2632" spans="2:7" x14ac:dyDescent="0.2">
      <c r="B2632" s="60">
        <v>39615</v>
      </c>
      <c r="C2632" s="7">
        <v>4.6260000000000003E-2</v>
      </c>
      <c r="D2632" s="7">
        <v>4.6260000000000003E-2</v>
      </c>
      <c r="E2632" s="7">
        <v>4.6260000000000003E-2</v>
      </c>
      <c r="F2632" s="7">
        <v>4.6260000000000003E-2</v>
      </c>
      <c r="G2632" s="7">
        <v>-6.1999999999999998E-3</v>
      </c>
    </row>
    <row r="2633" spans="2:7" x14ac:dyDescent="0.2">
      <c r="B2633" s="60">
        <v>39616</v>
      </c>
      <c r="C2633" s="7">
        <v>4.598E-2</v>
      </c>
      <c r="D2633" s="7">
        <v>4.598E-2</v>
      </c>
      <c r="E2633" s="7">
        <v>4.598E-2</v>
      </c>
      <c r="F2633" s="7">
        <v>4.598E-2</v>
      </c>
      <c r="G2633" s="7">
        <v>-6.1000000000000004E-3</v>
      </c>
    </row>
    <row r="2634" spans="2:7" x14ac:dyDescent="0.2">
      <c r="B2634" s="60">
        <v>39617</v>
      </c>
      <c r="C2634" s="7">
        <v>4.5999999999999999E-2</v>
      </c>
      <c r="D2634" s="7">
        <v>4.5999999999999999E-2</v>
      </c>
      <c r="E2634" s="7">
        <v>4.5999999999999999E-2</v>
      </c>
      <c r="F2634" s="7">
        <v>4.5999999999999999E-2</v>
      </c>
      <c r="G2634" s="7">
        <v>4.0000000000000002E-4</v>
      </c>
    </row>
    <row r="2635" spans="2:7" x14ac:dyDescent="0.2">
      <c r="B2635" s="60">
        <v>39618</v>
      </c>
      <c r="C2635" s="7">
        <v>4.6780000000000002E-2</v>
      </c>
      <c r="D2635" s="7">
        <v>4.6780000000000002E-2</v>
      </c>
      <c r="E2635" s="7">
        <v>4.6780000000000002E-2</v>
      </c>
      <c r="F2635" s="7">
        <v>4.6780000000000002E-2</v>
      </c>
      <c r="G2635" s="7">
        <v>1.7000000000000001E-2</v>
      </c>
    </row>
    <row r="2636" spans="2:7" x14ac:dyDescent="0.2">
      <c r="B2636" s="60">
        <v>39619</v>
      </c>
      <c r="C2636" s="7">
        <v>4.6260000000000003E-2</v>
      </c>
      <c r="D2636" s="7">
        <v>4.6260000000000003E-2</v>
      </c>
      <c r="E2636" s="7">
        <v>4.6260000000000003E-2</v>
      </c>
      <c r="F2636" s="7">
        <v>4.6260000000000003E-2</v>
      </c>
      <c r="G2636" s="7">
        <v>-1.11E-2</v>
      </c>
    </row>
    <row r="2637" spans="2:7" x14ac:dyDescent="0.2">
      <c r="B2637" s="60">
        <v>39622</v>
      </c>
      <c r="C2637" s="7">
        <v>4.6199999999999998E-2</v>
      </c>
      <c r="D2637" s="7">
        <v>4.6199999999999998E-2</v>
      </c>
      <c r="E2637" s="7">
        <v>4.6199999999999998E-2</v>
      </c>
      <c r="F2637" s="7">
        <v>4.6199999999999998E-2</v>
      </c>
      <c r="G2637" s="7">
        <v>-1.2999999999999999E-3</v>
      </c>
    </row>
    <row r="2638" spans="2:7" x14ac:dyDescent="0.2">
      <c r="B2638" s="60">
        <v>39623</v>
      </c>
      <c r="C2638" s="7">
        <v>4.5990000000000003E-2</v>
      </c>
      <c r="D2638" s="7">
        <v>4.5990000000000003E-2</v>
      </c>
      <c r="E2638" s="7">
        <v>4.5990000000000003E-2</v>
      </c>
      <c r="F2638" s="7">
        <v>4.5990000000000003E-2</v>
      </c>
      <c r="G2638" s="7">
        <v>-4.4999999999999997E-3</v>
      </c>
    </row>
    <row r="2639" spans="2:7" x14ac:dyDescent="0.2">
      <c r="B2639" s="60">
        <v>39624</v>
      </c>
      <c r="C2639" s="7">
        <v>4.6100000000000002E-2</v>
      </c>
      <c r="D2639" s="7">
        <v>4.6100000000000002E-2</v>
      </c>
      <c r="E2639" s="7">
        <v>4.6100000000000002E-2</v>
      </c>
      <c r="F2639" s="7">
        <v>4.6100000000000002E-2</v>
      </c>
      <c r="G2639" s="7">
        <v>2.3999999999999998E-3</v>
      </c>
    </row>
    <row r="2640" spans="2:7" x14ac:dyDescent="0.2">
      <c r="B2640" s="60">
        <v>39625</v>
      </c>
      <c r="C2640" s="7">
        <v>4.5149999999999996E-2</v>
      </c>
      <c r="D2640" s="7">
        <v>4.5149999999999996E-2</v>
      </c>
      <c r="E2640" s="7">
        <v>4.5149999999999996E-2</v>
      </c>
      <c r="F2640" s="7">
        <v>4.5149999999999996E-2</v>
      </c>
      <c r="G2640" s="7">
        <v>-2.06E-2</v>
      </c>
    </row>
    <row r="2641" spans="2:7" x14ac:dyDescent="0.2">
      <c r="B2641" s="60">
        <v>39626</v>
      </c>
      <c r="C2641" s="7">
        <v>4.5250000000000005E-2</v>
      </c>
      <c r="D2641" s="7">
        <v>4.5250000000000005E-2</v>
      </c>
      <c r="E2641" s="7">
        <v>4.5250000000000005E-2</v>
      </c>
      <c r="F2641" s="7">
        <v>4.5250000000000005E-2</v>
      </c>
      <c r="G2641" s="7">
        <v>2.2000000000000001E-3</v>
      </c>
    </row>
    <row r="2642" spans="2:7" x14ac:dyDescent="0.2">
      <c r="B2642" s="60">
        <v>39629</v>
      </c>
      <c r="C2642" s="7">
        <v>4.6280000000000002E-2</v>
      </c>
      <c r="D2642" s="7">
        <v>4.6280000000000002E-2</v>
      </c>
      <c r="E2642" s="7">
        <v>4.6280000000000002E-2</v>
      </c>
      <c r="F2642" s="7">
        <v>4.6280000000000002E-2</v>
      </c>
      <c r="G2642" s="7">
        <v>2.2800000000000001E-2</v>
      </c>
    </row>
    <row r="2643" spans="2:7" x14ac:dyDescent="0.2">
      <c r="B2643" s="60">
        <v>39630</v>
      </c>
      <c r="C2643" s="7">
        <v>4.614E-2</v>
      </c>
      <c r="D2643" s="7">
        <v>4.614E-2</v>
      </c>
      <c r="E2643" s="7">
        <v>4.614E-2</v>
      </c>
      <c r="F2643" s="7">
        <v>4.614E-2</v>
      </c>
      <c r="G2643" s="7">
        <v>-3.0000000000000001E-3</v>
      </c>
    </row>
    <row r="2644" spans="2:7" x14ac:dyDescent="0.2">
      <c r="B2644" s="60">
        <v>39631</v>
      </c>
      <c r="C2644" s="7">
        <v>4.6580000000000003E-2</v>
      </c>
      <c r="D2644" s="7">
        <v>4.6580000000000003E-2</v>
      </c>
      <c r="E2644" s="7">
        <v>4.6580000000000003E-2</v>
      </c>
      <c r="F2644" s="7">
        <v>4.6580000000000003E-2</v>
      </c>
      <c r="G2644" s="7">
        <v>9.4999999999999998E-3</v>
      </c>
    </row>
    <row r="2645" spans="2:7" x14ac:dyDescent="0.2">
      <c r="B2645" s="60">
        <v>39632</v>
      </c>
      <c r="C2645" s="7">
        <v>4.5530000000000001E-2</v>
      </c>
      <c r="D2645" s="7">
        <v>4.5530000000000001E-2</v>
      </c>
      <c r="E2645" s="7">
        <v>4.5530000000000001E-2</v>
      </c>
      <c r="F2645" s="7">
        <v>4.5530000000000001E-2</v>
      </c>
      <c r="G2645" s="7">
        <v>-2.2499999999999999E-2</v>
      </c>
    </row>
    <row r="2646" spans="2:7" x14ac:dyDescent="0.2">
      <c r="B2646" s="60">
        <v>39633</v>
      </c>
      <c r="C2646" s="7">
        <v>4.4960000000000007E-2</v>
      </c>
      <c r="D2646" s="7">
        <v>4.4960000000000007E-2</v>
      </c>
      <c r="E2646" s="7">
        <v>4.4960000000000007E-2</v>
      </c>
      <c r="F2646" s="7">
        <v>4.4960000000000007E-2</v>
      </c>
      <c r="G2646" s="7">
        <v>-1.2500000000000001E-2</v>
      </c>
    </row>
    <row r="2647" spans="2:7" x14ac:dyDescent="0.2">
      <c r="B2647" s="60">
        <v>39636</v>
      </c>
      <c r="C2647" s="7">
        <v>4.4290000000000003E-2</v>
      </c>
      <c r="D2647" s="7">
        <v>4.4290000000000003E-2</v>
      </c>
      <c r="E2647" s="7">
        <v>4.4290000000000003E-2</v>
      </c>
      <c r="F2647" s="7">
        <v>4.4290000000000003E-2</v>
      </c>
      <c r="G2647" s="7">
        <v>-1.49E-2</v>
      </c>
    </row>
    <row r="2648" spans="2:7" x14ac:dyDescent="0.2">
      <c r="B2648" s="60">
        <v>39637</v>
      </c>
      <c r="C2648" s="7">
        <v>4.4089999999999997E-2</v>
      </c>
      <c r="D2648" s="7">
        <v>4.4089999999999997E-2</v>
      </c>
      <c r="E2648" s="7">
        <v>4.4089999999999997E-2</v>
      </c>
      <c r="F2648" s="7">
        <v>4.4089999999999997E-2</v>
      </c>
      <c r="G2648" s="7">
        <v>-4.4999999999999997E-3</v>
      </c>
    </row>
    <row r="2649" spans="2:7" x14ac:dyDescent="0.2">
      <c r="B2649" s="60">
        <v>39638</v>
      </c>
      <c r="C2649" s="7">
        <v>4.4170000000000001E-2</v>
      </c>
      <c r="D2649" s="7">
        <v>4.4170000000000001E-2</v>
      </c>
      <c r="E2649" s="7">
        <v>4.4170000000000001E-2</v>
      </c>
      <c r="F2649" s="7">
        <v>4.4170000000000001E-2</v>
      </c>
      <c r="G2649" s="7">
        <v>1.8E-3</v>
      </c>
    </row>
    <row r="2650" spans="2:7" x14ac:dyDescent="0.2">
      <c r="B2650" s="60">
        <v>39639</v>
      </c>
      <c r="C2650" s="7">
        <v>4.3869999999999992E-2</v>
      </c>
      <c r="D2650" s="7">
        <v>4.3869999999999992E-2</v>
      </c>
      <c r="E2650" s="7">
        <v>4.3869999999999992E-2</v>
      </c>
      <c r="F2650" s="7">
        <v>4.3869999999999992E-2</v>
      </c>
      <c r="G2650" s="7">
        <v>-6.7999999999999996E-3</v>
      </c>
    </row>
    <row r="2651" spans="2:7" x14ac:dyDescent="0.2">
      <c r="B2651" s="60">
        <v>39640</v>
      </c>
      <c r="C2651" s="7">
        <v>4.4560000000000002E-2</v>
      </c>
      <c r="D2651" s="7">
        <v>4.4560000000000002E-2</v>
      </c>
      <c r="E2651" s="7">
        <v>4.4560000000000002E-2</v>
      </c>
      <c r="F2651" s="7">
        <v>4.4560000000000002E-2</v>
      </c>
      <c r="G2651" s="7">
        <v>1.5699999999999999E-2</v>
      </c>
    </row>
    <row r="2652" spans="2:7" x14ac:dyDescent="0.2">
      <c r="B2652" s="60">
        <v>39643</v>
      </c>
      <c r="C2652" s="7">
        <v>4.3949999999999996E-2</v>
      </c>
      <c r="D2652" s="7">
        <v>4.3949999999999996E-2</v>
      </c>
      <c r="E2652" s="7">
        <v>4.3949999999999996E-2</v>
      </c>
      <c r="F2652" s="7">
        <v>4.3949999999999996E-2</v>
      </c>
      <c r="G2652" s="7">
        <v>-1.37E-2</v>
      </c>
    </row>
    <row r="2653" spans="2:7" x14ac:dyDescent="0.2">
      <c r="B2653" s="60">
        <v>39644</v>
      </c>
      <c r="C2653" s="7">
        <v>4.3990000000000001E-2</v>
      </c>
      <c r="D2653" s="7">
        <v>4.3990000000000001E-2</v>
      </c>
      <c r="E2653" s="7">
        <v>4.3990000000000001E-2</v>
      </c>
      <c r="F2653" s="7">
        <v>4.3990000000000001E-2</v>
      </c>
      <c r="G2653" s="7">
        <v>8.9999999999999998E-4</v>
      </c>
    </row>
    <row r="2654" spans="2:7" x14ac:dyDescent="0.2">
      <c r="B2654" s="60">
        <v>39645</v>
      </c>
      <c r="C2654" s="7">
        <v>4.4029999999999993E-2</v>
      </c>
      <c r="D2654" s="7">
        <v>4.4029999999999993E-2</v>
      </c>
      <c r="E2654" s="7">
        <v>4.4029999999999993E-2</v>
      </c>
      <c r="F2654" s="7">
        <v>4.4029999999999993E-2</v>
      </c>
      <c r="G2654" s="7">
        <v>8.9999999999999998E-4</v>
      </c>
    </row>
    <row r="2655" spans="2:7" x14ac:dyDescent="0.2">
      <c r="B2655" s="60">
        <v>39646</v>
      </c>
      <c r="C2655" s="7">
        <v>4.4569999999999999E-2</v>
      </c>
      <c r="D2655" s="7">
        <v>4.4569999999999999E-2</v>
      </c>
      <c r="E2655" s="7">
        <v>4.4569999999999999E-2</v>
      </c>
      <c r="F2655" s="7">
        <v>4.4569999999999999E-2</v>
      </c>
      <c r="G2655" s="7">
        <v>1.23E-2</v>
      </c>
    </row>
    <row r="2656" spans="2:7" x14ac:dyDescent="0.2">
      <c r="B2656" s="60">
        <v>39647</v>
      </c>
      <c r="C2656" s="7">
        <v>4.5860000000000005E-2</v>
      </c>
      <c r="D2656" s="7">
        <v>4.5860000000000005E-2</v>
      </c>
      <c r="E2656" s="7">
        <v>4.5860000000000005E-2</v>
      </c>
      <c r="F2656" s="7">
        <v>4.5860000000000005E-2</v>
      </c>
      <c r="G2656" s="7">
        <v>2.8899999999999999E-2</v>
      </c>
    </row>
    <row r="2657" spans="2:7" x14ac:dyDescent="0.2">
      <c r="B2657" s="60">
        <v>39650</v>
      </c>
      <c r="C2657" s="7">
        <v>4.632E-2</v>
      </c>
      <c r="D2657" s="7">
        <v>4.632E-2</v>
      </c>
      <c r="E2657" s="7">
        <v>4.632E-2</v>
      </c>
      <c r="F2657" s="7">
        <v>4.632E-2</v>
      </c>
      <c r="G2657" s="7">
        <v>0.01</v>
      </c>
    </row>
    <row r="2658" spans="2:7" x14ac:dyDescent="0.2">
      <c r="B2658" s="60">
        <v>39651</v>
      </c>
      <c r="C2658" s="7">
        <v>4.6369999999999995E-2</v>
      </c>
      <c r="D2658" s="7">
        <v>4.6369999999999995E-2</v>
      </c>
      <c r="E2658" s="7">
        <v>4.6369999999999995E-2</v>
      </c>
      <c r="F2658" s="7">
        <v>4.6369999999999995E-2</v>
      </c>
      <c r="G2658" s="7">
        <v>1.1000000000000001E-3</v>
      </c>
    </row>
    <row r="2659" spans="2:7" x14ac:dyDescent="0.2">
      <c r="B2659" s="60">
        <v>39652</v>
      </c>
      <c r="C2659" s="7">
        <v>4.6589999999999999E-2</v>
      </c>
      <c r="D2659" s="7">
        <v>4.6589999999999999E-2</v>
      </c>
      <c r="E2659" s="7">
        <v>4.6589999999999999E-2</v>
      </c>
      <c r="F2659" s="7">
        <v>4.6589999999999999E-2</v>
      </c>
      <c r="G2659" s="7">
        <v>4.7000000000000002E-3</v>
      </c>
    </row>
    <row r="2660" spans="2:7" x14ac:dyDescent="0.2">
      <c r="B2660" s="60">
        <v>39653</v>
      </c>
      <c r="C2660" s="7">
        <v>4.5629999999999997E-2</v>
      </c>
      <c r="D2660" s="7">
        <v>4.5629999999999997E-2</v>
      </c>
      <c r="E2660" s="7">
        <v>4.5629999999999997E-2</v>
      </c>
      <c r="F2660" s="7">
        <v>4.5629999999999997E-2</v>
      </c>
      <c r="G2660" s="7">
        <v>-2.06E-2</v>
      </c>
    </row>
    <row r="2661" spans="2:7" x14ac:dyDescent="0.2">
      <c r="B2661" s="60">
        <v>39654</v>
      </c>
      <c r="C2661" s="7">
        <v>4.6219999999999997E-2</v>
      </c>
      <c r="D2661" s="7">
        <v>4.6219999999999997E-2</v>
      </c>
      <c r="E2661" s="7">
        <v>4.6219999999999997E-2</v>
      </c>
      <c r="F2661" s="7">
        <v>4.6219999999999997E-2</v>
      </c>
      <c r="G2661" s="7">
        <v>1.29E-2</v>
      </c>
    </row>
    <row r="2662" spans="2:7" x14ac:dyDescent="0.2">
      <c r="B2662" s="60">
        <v>39657</v>
      </c>
      <c r="C2662" s="7">
        <v>4.5170000000000002E-2</v>
      </c>
      <c r="D2662" s="7">
        <v>4.5170000000000002E-2</v>
      </c>
      <c r="E2662" s="7">
        <v>4.5170000000000002E-2</v>
      </c>
      <c r="F2662" s="7">
        <v>4.5170000000000002E-2</v>
      </c>
      <c r="G2662" s="7">
        <v>-2.2700000000000001E-2</v>
      </c>
    </row>
    <row r="2663" spans="2:7" x14ac:dyDescent="0.2">
      <c r="B2663" s="60">
        <v>39658</v>
      </c>
      <c r="C2663" s="7">
        <v>4.4690000000000001E-2</v>
      </c>
      <c r="D2663" s="7">
        <v>4.4690000000000001E-2</v>
      </c>
      <c r="E2663" s="7">
        <v>4.4690000000000001E-2</v>
      </c>
      <c r="F2663" s="7">
        <v>4.4690000000000001E-2</v>
      </c>
      <c r="G2663" s="7">
        <v>-1.06E-2</v>
      </c>
    </row>
    <row r="2664" spans="2:7" x14ac:dyDescent="0.2">
      <c r="B2664" s="60">
        <v>39659</v>
      </c>
      <c r="C2664" s="7">
        <v>4.3949999999999996E-2</v>
      </c>
      <c r="D2664" s="7">
        <v>4.3949999999999996E-2</v>
      </c>
      <c r="E2664" s="7">
        <v>4.3949999999999996E-2</v>
      </c>
      <c r="F2664" s="7">
        <v>4.3949999999999996E-2</v>
      </c>
      <c r="G2664" s="7">
        <v>-1.66E-2</v>
      </c>
    </row>
    <row r="2665" spans="2:7" x14ac:dyDescent="0.2">
      <c r="B2665" s="60">
        <v>39660</v>
      </c>
      <c r="C2665" s="7">
        <v>4.3520000000000003E-2</v>
      </c>
      <c r="D2665" s="7">
        <v>4.3520000000000003E-2</v>
      </c>
      <c r="E2665" s="7">
        <v>4.3520000000000003E-2</v>
      </c>
      <c r="F2665" s="7">
        <v>4.3520000000000003E-2</v>
      </c>
      <c r="G2665" s="7">
        <v>-9.7999999999999997E-3</v>
      </c>
    </row>
    <row r="2666" spans="2:7" x14ac:dyDescent="0.2">
      <c r="B2666" s="60">
        <v>39661</v>
      </c>
      <c r="C2666" s="7">
        <v>4.3310000000000001E-2</v>
      </c>
      <c r="D2666" s="7">
        <v>4.3310000000000001E-2</v>
      </c>
      <c r="E2666" s="7">
        <v>4.3310000000000001E-2</v>
      </c>
      <c r="F2666" s="7">
        <v>4.3310000000000001E-2</v>
      </c>
      <c r="G2666" s="7">
        <v>-4.7999999999999996E-3</v>
      </c>
    </row>
    <row r="2667" spans="2:7" x14ac:dyDescent="0.2">
      <c r="B2667" s="60">
        <v>39664</v>
      </c>
      <c r="C2667" s="7">
        <v>4.3280000000000006E-2</v>
      </c>
      <c r="D2667" s="7">
        <v>4.3280000000000006E-2</v>
      </c>
      <c r="E2667" s="7">
        <v>4.3280000000000006E-2</v>
      </c>
      <c r="F2667" s="7">
        <v>4.3280000000000006E-2</v>
      </c>
      <c r="G2667" s="7">
        <v>-6.9999999999999999E-4</v>
      </c>
    </row>
    <row r="2668" spans="2:7" x14ac:dyDescent="0.2">
      <c r="B2668" s="60">
        <v>39665</v>
      </c>
      <c r="C2668" s="7">
        <v>4.308E-2</v>
      </c>
      <c r="D2668" s="7">
        <v>4.308E-2</v>
      </c>
      <c r="E2668" s="7">
        <v>4.308E-2</v>
      </c>
      <c r="F2668" s="7">
        <v>4.308E-2</v>
      </c>
      <c r="G2668" s="7">
        <v>-4.5999999999999999E-3</v>
      </c>
    </row>
    <row r="2669" spans="2:7" x14ac:dyDescent="0.2">
      <c r="B2669" s="60">
        <v>39666</v>
      </c>
      <c r="C2669" s="7">
        <v>4.3570000000000005E-2</v>
      </c>
      <c r="D2669" s="7">
        <v>4.3570000000000005E-2</v>
      </c>
      <c r="E2669" s="7">
        <v>4.3570000000000005E-2</v>
      </c>
      <c r="F2669" s="7">
        <v>4.3570000000000005E-2</v>
      </c>
      <c r="G2669" s="7">
        <v>1.14E-2</v>
      </c>
    </row>
    <row r="2670" spans="2:7" x14ac:dyDescent="0.2">
      <c r="B2670" s="60">
        <v>39667</v>
      </c>
      <c r="C2670" s="7">
        <v>4.2519999999999995E-2</v>
      </c>
      <c r="D2670" s="7">
        <v>4.2519999999999995E-2</v>
      </c>
      <c r="E2670" s="7">
        <v>4.2519999999999995E-2</v>
      </c>
      <c r="F2670" s="7">
        <v>4.2519999999999995E-2</v>
      </c>
      <c r="G2670" s="7">
        <v>-2.41E-2</v>
      </c>
    </row>
    <row r="2671" spans="2:7" x14ac:dyDescent="0.2">
      <c r="B2671" s="60">
        <v>39668</v>
      </c>
      <c r="C2671" s="7">
        <v>4.2599999999999999E-2</v>
      </c>
      <c r="D2671" s="7">
        <v>4.2599999999999999E-2</v>
      </c>
      <c r="E2671" s="7">
        <v>4.2599999999999999E-2</v>
      </c>
      <c r="F2671" s="7">
        <v>4.2599999999999999E-2</v>
      </c>
      <c r="G2671" s="7">
        <v>1.9E-3</v>
      </c>
    </row>
    <row r="2672" spans="2:7" x14ac:dyDescent="0.2">
      <c r="B2672" s="60">
        <v>39671</v>
      </c>
      <c r="C2672" s="7">
        <v>4.2660000000000003E-2</v>
      </c>
      <c r="D2672" s="7">
        <v>4.2660000000000003E-2</v>
      </c>
      <c r="E2672" s="7">
        <v>4.2660000000000003E-2</v>
      </c>
      <c r="F2672" s="7">
        <v>4.2660000000000003E-2</v>
      </c>
      <c r="G2672" s="7">
        <v>1.4E-3</v>
      </c>
    </row>
    <row r="2673" spans="2:7" x14ac:dyDescent="0.2">
      <c r="B2673" s="60">
        <v>39672</v>
      </c>
      <c r="C2673" s="7">
        <v>4.2369999999999998E-2</v>
      </c>
      <c r="D2673" s="7">
        <v>4.2369999999999998E-2</v>
      </c>
      <c r="E2673" s="7">
        <v>4.2369999999999998E-2</v>
      </c>
      <c r="F2673" s="7">
        <v>4.2369999999999998E-2</v>
      </c>
      <c r="G2673" s="7">
        <v>-6.7999999999999996E-3</v>
      </c>
    </row>
    <row r="2674" spans="2:7" x14ac:dyDescent="0.2">
      <c r="B2674" s="60">
        <v>39673</v>
      </c>
      <c r="C2674" s="7">
        <v>4.2199999999999994E-2</v>
      </c>
      <c r="D2674" s="7">
        <v>4.2199999999999994E-2</v>
      </c>
      <c r="E2674" s="7">
        <v>4.2199999999999994E-2</v>
      </c>
      <c r="F2674" s="7">
        <v>4.2199999999999994E-2</v>
      </c>
      <c r="G2674" s="7">
        <v>-4.0000000000000001E-3</v>
      </c>
    </row>
    <row r="2675" spans="2:7" x14ac:dyDescent="0.2">
      <c r="B2675" s="60">
        <v>39674</v>
      </c>
      <c r="C2675" s="7">
        <v>4.2039999999999994E-2</v>
      </c>
      <c r="D2675" s="7">
        <v>4.2039999999999994E-2</v>
      </c>
      <c r="E2675" s="7">
        <v>4.2039999999999994E-2</v>
      </c>
      <c r="F2675" s="7">
        <v>4.2039999999999994E-2</v>
      </c>
      <c r="G2675" s="7">
        <v>-3.8E-3</v>
      </c>
    </row>
    <row r="2676" spans="2:7" x14ac:dyDescent="0.2">
      <c r="B2676" s="60">
        <v>39675</v>
      </c>
      <c r="C2676" s="7">
        <v>4.1449999999999994E-2</v>
      </c>
      <c r="D2676" s="7">
        <v>4.1449999999999994E-2</v>
      </c>
      <c r="E2676" s="7">
        <v>4.1449999999999994E-2</v>
      </c>
      <c r="F2676" s="7">
        <v>4.1449999999999994E-2</v>
      </c>
      <c r="G2676" s="7">
        <v>-1.4E-2</v>
      </c>
    </row>
    <row r="2677" spans="2:7" x14ac:dyDescent="0.2">
      <c r="B2677" s="60">
        <v>39678</v>
      </c>
      <c r="C2677" s="7">
        <v>4.1390000000000003E-2</v>
      </c>
      <c r="D2677" s="7">
        <v>4.1390000000000003E-2</v>
      </c>
      <c r="E2677" s="7">
        <v>4.1390000000000003E-2</v>
      </c>
      <c r="F2677" s="7">
        <v>4.1390000000000003E-2</v>
      </c>
      <c r="G2677" s="7">
        <v>-1.4E-3</v>
      </c>
    </row>
    <row r="2678" spans="2:7" x14ac:dyDescent="0.2">
      <c r="B2678" s="60">
        <v>39679</v>
      </c>
      <c r="C2678" s="7">
        <v>4.165E-2</v>
      </c>
      <c r="D2678" s="7">
        <v>4.165E-2</v>
      </c>
      <c r="E2678" s="7">
        <v>4.165E-2</v>
      </c>
      <c r="F2678" s="7">
        <v>4.165E-2</v>
      </c>
      <c r="G2678" s="7">
        <v>6.3E-3</v>
      </c>
    </row>
    <row r="2679" spans="2:7" x14ac:dyDescent="0.2">
      <c r="B2679" s="60">
        <v>39680</v>
      </c>
      <c r="C2679" s="7">
        <v>4.1309999999999999E-2</v>
      </c>
      <c r="D2679" s="7">
        <v>4.1309999999999999E-2</v>
      </c>
      <c r="E2679" s="7">
        <v>4.1309999999999999E-2</v>
      </c>
      <c r="F2679" s="7">
        <v>4.1309999999999999E-2</v>
      </c>
      <c r="G2679" s="7">
        <v>-8.2000000000000007E-3</v>
      </c>
    </row>
    <row r="2680" spans="2:7" x14ac:dyDescent="0.2">
      <c r="B2680" s="60">
        <v>39681</v>
      </c>
      <c r="C2680" s="7">
        <v>4.1749999999999995E-2</v>
      </c>
      <c r="D2680" s="7">
        <v>4.1749999999999995E-2</v>
      </c>
      <c r="E2680" s="7">
        <v>4.1749999999999995E-2</v>
      </c>
      <c r="F2680" s="7">
        <v>4.1749999999999995E-2</v>
      </c>
      <c r="G2680" s="7">
        <v>1.0699999999999999E-2</v>
      </c>
    </row>
    <row r="2681" spans="2:7" x14ac:dyDescent="0.2">
      <c r="B2681" s="60">
        <v>39682</v>
      </c>
      <c r="C2681" s="7">
        <v>4.2190000000000005E-2</v>
      </c>
      <c r="D2681" s="7">
        <v>4.2190000000000005E-2</v>
      </c>
      <c r="E2681" s="7">
        <v>4.2190000000000005E-2</v>
      </c>
      <c r="F2681" s="7">
        <v>4.2190000000000005E-2</v>
      </c>
      <c r="G2681" s="7">
        <v>1.0500000000000001E-2</v>
      </c>
    </row>
    <row r="2682" spans="2:7" x14ac:dyDescent="0.2">
      <c r="B2682" s="60">
        <v>39685</v>
      </c>
      <c r="C2682" s="7">
        <v>4.1239999999999999E-2</v>
      </c>
      <c r="D2682" s="7">
        <v>4.1239999999999999E-2</v>
      </c>
      <c r="E2682" s="7">
        <v>4.1239999999999999E-2</v>
      </c>
      <c r="F2682" s="7">
        <v>4.1239999999999999E-2</v>
      </c>
      <c r="G2682" s="7">
        <v>-2.2499999999999999E-2</v>
      </c>
    </row>
    <row r="2683" spans="2:7" x14ac:dyDescent="0.2">
      <c r="B2683" s="60">
        <v>39686</v>
      </c>
      <c r="C2683" s="7">
        <v>4.1110000000000001E-2</v>
      </c>
      <c r="D2683" s="7">
        <v>4.1110000000000001E-2</v>
      </c>
      <c r="E2683" s="7">
        <v>4.1110000000000001E-2</v>
      </c>
      <c r="F2683" s="7">
        <v>4.1110000000000001E-2</v>
      </c>
      <c r="G2683" s="7">
        <v>-3.2000000000000002E-3</v>
      </c>
    </row>
    <row r="2684" spans="2:7" x14ac:dyDescent="0.2">
      <c r="B2684" s="60">
        <v>39687</v>
      </c>
      <c r="C2684" s="7">
        <v>4.1589999999999995E-2</v>
      </c>
      <c r="D2684" s="7">
        <v>4.1589999999999995E-2</v>
      </c>
      <c r="E2684" s="7">
        <v>4.1589999999999995E-2</v>
      </c>
      <c r="F2684" s="7">
        <v>4.1589999999999995E-2</v>
      </c>
      <c r="G2684" s="7">
        <v>1.17E-2</v>
      </c>
    </row>
    <row r="2685" spans="2:7" x14ac:dyDescent="0.2">
      <c r="B2685" s="60">
        <v>39688</v>
      </c>
      <c r="C2685" s="7">
        <v>4.1669999999999999E-2</v>
      </c>
      <c r="D2685" s="7">
        <v>4.1669999999999999E-2</v>
      </c>
      <c r="E2685" s="7">
        <v>4.1669999999999999E-2</v>
      </c>
      <c r="F2685" s="7">
        <v>4.1669999999999999E-2</v>
      </c>
      <c r="G2685" s="7">
        <v>1.9E-3</v>
      </c>
    </row>
    <row r="2686" spans="2:7" x14ac:dyDescent="0.2">
      <c r="B2686" s="60">
        <v>39689</v>
      </c>
      <c r="C2686" s="7">
        <v>4.1740000000000006E-2</v>
      </c>
      <c r="D2686" s="7">
        <v>4.1740000000000006E-2</v>
      </c>
      <c r="E2686" s="7">
        <v>4.1740000000000006E-2</v>
      </c>
      <c r="F2686" s="7">
        <v>4.1740000000000006E-2</v>
      </c>
      <c r="G2686" s="7">
        <v>1.6999999999999999E-3</v>
      </c>
    </row>
    <row r="2687" spans="2:7" x14ac:dyDescent="0.2">
      <c r="B2687" s="60">
        <v>39692</v>
      </c>
      <c r="C2687" s="7">
        <v>4.1230000000000003E-2</v>
      </c>
      <c r="D2687" s="7">
        <v>4.1230000000000003E-2</v>
      </c>
      <c r="E2687" s="7">
        <v>4.1230000000000003E-2</v>
      </c>
      <c r="F2687" s="7">
        <v>4.1230000000000003E-2</v>
      </c>
      <c r="G2687" s="7">
        <v>-1.2200000000000001E-2</v>
      </c>
    </row>
    <row r="2688" spans="2:7" x14ac:dyDescent="0.2">
      <c r="B2688" s="60">
        <v>39693</v>
      </c>
      <c r="C2688" s="7">
        <v>4.1399999999999999E-2</v>
      </c>
      <c r="D2688" s="7">
        <v>4.1399999999999999E-2</v>
      </c>
      <c r="E2688" s="7">
        <v>4.1399999999999999E-2</v>
      </c>
      <c r="F2688" s="7">
        <v>4.1399999999999999E-2</v>
      </c>
      <c r="G2688" s="7">
        <v>4.1000000000000003E-3</v>
      </c>
    </row>
    <row r="2689" spans="2:7" x14ac:dyDescent="0.2">
      <c r="B2689" s="60">
        <v>39694</v>
      </c>
      <c r="C2689" s="7">
        <v>4.1399999999999999E-2</v>
      </c>
      <c r="D2689" s="7">
        <v>4.1399999999999999E-2</v>
      </c>
      <c r="E2689" s="7">
        <v>4.1399999999999999E-2</v>
      </c>
      <c r="F2689" s="7">
        <v>4.1399999999999999E-2</v>
      </c>
      <c r="G2689" s="7">
        <v>0</v>
      </c>
    </row>
    <row r="2690" spans="2:7" x14ac:dyDescent="0.2">
      <c r="B2690" s="60">
        <v>39695</v>
      </c>
      <c r="C2690" s="7">
        <v>4.0579999999999998E-2</v>
      </c>
      <c r="D2690" s="7">
        <v>4.0579999999999998E-2</v>
      </c>
      <c r="E2690" s="7">
        <v>4.0579999999999998E-2</v>
      </c>
      <c r="F2690" s="7">
        <v>4.0579999999999998E-2</v>
      </c>
      <c r="G2690" s="7">
        <v>-1.9800000000000002E-2</v>
      </c>
    </row>
    <row r="2691" spans="2:7" x14ac:dyDescent="0.2">
      <c r="B2691" s="60">
        <v>39696</v>
      </c>
      <c r="C2691" s="7">
        <v>4.0340000000000001E-2</v>
      </c>
      <c r="D2691" s="7">
        <v>4.0340000000000001E-2</v>
      </c>
      <c r="E2691" s="7">
        <v>4.0340000000000001E-2</v>
      </c>
      <c r="F2691" s="7">
        <v>4.0340000000000001E-2</v>
      </c>
      <c r="G2691" s="7">
        <v>-5.8999999999999999E-3</v>
      </c>
    </row>
    <row r="2692" spans="2:7" x14ac:dyDescent="0.2">
      <c r="B2692" s="60">
        <v>39699</v>
      </c>
      <c r="C2692" s="7">
        <v>4.0660000000000002E-2</v>
      </c>
      <c r="D2692" s="7">
        <v>4.0660000000000002E-2</v>
      </c>
      <c r="E2692" s="7">
        <v>4.0660000000000002E-2</v>
      </c>
      <c r="F2692" s="7">
        <v>4.0660000000000002E-2</v>
      </c>
      <c r="G2692" s="7">
        <v>7.9000000000000008E-3</v>
      </c>
    </row>
    <row r="2693" spans="2:7" x14ac:dyDescent="0.2">
      <c r="B2693" s="60">
        <v>39700</v>
      </c>
      <c r="C2693" s="7">
        <v>4.0480000000000002E-2</v>
      </c>
      <c r="D2693" s="7">
        <v>4.0480000000000002E-2</v>
      </c>
      <c r="E2693" s="7">
        <v>4.0480000000000002E-2</v>
      </c>
      <c r="F2693" s="7">
        <v>4.0480000000000002E-2</v>
      </c>
      <c r="G2693" s="7">
        <v>-4.4000000000000003E-3</v>
      </c>
    </row>
    <row r="2694" spans="2:7" x14ac:dyDescent="0.2">
      <c r="B2694" s="60">
        <v>39701</v>
      </c>
      <c r="C2694" s="7">
        <v>4.0770000000000001E-2</v>
      </c>
      <c r="D2694" s="7">
        <v>4.0770000000000001E-2</v>
      </c>
      <c r="E2694" s="7">
        <v>4.0770000000000001E-2</v>
      </c>
      <c r="F2694" s="7">
        <v>4.0770000000000001E-2</v>
      </c>
      <c r="G2694" s="7">
        <v>7.1999999999999998E-3</v>
      </c>
    </row>
    <row r="2695" spans="2:7" x14ac:dyDescent="0.2">
      <c r="B2695" s="60">
        <v>39702</v>
      </c>
      <c r="C2695" s="7">
        <v>4.0780000000000004E-2</v>
      </c>
      <c r="D2695" s="7">
        <v>4.0780000000000004E-2</v>
      </c>
      <c r="E2695" s="7">
        <v>4.0780000000000004E-2</v>
      </c>
      <c r="F2695" s="7">
        <v>4.0780000000000004E-2</v>
      </c>
      <c r="G2695" s="7">
        <v>2.0000000000000001E-4</v>
      </c>
    </row>
    <row r="2696" spans="2:7" x14ac:dyDescent="0.2">
      <c r="B2696" s="60">
        <v>39703</v>
      </c>
      <c r="C2696" s="7">
        <v>4.1740000000000006E-2</v>
      </c>
      <c r="D2696" s="7">
        <v>4.1740000000000006E-2</v>
      </c>
      <c r="E2696" s="7">
        <v>4.1740000000000006E-2</v>
      </c>
      <c r="F2696" s="7">
        <v>4.1740000000000006E-2</v>
      </c>
      <c r="G2696" s="7">
        <v>2.35E-2</v>
      </c>
    </row>
    <row r="2697" spans="2:7" x14ac:dyDescent="0.2">
      <c r="B2697" s="60">
        <v>39706</v>
      </c>
      <c r="C2697" s="7">
        <v>4.054E-2</v>
      </c>
      <c r="D2697" s="7">
        <v>4.054E-2</v>
      </c>
      <c r="E2697" s="7">
        <v>4.054E-2</v>
      </c>
      <c r="F2697" s="7">
        <v>4.054E-2</v>
      </c>
      <c r="G2697" s="7">
        <v>-2.87E-2</v>
      </c>
    </row>
    <row r="2698" spans="2:7" x14ac:dyDescent="0.2">
      <c r="B2698" s="60">
        <v>39707</v>
      </c>
      <c r="C2698" s="7">
        <v>4.0160000000000001E-2</v>
      </c>
      <c r="D2698" s="7">
        <v>4.0160000000000001E-2</v>
      </c>
      <c r="E2698" s="7">
        <v>4.0160000000000001E-2</v>
      </c>
      <c r="F2698" s="7">
        <v>4.0160000000000001E-2</v>
      </c>
      <c r="G2698" s="7">
        <v>-9.4000000000000004E-3</v>
      </c>
    </row>
    <row r="2699" spans="2:7" x14ac:dyDescent="0.2">
      <c r="B2699" s="60">
        <v>39708</v>
      </c>
      <c r="C2699" s="7">
        <v>3.9809999999999998E-2</v>
      </c>
      <c r="D2699" s="7">
        <v>3.9809999999999998E-2</v>
      </c>
      <c r="E2699" s="7">
        <v>3.9809999999999998E-2</v>
      </c>
      <c r="F2699" s="7">
        <v>3.9809999999999998E-2</v>
      </c>
      <c r="G2699" s="7">
        <v>-8.6999999999999994E-3</v>
      </c>
    </row>
    <row r="2700" spans="2:7" x14ac:dyDescent="0.2">
      <c r="B2700" s="60">
        <v>39709</v>
      </c>
      <c r="C2700" s="7">
        <v>4.0190000000000003E-2</v>
      </c>
      <c r="D2700" s="7">
        <v>4.0190000000000003E-2</v>
      </c>
      <c r="E2700" s="7">
        <v>4.0190000000000003E-2</v>
      </c>
      <c r="F2700" s="7">
        <v>4.0190000000000003E-2</v>
      </c>
      <c r="G2700" s="7">
        <v>9.4999999999999998E-3</v>
      </c>
    </row>
    <row r="2701" spans="2:7" x14ac:dyDescent="0.2">
      <c r="B2701" s="60">
        <v>39710</v>
      </c>
      <c r="C2701" s="7">
        <v>4.231E-2</v>
      </c>
      <c r="D2701" s="7">
        <v>4.231E-2</v>
      </c>
      <c r="E2701" s="7">
        <v>4.231E-2</v>
      </c>
      <c r="F2701" s="7">
        <v>4.231E-2</v>
      </c>
      <c r="G2701" s="7">
        <v>5.2699999999999997E-2</v>
      </c>
    </row>
    <row r="2702" spans="2:7" x14ac:dyDescent="0.2">
      <c r="B2702" s="60">
        <v>39713</v>
      </c>
      <c r="C2702" s="7">
        <v>4.2500000000000003E-2</v>
      </c>
      <c r="D2702" s="7">
        <v>4.2500000000000003E-2</v>
      </c>
      <c r="E2702" s="7">
        <v>4.2500000000000003E-2</v>
      </c>
      <c r="F2702" s="7">
        <v>4.2500000000000003E-2</v>
      </c>
      <c r="G2702" s="7">
        <v>4.4999999999999997E-3</v>
      </c>
    </row>
    <row r="2703" spans="2:7" x14ac:dyDescent="0.2">
      <c r="B2703" s="60">
        <v>39714</v>
      </c>
      <c r="C2703" s="7">
        <v>4.2480000000000004E-2</v>
      </c>
      <c r="D2703" s="7">
        <v>4.2480000000000004E-2</v>
      </c>
      <c r="E2703" s="7">
        <v>4.2480000000000004E-2</v>
      </c>
      <c r="F2703" s="7">
        <v>4.2480000000000004E-2</v>
      </c>
      <c r="G2703" s="7">
        <v>-5.0000000000000001E-4</v>
      </c>
    </row>
    <row r="2704" spans="2:7" x14ac:dyDescent="0.2">
      <c r="B2704" s="60">
        <v>39715</v>
      </c>
      <c r="C2704" s="7">
        <v>4.1689999999999998E-2</v>
      </c>
      <c r="D2704" s="7">
        <v>4.1689999999999998E-2</v>
      </c>
      <c r="E2704" s="7">
        <v>4.1689999999999998E-2</v>
      </c>
      <c r="F2704" s="7">
        <v>4.1689999999999998E-2</v>
      </c>
      <c r="G2704" s="7">
        <v>-1.8599999999999998E-2</v>
      </c>
    </row>
    <row r="2705" spans="2:7" x14ac:dyDescent="0.2">
      <c r="B2705" s="60">
        <v>39716</v>
      </c>
      <c r="C2705" s="7">
        <v>4.2340000000000003E-2</v>
      </c>
      <c r="D2705" s="7">
        <v>4.2340000000000003E-2</v>
      </c>
      <c r="E2705" s="7">
        <v>4.2340000000000003E-2</v>
      </c>
      <c r="F2705" s="7">
        <v>4.2340000000000003E-2</v>
      </c>
      <c r="G2705" s="7">
        <v>1.5599999999999999E-2</v>
      </c>
    </row>
    <row r="2706" spans="2:7" x14ac:dyDescent="0.2">
      <c r="B2706" s="60">
        <v>39717</v>
      </c>
      <c r="C2706" s="7">
        <v>4.156E-2</v>
      </c>
      <c r="D2706" s="7">
        <v>4.156E-2</v>
      </c>
      <c r="E2706" s="7">
        <v>4.156E-2</v>
      </c>
      <c r="F2706" s="7">
        <v>4.156E-2</v>
      </c>
      <c r="G2706" s="7">
        <v>-1.84E-2</v>
      </c>
    </row>
    <row r="2707" spans="2:7" x14ac:dyDescent="0.2">
      <c r="B2707" s="60">
        <v>39720</v>
      </c>
      <c r="C2707" s="7">
        <v>3.9820000000000001E-2</v>
      </c>
      <c r="D2707" s="7">
        <v>3.9820000000000001E-2</v>
      </c>
      <c r="E2707" s="7">
        <v>3.9820000000000001E-2</v>
      </c>
      <c r="F2707" s="7">
        <v>3.9820000000000001E-2</v>
      </c>
      <c r="G2707" s="7">
        <v>-4.19E-2</v>
      </c>
    </row>
    <row r="2708" spans="2:7" x14ac:dyDescent="0.2">
      <c r="B2708" s="60">
        <v>39721</v>
      </c>
      <c r="C2708" s="7">
        <v>4.0090000000000001E-2</v>
      </c>
      <c r="D2708" s="7">
        <v>4.0090000000000001E-2</v>
      </c>
      <c r="E2708" s="7">
        <v>4.0090000000000001E-2</v>
      </c>
      <c r="F2708" s="7">
        <v>4.0090000000000001E-2</v>
      </c>
      <c r="G2708" s="7">
        <v>6.7999999999999996E-3</v>
      </c>
    </row>
    <row r="2709" spans="2:7" x14ac:dyDescent="0.2">
      <c r="B2709" s="60">
        <v>39722</v>
      </c>
      <c r="C2709" s="7">
        <v>3.993E-2</v>
      </c>
      <c r="D2709" s="7">
        <v>3.993E-2</v>
      </c>
      <c r="E2709" s="7">
        <v>3.993E-2</v>
      </c>
      <c r="F2709" s="7">
        <v>3.993E-2</v>
      </c>
      <c r="G2709" s="7">
        <v>-4.0000000000000001E-3</v>
      </c>
    </row>
    <row r="2710" spans="2:7" x14ac:dyDescent="0.2">
      <c r="B2710" s="60">
        <v>39723</v>
      </c>
      <c r="C2710" s="7">
        <v>3.9359999999999999E-2</v>
      </c>
      <c r="D2710" s="7">
        <v>3.9359999999999999E-2</v>
      </c>
      <c r="E2710" s="7">
        <v>3.9359999999999999E-2</v>
      </c>
      <c r="F2710" s="7">
        <v>3.9359999999999999E-2</v>
      </c>
      <c r="G2710" s="7">
        <v>-1.43E-2</v>
      </c>
    </row>
    <row r="2711" spans="2:7" x14ac:dyDescent="0.2">
      <c r="B2711" s="60">
        <v>39724</v>
      </c>
      <c r="C2711" s="7">
        <v>3.918E-2</v>
      </c>
      <c r="D2711" s="7">
        <v>3.918E-2</v>
      </c>
      <c r="E2711" s="7">
        <v>3.918E-2</v>
      </c>
      <c r="F2711" s="7">
        <v>3.918E-2</v>
      </c>
      <c r="G2711" s="7">
        <v>-4.5999999999999999E-3</v>
      </c>
    </row>
    <row r="2712" spans="2:7" x14ac:dyDescent="0.2">
      <c r="B2712" s="60">
        <v>39727</v>
      </c>
      <c r="C2712" s="7">
        <v>3.755E-2</v>
      </c>
      <c r="D2712" s="7">
        <v>3.755E-2</v>
      </c>
      <c r="E2712" s="7">
        <v>3.755E-2</v>
      </c>
      <c r="F2712" s="7">
        <v>3.755E-2</v>
      </c>
      <c r="G2712" s="7">
        <v>-4.1599999999999998E-2</v>
      </c>
    </row>
    <row r="2713" spans="2:7" x14ac:dyDescent="0.2">
      <c r="B2713" s="60">
        <v>39728</v>
      </c>
      <c r="C2713" s="7">
        <v>3.7530000000000001E-2</v>
      </c>
      <c r="D2713" s="7">
        <v>3.7530000000000001E-2</v>
      </c>
      <c r="E2713" s="7">
        <v>3.7530000000000001E-2</v>
      </c>
      <c r="F2713" s="7">
        <v>3.7530000000000001E-2</v>
      </c>
      <c r="G2713" s="7">
        <v>-5.0000000000000001E-4</v>
      </c>
    </row>
    <row r="2714" spans="2:7" x14ac:dyDescent="0.2">
      <c r="B2714" s="60">
        <v>39729</v>
      </c>
      <c r="C2714" s="7">
        <v>3.8019999999999998E-2</v>
      </c>
      <c r="D2714" s="7">
        <v>3.8019999999999998E-2</v>
      </c>
      <c r="E2714" s="7">
        <v>3.8019999999999998E-2</v>
      </c>
      <c r="F2714" s="7">
        <v>3.8019999999999998E-2</v>
      </c>
      <c r="G2714" s="7">
        <v>1.3100000000000001E-2</v>
      </c>
    </row>
    <row r="2715" spans="2:7" x14ac:dyDescent="0.2">
      <c r="B2715" s="60">
        <v>39730</v>
      </c>
      <c r="C2715" s="7">
        <v>3.8890000000000001E-2</v>
      </c>
      <c r="D2715" s="7">
        <v>3.8890000000000001E-2</v>
      </c>
      <c r="E2715" s="7">
        <v>3.8890000000000001E-2</v>
      </c>
      <c r="F2715" s="7">
        <v>3.8890000000000001E-2</v>
      </c>
      <c r="G2715" s="7">
        <v>2.29E-2</v>
      </c>
    </row>
    <row r="2716" spans="2:7" x14ac:dyDescent="0.2">
      <c r="B2716" s="60">
        <v>39731</v>
      </c>
      <c r="C2716" s="7">
        <v>3.9800000000000002E-2</v>
      </c>
      <c r="D2716" s="7">
        <v>3.9800000000000002E-2</v>
      </c>
      <c r="E2716" s="7">
        <v>3.9800000000000002E-2</v>
      </c>
      <c r="F2716" s="7">
        <v>3.9800000000000002E-2</v>
      </c>
      <c r="G2716" s="7">
        <v>2.3400000000000001E-2</v>
      </c>
    </row>
    <row r="2717" spans="2:7" x14ac:dyDescent="0.2">
      <c r="B2717" s="60">
        <v>39734</v>
      </c>
      <c r="C2717" s="7">
        <v>4.0839999999999994E-2</v>
      </c>
      <c r="D2717" s="7">
        <v>4.0839999999999994E-2</v>
      </c>
      <c r="E2717" s="7">
        <v>4.0839999999999994E-2</v>
      </c>
      <c r="F2717" s="7">
        <v>4.0839999999999994E-2</v>
      </c>
      <c r="G2717" s="7">
        <v>2.6100000000000002E-2</v>
      </c>
    </row>
    <row r="2718" spans="2:7" x14ac:dyDescent="0.2">
      <c r="B2718" s="60">
        <v>39735</v>
      </c>
      <c r="C2718" s="7">
        <v>4.1210000000000004E-2</v>
      </c>
      <c r="D2718" s="7">
        <v>4.1210000000000004E-2</v>
      </c>
      <c r="E2718" s="7">
        <v>4.1210000000000004E-2</v>
      </c>
      <c r="F2718" s="7">
        <v>4.1210000000000004E-2</v>
      </c>
      <c r="G2718" s="7">
        <v>9.1000000000000004E-3</v>
      </c>
    </row>
    <row r="2719" spans="2:7" x14ac:dyDescent="0.2">
      <c r="B2719" s="60">
        <v>39736</v>
      </c>
      <c r="C2719" s="7">
        <v>4.1329999999999999E-2</v>
      </c>
      <c r="D2719" s="7">
        <v>4.1329999999999999E-2</v>
      </c>
      <c r="E2719" s="7">
        <v>4.1329999999999999E-2</v>
      </c>
      <c r="F2719" s="7">
        <v>4.1329999999999999E-2</v>
      </c>
      <c r="G2719" s="7">
        <v>2.8999999999999998E-3</v>
      </c>
    </row>
    <row r="2720" spans="2:7" x14ac:dyDescent="0.2">
      <c r="B2720" s="60">
        <v>39737</v>
      </c>
      <c r="C2720" s="7">
        <v>4.07E-2</v>
      </c>
      <c r="D2720" s="7">
        <v>4.07E-2</v>
      </c>
      <c r="E2720" s="7">
        <v>4.07E-2</v>
      </c>
      <c r="F2720" s="7">
        <v>4.07E-2</v>
      </c>
      <c r="G2720" s="7">
        <v>-1.52E-2</v>
      </c>
    </row>
    <row r="2721" spans="2:7" x14ac:dyDescent="0.2">
      <c r="B2721" s="60">
        <v>39738</v>
      </c>
      <c r="C2721" s="7">
        <v>4.0379999999999999E-2</v>
      </c>
      <c r="D2721" s="7">
        <v>4.0379999999999999E-2</v>
      </c>
      <c r="E2721" s="7">
        <v>4.0379999999999999E-2</v>
      </c>
      <c r="F2721" s="7">
        <v>4.0379999999999999E-2</v>
      </c>
      <c r="G2721" s="7">
        <v>-7.9000000000000008E-3</v>
      </c>
    </row>
    <row r="2722" spans="2:7" x14ac:dyDescent="0.2">
      <c r="B2722" s="60">
        <v>39741</v>
      </c>
      <c r="C2722" s="7">
        <v>4.0060000000000005E-2</v>
      </c>
      <c r="D2722" s="7">
        <v>4.0060000000000005E-2</v>
      </c>
      <c r="E2722" s="7">
        <v>4.0060000000000005E-2</v>
      </c>
      <c r="F2722" s="7">
        <v>4.0060000000000005E-2</v>
      </c>
      <c r="G2722" s="7">
        <v>-7.9000000000000008E-3</v>
      </c>
    </row>
    <row r="2723" spans="2:7" x14ac:dyDescent="0.2">
      <c r="B2723" s="60">
        <v>39742</v>
      </c>
      <c r="C2723" s="7">
        <v>3.9440000000000003E-2</v>
      </c>
      <c r="D2723" s="7">
        <v>3.9440000000000003E-2</v>
      </c>
      <c r="E2723" s="7">
        <v>3.9440000000000003E-2</v>
      </c>
      <c r="F2723" s="7">
        <v>3.9440000000000003E-2</v>
      </c>
      <c r="G2723" s="7">
        <v>-1.55E-2</v>
      </c>
    </row>
    <row r="2724" spans="2:7" x14ac:dyDescent="0.2">
      <c r="B2724" s="60">
        <v>39743</v>
      </c>
      <c r="C2724" s="7">
        <v>3.7999999999999999E-2</v>
      </c>
      <c r="D2724" s="7">
        <v>3.7999999999999999E-2</v>
      </c>
      <c r="E2724" s="7">
        <v>3.7999999999999999E-2</v>
      </c>
      <c r="F2724" s="7">
        <v>3.7999999999999999E-2</v>
      </c>
      <c r="G2724" s="7">
        <v>-3.6499999999999998E-2</v>
      </c>
    </row>
    <row r="2725" spans="2:7" x14ac:dyDescent="0.2">
      <c r="B2725" s="60">
        <v>39744</v>
      </c>
      <c r="C2725" s="7">
        <v>3.7870000000000001E-2</v>
      </c>
      <c r="D2725" s="7">
        <v>3.7870000000000001E-2</v>
      </c>
      <c r="E2725" s="7">
        <v>3.7870000000000001E-2</v>
      </c>
      <c r="F2725" s="7">
        <v>3.7870000000000001E-2</v>
      </c>
      <c r="G2725" s="7">
        <v>-3.3999999999999998E-3</v>
      </c>
    </row>
    <row r="2726" spans="2:7" x14ac:dyDescent="0.2">
      <c r="B2726" s="60">
        <v>39745</v>
      </c>
      <c r="C2726" s="7">
        <v>3.7650000000000003E-2</v>
      </c>
      <c r="D2726" s="7">
        <v>3.7650000000000003E-2</v>
      </c>
      <c r="E2726" s="7">
        <v>3.7650000000000003E-2</v>
      </c>
      <c r="F2726" s="7">
        <v>3.7650000000000003E-2</v>
      </c>
      <c r="G2726" s="7">
        <v>-5.7999999999999996E-3</v>
      </c>
    </row>
    <row r="2727" spans="2:7" x14ac:dyDescent="0.2">
      <c r="B2727" s="60">
        <v>39748</v>
      </c>
      <c r="C2727" s="7">
        <v>3.7499999999999999E-2</v>
      </c>
      <c r="D2727" s="7">
        <v>3.7499999999999999E-2</v>
      </c>
      <c r="E2727" s="7">
        <v>3.7499999999999999E-2</v>
      </c>
      <c r="F2727" s="7">
        <v>3.7499999999999999E-2</v>
      </c>
      <c r="G2727" s="7">
        <v>-4.0000000000000001E-3</v>
      </c>
    </row>
    <row r="2728" spans="2:7" x14ac:dyDescent="0.2">
      <c r="B2728" s="60">
        <v>39749</v>
      </c>
      <c r="C2728" s="7">
        <v>3.7569999999999999E-2</v>
      </c>
      <c r="D2728" s="7">
        <v>3.7569999999999999E-2</v>
      </c>
      <c r="E2728" s="7">
        <v>3.7569999999999999E-2</v>
      </c>
      <c r="F2728" s="7">
        <v>3.7569999999999999E-2</v>
      </c>
      <c r="G2728" s="7">
        <v>1.9E-3</v>
      </c>
    </row>
    <row r="2729" spans="2:7" x14ac:dyDescent="0.2">
      <c r="B2729" s="60">
        <v>39750</v>
      </c>
      <c r="C2729" s="7">
        <v>3.7960000000000001E-2</v>
      </c>
      <c r="D2729" s="7">
        <v>3.7960000000000001E-2</v>
      </c>
      <c r="E2729" s="7">
        <v>3.7960000000000001E-2</v>
      </c>
      <c r="F2729" s="7">
        <v>3.7960000000000001E-2</v>
      </c>
      <c r="G2729" s="7">
        <v>1.04E-2</v>
      </c>
    </row>
    <row r="2730" spans="2:7" x14ac:dyDescent="0.2">
      <c r="B2730" s="60">
        <v>39751</v>
      </c>
      <c r="C2730" s="7">
        <v>3.7749999999999999E-2</v>
      </c>
      <c r="D2730" s="7">
        <v>3.7749999999999999E-2</v>
      </c>
      <c r="E2730" s="7">
        <v>3.7749999999999999E-2</v>
      </c>
      <c r="F2730" s="7">
        <v>3.7749999999999999E-2</v>
      </c>
      <c r="G2730" s="7">
        <v>-5.4999999999999997E-3</v>
      </c>
    </row>
    <row r="2731" spans="2:7" x14ac:dyDescent="0.2">
      <c r="B2731" s="60">
        <v>39752</v>
      </c>
      <c r="C2731" s="7">
        <v>3.9030000000000002E-2</v>
      </c>
      <c r="D2731" s="7">
        <v>3.9030000000000002E-2</v>
      </c>
      <c r="E2731" s="7">
        <v>3.9030000000000002E-2</v>
      </c>
      <c r="F2731" s="7">
        <v>3.9030000000000002E-2</v>
      </c>
      <c r="G2731" s="7">
        <v>3.39E-2</v>
      </c>
    </row>
    <row r="2732" spans="2:7" x14ac:dyDescent="0.2">
      <c r="B2732" s="60">
        <v>39755</v>
      </c>
      <c r="C2732" s="7">
        <v>3.8399999999999997E-2</v>
      </c>
      <c r="D2732" s="7">
        <v>3.8399999999999997E-2</v>
      </c>
      <c r="E2732" s="7">
        <v>3.8399999999999997E-2</v>
      </c>
      <c r="F2732" s="7">
        <v>3.8399999999999997E-2</v>
      </c>
      <c r="G2732" s="7">
        <v>-1.61E-2</v>
      </c>
    </row>
    <row r="2733" spans="2:7" x14ac:dyDescent="0.2">
      <c r="B2733" s="60">
        <v>39756</v>
      </c>
      <c r="C2733" s="7">
        <v>3.8130000000000004E-2</v>
      </c>
      <c r="D2733" s="7">
        <v>3.8130000000000004E-2</v>
      </c>
      <c r="E2733" s="7">
        <v>3.8130000000000004E-2</v>
      </c>
      <c r="F2733" s="7">
        <v>3.8130000000000004E-2</v>
      </c>
      <c r="G2733" s="7">
        <v>-7.0000000000000001E-3</v>
      </c>
    </row>
    <row r="2734" spans="2:7" x14ac:dyDescent="0.2">
      <c r="B2734" s="60">
        <v>39757</v>
      </c>
      <c r="C2734" s="7">
        <v>3.7659999999999999E-2</v>
      </c>
      <c r="D2734" s="7">
        <v>3.7659999999999999E-2</v>
      </c>
      <c r="E2734" s="7">
        <v>3.7659999999999999E-2</v>
      </c>
      <c r="F2734" s="7">
        <v>3.7659999999999999E-2</v>
      </c>
      <c r="G2734" s="7">
        <v>-1.23E-2</v>
      </c>
    </row>
    <row r="2735" spans="2:7" x14ac:dyDescent="0.2">
      <c r="B2735" s="60">
        <v>39758</v>
      </c>
      <c r="C2735" s="7">
        <v>3.7200000000000004E-2</v>
      </c>
      <c r="D2735" s="7">
        <v>3.7200000000000004E-2</v>
      </c>
      <c r="E2735" s="7">
        <v>3.7200000000000004E-2</v>
      </c>
      <c r="F2735" s="7">
        <v>3.7200000000000004E-2</v>
      </c>
      <c r="G2735" s="7">
        <v>-1.2200000000000001E-2</v>
      </c>
    </row>
    <row r="2736" spans="2:7" x14ac:dyDescent="0.2">
      <c r="B2736" s="60">
        <v>39759</v>
      </c>
      <c r="C2736" s="7">
        <v>3.6670000000000001E-2</v>
      </c>
      <c r="D2736" s="7">
        <v>3.6670000000000001E-2</v>
      </c>
      <c r="E2736" s="7">
        <v>3.6670000000000001E-2</v>
      </c>
      <c r="F2736" s="7">
        <v>3.6670000000000001E-2</v>
      </c>
      <c r="G2736" s="7">
        <v>-1.4200000000000001E-2</v>
      </c>
    </row>
    <row r="2737" spans="2:7" x14ac:dyDescent="0.2">
      <c r="B2737" s="60">
        <v>39762</v>
      </c>
      <c r="C2737" s="7">
        <v>3.6810000000000002E-2</v>
      </c>
      <c r="D2737" s="7">
        <v>3.6810000000000002E-2</v>
      </c>
      <c r="E2737" s="7">
        <v>3.6810000000000002E-2</v>
      </c>
      <c r="F2737" s="7">
        <v>3.6810000000000002E-2</v>
      </c>
      <c r="G2737" s="7">
        <v>3.8E-3</v>
      </c>
    </row>
    <row r="2738" spans="2:7" x14ac:dyDescent="0.2">
      <c r="B2738" s="60">
        <v>39763</v>
      </c>
      <c r="C2738" s="7">
        <v>3.669E-2</v>
      </c>
      <c r="D2738" s="7">
        <v>3.669E-2</v>
      </c>
      <c r="E2738" s="7">
        <v>3.669E-2</v>
      </c>
      <c r="F2738" s="7">
        <v>3.669E-2</v>
      </c>
      <c r="G2738" s="7">
        <v>-3.3E-3</v>
      </c>
    </row>
    <row r="2739" spans="2:7" x14ac:dyDescent="0.2">
      <c r="B2739" s="60">
        <v>39764</v>
      </c>
      <c r="C2739" s="7">
        <v>3.7040000000000003E-2</v>
      </c>
      <c r="D2739" s="7">
        <v>3.7040000000000003E-2</v>
      </c>
      <c r="E2739" s="7">
        <v>3.7040000000000003E-2</v>
      </c>
      <c r="F2739" s="7">
        <v>3.7040000000000003E-2</v>
      </c>
      <c r="G2739" s="7">
        <v>9.4999999999999998E-3</v>
      </c>
    </row>
    <row r="2740" spans="2:7" x14ac:dyDescent="0.2">
      <c r="B2740" s="60">
        <v>39765</v>
      </c>
      <c r="C2740" s="7">
        <v>3.7100000000000001E-2</v>
      </c>
      <c r="D2740" s="7">
        <v>3.7100000000000001E-2</v>
      </c>
      <c r="E2740" s="7">
        <v>3.7100000000000001E-2</v>
      </c>
      <c r="F2740" s="7">
        <v>3.7100000000000001E-2</v>
      </c>
      <c r="G2740" s="7">
        <v>1.6000000000000001E-3</v>
      </c>
    </row>
    <row r="2741" spans="2:7" x14ac:dyDescent="0.2">
      <c r="B2741" s="60">
        <v>39766</v>
      </c>
      <c r="C2741" s="7">
        <v>3.6810000000000002E-2</v>
      </c>
      <c r="D2741" s="7">
        <v>3.6810000000000002E-2</v>
      </c>
      <c r="E2741" s="7">
        <v>3.6810000000000002E-2</v>
      </c>
      <c r="F2741" s="7">
        <v>3.6810000000000002E-2</v>
      </c>
      <c r="G2741" s="7">
        <v>-7.7999999999999996E-3</v>
      </c>
    </row>
    <row r="2742" spans="2:7" x14ac:dyDescent="0.2">
      <c r="B2742" s="60">
        <v>39769</v>
      </c>
      <c r="C2742" s="7">
        <v>3.6510000000000001E-2</v>
      </c>
      <c r="D2742" s="7">
        <v>3.6510000000000001E-2</v>
      </c>
      <c r="E2742" s="7">
        <v>3.6510000000000001E-2</v>
      </c>
      <c r="F2742" s="7">
        <v>3.6510000000000001E-2</v>
      </c>
      <c r="G2742" s="7">
        <v>-8.0999999999999996E-3</v>
      </c>
    </row>
    <row r="2743" spans="2:7" x14ac:dyDescent="0.2">
      <c r="B2743" s="60">
        <v>39770</v>
      </c>
      <c r="C2743" s="7">
        <v>3.6389999999999999E-2</v>
      </c>
      <c r="D2743" s="7">
        <v>3.6389999999999999E-2</v>
      </c>
      <c r="E2743" s="7">
        <v>3.6389999999999999E-2</v>
      </c>
      <c r="F2743" s="7">
        <v>3.6389999999999999E-2</v>
      </c>
      <c r="G2743" s="7">
        <v>-3.3E-3</v>
      </c>
    </row>
    <row r="2744" spans="2:7" x14ac:dyDescent="0.2">
      <c r="B2744" s="60">
        <v>39771</v>
      </c>
      <c r="C2744" s="7">
        <v>3.5299999999999998E-2</v>
      </c>
      <c r="D2744" s="7">
        <v>3.5299999999999998E-2</v>
      </c>
      <c r="E2744" s="7">
        <v>3.5299999999999998E-2</v>
      </c>
      <c r="F2744" s="7">
        <v>3.5299999999999998E-2</v>
      </c>
      <c r="G2744" s="7">
        <v>-0.03</v>
      </c>
    </row>
    <row r="2745" spans="2:7" x14ac:dyDescent="0.2">
      <c r="B2745" s="60">
        <v>39772</v>
      </c>
      <c r="C2745" s="7">
        <v>3.3980000000000003E-2</v>
      </c>
      <c r="D2745" s="7">
        <v>3.3980000000000003E-2</v>
      </c>
      <c r="E2745" s="7">
        <v>3.3980000000000003E-2</v>
      </c>
      <c r="F2745" s="7">
        <v>3.3980000000000003E-2</v>
      </c>
      <c r="G2745" s="7">
        <v>-3.7400000000000003E-2</v>
      </c>
    </row>
    <row r="2746" spans="2:7" x14ac:dyDescent="0.2">
      <c r="B2746" s="60">
        <v>39773</v>
      </c>
      <c r="C2746" s="7">
        <v>3.3780000000000004E-2</v>
      </c>
      <c r="D2746" s="7">
        <v>3.3780000000000004E-2</v>
      </c>
      <c r="E2746" s="7">
        <v>3.3780000000000004E-2</v>
      </c>
      <c r="F2746" s="7">
        <v>3.3780000000000004E-2</v>
      </c>
      <c r="G2746" s="7">
        <v>-5.8999999999999999E-3</v>
      </c>
    </row>
    <row r="2747" spans="2:7" x14ac:dyDescent="0.2">
      <c r="B2747" s="60">
        <v>39776</v>
      </c>
      <c r="C2747" s="7">
        <v>3.4159999999999996E-2</v>
      </c>
      <c r="D2747" s="7">
        <v>3.4159999999999996E-2</v>
      </c>
      <c r="E2747" s="7">
        <v>3.4159999999999996E-2</v>
      </c>
      <c r="F2747" s="7">
        <v>3.4159999999999996E-2</v>
      </c>
      <c r="G2747" s="7">
        <v>1.12E-2</v>
      </c>
    </row>
    <row r="2748" spans="2:7" x14ac:dyDescent="0.2">
      <c r="B2748" s="60">
        <v>39777</v>
      </c>
      <c r="C2748" s="7">
        <v>3.3410000000000002E-2</v>
      </c>
      <c r="D2748" s="7">
        <v>3.3410000000000002E-2</v>
      </c>
      <c r="E2748" s="7">
        <v>3.3410000000000002E-2</v>
      </c>
      <c r="F2748" s="7">
        <v>3.3410000000000002E-2</v>
      </c>
      <c r="G2748" s="7">
        <v>-2.1999999999999999E-2</v>
      </c>
    </row>
    <row r="2749" spans="2:7" x14ac:dyDescent="0.2">
      <c r="B2749" s="60">
        <v>39778</v>
      </c>
      <c r="C2749" s="7">
        <v>3.279E-2</v>
      </c>
      <c r="D2749" s="7">
        <v>3.279E-2</v>
      </c>
      <c r="E2749" s="7">
        <v>3.279E-2</v>
      </c>
      <c r="F2749" s="7">
        <v>3.279E-2</v>
      </c>
      <c r="G2749" s="7">
        <v>-1.8599999999999998E-2</v>
      </c>
    </row>
    <row r="2750" spans="2:7" x14ac:dyDescent="0.2">
      <c r="B2750" s="60">
        <v>39779</v>
      </c>
      <c r="C2750" s="7">
        <v>3.2919999999999998E-2</v>
      </c>
      <c r="D2750" s="7">
        <v>3.2919999999999998E-2</v>
      </c>
      <c r="E2750" s="7">
        <v>3.2919999999999998E-2</v>
      </c>
      <c r="F2750" s="7">
        <v>3.2919999999999998E-2</v>
      </c>
      <c r="G2750" s="7">
        <v>4.0000000000000001E-3</v>
      </c>
    </row>
    <row r="2751" spans="2:7" x14ac:dyDescent="0.2">
      <c r="B2751" s="60">
        <v>39780</v>
      </c>
      <c r="C2751" s="7">
        <v>3.2649999999999998E-2</v>
      </c>
      <c r="D2751" s="7">
        <v>3.2649999999999998E-2</v>
      </c>
      <c r="E2751" s="7">
        <v>3.2649999999999998E-2</v>
      </c>
      <c r="F2751" s="7">
        <v>3.2649999999999998E-2</v>
      </c>
      <c r="G2751" s="7">
        <v>-8.2000000000000007E-3</v>
      </c>
    </row>
    <row r="2752" spans="2:7" x14ac:dyDescent="0.2">
      <c r="B2752" s="60">
        <v>39783</v>
      </c>
      <c r="C2752" s="7">
        <v>3.1620000000000002E-2</v>
      </c>
      <c r="D2752" s="7">
        <v>3.1620000000000002E-2</v>
      </c>
      <c r="E2752" s="7">
        <v>3.1620000000000002E-2</v>
      </c>
      <c r="F2752" s="7">
        <v>3.1620000000000002E-2</v>
      </c>
      <c r="G2752" s="7">
        <v>-3.15E-2</v>
      </c>
    </row>
    <row r="2753" spans="2:7" x14ac:dyDescent="0.2">
      <c r="B2753" s="60">
        <v>39784</v>
      </c>
      <c r="C2753" s="7">
        <v>3.0590000000000003E-2</v>
      </c>
      <c r="D2753" s="7">
        <v>3.0590000000000003E-2</v>
      </c>
      <c r="E2753" s="7">
        <v>3.0590000000000003E-2</v>
      </c>
      <c r="F2753" s="7">
        <v>3.0590000000000003E-2</v>
      </c>
      <c r="G2753" s="7">
        <v>-3.2599999999999997E-2</v>
      </c>
    </row>
    <row r="2754" spans="2:7" x14ac:dyDescent="0.2">
      <c r="B2754" s="60">
        <v>39785</v>
      </c>
      <c r="C2754" s="7">
        <v>3.0449999999999998E-2</v>
      </c>
      <c r="D2754" s="7">
        <v>3.0449999999999998E-2</v>
      </c>
      <c r="E2754" s="7">
        <v>3.0449999999999998E-2</v>
      </c>
      <c r="F2754" s="7">
        <v>3.0449999999999998E-2</v>
      </c>
      <c r="G2754" s="7">
        <v>-4.5999999999999999E-3</v>
      </c>
    </row>
    <row r="2755" spans="2:7" x14ac:dyDescent="0.2">
      <c r="B2755" s="60">
        <v>39786</v>
      </c>
      <c r="C2755" s="7">
        <v>3.0950000000000002E-2</v>
      </c>
      <c r="D2755" s="7">
        <v>3.0950000000000002E-2</v>
      </c>
      <c r="E2755" s="7">
        <v>3.0950000000000002E-2</v>
      </c>
      <c r="F2755" s="7">
        <v>3.0950000000000002E-2</v>
      </c>
      <c r="G2755" s="7">
        <v>1.6400000000000001E-2</v>
      </c>
    </row>
    <row r="2756" spans="2:7" x14ac:dyDescent="0.2">
      <c r="B2756" s="60">
        <v>39787</v>
      </c>
      <c r="C2756" s="7">
        <v>3.0200000000000001E-2</v>
      </c>
      <c r="D2756" s="7">
        <v>3.0200000000000001E-2</v>
      </c>
      <c r="E2756" s="7">
        <v>3.0200000000000001E-2</v>
      </c>
      <c r="F2756" s="7">
        <v>3.0200000000000001E-2</v>
      </c>
      <c r="G2756" s="7">
        <v>-2.4199999999999999E-2</v>
      </c>
    </row>
    <row r="2757" spans="2:7" x14ac:dyDescent="0.2">
      <c r="B2757" s="60">
        <v>39790</v>
      </c>
      <c r="C2757" s="7">
        <v>3.1579999999999997E-2</v>
      </c>
      <c r="D2757" s="7">
        <v>3.1579999999999997E-2</v>
      </c>
      <c r="E2757" s="7">
        <v>3.1579999999999997E-2</v>
      </c>
      <c r="F2757" s="7">
        <v>3.1579999999999997E-2</v>
      </c>
      <c r="G2757" s="7">
        <v>4.5699999999999998E-2</v>
      </c>
    </row>
    <row r="2758" spans="2:7" x14ac:dyDescent="0.2">
      <c r="B2758" s="60">
        <v>39791</v>
      </c>
      <c r="C2758" s="7">
        <v>3.2280000000000003E-2</v>
      </c>
      <c r="D2758" s="7">
        <v>3.2280000000000003E-2</v>
      </c>
      <c r="E2758" s="7">
        <v>3.2280000000000003E-2</v>
      </c>
      <c r="F2758" s="7">
        <v>3.2280000000000003E-2</v>
      </c>
      <c r="G2758" s="7">
        <v>2.2200000000000001E-2</v>
      </c>
    </row>
    <row r="2759" spans="2:7" x14ac:dyDescent="0.2">
      <c r="B2759" s="60">
        <v>39792</v>
      </c>
      <c r="C2759" s="7">
        <v>3.1960000000000002E-2</v>
      </c>
      <c r="D2759" s="7">
        <v>3.1960000000000002E-2</v>
      </c>
      <c r="E2759" s="7">
        <v>3.1960000000000002E-2</v>
      </c>
      <c r="F2759" s="7">
        <v>3.1960000000000002E-2</v>
      </c>
      <c r="G2759" s="7">
        <v>-9.9000000000000008E-3</v>
      </c>
    </row>
    <row r="2760" spans="2:7" x14ac:dyDescent="0.2">
      <c r="B2760" s="60">
        <v>39793</v>
      </c>
      <c r="C2760" s="7">
        <v>3.2039999999999999E-2</v>
      </c>
      <c r="D2760" s="7">
        <v>3.2039999999999999E-2</v>
      </c>
      <c r="E2760" s="7">
        <v>3.2039999999999999E-2</v>
      </c>
      <c r="F2760" s="7">
        <v>3.2039999999999999E-2</v>
      </c>
      <c r="G2760" s="7">
        <v>2.5000000000000001E-3</v>
      </c>
    </row>
    <row r="2761" spans="2:7" x14ac:dyDescent="0.2">
      <c r="B2761" s="60">
        <v>39794</v>
      </c>
      <c r="C2761" s="7">
        <v>3.2939999999999997E-2</v>
      </c>
      <c r="D2761" s="7">
        <v>3.2939999999999997E-2</v>
      </c>
      <c r="E2761" s="7">
        <v>3.2939999999999997E-2</v>
      </c>
      <c r="F2761" s="7">
        <v>3.2939999999999997E-2</v>
      </c>
      <c r="G2761" s="7">
        <v>2.81E-2</v>
      </c>
    </row>
    <row r="2762" spans="2:7" x14ac:dyDescent="0.2">
      <c r="B2762" s="60">
        <v>39797</v>
      </c>
      <c r="C2762" s="7">
        <v>3.2050000000000002E-2</v>
      </c>
      <c r="D2762" s="7">
        <v>3.2050000000000002E-2</v>
      </c>
      <c r="E2762" s="7">
        <v>3.2050000000000002E-2</v>
      </c>
      <c r="F2762" s="7">
        <v>3.2050000000000002E-2</v>
      </c>
      <c r="G2762" s="7">
        <v>-2.7E-2</v>
      </c>
    </row>
    <row r="2763" spans="2:7" x14ac:dyDescent="0.2">
      <c r="B2763" s="60">
        <v>39798</v>
      </c>
      <c r="C2763" s="7">
        <v>3.1379999999999998E-2</v>
      </c>
      <c r="D2763" s="7">
        <v>3.1379999999999998E-2</v>
      </c>
      <c r="E2763" s="7">
        <v>3.1379999999999998E-2</v>
      </c>
      <c r="F2763" s="7">
        <v>3.1379999999999998E-2</v>
      </c>
      <c r="G2763" s="7">
        <v>-2.0899999999999998E-2</v>
      </c>
    </row>
    <row r="2764" spans="2:7" x14ac:dyDescent="0.2">
      <c r="B2764" s="60">
        <v>39799</v>
      </c>
      <c r="C2764" s="7">
        <v>2.9929999999999998E-2</v>
      </c>
      <c r="D2764" s="7">
        <v>2.9929999999999998E-2</v>
      </c>
      <c r="E2764" s="7">
        <v>2.9929999999999998E-2</v>
      </c>
      <c r="F2764" s="7">
        <v>2.9929999999999998E-2</v>
      </c>
      <c r="G2764" s="7">
        <v>-4.6199999999999998E-2</v>
      </c>
    </row>
    <row r="2765" spans="2:7" x14ac:dyDescent="0.2">
      <c r="B2765" s="60">
        <v>39800</v>
      </c>
      <c r="C2765" s="7">
        <v>2.98E-2</v>
      </c>
      <c r="D2765" s="7">
        <v>2.98E-2</v>
      </c>
      <c r="E2765" s="7">
        <v>2.98E-2</v>
      </c>
      <c r="F2765" s="7">
        <v>2.98E-2</v>
      </c>
      <c r="G2765" s="7">
        <v>-4.3E-3</v>
      </c>
    </row>
    <row r="2766" spans="2:7" x14ac:dyDescent="0.2">
      <c r="B2766" s="60">
        <v>39801</v>
      </c>
      <c r="C2766" s="7">
        <v>3.0099999999999998E-2</v>
      </c>
      <c r="D2766" s="7">
        <v>3.0099999999999998E-2</v>
      </c>
      <c r="E2766" s="7">
        <v>3.0099999999999998E-2</v>
      </c>
      <c r="F2766" s="7">
        <v>3.0099999999999998E-2</v>
      </c>
      <c r="G2766" s="7">
        <v>1.01E-2</v>
      </c>
    </row>
    <row r="2767" spans="2:7" x14ac:dyDescent="0.2">
      <c r="B2767" s="60">
        <v>39804</v>
      </c>
      <c r="C2767" s="7">
        <v>2.947E-2</v>
      </c>
      <c r="D2767" s="7">
        <v>2.947E-2</v>
      </c>
      <c r="E2767" s="7">
        <v>2.947E-2</v>
      </c>
      <c r="F2767" s="7">
        <v>2.947E-2</v>
      </c>
      <c r="G2767" s="7">
        <v>-2.0899999999999998E-2</v>
      </c>
    </row>
    <row r="2768" spans="2:7" x14ac:dyDescent="0.2">
      <c r="B2768" s="60">
        <v>39805</v>
      </c>
      <c r="C2768" s="7">
        <v>2.9449999999999997E-2</v>
      </c>
      <c r="D2768" s="7">
        <v>2.9449999999999997E-2</v>
      </c>
      <c r="E2768" s="7">
        <v>2.9449999999999997E-2</v>
      </c>
      <c r="F2768" s="7">
        <v>2.9449999999999997E-2</v>
      </c>
      <c r="G2768" s="7">
        <v>-6.9999999999999999E-4</v>
      </c>
    </row>
    <row r="2769" spans="2:7" x14ac:dyDescent="0.2">
      <c r="B2769" s="60">
        <v>39811</v>
      </c>
      <c r="C2769" s="7">
        <v>2.8879999999999999E-2</v>
      </c>
      <c r="D2769" s="7">
        <v>2.8879999999999999E-2</v>
      </c>
      <c r="E2769" s="7">
        <v>2.8879999999999999E-2</v>
      </c>
      <c r="F2769" s="7">
        <v>2.8879999999999999E-2</v>
      </c>
      <c r="G2769" s="7">
        <v>-1.9400000000000001E-2</v>
      </c>
    </row>
    <row r="2770" spans="2:7" x14ac:dyDescent="0.2">
      <c r="B2770" s="60">
        <v>39812</v>
      </c>
      <c r="C2770" s="7">
        <v>2.9489999999999999E-2</v>
      </c>
      <c r="D2770" s="7">
        <v>2.9489999999999999E-2</v>
      </c>
      <c r="E2770" s="7">
        <v>2.9489999999999999E-2</v>
      </c>
      <c r="F2770" s="7">
        <v>2.9489999999999999E-2</v>
      </c>
      <c r="G2770" s="7">
        <v>2.1100000000000001E-2</v>
      </c>
    </row>
    <row r="2771" spans="2:7" x14ac:dyDescent="0.2">
      <c r="B2771" s="60">
        <v>39815</v>
      </c>
      <c r="C2771" s="7">
        <v>2.9510000000000002E-2</v>
      </c>
      <c r="D2771" s="7">
        <v>2.9510000000000002E-2</v>
      </c>
      <c r="E2771" s="7">
        <v>2.9510000000000002E-2</v>
      </c>
      <c r="F2771" s="7">
        <v>2.9510000000000002E-2</v>
      </c>
      <c r="G2771" s="7">
        <v>6.9999999999999999E-4</v>
      </c>
    </row>
    <row r="2772" spans="2:7" x14ac:dyDescent="0.2">
      <c r="B2772" s="60">
        <v>39818</v>
      </c>
      <c r="C2772" s="7">
        <v>3.0159999999999999E-2</v>
      </c>
      <c r="D2772" s="7">
        <v>3.0159999999999999E-2</v>
      </c>
      <c r="E2772" s="7">
        <v>3.0159999999999999E-2</v>
      </c>
      <c r="F2772" s="7">
        <v>3.0159999999999999E-2</v>
      </c>
      <c r="G2772" s="7">
        <v>2.1999999999999999E-2</v>
      </c>
    </row>
    <row r="2773" spans="2:7" x14ac:dyDescent="0.2">
      <c r="B2773" s="60">
        <v>39819</v>
      </c>
      <c r="C2773" s="7">
        <v>3.1549999999999995E-2</v>
      </c>
      <c r="D2773" s="7">
        <v>3.1549999999999995E-2</v>
      </c>
      <c r="E2773" s="7">
        <v>3.1549999999999995E-2</v>
      </c>
      <c r="F2773" s="7">
        <v>3.1549999999999995E-2</v>
      </c>
      <c r="G2773" s="7">
        <v>4.6100000000000002E-2</v>
      </c>
    </row>
    <row r="2774" spans="2:7" x14ac:dyDescent="0.2">
      <c r="B2774" s="60">
        <v>39820</v>
      </c>
      <c r="C2774" s="7">
        <v>3.2070000000000001E-2</v>
      </c>
      <c r="D2774" s="7">
        <v>3.2070000000000001E-2</v>
      </c>
      <c r="E2774" s="7">
        <v>3.2070000000000001E-2</v>
      </c>
      <c r="F2774" s="7">
        <v>3.2070000000000001E-2</v>
      </c>
      <c r="G2774" s="7">
        <v>1.6500000000000001E-2</v>
      </c>
    </row>
    <row r="2775" spans="2:7" x14ac:dyDescent="0.2">
      <c r="B2775" s="60">
        <v>39821</v>
      </c>
      <c r="C2775" s="7">
        <v>3.124E-2</v>
      </c>
      <c r="D2775" s="7">
        <v>3.124E-2</v>
      </c>
      <c r="E2775" s="7">
        <v>3.124E-2</v>
      </c>
      <c r="F2775" s="7">
        <v>3.124E-2</v>
      </c>
      <c r="G2775" s="7">
        <v>-2.5899999999999999E-2</v>
      </c>
    </row>
    <row r="2776" spans="2:7" x14ac:dyDescent="0.2">
      <c r="B2776" s="60">
        <v>39822</v>
      </c>
      <c r="C2776" s="7">
        <v>3.0190000000000002E-2</v>
      </c>
      <c r="D2776" s="7">
        <v>3.0190000000000002E-2</v>
      </c>
      <c r="E2776" s="7">
        <v>3.0190000000000002E-2</v>
      </c>
      <c r="F2776" s="7">
        <v>3.0190000000000002E-2</v>
      </c>
      <c r="G2776" s="7">
        <v>-3.3599999999999998E-2</v>
      </c>
    </row>
    <row r="2777" spans="2:7" x14ac:dyDescent="0.2">
      <c r="B2777" s="60">
        <v>39825</v>
      </c>
      <c r="C2777" s="7">
        <v>2.9849999999999998E-2</v>
      </c>
      <c r="D2777" s="7">
        <v>2.9849999999999998E-2</v>
      </c>
      <c r="E2777" s="7">
        <v>2.9849999999999998E-2</v>
      </c>
      <c r="F2777" s="7">
        <v>2.9849999999999998E-2</v>
      </c>
      <c r="G2777" s="7">
        <v>-1.1299999999999999E-2</v>
      </c>
    </row>
    <row r="2778" spans="2:7" x14ac:dyDescent="0.2">
      <c r="B2778" s="60">
        <v>39826</v>
      </c>
      <c r="C2778" s="7">
        <v>2.9980000000000003E-2</v>
      </c>
      <c r="D2778" s="7">
        <v>2.9980000000000003E-2</v>
      </c>
      <c r="E2778" s="7">
        <v>2.9980000000000003E-2</v>
      </c>
      <c r="F2778" s="7">
        <v>2.9980000000000003E-2</v>
      </c>
      <c r="G2778" s="7">
        <v>4.4000000000000003E-3</v>
      </c>
    </row>
    <row r="2779" spans="2:7" x14ac:dyDescent="0.2">
      <c r="B2779" s="60">
        <v>39827</v>
      </c>
      <c r="C2779" s="7">
        <v>2.9369999999999997E-2</v>
      </c>
      <c r="D2779" s="7">
        <v>2.9369999999999997E-2</v>
      </c>
      <c r="E2779" s="7">
        <v>2.9369999999999997E-2</v>
      </c>
      <c r="F2779" s="7">
        <v>2.9369999999999997E-2</v>
      </c>
      <c r="G2779" s="7">
        <v>-2.0299999999999999E-2</v>
      </c>
    </row>
    <row r="2780" spans="2:7" x14ac:dyDescent="0.2">
      <c r="B2780" s="60">
        <v>39828</v>
      </c>
      <c r="C2780" s="7">
        <v>2.8900000000000002E-2</v>
      </c>
      <c r="D2780" s="7">
        <v>2.8900000000000002E-2</v>
      </c>
      <c r="E2780" s="7">
        <v>2.8900000000000002E-2</v>
      </c>
      <c r="F2780" s="7">
        <v>2.8900000000000002E-2</v>
      </c>
      <c r="G2780" s="7">
        <v>-1.6E-2</v>
      </c>
    </row>
    <row r="2781" spans="2:7" x14ac:dyDescent="0.2">
      <c r="B2781" s="60">
        <v>39829</v>
      </c>
      <c r="C2781" s="7">
        <v>2.9350000000000001E-2</v>
      </c>
      <c r="D2781" s="7">
        <v>2.9350000000000001E-2</v>
      </c>
      <c r="E2781" s="7">
        <v>2.9350000000000001E-2</v>
      </c>
      <c r="F2781" s="7">
        <v>2.9350000000000001E-2</v>
      </c>
      <c r="G2781" s="7">
        <v>1.5599999999999999E-2</v>
      </c>
    </row>
    <row r="2782" spans="2:7" x14ac:dyDescent="0.2">
      <c r="B2782" s="60">
        <v>39832</v>
      </c>
      <c r="C2782" s="7">
        <v>2.9910000000000003E-2</v>
      </c>
      <c r="D2782" s="7">
        <v>2.9910000000000003E-2</v>
      </c>
      <c r="E2782" s="7">
        <v>2.9910000000000003E-2</v>
      </c>
      <c r="F2782" s="7">
        <v>2.9910000000000003E-2</v>
      </c>
      <c r="G2782" s="7">
        <v>1.9099999999999999E-2</v>
      </c>
    </row>
    <row r="2783" spans="2:7" x14ac:dyDescent="0.2">
      <c r="B2783" s="60">
        <v>39833</v>
      </c>
      <c r="C2783" s="7">
        <v>3.0179999999999998E-2</v>
      </c>
      <c r="D2783" s="7">
        <v>3.0179999999999998E-2</v>
      </c>
      <c r="E2783" s="7">
        <v>3.0179999999999998E-2</v>
      </c>
      <c r="F2783" s="7">
        <v>3.0179999999999998E-2</v>
      </c>
      <c r="G2783" s="7">
        <v>8.9999999999999993E-3</v>
      </c>
    </row>
    <row r="2784" spans="2:7" x14ac:dyDescent="0.2">
      <c r="B2784" s="60">
        <v>39834</v>
      </c>
      <c r="C2784" s="7">
        <v>2.9929999999999998E-2</v>
      </c>
      <c r="D2784" s="7">
        <v>2.9929999999999998E-2</v>
      </c>
      <c r="E2784" s="7">
        <v>2.9929999999999998E-2</v>
      </c>
      <c r="F2784" s="7">
        <v>2.9929999999999998E-2</v>
      </c>
      <c r="G2784" s="7">
        <v>-8.3000000000000001E-3</v>
      </c>
    </row>
    <row r="2785" spans="2:7" x14ac:dyDescent="0.2">
      <c r="B2785" s="60">
        <v>39835</v>
      </c>
      <c r="C2785" s="7">
        <v>3.107E-2</v>
      </c>
      <c r="D2785" s="7">
        <v>3.107E-2</v>
      </c>
      <c r="E2785" s="7">
        <v>3.107E-2</v>
      </c>
      <c r="F2785" s="7">
        <v>3.107E-2</v>
      </c>
      <c r="G2785" s="7">
        <v>3.8100000000000002E-2</v>
      </c>
    </row>
    <row r="2786" spans="2:7" x14ac:dyDescent="0.2">
      <c r="B2786" s="60">
        <v>39836</v>
      </c>
      <c r="C2786" s="7">
        <v>3.2230000000000002E-2</v>
      </c>
      <c r="D2786" s="7">
        <v>3.2230000000000002E-2</v>
      </c>
      <c r="E2786" s="7">
        <v>3.2230000000000002E-2</v>
      </c>
      <c r="F2786" s="7">
        <v>3.2230000000000002E-2</v>
      </c>
      <c r="G2786" s="7">
        <v>3.73E-2</v>
      </c>
    </row>
    <row r="2787" spans="2:7" x14ac:dyDescent="0.2">
      <c r="B2787" s="60">
        <v>39839</v>
      </c>
      <c r="C2787" s="7">
        <v>3.32E-2</v>
      </c>
      <c r="D2787" s="7">
        <v>3.32E-2</v>
      </c>
      <c r="E2787" s="7">
        <v>3.32E-2</v>
      </c>
      <c r="F2787" s="7">
        <v>3.32E-2</v>
      </c>
      <c r="G2787" s="7">
        <v>3.0099999999999998E-2</v>
      </c>
    </row>
    <row r="2788" spans="2:7" x14ac:dyDescent="0.2">
      <c r="B2788" s="60">
        <v>39840</v>
      </c>
      <c r="C2788" s="7">
        <v>3.261E-2</v>
      </c>
      <c r="D2788" s="7">
        <v>3.261E-2</v>
      </c>
      <c r="E2788" s="7">
        <v>3.261E-2</v>
      </c>
      <c r="F2788" s="7">
        <v>3.261E-2</v>
      </c>
      <c r="G2788" s="7">
        <v>-1.78E-2</v>
      </c>
    </row>
    <row r="2789" spans="2:7" x14ac:dyDescent="0.2">
      <c r="B2789" s="60">
        <v>39841</v>
      </c>
      <c r="C2789" s="7">
        <v>3.236E-2</v>
      </c>
      <c r="D2789" s="7">
        <v>3.236E-2</v>
      </c>
      <c r="E2789" s="7">
        <v>3.236E-2</v>
      </c>
      <c r="F2789" s="7">
        <v>3.236E-2</v>
      </c>
      <c r="G2789" s="7">
        <v>-7.7000000000000002E-3</v>
      </c>
    </row>
    <row r="2790" spans="2:7" x14ac:dyDescent="0.2">
      <c r="B2790" s="60">
        <v>39842</v>
      </c>
      <c r="C2790" s="7">
        <v>3.2480000000000002E-2</v>
      </c>
      <c r="D2790" s="7">
        <v>3.2480000000000002E-2</v>
      </c>
      <c r="E2790" s="7">
        <v>3.2480000000000002E-2</v>
      </c>
      <c r="F2790" s="7">
        <v>3.2480000000000002E-2</v>
      </c>
      <c r="G2790" s="7">
        <v>3.7000000000000002E-3</v>
      </c>
    </row>
    <row r="2791" spans="2:7" x14ac:dyDescent="0.2">
      <c r="B2791" s="60">
        <v>39843</v>
      </c>
      <c r="C2791" s="7">
        <v>3.2959999999999996E-2</v>
      </c>
      <c r="D2791" s="7">
        <v>3.2959999999999996E-2</v>
      </c>
      <c r="E2791" s="7">
        <v>3.2959999999999996E-2</v>
      </c>
      <c r="F2791" s="7">
        <v>3.2959999999999996E-2</v>
      </c>
      <c r="G2791" s="7">
        <v>1.4800000000000001E-2</v>
      </c>
    </row>
    <row r="2792" spans="2:7" x14ac:dyDescent="0.2">
      <c r="B2792" s="60">
        <v>39846</v>
      </c>
      <c r="C2792" s="7">
        <v>3.2829999999999998E-2</v>
      </c>
      <c r="D2792" s="7">
        <v>3.2829999999999998E-2</v>
      </c>
      <c r="E2792" s="7">
        <v>3.2829999999999998E-2</v>
      </c>
      <c r="F2792" s="7">
        <v>3.2829999999999998E-2</v>
      </c>
      <c r="G2792" s="7">
        <v>-3.8999999999999998E-3</v>
      </c>
    </row>
    <row r="2793" spans="2:7" x14ac:dyDescent="0.2">
      <c r="B2793" s="60">
        <v>39847</v>
      </c>
      <c r="C2793" s="7">
        <v>3.3489999999999999E-2</v>
      </c>
      <c r="D2793" s="7">
        <v>3.3489999999999999E-2</v>
      </c>
      <c r="E2793" s="7">
        <v>3.3489999999999999E-2</v>
      </c>
      <c r="F2793" s="7">
        <v>3.3489999999999999E-2</v>
      </c>
      <c r="G2793" s="7">
        <v>2.01E-2</v>
      </c>
    </row>
    <row r="2794" spans="2:7" x14ac:dyDescent="0.2">
      <c r="B2794" s="60">
        <v>39848</v>
      </c>
      <c r="C2794" s="7">
        <v>3.3649999999999999E-2</v>
      </c>
      <c r="D2794" s="7">
        <v>3.3649999999999999E-2</v>
      </c>
      <c r="E2794" s="7">
        <v>3.3649999999999999E-2</v>
      </c>
      <c r="F2794" s="7">
        <v>3.3649999999999999E-2</v>
      </c>
      <c r="G2794" s="7">
        <v>4.7999999999999996E-3</v>
      </c>
    </row>
    <row r="2795" spans="2:7" x14ac:dyDescent="0.2">
      <c r="B2795" s="60">
        <v>39849</v>
      </c>
      <c r="C2795" s="7">
        <v>3.3309999999999999E-2</v>
      </c>
      <c r="D2795" s="7">
        <v>3.3309999999999999E-2</v>
      </c>
      <c r="E2795" s="7">
        <v>3.3309999999999999E-2</v>
      </c>
      <c r="F2795" s="7">
        <v>3.3309999999999999E-2</v>
      </c>
      <c r="G2795" s="7">
        <v>-1.01E-2</v>
      </c>
    </row>
    <row r="2796" spans="2:7" x14ac:dyDescent="0.2">
      <c r="B2796" s="60">
        <v>39850</v>
      </c>
      <c r="C2796" s="7">
        <v>3.3649999999999999E-2</v>
      </c>
      <c r="D2796" s="7">
        <v>3.3649999999999999E-2</v>
      </c>
      <c r="E2796" s="7">
        <v>3.3649999999999999E-2</v>
      </c>
      <c r="F2796" s="7">
        <v>3.3649999999999999E-2</v>
      </c>
      <c r="G2796" s="7">
        <v>1.0200000000000001E-2</v>
      </c>
    </row>
    <row r="2797" spans="2:7" x14ac:dyDescent="0.2">
      <c r="B2797" s="60">
        <v>39853</v>
      </c>
      <c r="C2797" s="7">
        <v>3.3939999999999998E-2</v>
      </c>
      <c r="D2797" s="7">
        <v>3.3939999999999998E-2</v>
      </c>
      <c r="E2797" s="7">
        <v>3.3939999999999998E-2</v>
      </c>
      <c r="F2797" s="7">
        <v>3.3939999999999998E-2</v>
      </c>
      <c r="G2797" s="7">
        <v>8.6E-3</v>
      </c>
    </row>
    <row r="2798" spans="2:7" x14ac:dyDescent="0.2">
      <c r="B2798" s="60">
        <v>39854</v>
      </c>
      <c r="C2798" s="7">
        <v>3.3489999999999999E-2</v>
      </c>
      <c r="D2798" s="7">
        <v>3.3489999999999999E-2</v>
      </c>
      <c r="E2798" s="7">
        <v>3.3489999999999999E-2</v>
      </c>
      <c r="F2798" s="7">
        <v>3.3489999999999999E-2</v>
      </c>
      <c r="G2798" s="7">
        <v>-1.3299999999999999E-2</v>
      </c>
    </row>
    <row r="2799" spans="2:7" x14ac:dyDescent="0.2">
      <c r="B2799" s="60">
        <v>39855</v>
      </c>
      <c r="C2799" s="7">
        <v>3.218E-2</v>
      </c>
      <c r="D2799" s="7">
        <v>3.218E-2</v>
      </c>
      <c r="E2799" s="7">
        <v>3.218E-2</v>
      </c>
      <c r="F2799" s="7">
        <v>3.218E-2</v>
      </c>
      <c r="G2799" s="7">
        <v>-3.9100000000000003E-2</v>
      </c>
    </row>
    <row r="2800" spans="2:7" x14ac:dyDescent="0.2">
      <c r="B2800" s="60">
        <v>39856</v>
      </c>
      <c r="C2800" s="7">
        <v>3.0849999999999999E-2</v>
      </c>
      <c r="D2800" s="7">
        <v>3.0849999999999999E-2</v>
      </c>
      <c r="E2800" s="7">
        <v>3.0849999999999999E-2</v>
      </c>
      <c r="F2800" s="7">
        <v>3.0849999999999999E-2</v>
      </c>
      <c r="G2800" s="7">
        <v>-4.1300000000000003E-2</v>
      </c>
    </row>
    <row r="2801" spans="2:7" x14ac:dyDescent="0.2">
      <c r="B2801" s="60">
        <v>39857</v>
      </c>
      <c r="C2801" s="7">
        <v>3.1099999999999999E-2</v>
      </c>
      <c r="D2801" s="7">
        <v>3.1099999999999999E-2</v>
      </c>
      <c r="E2801" s="7">
        <v>3.1099999999999999E-2</v>
      </c>
      <c r="F2801" s="7">
        <v>3.1099999999999999E-2</v>
      </c>
      <c r="G2801" s="7">
        <v>8.0999999999999996E-3</v>
      </c>
    </row>
    <row r="2802" spans="2:7" x14ac:dyDescent="0.2">
      <c r="B2802" s="60">
        <v>39860</v>
      </c>
      <c r="C2802" s="7">
        <v>3.032E-2</v>
      </c>
      <c r="D2802" s="7">
        <v>3.032E-2</v>
      </c>
      <c r="E2802" s="7">
        <v>3.032E-2</v>
      </c>
      <c r="F2802" s="7">
        <v>3.032E-2</v>
      </c>
      <c r="G2802" s="7">
        <v>-2.5100000000000001E-2</v>
      </c>
    </row>
    <row r="2803" spans="2:7" x14ac:dyDescent="0.2">
      <c r="B2803" s="60">
        <v>39861</v>
      </c>
      <c r="C2803" s="7">
        <v>2.9750000000000002E-2</v>
      </c>
      <c r="D2803" s="7">
        <v>2.9750000000000002E-2</v>
      </c>
      <c r="E2803" s="7">
        <v>2.9750000000000002E-2</v>
      </c>
      <c r="F2803" s="7">
        <v>2.9750000000000002E-2</v>
      </c>
      <c r="G2803" s="7">
        <v>-1.8800000000000001E-2</v>
      </c>
    </row>
    <row r="2804" spans="2:7" x14ac:dyDescent="0.2">
      <c r="B2804" s="60">
        <v>39862</v>
      </c>
      <c r="C2804" s="7">
        <v>2.9929999999999998E-2</v>
      </c>
      <c r="D2804" s="7">
        <v>2.9929999999999998E-2</v>
      </c>
      <c r="E2804" s="7">
        <v>2.9929999999999998E-2</v>
      </c>
      <c r="F2804" s="7">
        <v>2.9929999999999998E-2</v>
      </c>
      <c r="G2804" s="7">
        <v>6.1000000000000004E-3</v>
      </c>
    </row>
    <row r="2805" spans="2:7" x14ac:dyDescent="0.2">
      <c r="B2805" s="60">
        <v>39863</v>
      </c>
      <c r="C2805" s="7">
        <v>3.0859999999999999E-2</v>
      </c>
      <c r="D2805" s="7">
        <v>3.0859999999999999E-2</v>
      </c>
      <c r="E2805" s="7">
        <v>3.0859999999999999E-2</v>
      </c>
      <c r="F2805" s="7">
        <v>3.0859999999999999E-2</v>
      </c>
      <c r="G2805" s="7">
        <v>3.1099999999999999E-2</v>
      </c>
    </row>
    <row r="2806" spans="2:7" x14ac:dyDescent="0.2">
      <c r="B2806" s="60">
        <v>39864</v>
      </c>
      <c r="C2806" s="7">
        <v>3.0190000000000002E-2</v>
      </c>
      <c r="D2806" s="7">
        <v>3.0190000000000002E-2</v>
      </c>
      <c r="E2806" s="7">
        <v>3.0190000000000002E-2</v>
      </c>
      <c r="F2806" s="7">
        <v>3.0190000000000002E-2</v>
      </c>
      <c r="G2806" s="7">
        <v>-2.1700000000000001E-2</v>
      </c>
    </row>
    <row r="2807" spans="2:7" x14ac:dyDescent="0.2">
      <c r="B2807" s="60">
        <v>39867</v>
      </c>
      <c r="C2807" s="7">
        <v>3.0200000000000001E-2</v>
      </c>
      <c r="D2807" s="7">
        <v>3.0200000000000001E-2</v>
      </c>
      <c r="E2807" s="7">
        <v>3.0200000000000001E-2</v>
      </c>
      <c r="F2807" s="7">
        <v>3.0200000000000001E-2</v>
      </c>
      <c r="G2807" s="7">
        <v>2.9999999999999997E-4</v>
      </c>
    </row>
    <row r="2808" spans="2:7" x14ac:dyDescent="0.2">
      <c r="B2808" s="60">
        <v>39868</v>
      </c>
      <c r="C2808" s="7">
        <v>2.9860000000000001E-2</v>
      </c>
      <c r="D2808" s="7">
        <v>2.9860000000000001E-2</v>
      </c>
      <c r="E2808" s="7">
        <v>2.9860000000000001E-2</v>
      </c>
      <c r="F2808" s="7">
        <v>2.9860000000000001E-2</v>
      </c>
      <c r="G2808" s="7">
        <v>-1.1299999999999999E-2</v>
      </c>
    </row>
    <row r="2809" spans="2:7" x14ac:dyDescent="0.2">
      <c r="B2809" s="60">
        <v>39869</v>
      </c>
      <c r="C2809" s="7">
        <v>2.9900000000000003E-2</v>
      </c>
      <c r="D2809" s="7">
        <v>2.9900000000000003E-2</v>
      </c>
      <c r="E2809" s="7">
        <v>2.9900000000000003E-2</v>
      </c>
      <c r="F2809" s="7">
        <v>2.9900000000000003E-2</v>
      </c>
      <c r="G2809" s="7">
        <v>1.2999999999999999E-3</v>
      </c>
    </row>
    <row r="2810" spans="2:7" x14ac:dyDescent="0.2">
      <c r="B2810" s="60">
        <v>39870</v>
      </c>
      <c r="C2810" s="7">
        <v>3.1320000000000001E-2</v>
      </c>
      <c r="D2810" s="7">
        <v>3.1320000000000001E-2</v>
      </c>
      <c r="E2810" s="7">
        <v>3.1320000000000001E-2</v>
      </c>
      <c r="F2810" s="7">
        <v>3.1320000000000001E-2</v>
      </c>
      <c r="G2810" s="7">
        <v>4.7500000000000001E-2</v>
      </c>
    </row>
    <row r="2811" spans="2:7" x14ac:dyDescent="0.2">
      <c r="B2811" s="60">
        <v>39871</v>
      </c>
      <c r="C2811" s="7">
        <v>3.109E-2</v>
      </c>
      <c r="D2811" s="7">
        <v>3.109E-2</v>
      </c>
      <c r="E2811" s="7">
        <v>3.109E-2</v>
      </c>
      <c r="F2811" s="7">
        <v>3.109E-2</v>
      </c>
      <c r="G2811" s="7">
        <v>-7.3000000000000001E-3</v>
      </c>
    </row>
    <row r="2812" spans="2:7" x14ac:dyDescent="0.2">
      <c r="B2812" s="60">
        <v>39874</v>
      </c>
      <c r="C2812" s="7">
        <v>3.0289999999999997E-2</v>
      </c>
      <c r="D2812" s="7">
        <v>3.0289999999999997E-2</v>
      </c>
      <c r="E2812" s="7">
        <v>3.0289999999999997E-2</v>
      </c>
      <c r="F2812" s="7">
        <v>3.0289999999999997E-2</v>
      </c>
      <c r="G2812" s="7">
        <v>-2.5700000000000001E-2</v>
      </c>
    </row>
    <row r="2813" spans="2:7" x14ac:dyDescent="0.2">
      <c r="B2813" s="60">
        <v>39875</v>
      </c>
      <c r="C2813" s="7">
        <v>3.0449999999999998E-2</v>
      </c>
      <c r="D2813" s="7">
        <v>3.0449999999999998E-2</v>
      </c>
      <c r="E2813" s="7">
        <v>3.0449999999999998E-2</v>
      </c>
      <c r="F2813" s="7">
        <v>3.0449999999999998E-2</v>
      </c>
      <c r="G2813" s="7">
        <v>5.3E-3</v>
      </c>
    </row>
    <row r="2814" spans="2:7" x14ac:dyDescent="0.2">
      <c r="B2814" s="60">
        <v>39876</v>
      </c>
      <c r="C2814" s="7">
        <v>3.143E-2</v>
      </c>
      <c r="D2814" s="7">
        <v>3.143E-2</v>
      </c>
      <c r="E2814" s="7">
        <v>3.143E-2</v>
      </c>
      <c r="F2814" s="7">
        <v>3.143E-2</v>
      </c>
      <c r="G2814" s="7">
        <v>3.2199999999999999E-2</v>
      </c>
    </row>
    <row r="2815" spans="2:7" x14ac:dyDescent="0.2">
      <c r="B2815" s="60">
        <v>39877</v>
      </c>
      <c r="C2815" s="7">
        <v>3.0190000000000002E-2</v>
      </c>
      <c r="D2815" s="7">
        <v>3.0190000000000002E-2</v>
      </c>
      <c r="E2815" s="7">
        <v>3.0190000000000002E-2</v>
      </c>
      <c r="F2815" s="7">
        <v>3.0190000000000002E-2</v>
      </c>
      <c r="G2815" s="7">
        <v>-3.95E-2</v>
      </c>
    </row>
    <row r="2816" spans="2:7" x14ac:dyDescent="0.2">
      <c r="B2816" s="60">
        <v>39878</v>
      </c>
      <c r="C2816" s="7">
        <v>2.921E-2</v>
      </c>
      <c r="D2816" s="7">
        <v>2.921E-2</v>
      </c>
      <c r="E2816" s="7">
        <v>2.921E-2</v>
      </c>
      <c r="F2816" s="7">
        <v>2.921E-2</v>
      </c>
      <c r="G2816" s="7">
        <v>-3.2500000000000001E-2</v>
      </c>
    </row>
    <row r="2817" spans="2:7" x14ac:dyDescent="0.2">
      <c r="B2817" s="60">
        <v>39881</v>
      </c>
      <c r="C2817" s="7">
        <v>2.9590000000000002E-2</v>
      </c>
      <c r="D2817" s="7">
        <v>2.9590000000000002E-2</v>
      </c>
      <c r="E2817" s="7">
        <v>2.9590000000000002E-2</v>
      </c>
      <c r="F2817" s="7">
        <v>2.9590000000000002E-2</v>
      </c>
      <c r="G2817" s="7">
        <v>1.2999999999999999E-2</v>
      </c>
    </row>
    <row r="2818" spans="2:7" x14ac:dyDescent="0.2">
      <c r="B2818" s="60">
        <v>39882</v>
      </c>
      <c r="C2818" s="7">
        <v>3.0130000000000001E-2</v>
      </c>
      <c r="D2818" s="7">
        <v>3.0130000000000001E-2</v>
      </c>
      <c r="E2818" s="7">
        <v>3.0130000000000001E-2</v>
      </c>
      <c r="F2818" s="7">
        <v>3.0130000000000001E-2</v>
      </c>
      <c r="G2818" s="7">
        <v>1.8200000000000001E-2</v>
      </c>
    </row>
    <row r="2819" spans="2:7" x14ac:dyDescent="0.2">
      <c r="B2819" s="60">
        <v>39883</v>
      </c>
      <c r="C2819" s="7">
        <v>3.0679999999999999E-2</v>
      </c>
      <c r="D2819" s="7">
        <v>3.0679999999999999E-2</v>
      </c>
      <c r="E2819" s="7">
        <v>3.0679999999999999E-2</v>
      </c>
      <c r="F2819" s="7">
        <v>3.0679999999999999E-2</v>
      </c>
      <c r="G2819" s="7">
        <v>1.83E-2</v>
      </c>
    </row>
    <row r="2820" spans="2:7" x14ac:dyDescent="0.2">
      <c r="B2820" s="60">
        <v>39884</v>
      </c>
      <c r="C2820" s="7">
        <v>3.0159999999999999E-2</v>
      </c>
      <c r="D2820" s="7">
        <v>3.0159999999999999E-2</v>
      </c>
      <c r="E2820" s="7">
        <v>3.0159999999999999E-2</v>
      </c>
      <c r="F2820" s="7">
        <v>3.0159999999999999E-2</v>
      </c>
      <c r="G2820" s="7">
        <v>-1.6899999999999998E-2</v>
      </c>
    </row>
    <row r="2821" spans="2:7" x14ac:dyDescent="0.2">
      <c r="B2821" s="60">
        <v>39885</v>
      </c>
      <c r="C2821" s="7">
        <v>3.041E-2</v>
      </c>
      <c r="D2821" s="7">
        <v>3.041E-2</v>
      </c>
      <c r="E2821" s="7">
        <v>3.041E-2</v>
      </c>
      <c r="F2821" s="7">
        <v>3.041E-2</v>
      </c>
      <c r="G2821" s="7">
        <v>8.3000000000000001E-3</v>
      </c>
    </row>
    <row r="2822" spans="2:7" x14ac:dyDescent="0.2">
      <c r="B2822" s="60">
        <v>39888</v>
      </c>
      <c r="C2822" s="7">
        <v>3.1440000000000003E-2</v>
      </c>
      <c r="D2822" s="7">
        <v>3.1440000000000003E-2</v>
      </c>
      <c r="E2822" s="7">
        <v>3.1440000000000003E-2</v>
      </c>
      <c r="F2822" s="7">
        <v>3.1440000000000003E-2</v>
      </c>
      <c r="G2822" s="7">
        <v>3.39E-2</v>
      </c>
    </row>
    <row r="2823" spans="2:7" x14ac:dyDescent="0.2">
      <c r="B2823" s="60">
        <v>39889</v>
      </c>
      <c r="C2823" s="7">
        <v>3.1969999999999998E-2</v>
      </c>
      <c r="D2823" s="7">
        <v>3.1969999999999998E-2</v>
      </c>
      <c r="E2823" s="7">
        <v>3.1969999999999998E-2</v>
      </c>
      <c r="F2823" s="7">
        <v>3.1969999999999998E-2</v>
      </c>
      <c r="G2823" s="7">
        <v>1.6899999999999998E-2</v>
      </c>
    </row>
    <row r="2824" spans="2:7" x14ac:dyDescent="0.2">
      <c r="B2824" s="60">
        <v>39890</v>
      </c>
      <c r="C2824" s="7">
        <v>3.2219999999999999E-2</v>
      </c>
      <c r="D2824" s="7">
        <v>3.2219999999999999E-2</v>
      </c>
      <c r="E2824" s="7">
        <v>3.2219999999999999E-2</v>
      </c>
      <c r="F2824" s="7">
        <v>3.2219999999999999E-2</v>
      </c>
      <c r="G2824" s="7">
        <v>7.7999999999999996E-3</v>
      </c>
    </row>
    <row r="2825" spans="2:7" x14ac:dyDescent="0.2">
      <c r="B2825" s="60">
        <v>39891</v>
      </c>
      <c r="C2825" s="7">
        <v>3.041E-2</v>
      </c>
      <c r="D2825" s="7">
        <v>3.041E-2</v>
      </c>
      <c r="E2825" s="7">
        <v>3.041E-2</v>
      </c>
      <c r="F2825" s="7">
        <v>3.041E-2</v>
      </c>
      <c r="G2825" s="7">
        <v>-5.62E-2</v>
      </c>
    </row>
    <row r="2826" spans="2:7" x14ac:dyDescent="0.2">
      <c r="B2826" s="60">
        <v>39892</v>
      </c>
      <c r="C2826" s="7">
        <v>2.9780000000000001E-2</v>
      </c>
      <c r="D2826" s="7">
        <v>2.9780000000000001E-2</v>
      </c>
      <c r="E2826" s="7">
        <v>2.9780000000000001E-2</v>
      </c>
      <c r="F2826" s="7">
        <v>2.9780000000000001E-2</v>
      </c>
      <c r="G2826" s="7">
        <v>-2.07E-2</v>
      </c>
    </row>
    <row r="2827" spans="2:7" x14ac:dyDescent="0.2">
      <c r="B2827" s="60">
        <v>39895</v>
      </c>
      <c r="C2827" s="7">
        <v>3.0190000000000002E-2</v>
      </c>
      <c r="D2827" s="7">
        <v>3.0190000000000002E-2</v>
      </c>
      <c r="E2827" s="7">
        <v>3.0190000000000002E-2</v>
      </c>
      <c r="F2827" s="7">
        <v>3.0190000000000002E-2</v>
      </c>
      <c r="G2827" s="7">
        <v>1.38E-2</v>
      </c>
    </row>
    <row r="2828" spans="2:7" x14ac:dyDescent="0.2">
      <c r="B2828" s="60">
        <v>39896</v>
      </c>
      <c r="C2828" s="7">
        <v>3.1449999999999999E-2</v>
      </c>
      <c r="D2828" s="7">
        <v>3.1449999999999999E-2</v>
      </c>
      <c r="E2828" s="7">
        <v>3.1449999999999999E-2</v>
      </c>
      <c r="F2828" s="7">
        <v>3.1449999999999999E-2</v>
      </c>
      <c r="G2828" s="7">
        <v>4.1700000000000001E-2</v>
      </c>
    </row>
    <row r="2829" spans="2:7" x14ac:dyDescent="0.2">
      <c r="B2829" s="60">
        <v>39897</v>
      </c>
      <c r="C2829" s="7">
        <v>3.1370000000000002E-2</v>
      </c>
      <c r="D2829" s="7">
        <v>3.1370000000000002E-2</v>
      </c>
      <c r="E2829" s="7">
        <v>3.1370000000000002E-2</v>
      </c>
      <c r="F2829" s="7">
        <v>3.1370000000000002E-2</v>
      </c>
      <c r="G2829" s="7">
        <v>-2.5000000000000001E-3</v>
      </c>
    </row>
    <row r="2830" spans="2:7" x14ac:dyDescent="0.2">
      <c r="B2830" s="60">
        <v>39898</v>
      </c>
      <c r="C2830" s="7">
        <v>3.1370000000000002E-2</v>
      </c>
      <c r="D2830" s="7">
        <v>3.1370000000000002E-2</v>
      </c>
      <c r="E2830" s="7">
        <v>3.1370000000000002E-2</v>
      </c>
      <c r="F2830" s="7">
        <v>3.1370000000000002E-2</v>
      </c>
      <c r="G2830" s="7">
        <v>0</v>
      </c>
    </row>
    <row r="2831" spans="2:7" x14ac:dyDescent="0.2">
      <c r="B2831" s="60">
        <v>39899</v>
      </c>
      <c r="C2831" s="7">
        <v>3.0950000000000002E-2</v>
      </c>
      <c r="D2831" s="7">
        <v>3.0950000000000002E-2</v>
      </c>
      <c r="E2831" s="7">
        <v>3.0950000000000002E-2</v>
      </c>
      <c r="F2831" s="7">
        <v>3.0950000000000002E-2</v>
      </c>
      <c r="G2831" s="7">
        <v>-1.34E-2</v>
      </c>
    </row>
    <row r="2832" spans="2:7" x14ac:dyDescent="0.2">
      <c r="B2832" s="60">
        <v>39902</v>
      </c>
      <c r="C2832" s="7">
        <v>3.048E-2</v>
      </c>
      <c r="D2832" s="7">
        <v>3.048E-2</v>
      </c>
      <c r="E2832" s="7">
        <v>3.048E-2</v>
      </c>
      <c r="F2832" s="7">
        <v>3.048E-2</v>
      </c>
      <c r="G2832" s="7">
        <v>-1.52E-2</v>
      </c>
    </row>
    <row r="2833" spans="2:7" x14ac:dyDescent="0.2">
      <c r="B2833" s="60">
        <v>39903</v>
      </c>
      <c r="C2833" s="7">
        <v>2.9940000000000001E-2</v>
      </c>
      <c r="D2833" s="7">
        <v>2.9940000000000001E-2</v>
      </c>
      <c r="E2833" s="7">
        <v>2.9940000000000001E-2</v>
      </c>
      <c r="F2833" s="7">
        <v>2.9940000000000001E-2</v>
      </c>
      <c r="G2833" s="7">
        <v>-1.77E-2</v>
      </c>
    </row>
    <row r="2834" spans="2:7" x14ac:dyDescent="0.2">
      <c r="B2834" s="60">
        <v>39904</v>
      </c>
      <c r="C2834" s="7">
        <v>2.989E-2</v>
      </c>
      <c r="D2834" s="7">
        <v>2.989E-2</v>
      </c>
      <c r="E2834" s="7">
        <v>2.989E-2</v>
      </c>
      <c r="F2834" s="7">
        <v>2.989E-2</v>
      </c>
      <c r="G2834" s="7">
        <v>-1.6999999999999999E-3</v>
      </c>
    </row>
    <row r="2835" spans="2:7" x14ac:dyDescent="0.2">
      <c r="B2835" s="60">
        <v>39905</v>
      </c>
      <c r="C2835" s="7">
        <v>3.1660000000000001E-2</v>
      </c>
      <c r="D2835" s="7">
        <v>3.1660000000000001E-2</v>
      </c>
      <c r="E2835" s="7">
        <v>3.1660000000000001E-2</v>
      </c>
      <c r="F2835" s="7">
        <v>3.1660000000000001E-2</v>
      </c>
      <c r="G2835" s="7">
        <v>5.9200000000000003E-2</v>
      </c>
    </row>
    <row r="2836" spans="2:7" x14ac:dyDescent="0.2">
      <c r="B2836" s="60">
        <v>39906</v>
      </c>
      <c r="C2836" s="7">
        <v>3.236E-2</v>
      </c>
      <c r="D2836" s="7">
        <v>3.236E-2</v>
      </c>
      <c r="E2836" s="7">
        <v>3.236E-2</v>
      </c>
      <c r="F2836" s="7">
        <v>3.236E-2</v>
      </c>
      <c r="G2836" s="7">
        <v>2.2100000000000002E-2</v>
      </c>
    </row>
    <row r="2837" spans="2:7" x14ac:dyDescent="0.2">
      <c r="B2837" s="60">
        <v>39909</v>
      </c>
      <c r="C2837" s="7">
        <v>3.2199999999999999E-2</v>
      </c>
      <c r="D2837" s="7">
        <v>3.2199999999999999E-2</v>
      </c>
      <c r="E2837" s="7">
        <v>3.2199999999999999E-2</v>
      </c>
      <c r="F2837" s="7">
        <v>3.2199999999999999E-2</v>
      </c>
      <c r="G2837" s="7">
        <v>-4.8999999999999998E-3</v>
      </c>
    </row>
    <row r="2838" spans="2:7" x14ac:dyDescent="0.2">
      <c r="B2838" s="60">
        <v>39910</v>
      </c>
      <c r="C2838" s="7">
        <v>3.2140000000000002E-2</v>
      </c>
      <c r="D2838" s="7">
        <v>3.2140000000000002E-2</v>
      </c>
      <c r="E2838" s="7">
        <v>3.2140000000000002E-2</v>
      </c>
      <c r="F2838" s="7">
        <v>3.2140000000000002E-2</v>
      </c>
      <c r="G2838" s="7">
        <v>-1.9E-3</v>
      </c>
    </row>
    <row r="2839" spans="2:7" x14ac:dyDescent="0.2">
      <c r="B2839" s="60">
        <v>39911</v>
      </c>
      <c r="C2839" s="7">
        <v>3.2259999999999997E-2</v>
      </c>
      <c r="D2839" s="7">
        <v>3.2259999999999997E-2</v>
      </c>
      <c r="E2839" s="7">
        <v>3.2259999999999997E-2</v>
      </c>
      <c r="F2839" s="7">
        <v>3.2259999999999997E-2</v>
      </c>
      <c r="G2839" s="7">
        <v>3.7000000000000002E-3</v>
      </c>
    </row>
    <row r="2840" spans="2:7" x14ac:dyDescent="0.2">
      <c r="B2840" s="60">
        <v>39912</v>
      </c>
      <c r="C2840" s="7">
        <v>3.2160000000000001E-2</v>
      </c>
      <c r="D2840" s="7">
        <v>3.2160000000000001E-2</v>
      </c>
      <c r="E2840" s="7">
        <v>3.2160000000000001E-2</v>
      </c>
      <c r="F2840" s="7">
        <v>3.2160000000000001E-2</v>
      </c>
      <c r="G2840" s="7">
        <v>-3.0999999999999999E-3</v>
      </c>
    </row>
    <row r="2841" spans="2:7" x14ac:dyDescent="0.2">
      <c r="B2841" s="60">
        <v>39917</v>
      </c>
      <c r="C2841" s="7">
        <v>3.1920000000000004E-2</v>
      </c>
      <c r="D2841" s="7">
        <v>3.1920000000000004E-2</v>
      </c>
      <c r="E2841" s="7">
        <v>3.1920000000000004E-2</v>
      </c>
      <c r="F2841" s="7">
        <v>3.1920000000000004E-2</v>
      </c>
      <c r="G2841" s="7">
        <v>-7.4999999999999997E-3</v>
      </c>
    </row>
    <row r="2842" spans="2:7" x14ac:dyDescent="0.2">
      <c r="B2842" s="60">
        <v>39918</v>
      </c>
      <c r="C2842" s="7">
        <v>3.15E-2</v>
      </c>
      <c r="D2842" s="7">
        <v>3.15E-2</v>
      </c>
      <c r="E2842" s="7">
        <v>3.15E-2</v>
      </c>
      <c r="F2842" s="7">
        <v>3.15E-2</v>
      </c>
      <c r="G2842" s="7">
        <v>-1.32E-2</v>
      </c>
    </row>
    <row r="2843" spans="2:7" x14ac:dyDescent="0.2">
      <c r="B2843" s="60">
        <v>39919</v>
      </c>
      <c r="C2843" s="7">
        <v>3.1800000000000002E-2</v>
      </c>
      <c r="D2843" s="7">
        <v>3.1800000000000002E-2</v>
      </c>
      <c r="E2843" s="7">
        <v>3.1800000000000002E-2</v>
      </c>
      <c r="F2843" s="7">
        <v>3.1800000000000002E-2</v>
      </c>
      <c r="G2843" s="7">
        <v>9.4999999999999998E-3</v>
      </c>
    </row>
    <row r="2844" spans="2:7" x14ac:dyDescent="0.2">
      <c r="B2844" s="60">
        <v>39920</v>
      </c>
      <c r="C2844" s="7">
        <v>3.2719999999999999E-2</v>
      </c>
      <c r="D2844" s="7">
        <v>3.2719999999999999E-2</v>
      </c>
      <c r="E2844" s="7">
        <v>3.2719999999999999E-2</v>
      </c>
      <c r="F2844" s="7">
        <v>3.2719999999999999E-2</v>
      </c>
      <c r="G2844" s="7">
        <v>2.8899999999999999E-2</v>
      </c>
    </row>
    <row r="2845" spans="2:7" x14ac:dyDescent="0.2">
      <c r="B2845" s="60">
        <v>39923</v>
      </c>
      <c r="C2845" s="7">
        <v>3.1390000000000001E-2</v>
      </c>
      <c r="D2845" s="7">
        <v>3.1390000000000001E-2</v>
      </c>
      <c r="E2845" s="7">
        <v>3.1390000000000001E-2</v>
      </c>
      <c r="F2845" s="7">
        <v>3.1390000000000001E-2</v>
      </c>
      <c r="G2845" s="7">
        <v>-4.0599999999999997E-2</v>
      </c>
    </row>
    <row r="2846" spans="2:7" x14ac:dyDescent="0.2">
      <c r="B2846" s="60">
        <v>39924</v>
      </c>
      <c r="C2846" s="7">
        <v>3.143E-2</v>
      </c>
      <c r="D2846" s="7">
        <v>3.143E-2</v>
      </c>
      <c r="E2846" s="7">
        <v>3.143E-2</v>
      </c>
      <c r="F2846" s="7">
        <v>3.143E-2</v>
      </c>
      <c r="G2846" s="7">
        <v>1.2999999999999999E-3</v>
      </c>
    </row>
    <row r="2847" spans="2:7" x14ac:dyDescent="0.2">
      <c r="B2847" s="60">
        <v>39925</v>
      </c>
      <c r="C2847" s="7">
        <v>3.218E-2</v>
      </c>
      <c r="D2847" s="7">
        <v>3.218E-2</v>
      </c>
      <c r="E2847" s="7">
        <v>3.218E-2</v>
      </c>
      <c r="F2847" s="7">
        <v>3.218E-2</v>
      </c>
      <c r="G2847" s="7">
        <v>2.3900000000000001E-2</v>
      </c>
    </row>
    <row r="2848" spans="2:7" x14ac:dyDescent="0.2">
      <c r="B2848" s="60">
        <v>39926</v>
      </c>
      <c r="C2848" s="7">
        <v>3.2300000000000002E-2</v>
      </c>
      <c r="D2848" s="7">
        <v>3.2300000000000002E-2</v>
      </c>
      <c r="E2848" s="7">
        <v>3.2300000000000002E-2</v>
      </c>
      <c r="F2848" s="7">
        <v>3.2300000000000002E-2</v>
      </c>
      <c r="G2848" s="7">
        <v>3.7000000000000002E-3</v>
      </c>
    </row>
    <row r="2849" spans="2:7" x14ac:dyDescent="0.2">
      <c r="B2849" s="60">
        <v>39927</v>
      </c>
      <c r="C2849" s="7">
        <v>3.184E-2</v>
      </c>
      <c r="D2849" s="7">
        <v>3.184E-2</v>
      </c>
      <c r="E2849" s="7">
        <v>3.184E-2</v>
      </c>
      <c r="F2849" s="7">
        <v>3.184E-2</v>
      </c>
      <c r="G2849" s="7">
        <v>-1.4200000000000001E-2</v>
      </c>
    </row>
    <row r="2850" spans="2:7" x14ac:dyDescent="0.2">
      <c r="B2850" s="60">
        <v>39930</v>
      </c>
      <c r="C2850" s="7">
        <v>3.1649999999999998E-2</v>
      </c>
      <c r="D2850" s="7">
        <v>3.1649999999999998E-2</v>
      </c>
      <c r="E2850" s="7">
        <v>3.1649999999999998E-2</v>
      </c>
      <c r="F2850" s="7">
        <v>3.1649999999999998E-2</v>
      </c>
      <c r="G2850" s="7">
        <v>-6.0000000000000001E-3</v>
      </c>
    </row>
    <row r="2851" spans="2:7" x14ac:dyDescent="0.2">
      <c r="B2851" s="60">
        <v>39931</v>
      </c>
      <c r="C2851" s="7">
        <v>3.141E-2</v>
      </c>
      <c r="D2851" s="7">
        <v>3.141E-2</v>
      </c>
      <c r="E2851" s="7">
        <v>3.141E-2</v>
      </c>
      <c r="F2851" s="7">
        <v>3.141E-2</v>
      </c>
      <c r="G2851" s="7">
        <v>-7.6E-3</v>
      </c>
    </row>
    <row r="2852" spans="2:7" x14ac:dyDescent="0.2">
      <c r="B2852" s="60">
        <v>39932</v>
      </c>
      <c r="C2852" s="7">
        <v>3.1289999999999998E-2</v>
      </c>
      <c r="D2852" s="7">
        <v>3.1289999999999998E-2</v>
      </c>
      <c r="E2852" s="7">
        <v>3.1289999999999998E-2</v>
      </c>
      <c r="F2852" s="7">
        <v>3.1289999999999998E-2</v>
      </c>
      <c r="G2852" s="7">
        <v>-3.8E-3</v>
      </c>
    </row>
    <row r="2853" spans="2:7" x14ac:dyDescent="0.2">
      <c r="B2853" s="60">
        <v>39933</v>
      </c>
      <c r="C2853" s="7">
        <v>3.1649999999999998E-2</v>
      </c>
      <c r="D2853" s="7">
        <v>3.1649999999999998E-2</v>
      </c>
      <c r="E2853" s="7">
        <v>3.1649999999999998E-2</v>
      </c>
      <c r="F2853" s="7">
        <v>3.1649999999999998E-2</v>
      </c>
      <c r="G2853" s="7">
        <v>1.15E-2</v>
      </c>
    </row>
    <row r="2854" spans="2:7" x14ac:dyDescent="0.2">
      <c r="B2854" s="60">
        <v>39937</v>
      </c>
      <c r="C2854" s="7">
        <v>3.2489999999999998E-2</v>
      </c>
      <c r="D2854" s="7">
        <v>3.2489999999999998E-2</v>
      </c>
      <c r="E2854" s="7">
        <v>3.2489999999999998E-2</v>
      </c>
      <c r="F2854" s="7">
        <v>3.2489999999999998E-2</v>
      </c>
      <c r="G2854" s="7">
        <v>2.6499999999999999E-2</v>
      </c>
    </row>
    <row r="2855" spans="2:7" x14ac:dyDescent="0.2">
      <c r="B2855" s="60">
        <v>39938</v>
      </c>
      <c r="C2855" s="7">
        <v>3.2210000000000003E-2</v>
      </c>
      <c r="D2855" s="7">
        <v>3.2210000000000003E-2</v>
      </c>
      <c r="E2855" s="7">
        <v>3.2210000000000003E-2</v>
      </c>
      <c r="F2855" s="7">
        <v>3.2210000000000003E-2</v>
      </c>
      <c r="G2855" s="7">
        <v>-8.6E-3</v>
      </c>
    </row>
    <row r="2856" spans="2:7" x14ac:dyDescent="0.2">
      <c r="B2856" s="60">
        <v>39939</v>
      </c>
      <c r="C2856" s="7">
        <v>3.2530000000000003E-2</v>
      </c>
      <c r="D2856" s="7">
        <v>3.2530000000000003E-2</v>
      </c>
      <c r="E2856" s="7">
        <v>3.2530000000000003E-2</v>
      </c>
      <c r="F2856" s="7">
        <v>3.2530000000000003E-2</v>
      </c>
      <c r="G2856" s="7">
        <v>9.9000000000000008E-3</v>
      </c>
    </row>
    <row r="2857" spans="2:7" x14ac:dyDescent="0.2">
      <c r="B2857" s="60">
        <v>39940</v>
      </c>
      <c r="C2857" s="7">
        <v>3.3889999999999997E-2</v>
      </c>
      <c r="D2857" s="7">
        <v>3.3889999999999997E-2</v>
      </c>
      <c r="E2857" s="7">
        <v>3.3889999999999997E-2</v>
      </c>
      <c r="F2857" s="7">
        <v>3.3889999999999997E-2</v>
      </c>
      <c r="G2857" s="7">
        <v>4.1799999999999997E-2</v>
      </c>
    </row>
    <row r="2858" spans="2:7" x14ac:dyDescent="0.2">
      <c r="B2858" s="60">
        <v>39941</v>
      </c>
      <c r="C2858" s="7">
        <v>3.4620000000000005E-2</v>
      </c>
      <c r="D2858" s="7">
        <v>3.4620000000000005E-2</v>
      </c>
      <c r="E2858" s="7">
        <v>3.4620000000000005E-2</v>
      </c>
      <c r="F2858" s="7">
        <v>3.4620000000000005E-2</v>
      </c>
      <c r="G2858" s="7">
        <v>2.1499999999999998E-2</v>
      </c>
    </row>
    <row r="2859" spans="2:7" x14ac:dyDescent="0.2">
      <c r="B2859" s="60">
        <v>39944</v>
      </c>
      <c r="C2859" s="7">
        <v>3.39E-2</v>
      </c>
      <c r="D2859" s="7">
        <v>3.39E-2</v>
      </c>
      <c r="E2859" s="7">
        <v>3.39E-2</v>
      </c>
      <c r="F2859" s="7">
        <v>3.39E-2</v>
      </c>
      <c r="G2859" s="7">
        <v>-2.0799999999999999E-2</v>
      </c>
    </row>
    <row r="2860" spans="2:7" x14ac:dyDescent="0.2">
      <c r="B2860" s="60">
        <v>39945</v>
      </c>
      <c r="C2860" s="7">
        <v>3.406E-2</v>
      </c>
      <c r="D2860" s="7">
        <v>3.406E-2</v>
      </c>
      <c r="E2860" s="7">
        <v>3.406E-2</v>
      </c>
      <c r="F2860" s="7">
        <v>3.406E-2</v>
      </c>
      <c r="G2860" s="7">
        <v>4.7000000000000002E-3</v>
      </c>
    </row>
    <row r="2861" spans="2:7" x14ac:dyDescent="0.2">
      <c r="B2861" s="60">
        <v>39946</v>
      </c>
      <c r="C2861" s="7">
        <v>3.354E-2</v>
      </c>
      <c r="D2861" s="7">
        <v>3.354E-2</v>
      </c>
      <c r="E2861" s="7">
        <v>3.354E-2</v>
      </c>
      <c r="F2861" s="7">
        <v>3.354E-2</v>
      </c>
      <c r="G2861" s="7">
        <v>-1.5299999999999999E-2</v>
      </c>
    </row>
    <row r="2862" spans="2:7" x14ac:dyDescent="0.2">
      <c r="B2862" s="60">
        <v>39947</v>
      </c>
      <c r="C2862" s="7">
        <v>3.3059999999999999E-2</v>
      </c>
      <c r="D2862" s="7">
        <v>3.3059999999999999E-2</v>
      </c>
      <c r="E2862" s="7">
        <v>3.3059999999999999E-2</v>
      </c>
      <c r="F2862" s="7">
        <v>3.3059999999999999E-2</v>
      </c>
      <c r="G2862" s="7">
        <v>-1.43E-2</v>
      </c>
    </row>
    <row r="2863" spans="2:7" x14ac:dyDescent="0.2">
      <c r="B2863" s="60">
        <v>39948</v>
      </c>
      <c r="C2863" s="7">
        <v>3.3680000000000002E-2</v>
      </c>
      <c r="D2863" s="7">
        <v>3.3680000000000002E-2</v>
      </c>
      <c r="E2863" s="7">
        <v>3.3680000000000002E-2</v>
      </c>
      <c r="F2863" s="7">
        <v>3.3680000000000002E-2</v>
      </c>
      <c r="G2863" s="7">
        <v>1.8800000000000001E-2</v>
      </c>
    </row>
    <row r="2864" spans="2:7" x14ac:dyDescent="0.2">
      <c r="B2864" s="60">
        <v>39951</v>
      </c>
      <c r="C2864" s="7">
        <v>3.3750000000000002E-2</v>
      </c>
      <c r="D2864" s="7">
        <v>3.3750000000000002E-2</v>
      </c>
      <c r="E2864" s="7">
        <v>3.3750000000000002E-2</v>
      </c>
      <c r="F2864" s="7">
        <v>3.3750000000000002E-2</v>
      </c>
      <c r="G2864" s="7">
        <v>2.0999999999999999E-3</v>
      </c>
    </row>
    <row r="2865" spans="2:7" x14ac:dyDescent="0.2">
      <c r="B2865" s="60">
        <v>39952</v>
      </c>
      <c r="C2865" s="7">
        <v>3.431E-2</v>
      </c>
      <c r="D2865" s="7">
        <v>3.431E-2</v>
      </c>
      <c r="E2865" s="7">
        <v>3.431E-2</v>
      </c>
      <c r="F2865" s="7">
        <v>3.431E-2</v>
      </c>
      <c r="G2865" s="7">
        <v>1.66E-2</v>
      </c>
    </row>
    <row r="2866" spans="2:7" x14ac:dyDescent="0.2">
      <c r="B2866" s="60">
        <v>39953</v>
      </c>
      <c r="C2866" s="7">
        <v>3.5029999999999999E-2</v>
      </c>
      <c r="D2866" s="7">
        <v>3.5029999999999999E-2</v>
      </c>
      <c r="E2866" s="7">
        <v>3.5029999999999999E-2</v>
      </c>
      <c r="F2866" s="7">
        <v>3.5029999999999999E-2</v>
      </c>
      <c r="G2866" s="7">
        <v>2.1000000000000001E-2</v>
      </c>
    </row>
    <row r="2867" spans="2:7" x14ac:dyDescent="0.2">
      <c r="B2867" s="60">
        <v>39954</v>
      </c>
      <c r="C2867" s="7">
        <v>3.4910000000000004E-2</v>
      </c>
      <c r="D2867" s="7">
        <v>3.4910000000000004E-2</v>
      </c>
      <c r="E2867" s="7">
        <v>3.4910000000000004E-2</v>
      </c>
      <c r="F2867" s="7">
        <v>3.4910000000000004E-2</v>
      </c>
      <c r="G2867" s="7">
        <v>-3.3999999999999998E-3</v>
      </c>
    </row>
    <row r="2868" spans="2:7" x14ac:dyDescent="0.2">
      <c r="B2868" s="60">
        <v>39955</v>
      </c>
      <c r="C2868" s="7">
        <v>3.5680000000000003E-2</v>
      </c>
      <c r="D2868" s="7">
        <v>3.5680000000000003E-2</v>
      </c>
      <c r="E2868" s="7">
        <v>3.5680000000000003E-2</v>
      </c>
      <c r="F2868" s="7">
        <v>3.5680000000000003E-2</v>
      </c>
      <c r="G2868" s="7">
        <v>2.2100000000000002E-2</v>
      </c>
    </row>
    <row r="2869" spans="2:7" x14ac:dyDescent="0.2">
      <c r="B2869" s="60">
        <v>39958</v>
      </c>
      <c r="C2869" s="7">
        <v>3.6000000000000004E-2</v>
      </c>
      <c r="D2869" s="7">
        <v>3.6000000000000004E-2</v>
      </c>
      <c r="E2869" s="7">
        <v>3.6000000000000004E-2</v>
      </c>
      <c r="F2869" s="7">
        <v>3.6000000000000004E-2</v>
      </c>
      <c r="G2869" s="7">
        <v>8.9999999999999993E-3</v>
      </c>
    </row>
    <row r="2870" spans="2:7" x14ac:dyDescent="0.2">
      <c r="B2870" s="60">
        <v>39959</v>
      </c>
      <c r="C2870" s="7">
        <v>3.635E-2</v>
      </c>
      <c r="D2870" s="7">
        <v>3.635E-2</v>
      </c>
      <c r="E2870" s="7">
        <v>3.635E-2</v>
      </c>
      <c r="F2870" s="7">
        <v>3.635E-2</v>
      </c>
      <c r="G2870" s="7">
        <v>9.7000000000000003E-3</v>
      </c>
    </row>
    <row r="2871" spans="2:7" x14ac:dyDescent="0.2">
      <c r="B2871" s="60">
        <v>39960</v>
      </c>
      <c r="C2871" s="7">
        <v>3.6260000000000001E-2</v>
      </c>
      <c r="D2871" s="7">
        <v>3.6260000000000001E-2</v>
      </c>
      <c r="E2871" s="7">
        <v>3.6260000000000001E-2</v>
      </c>
      <c r="F2871" s="7">
        <v>3.6260000000000001E-2</v>
      </c>
      <c r="G2871" s="7">
        <v>-2.5000000000000001E-3</v>
      </c>
    </row>
    <row r="2872" spans="2:7" x14ac:dyDescent="0.2">
      <c r="B2872" s="60">
        <v>39961</v>
      </c>
      <c r="C2872" s="7">
        <v>3.6819999999999999E-2</v>
      </c>
      <c r="D2872" s="7">
        <v>3.6819999999999999E-2</v>
      </c>
      <c r="E2872" s="7">
        <v>3.6819999999999999E-2</v>
      </c>
      <c r="F2872" s="7">
        <v>3.6819999999999999E-2</v>
      </c>
      <c r="G2872" s="7">
        <v>1.54E-2</v>
      </c>
    </row>
    <row r="2873" spans="2:7" x14ac:dyDescent="0.2">
      <c r="B2873" s="60">
        <v>39962</v>
      </c>
      <c r="C2873" s="7">
        <v>3.5799999999999998E-2</v>
      </c>
      <c r="D2873" s="7">
        <v>3.5799999999999998E-2</v>
      </c>
      <c r="E2873" s="7">
        <v>3.5799999999999998E-2</v>
      </c>
      <c r="F2873" s="7">
        <v>3.5799999999999998E-2</v>
      </c>
      <c r="G2873" s="7">
        <v>-2.7699999999999999E-2</v>
      </c>
    </row>
    <row r="2874" spans="2:7" x14ac:dyDescent="0.2">
      <c r="B2874" s="60">
        <v>39965</v>
      </c>
      <c r="C2874" s="7">
        <v>3.6740000000000002E-2</v>
      </c>
      <c r="D2874" s="7">
        <v>3.6740000000000002E-2</v>
      </c>
      <c r="E2874" s="7">
        <v>3.6740000000000002E-2</v>
      </c>
      <c r="F2874" s="7">
        <v>3.6740000000000002E-2</v>
      </c>
      <c r="G2874" s="7">
        <v>2.63E-2</v>
      </c>
    </row>
    <row r="2875" spans="2:7" x14ac:dyDescent="0.2">
      <c r="B2875" s="60">
        <v>39966</v>
      </c>
      <c r="C2875" s="7">
        <v>3.6499999999999998E-2</v>
      </c>
      <c r="D2875" s="7">
        <v>3.6499999999999998E-2</v>
      </c>
      <c r="E2875" s="7">
        <v>3.6499999999999998E-2</v>
      </c>
      <c r="F2875" s="7">
        <v>3.6499999999999998E-2</v>
      </c>
      <c r="G2875" s="7">
        <v>-6.4999999999999997E-3</v>
      </c>
    </row>
    <row r="2876" spans="2:7" x14ac:dyDescent="0.2">
      <c r="B2876" s="60">
        <v>39967</v>
      </c>
      <c r="C2876" s="7">
        <v>3.5709999999999999E-2</v>
      </c>
      <c r="D2876" s="7">
        <v>3.5709999999999999E-2</v>
      </c>
      <c r="E2876" s="7">
        <v>3.5709999999999999E-2</v>
      </c>
      <c r="F2876" s="7">
        <v>3.5709999999999999E-2</v>
      </c>
      <c r="G2876" s="7">
        <v>-2.1600000000000001E-2</v>
      </c>
    </row>
    <row r="2877" spans="2:7" x14ac:dyDescent="0.2">
      <c r="B2877" s="60">
        <v>39968</v>
      </c>
      <c r="C2877" s="7">
        <v>3.6299999999999999E-2</v>
      </c>
      <c r="D2877" s="7">
        <v>3.6299999999999999E-2</v>
      </c>
      <c r="E2877" s="7">
        <v>3.6299999999999999E-2</v>
      </c>
      <c r="F2877" s="7">
        <v>3.6299999999999999E-2</v>
      </c>
      <c r="G2877" s="7">
        <v>1.6500000000000001E-2</v>
      </c>
    </row>
    <row r="2878" spans="2:7" x14ac:dyDescent="0.2">
      <c r="B2878" s="60">
        <v>39969</v>
      </c>
      <c r="C2878" s="7">
        <v>3.721E-2</v>
      </c>
      <c r="D2878" s="7">
        <v>3.721E-2</v>
      </c>
      <c r="E2878" s="7">
        <v>3.721E-2</v>
      </c>
      <c r="F2878" s="7">
        <v>3.721E-2</v>
      </c>
      <c r="G2878" s="7">
        <v>2.5100000000000001E-2</v>
      </c>
    </row>
    <row r="2879" spans="2:7" x14ac:dyDescent="0.2">
      <c r="B2879" s="60">
        <v>39972</v>
      </c>
      <c r="C2879" s="7">
        <v>3.6670000000000001E-2</v>
      </c>
      <c r="D2879" s="7">
        <v>3.6670000000000001E-2</v>
      </c>
      <c r="E2879" s="7">
        <v>3.6670000000000001E-2</v>
      </c>
      <c r="F2879" s="7">
        <v>3.6670000000000001E-2</v>
      </c>
      <c r="G2879" s="7">
        <v>-1.4500000000000001E-2</v>
      </c>
    </row>
    <row r="2880" spans="2:7" x14ac:dyDescent="0.2">
      <c r="B2880" s="60">
        <v>39973</v>
      </c>
      <c r="C2880" s="7">
        <v>3.6400000000000002E-2</v>
      </c>
      <c r="D2880" s="7">
        <v>3.6400000000000002E-2</v>
      </c>
      <c r="E2880" s="7">
        <v>3.6400000000000002E-2</v>
      </c>
      <c r="F2880" s="7">
        <v>3.6400000000000002E-2</v>
      </c>
      <c r="G2880" s="7">
        <v>-7.4000000000000003E-3</v>
      </c>
    </row>
    <row r="2881" spans="2:7" x14ac:dyDescent="0.2">
      <c r="B2881" s="60">
        <v>39974</v>
      </c>
      <c r="C2881" s="7">
        <v>3.7019999999999997E-2</v>
      </c>
      <c r="D2881" s="7">
        <v>3.7019999999999997E-2</v>
      </c>
      <c r="E2881" s="7">
        <v>3.7019999999999997E-2</v>
      </c>
      <c r="F2881" s="7">
        <v>3.7019999999999997E-2</v>
      </c>
      <c r="G2881" s="7">
        <v>1.7000000000000001E-2</v>
      </c>
    </row>
    <row r="2882" spans="2:7" x14ac:dyDescent="0.2">
      <c r="B2882" s="60">
        <v>39975</v>
      </c>
      <c r="C2882" s="7">
        <v>3.6940000000000001E-2</v>
      </c>
      <c r="D2882" s="7">
        <v>3.6940000000000001E-2</v>
      </c>
      <c r="E2882" s="7">
        <v>3.6940000000000001E-2</v>
      </c>
      <c r="F2882" s="7">
        <v>3.6940000000000001E-2</v>
      </c>
      <c r="G2882" s="7">
        <v>-2.2000000000000001E-3</v>
      </c>
    </row>
    <row r="2883" spans="2:7" x14ac:dyDescent="0.2">
      <c r="B2883" s="60">
        <v>39976</v>
      </c>
      <c r="C2883" s="7">
        <v>3.6400000000000002E-2</v>
      </c>
      <c r="D2883" s="7">
        <v>3.6400000000000002E-2</v>
      </c>
      <c r="E2883" s="7">
        <v>3.6400000000000002E-2</v>
      </c>
      <c r="F2883" s="7">
        <v>3.6400000000000002E-2</v>
      </c>
      <c r="G2883" s="7">
        <v>-1.46E-2</v>
      </c>
    </row>
    <row r="2884" spans="2:7" x14ac:dyDescent="0.2">
      <c r="B2884" s="60">
        <v>39979</v>
      </c>
      <c r="C2884" s="7">
        <v>3.517E-2</v>
      </c>
      <c r="D2884" s="7">
        <v>3.517E-2</v>
      </c>
      <c r="E2884" s="7">
        <v>3.517E-2</v>
      </c>
      <c r="F2884" s="7">
        <v>3.517E-2</v>
      </c>
      <c r="G2884" s="7">
        <v>-3.3799999999999997E-2</v>
      </c>
    </row>
    <row r="2885" spans="2:7" x14ac:dyDescent="0.2">
      <c r="B2885" s="60">
        <v>39980</v>
      </c>
      <c r="C2885" s="7">
        <v>3.5189999999999999E-2</v>
      </c>
      <c r="D2885" s="7">
        <v>3.5189999999999999E-2</v>
      </c>
      <c r="E2885" s="7">
        <v>3.5189999999999999E-2</v>
      </c>
      <c r="F2885" s="7">
        <v>3.5189999999999999E-2</v>
      </c>
      <c r="G2885" s="7">
        <v>5.9999999999999995E-4</v>
      </c>
    </row>
    <row r="2886" spans="2:7" x14ac:dyDescent="0.2">
      <c r="B2886" s="60">
        <v>39981</v>
      </c>
      <c r="C2886" s="7">
        <v>3.4780000000000005E-2</v>
      </c>
      <c r="D2886" s="7">
        <v>3.4780000000000005E-2</v>
      </c>
      <c r="E2886" s="7">
        <v>3.4780000000000005E-2</v>
      </c>
      <c r="F2886" s="7">
        <v>3.4780000000000005E-2</v>
      </c>
      <c r="G2886" s="7">
        <v>-1.17E-2</v>
      </c>
    </row>
    <row r="2887" spans="2:7" x14ac:dyDescent="0.2">
      <c r="B2887" s="60">
        <v>39982</v>
      </c>
      <c r="C2887" s="7">
        <v>3.5539999999999995E-2</v>
      </c>
      <c r="D2887" s="7">
        <v>3.5539999999999995E-2</v>
      </c>
      <c r="E2887" s="7">
        <v>3.5539999999999995E-2</v>
      </c>
      <c r="F2887" s="7">
        <v>3.5539999999999995E-2</v>
      </c>
      <c r="G2887" s="7">
        <v>2.1899999999999999E-2</v>
      </c>
    </row>
    <row r="2888" spans="2:7" x14ac:dyDescent="0.2">
      <c r="B2888" s="60">
        <v>39983</v>
      </c>
      <c r="C2888" s="7">
        <v>3.4980000000000004E-2</v>
      </c>
      <c r="D2888" s="7">
        <v>3.4980000000000004E-2</v>
      </c>
      <c r="E2888" s="7">
        <v>3.4980000000000004E-2</v>
      </c>
      <c r="F2888" s="7">
        <v>3.4980000000000004E-2</v>
      </c>
      <c r="G2888" s="7">
        <v>-1.5800000000000002E-2</v>
      </c>
    </row>
    <row r="2889" spans="2:7" x14ac:dyDescent="0.2">
      <c r="B2889" s="60">
        <v>39986</v>
      </c>
      <c r="C2889" s="7">
        <v>3.4500000000000003E-2</v>
      </c>
      <c r="D2889" s="7">
        <v>3.4500000000000003E-2</v>
      </c>
      <c r="E2889" s="7">
        <v>3.4500000000000003E-2</v>
      </c>
      <c r="F2889" s="7">
        <v>3.4500000000000003E-2</v>
      </c>
      <c r="G2889" s="7">
        <v>-1.37E-2</v>
      </c>
    </row>
    <row r="2890" spans="2:7" x14ac:dyDescent="0.2">
      <c r="B2890" s="60">
        <v>39987</v>
      </c>
      <c r="C2890" s="7">
        <v>3.4700000000000002E-2</v>
      </c>
      <c r="D2890" s="7">
        <v>3.4700000000000002E-2</v>
      </c>
      <c r="E2890" s="7">
        <v>3.4700000000000002E-2</v>
      </c>
      <c r="F2890" s="7">
        <v>3.4700000000000002E-2</v>
      </c>
      <c r="G2890" s="7">
        <v>5.7999999999999996E-3</v>
      </c>
    </row>
    <row r="2891" spans="2:7" x14ac:dyDescent="0.2">
      <c r="B2891" s="60">
        <v>39988</v>
      </c>
      <c r="C2891" s="7">
        <v>3.4450000000000001E-2</v>
      </c>
      <c r="D2891" s="7">
        <v>3.4450000000000001E-2</v>
      </c>
      <c r="E2891" s="7">
        <v>3.4450000000000001E-2</v>
      </c>
      <c r="F2891" s="7">
        <v>3.4450000000000001E-2</v>
      </c>
      <c r="G2891" s="7">
        <v>-7.1999999999999998E-3</v>
      </c>
    </row>
    <row r="2892" spans="2:7" x14ac:dyDescent="0.2">
      <c r="B2892" s="60">
        <v>39989</v>
      </c>
      <c r="C2892" s="7">
        <v>3.4270000000000002E-2</v>
      </c>
      <c r="D2892" s="7">
        <v>3.4270000000000002E-2</v>
      </c>
      <c r="E2892" s="7">
        <v>3.4270000000000002E-2</v>
      </c>
      <c r="F2892" s="7">
        <v>3.4270000000000002E-2</v>
      </c>
      <c r="G2892" s="7">
        <v>-5.1999999999999998E-3</v>
      </c>
    </row>
    <row r="2893" spans="2:7" x14ac:dyDescent="0.2">
      <c r="B2893" s="60">
        <v>39990</v>
      </c>
      <c r="C2893" s="7">
        <v>3.3910000000000003E-2</v>
      </c>
      <c r="D2893" s="7">
        <v>3.3910000000000003E-2</v>
      </c>
      <c r="E2893" s="7">
        <v>3.3910000000000003E-2</v>
      </c>
      <c r="F2893" s="7">
        <v>3.3910000000000003E-2</v>
      </c>
      <c r="G2893" s="7">
        <v>-1.0500000000000001E-2</v>
      </c>
    </row>
    <row r="2894" spans="2:7" x14ac:dyDescent="0.2">
      <c r="B2894" s="60">
        <v>39993</v>
      </c>
      <c r="C2894" s="7">
        <v>3.3669999999999999E-2</v>
      </c>
      <c r="D2894" s="7">
        <v>3.3669999999999999E-2</v>
      </c>
      <c r="E2894" s="7">
        <v>3.3669999999999999E-2</v>
      </c>
      <c r="F2894" s="7">
        <v>3.3669999999999999E-2</v>
      </c>
      <c r="G2894" s="7">
        <v>-7.1000000000000004E-3</v>
      </c>
    </row>
    <row r="2895" spans="2:7" x14ac:dyDescent="0.2">
      <c r="B2895" s="60">
        <v>39994</v>
      </c>
      <c r="C2895" s="7">
        <v>3.3820000000000003E-2</v>
      </c>
      <c r="D2895" s="7">
        <v>3.3820000000000003E-2</v>
      </c>
      <c r="E2895" s="7">
        <v>3.3820000000000003E-2</v>
      </c>
      <c r="F2895" s="7">
        <v>3.3820000000000003E-2</v>
      </c>
      <c r="G2895" s="7">
        <v>4.4999999999999997E-3</v>
      </c>
    </row>
    <row r="2896" spans="2:7" x14ac:dyDescent="0.2">
      <c r="B2896" s="60">
        <v>39995</v>
      </c>
      <c r="C2896" s="7">
        <v>3.415E-2</v>
      </c>
      <c r="D2896" s="7">
        <v>3.415E-2</v>
      </c>
      <c r="E2896" s="7">
        <v>3.415E-2</v>
      </c>
      <c r="F2896" s="7">
        <v>3.415E-2</v>
      </c>
      <c r="G2896" s="7">
        <v>9.7999999999999997E-3</v>
      </c>
    </row>
    <row r="2897" spans="2:7" x14ac:dyDescent="0.2">
      <c r="B2897" s="60">
        <v>39996</v>
      </c>
      <c r="C2897" s="7">
        <v>3.322E-2</v>
      </c>
      <c r="D2897" s="7">
        <v>3.322E-2</v>
      </c>
      <c r="E2897" s="7">
        <v>3.322E-2</v>
      </c>
      <c r="F2897" s="7">
        <v>3.322E-2</v>
      </c>
      <c r="G2897" s="7">
        <v>-2.7199999999999998E-2</v>
      </c>
    </row>
    <row r="2898" spans="2:7" x14ac:dyDescent="0.2">
      <c r="B2898" s="60">
        <v>39997</v>
      </c>
      <c r="C2898" s="7">
        <v>3.3349999999999998E-2</v>
      </c>
      <c r="D2898" s="7">
        <v>3.3349999999999998E-2</v>
      </c>
      <c r="E2898" s="7">
        <v>3.3349999999999998E-2</v>
      </c>
      <c r="F2898" s="7">
        <v>3.3349999999999998E-2</v>
      </c>
      <c r="G2898" s="7">
        <v>3.8999999999999998E-3</v>
      </c>
    </row>
    <row r="2899" spans="2:7" x14ac:dyDescent="0.2">
      <c r="B2899" s="60">
        <v>40000</v>
      </c>
      <c r="C2899" s="7">
        <v>3.3000000000000002E-2</v>
      </c>
      <c r="D2899" s="7">
        <v>3.3000000000000002E-2</v>
      </c>
      <c r="E2899" s="7">
        <v>3.3000000000000002E-2</v>
      </c>
      <c r="F2899" s="7">
        <v>3.3000000000000002E-2</v>
      </c>
      <c r="G2899" s="7">
        <v>-1.0500000000000001E-2</v>
      </c>
    </row>
    <row r="2900" spans="2:7" x14ac:dyDescent="0.2">
      <c r="B2900" s="60">
        <v>40001</v>
      </c>
      <c r="C2900" s="7">
        <v>3.3059999999999999E-2</v>
      </c>
      <c r="D2900" s="7">
        <v>3.3059999999999999E-2</v>
      </c>
      <c r="E2900" s="7">
        <v>3.3059999999999999E-2</v>
      </c>
      <c r="F2900" s="7">
        <v>3.3059999999999999E-2</v>
      </c>
      <c r="G2900" s="7">
        <v>1.8E-3</v>
      </c>
    </row>
    <row r="2901" spans="2:7" x14ac:dyDescent="0.2">
      <c r="B2901" s="60">
        <v>40002</v>
      </c>
      <c r="C2901" s="7">
        <v>3.2669999999999998E-2</v>
      </c>
      <c r="D2901" s="7">
        <v>3.2669999999999998E-2</v>
      </c>
      <c r="E2901" s="7">
        <v>3.2669999999999998E-2</v>
      </c>
      <c r="F2901" s="7">
        <v>3.2669999999999998E-2</v>
      </c>
      <c r="G2901" s="7">
        <v>-1.18E-2</v>
      </c>
    </row>
    <row r="2902" spans="2:7" x14ac:dyDescent="0.2">
      <c r="B2902" s="60">
        <v>40003</v>
      </c>
      <c r="C2902" s="7">
        <v>3.3029999999999997E-2</v>
      </c>
      <c r="D2902" s="7">
        <v>3.3029999999999997E-2</v>
      </c>
      <c r="E2902" s="7">
        <v>3.3029999999999997E-2</v>
      </c>
      <c r="F2902" s="7">
        <v>3.3029999999999997E-2</v>
      </c>
      <c r="G2902" s="7">
        <v>1.0999999999999999E-2</v>
      </c>
    </row>
    <row r="2903" spans="2:7" x14ac:dyDescent="0.2">
      <c r="B2903" s="60">
        <v>40004</v>
      </c>
      <c r="C2903" s="7">
        <v>3.2579999999999998E-2</v>
      </c>
      <c r="D2903" s="7">
        <v>3.2579999999999998E-2</v>
      </c>
      <c r="E2903" s="7">
        <v>3.2579999999999998E-2</v>
      </c>
      <c r="F2903" s="7">
        <v>3.2579999999999998E-2</v>
      </c>
      <c r="G2903" s="7">
        <v>-1.3599999999999999E-2</v>
      </c>
    </row>
    <row r="2904" spans="2:7" x14ac:dyDescent="0.2">
      <c r="B2904" s="60">
        <v>40007</v>
      </c>
      <c r="C2904" s="7">
        <v>3.2739999999999998E-2</v>
      </c>
      <c r="D2904" s="7">
        <v>3.2739999999999998E-2</v>
      </c>
      <c r="E2904" s="7">
        <v>3.2739999999999998E-2</v>
      </c>
      <c r="F2904" s="7">
        <v>3.2739999999999998E-2</v>
      </c>
      <c r="G2904" s="7">
        <v>4.8999999999999998E-3</v>
      </c>
    </row>
    <row r="2905" spans="2:7" x14ac:dyDescent="0.2">
      <c r="B2905" s="60">
        <v>40008</v>
      </c>
      <c r="C2905" s="7">
        <v>3.3000000000000002E-2</v>
      </c>
      <c r="D2905" s="7">
        <v>3.3000000000000002E-2</v>
      </c>
      <c r="E2905" s="7">
        <v>3.3000000000000002E-2</v>
      </c>
      <c r="F2905" s="7">
        <v>3.3000000000000002E-2</v>
      </c>
      <c r="G2905" s="7">
        <v>7.9000000000000008E-3</v>
      </c>
    </row>
    <row r="2906" spans="2:7" x14ac:dyDescent="0.2">
      <c r="B2906" s="60">
        <v>40009</v>
      </c>
      <c r="C2906" s="7">
        <v>3.3759999999999998E-2</v>
      </c>
      <c r="D2906" s="7">
        <v>3.3759999999999998E-2</v>
      </c>
      <c r="E2906" s="7">
        <v>3.3759999999999998E-2</v>
      </c>
      <c r="F2906" s="7">
        <v>3.3759999999999998E-2</v>
      </c>
      <c r="G2906" s="7">
        <v>2.3E-2</v>
      </c>
    </row>
    <row r="2907" spans="2:7" x14ac:dyDescent="0.2">
      <c r="B2907" s="60">
        <v>40010</v>
      </c>
      <c r="C2907" s="7">
        <v>3.3189999999999997E-2</v>
      </c>
      <c r="D2907" s="7">
        <v>3.3189999999999997E-2</v>
      </c>
      <c r="E2907" s="7">
        <v>3.3189999999999997E-2</v>
      </c>
      <c r="F2907" s="7">
        <v>3.3189999999999997E-2</v>
      </c>
      <c r="G2907" s="7">
        <v>-1.6899999999999998E-2</v>
      </c>
    </row>
    <row r="2908" spans="2:7" x14ac:dyDescent="0.2">
      <c r="B2908" s="60">
        <v>40011</v>
      </c>
      <c r="C2908" s="7">
        <v>3.4089999999999995E-2</v>
      </c>
      <c r="D2908" s="7">
        <v>3.4089999999999995E-2</v>
      </c>
      <c r="E2908" s="7">
        <v>3.4089999999999995E-2</v>
      </c>
      <c r="F2908" s="7">
        <v>3.4089999999999995E-2</v>
      </c>
      <c r="G2908" s="7">
        <v>2.7099999999999999E-2</v>
      </c>
    </row>
    <row r="2909" spans="2:7" x14ac:dyDescent="0.2">
      <c r="B2909" s="60">
        <v>40014</v>
      </c>
      <c r="C2909" s="7">
        <v>3.4180000000000002E-2</v>
      </c>
      <c r="D2909" s="7">
        <v>3.4180000000000002E-2</v>
      </c>
      <c r="E2909" s="7">
        <v>3.4180000000000002E-2</v>
      </c>
      <c r="F2909" s="7">
        <v>3.4180000000000002E-2</v>
      </c>
      <c r="G2909" s="7">
        <v>2.5999999999999999E-3</v>
      </c>
    </row>
    <row r="2910" spans="2:7" x14ac:dyDescent="0.2">
      <c r="B2910" s="60">
        <v>40015</v>
      </c>
      <c r="C2910" s="7">
        <v>3.3620000000000004E-2</v>
      </c>
      <c r="D2910" s="7">
        <v>3.3620000000000004E-2</v>
      </c>
      <c r="E2910" s="7">
        <v>3.3620000000000004E-2</v>
      </c>
      <c r="F2910" s="7">
        <v>3.3620000000000004E-2</v>
      </c>
      <c r="G2910" s="7">
        <v>-1.6400000000000001E-2</v>
      </c>
    </row>
    <row r="2911" spans="2:7" x14ac:dyDescent="0.2">
      <c r="B2911" s="60">
        <v>40016</v>
      </c>
      <c r="C2911" s="7">
        <v>3.3840000000000002E-2</v>
      </c>
      <c r="D2911" s="7">
        <v>3.3840000000000002E-2</v>
      </c>
      <c r="E2911" s="7">
        <v>3.3840000000000002E-2</v>
      </c>
      <c r="F2911" s="7">
        <v>3.3840000000000002E-2</v>
      </c>
      <c r="G2911" s="7">
        <v>6.4999999999999997E-3</v>
      </c>
    </row>
    <row r="2912" spans="2:7" x14ac:dyDescent="0.2">
      <c r="B2912" s="60">
        <v>40017</v>
      </c>
      <c r="C2912" s="7">
        <v>3.4630000000000001E-2</v>
      </c>
      <c r="D2912" s="7">
        <v>3.4630000000000001E-2</v>
      </c>
      <c r="E2912" s="7">
        <v>3.4630000000000001E-2</v>
      </c>
      <c r="F2912" s="7">
        <v>3.4630000000000001E-2</v>
      </c>
      <c r="G2912" s="7">
        <v>2.3300000000000001E-2</v>
      </c>
    </row>
    <row r="2913" spans="2:7" x14ac:dyDescent="0.2">
      <c r="B2913" s="60">
        <v>40018</v>
      </c>
      <c r="C2913" s="7">
        <v>3.483E-2</v>
      </c>
      <c r="D2913" s="7">
        <v>3.483E-2</v>
      </c>
      <c r="E2913" s="7">
        <v>3.483E-2</v>
      </c>
      <c r="F2913" s="7">
        <v>3.483E-2</v>
      </c>
      <c r="G2913" s="7">
        <v>5.7999999999999996E-3</v>
      </c>
    </row>
    <row r="2914" spans="2:7" x14ac:dyDescent="0.2">
      <c r="B2914" s="60">
        <v>40021</v>
      </c>
      <c r="C2914" s="7">
        <v>3.4860000000000002E-2</v>
      </c>
      <c r="D2914" s="7">
        <v>3.4860000000000002E-2</v>
      </c>
      <c r="E2914" s="7">
        <v>3.4860000000000002E-2</v>
      </c>
      <c r="F2914" s="7">
        <v>3.4860000000000002E-2</v>
      </c>
      <c r="G2914" s="7">
        <v>8.9999999999999998E-4</v>
      </c>
    </row>
    <row r="2915" spans="2:7" x14ac:dyDescent="0.2">
      <c r="B2915" s="60">
        <v>40022</v>
      </c>
      <c r="C2915" s="7">
        <v>3.422E-2</v>
      </c>
      <c r="D2915" s="7">
        <v>3.422E-2</v>
      </c>
      <c r="E2915" s="7">
        <v>3.422E-2</v>
      </c>
      <c r="F2915" s="7">
        <v>3.422E-2</v>
      </c>
      <c r="G2915" s="7">
        <v>-1.84E-2</v>
      </c>
    </row>
    <row r="2916" spans="2:7" x14ac:dyDescent="0.2">
      <c r="B2916" s="60">
        <v>40023</v>
      </c>
      <c r="C2916" s="7">
        <v>3.4180000000000002E-2</v>
      </c>
      <c r="D2916" s="7">
        <v>3.4180000000000002E-2</v>
      </c>
      <c r="E2916" s="7">
        <v>3.4180000000000002E-2</v>
      </c>
      <c r="F2916" s="7">
        <v>3.4180000000000002E-2</v>
      </c>
      <c r="G2916" s="7">
        <v>-1.1999999999999999E-3</v>
      </c>
    </row>
    <row r="2917" spans="2:7" x14ac:dyDescent="0.2">
      <c r="B2917" s="60">
        <v>40024</v>
      </c>
      <c r="C2917" s="7">
        <v>3.4279999999999998E-2</v>
      </c>
      <c r="D2917" s="7">
        <v>3.4279999999999998E-2</v>
      </c>
      <c r="E2917" s="7">
        <v>3.4279999999999998E-2</v>
      </c>
      <c r="F2917" s="7">
        <v>3.4279999999999998E-2</v>
      </c>
      <c r="G2917" s="7">
        <v>2.8999999999999998E-3</v>
      </c>
    </row>
    <row r="2918" spans="2:7" x14ac:dyDescent="0.2">
      <c r="B2918" s="60">
        <v>40025</v>
      </c>
      <c r="C2918" s="7">
        <v>3.2890000000000003E-2</v>
      </c>
      <c r="D2918" s="7">
        <v>3.2890000000000003E-2</v>
      </c>
      <c r="E2918" s="7">
        <v>3.2890000000000003E-2</v>
      </c>
      <c r="F2918" s="7">
        <v>3.2890000000000003E-2</v>
      </c>
      <c r="G2918" s="7">
        <v>-4.0500000000000001E-2</v>
      </c>
    </row>
    <row r="2919" spans="2:7" x14ac:dyDescent="0.2">
      <c r="B2919" s="60">
        <v>40028</v>
      </c>
      <c r="C2919" s="7">
        <v>3.3460000000000004E-2</v>
      </c>
      <c r="D2919" s="7">
        <v>3.3460000000000004E-2</v>
      </c>
      <c r="E2919" s="7">
        <v>3.3460000000000004E-2</v>
      </c>
      <c r="F2919" s="7">
        <v>3.3460000000000004E-2</v>
      </c>
      <c r="G2919" s="7">
        <v>1.7299999999999999E-2</v>
      </c>
    </row>
    <row r="2920" spans="2:7" x14ac:dyDescent="0.2">
      <c r="B2920" s="60">
        <v>40029</v>
      </c>
      <c r="C2920" s="7">
        <v>3.354E-2</v>
      </c>
      <c r="D2920" s="7">
        <v>3.354E-2</v>
      </c>
      <c r="E2920" s="7">
        <v>3.354E-2</v>
      </c>
      <c r="F2920" s="7">
        <v>3.354E-2</v>
      </c>
      <c r="G2920" s="7">
        <v>2.3999999999999998E-3</v>
      </c>
    </row>
    <row r="2921" spans="2:7" x14ac:dyDescent="0.2">
      <c r="B2921" s="60">
        <v>40030</v>
      </c>
      <c r="C2921" s="7">
        <v>3.3410000000000002E-2</v>
      </c>
      <c r="D2921" s="7">
        <v>3.3410000000000002E-2</v>
      </c>
      <c r="E2921" s="7">
        <v>3.3410000000000002E-2</v>
      </c>
      <c r="F2921" s="7">
        <v>3.3410000000000002E-2</v>
      </c>
      <c r="G2921" s="7">
        <v>-3.8999999999999998E-3</v>
      </c>
    </row>
    <row r="2922" spans="2:7" x14ac:dyDescent="0.2">
      <c r="B2922" s="60">
        <v>40031</v>
      </c>
      <c r="C2922" s="7">
        <v>3.3889999999999997E-2</v>
      </c>
      <c r="D2922" s="7">
        <v>3.3889999999999997E-2</v>
      </c>
      <c r="E2922" s="7">
        <v>3.3889999999999997E-2</v>
      </c>
      <c r="F2922" s="7">
        <v>3.3889999999999997E-2</v>
      </c>
      <c r="G2922" s="7">
        <v>1.44E-2</v>
      </c>
    </row>
    <row r="2923" spans="2:7" x14ac:dyDescent="0.2">
      <c r="B2923" s="60">
        <v>40032</v>
      </c>
      <c r="C2923" s="7">
        <v>3.526E-2</v>
      </c>
      <c r="D2923" s="7">
        <v>3.526E-2</v>
      </c>
      <c r="E2923" s="7">
        <v>3.526E-2</v>
      </c>
      <c r="F2923" s="7">
        <v>3.526E-2</v>
      </c>
      <c r="G2923" s="7">
        <v>4.0399999999999998E-2</v>
      </c>
    </row>
    <row r="2924" spans="2:7" x14ac:dyDescent="0.2">
      <c r="B2924" s="60">
        <v>40035</v>
      </c>
      <c r="C2924" s="7">
        <v>3.4769999999999995E-2</v>
      </c>
      <c r="D2924" s="7">
        <v>3.4769999999999995E-2</v>
      </c>
      <c r="E2924" s="7">
        <v>3.4769999999999995E-2</v>
      </c>
      <c r="F2924" s="7">
        <v>3.4769999999999995E-2</v>
      </c>
      <c r="G2924" s="7">
        <v>-1.3899999999999999E-2</v>
      </c>
    </row>
    <row r="2925" spans="2:7" x14ac:dyDescent="0.2">
      <c r="B2925" s="60">
        <v>40036</v>
      </c>
      <c r="C2925" s="7">
        <v>3.4689999999999999E-2</v>
      </c>
      <c r="D2925" s="7">
        <v>3.4689999999999999E-2</v>
      </c>
      <c r="E2925" s="7">
        <v>3.4689999999999999E-2</v>
      </c>
      <c r="F2925" s="7">
        <v>3.4689999999999999E-2</v>
      </c>
      <c r="G2925" s="7">
        <v>-2.3E-3</v>
      </c>
    </row>
    <row r="2926" spans="2:7" x14ac:dyDescent="0.2">
      <c r="B2926" s="60">
        <v>40037</v>
      </c>
      <c r="C2926" s="7">
        <v>3.449E-2</v>
      </c>
      <c r="D2926" s="7">
        <v>3.449E-2</v>
      </c>
      <c r="E2926" s="7">
        <v>3.449E-2</v>
      </c>
      <c r="F2926" s="7">
        <v>3.449E-2</v>
      </c>
      <c r="G2926" s="7">
        <v>-5.7999999999999996E-3</v>
      </c>
    </row>
    <row r="2927" spans="2:7" x14ac:dyDescent="0.2">
      <c r="B2927" s="60">
        <v>40038</v>
      </c>
      <c r="C2927" s="7">
        <v>3.424E-2</v>
      </c>
      <c r="D2927" s="7">
        <v>3.424E-2</v>
      </c>
      <c r="E2927" s="7">
        <v>3.424E-2</v>
      </c>
      <c r="F2927" s="7">
        <v>3.424E-2</v>
      </c>
      <c r="G2927" s="7">
        <v>-7.1999999999999998E-3</v>
      </c>
    </row>
    <row r="2928" spans="2:7" x14ac:dyDescent="0.2">
      <c r="B2928" s="60">
        <v>40039</v>
      </c>
      <c r="C2928" s="7">
        <v>3.3149999999999999E-2</v>
      </c>
      <c r="D2928" s="7">
        <v>3.3149999999999999E-2</v>
      </c>
      <c r="E2928" s="7">
        <v>3.3149999999999999E-2</v>
      </c>
      <c r="F2928" s="7">
        <v>3.3149999999999999E-2</v>
      </c>
      <c r="G2928" s="7">
        <v>-3.1800000000000002E-2</v>
      </c>
    </row>
    <row r="2929" spans="2:7" x14ac:dyDescent="0.2">
      <c r="B2929" s="60">
        <v>40042</v>
      </c>
      <c r="C2929" s="7">
        <v>3.2919999999999998E-2</v>
      </c>
      <c r="D2929" s="7">
        <v>3.2919999999999998E-2</v>
      </c>
      <c r="E2929" s="7">
        <v>3.2919999999999998E-2</v>
      </c>
      <c r="F2929" s="7">
        <v>3.2919999999999998E-2</v>
      </c>
      <c r="G2929" s="7">
        <v>-6.8999999999999999E-3</v>
      </c>
    </row>
    <row r="2930" spans="2:7" x14ac:dyDescent="0.2">
      <c r="B2930" s="60">
        <v>40043</v>
      </c>
      <c r="C2930" s="7">
        <v>3.3010000000000005E-2</v>
      </c>
      <c r="D2930" s="7">
        <v>3.3010000000000005E-2</v>
      </c>
      <c r="E2930" s="7">
        <v>3.3010000000000005E-2</v>
      </c>
      <c r="F2930" s="7">
        <v>3.3010000000000005E-2</v>
      </c>
      <c r="G2930" s="7">
        <v>2.7000000000000001E-3</v>
      </c>
    </row>
    <row r="2931" spans="2:7" x14ac:dyDescent="0.2">
      <c r="B2931" s="60">
        <v>40044</v>
      </c>
      <c r="C2931" s="7">
        <v>3.2629999999999999E-2</v>
      </c>
      <c r="D2931" s="7">
        <v>3.2629999999999999E-2</v>
      </c>
      <c r="E2931" s="7">
        <v>3.2629999999999999E-2</v>
      </c>
      <c r="F2931" s="7">
        <v>3.2629999999999999E-2</v>
      </c>
      <c r="G2931" s="7">
        <v>-1.15E-2</v>
      </c>
    </row>
    <row r="2932" spans="2:7" x14ac:dyDescent="0.2">
      <c r="B2932" s="60">
        <v>40045</v>
      </c>
      <c r="C2932" s="7">
        <v>3.2559999999999999E-2</v>
      </c>
      <c r="D2932" s="7">
        <v>3.2559999999999999E-2</v>
      </c>
      <c r="E2932" s="7">
        <v>3.2559999999999999E-2</v>
      </c>
      <c r="F2932" s="7">
        <v>3.2559999999999999E-2</v>
      </c>
      <c r="G2932" s="7">
        <v>-2.0999999999999999E-3</v>
      </c>
    </row>
    <row r="2933" spans="2:7" x14ac:dyDescent="0.2">
      <c r="B2933" s="60">
        <v>40046</v>
      </c>
      <c r="C2933" s="7">
        <v>3.32E-2</v>
      </c>
      <c r="D2933" s="7">
        <v>3.32E-2</v>
      </c>
      <c r="E2933" s="7">
        <v>3.32E-2</v>
      </c>
      <c r="F2933" s="7">
        <v>3.32E-2</v>
      </c>
      <c r="G2933" s="7">
        <v>1.9699999999999999E-2</v>
      </c>
    </row>
    <row r="2934" spans="2:7" x14ac:dyDescent="0.2">
      <c r="B2934" s="60">
        <v>40049</v>
      </c>
      <c r="C2934" s="7">
        <v>3.3010000000000005E-2</v>
      </c>
      <c r="D2934" s="7">
        <v>3.3010000000000005E-2</v>
      </c>
      <c r="E2934" s="7">
        <v>3.3010000000000005E-2</v>
      </c>
      <c r="F2934" s="7">
        <v>3.3010000000000005E-2</v>
      </c>
      <c r="G2934" s="7">
        <v>-5.7000000000000002E-3</v>
      </c>
    </row>
    <row r="2935" spans="2:7" x14ac:dyDescent="0.2">
      <c r="B2935" s="60">
        <v>40050</v>
      </c>
      <c r="C2935" s="7">
        <v>3.2730000000000002E-2</v>
      </c>
      <c r="D2935" s="7">
        <v>3.2730000000000002E-2</v>
      </c>
      <c r="E2935" s="7">
        <v>3.2730000000000002E-2</v>
      </c>
      <c r="F2935" s="7">
        <v>3.2730000000000002E-2</v>
      </c>
      <c r="G2935" s="7">
        <v>-8.5000000000000006E-3</v>
      </c>
    </row>
    <row r="2936" spans="2:7" x14ac:dyDescent="0.2">
      <c r="B2936" s="60">
        <v>40051</v>
      </c>
      <c r="C2936" s="7">
        <v>3.2349999999999997E-2</v>
      </c>
      <c r="D2936" s="7">
        <v>3.2349999999999997E-2</v>
      </c>
      <c r="E2936" s="7">
        <v>3.2349999999999997E-2</v>
      </c>
      <c r="F2936" s="7">
        <v>3.2349999999999997E-2</v>
      </c>
      <c r="G2936" s="7">
        <v>-1.1599999999999999E-2</v>
      </c>
    </row>
    <row r="2937" spans="2:7" x14ac:dyDescent="0.2">
      <c r="B2937" s="60">
        <v>40052</v>
      </c>
      <c r="C2937" s="7">
        <v>3.2489999999999998E-2</v>
      </c>
      <c r="D2937" s="7">
        <v>3.2489999999999998E-2</v>
      </c>
      <c r="E2937" s="7">
        <v>3.2489999999999998E-2</v>
      </c>
      <c r="F2937" s="7">
        <v>3.2489999999999998E-2</v>
      </c>
      <c r="G2937" s="7">
        <v>4.3E-3</v>
      </c>
    </row>
    <row r="2938" spans="2:7" x14ac:dyDescent="0.2">
      <c r="B2938" s="60">
        <v>40053</v>
      </c>
      <c r="C2938" s="7">
        <v>3.2379999999999999E-2</v>
      </c>
      <c r="D2938" s="7">
        <v>3.2379999999999999E-2</v>
      </c>
      <c r="E2938" s="7">
        <v>3.2379999999999999E-2</v>
      </c>
      <c r="F2938" s="7">
        <v>3.2379999999999999E-2</v>
      </c>
      <c r="G2938" s="7">
        <v>-3.3999999999999998E-3</v>
      </c>
    </row>
    <row r="2939" spans="2:7" x14ac:dyDescent="0.2">
      <c r="B2939" s="60">
        <v>40056</v>
      </c>
      <c r="C2939" s="7">
        <v>3.2549999999999996E-2</v>
      </c>
      <c r="D2939" s="7">
        <v>3.2549999999999996E-2</v>
      </c>
      <c r="E2939" s="7">
        <v>3.2549999999999996E-2</v>
      </c>
      <c r="F2939" s="7">
        <v>3.2549999999999996E-2</v>
      </c>
      <c r="G2939" s="7">
        <v>5.3E-3</v>
      </c>
    </row>
    <row r="2940" spans="2:7" x14ac:dyDescent="0.2">
      <c r="B2940" s="60">
        <v>40057</v>
      </c>
      <c r="C2940" s="7">
        <v>3.2340000000000001E-2</v>
      </c>
      <c r="D2940" s="7">
        <v>3.2340000000000001E-2</v>
      </c>
      <c r="E2940" s="7">
        <v>3.2340000000000001E-2</v>
      </c>
      <c r="F2940" s="7">
        <v>3.2340000000000001E-2</v>
      </c>
      <c r="G2940" s="7">
        <v>-6.4999999999999997E-3</v>
      </c>
    </row>
    <row r="2941" spans="2:7" x14ac:dyDescent="0.2">
      <c r="B2941" s="60">
        <v>40058</v>
      </c>
      <c r="C2941" s="7">
        <v>3.2309999999999998E-2</v>
      </c>
      <c r="D2941" s="7">
        <v>3.2309999999999998E-2</v>
      </c>
      <c r="E2941" s="7">
        <v>3.2309999999999998E-2</v>
      </c>
      <c r="F2941" s="7">
        <v>3.2309999999999998E-2</v>
      </c>
      <c r="G2941" s="7">
        <v>-8.9999999999999998E-4</v>
      </c>
    </row>
    <row r="2942" spans="2:7" x14ac:dyDescent="0.2">
      <c r="B2942" s="60">
        <v>40059</v>
      </c>
      <c r="C2942" s="7">
        <v>3.2349999999999997E-2</v>
      </c>
      <c r="D2942" s="7">
        <v>3.2349999999999997E-2</v>
      </c>
      <c r="E2942" s="7">
        <v>3.2349999999999997E-2</v>
      </c>
      <c r="F2942" s="7">
        <v>3.2349999999999997E-2</v>
      </c>
      <c r="G2942" s="7">
        <v>1.1999999999999999E-3</v>
      </c>
    </row>
    <row r="2943" spans="2:7" x14ac:dyDescent="0.2">
      <c r="B2943" s="60">
        <v>40060</v>
      </c>
      <c r="C2943" s="7">
        <v>3.2559999999999999E-2</v>
      </c>
      <c r="D2943" s="7">
        <v>3.2559999999999999E-2</v>
      </c>
      <c r="E2943" s="7">
        <v>3.2559999999999999E-2</v>
      </c>
      <c r="F2943" s="7">
        <v>3.2559999999999999E-2</v>
      </c>
      <c r="G2943" s="7">
        <v>6.4999999999999997E-3</v>
      </c>
    </row>
    <row r="2944" spans="2:7" x14ac:dyDescent="0.2">
      <c r="B2944" s="60">
        <v>40063</v>
      </c>
      <c r="C2944" s="7">
        <v>3.2320000000000002E-2</v>
      </c>
      <c r="D2944" s="7">
        <v>3.2320000000000002E-2</v>
      </c>
      <c r="E2944" s="7">
        <v>3.2320000000000002E-2</v>
      </c>
      <c r="F2944" s="7">
        <v>3.2320000000000002E-2</v>
      </c>
      <c r="G2944" s="7">
        <v>-7.4000000000000003E-3</v>
      </c>
    </row>
    <row r="2945" spans="2:7" x14ac:dyDescent="0.2">
      <c r="B2945" s="60">
        <v>40064</v>
      </c>
      <c r="C2945" s="7">
        <v>3.2759999999999997E-2</v>
      </c>
      <c r="D2945" s="7">
        <v>3.2759999999999997E-2</v>
      </c>
      <c r="E2945" s="7">
        <v>3.2759999999999997E-2</v>
      </c>
      <c r="F2945" s="7">
        <v>3.2759999999999997E-2</v>
      </c>
      <c r="G2945" s="7">
        <v>1.3599999999999999E-2</v>
      </c>
    </row>
    <row r="2946" spans="2:7" x14ac:dyDescent="0.2">
      <c r="B2946" s="60">
        <v>40065</v>
      </c>
      <c r="C2946" s="7">
        <v>3.372E-2</v>
      </c>
      <c r="D2946" s="7">
        <v>3.372E-2</v>
      </c>
      <c r="E2946" s="7">
        <v>3.372E-2</v>
      </c>
      <c r="F2946" s="7">
        <v>3.372E-2</v>
      </c>
      <c r="G2946" s="7">
        <v>2.93E-2</v>
      </c>
    </row>
    <row r="2947" spans="2:7" x14ac:dyDescent="0.2">
      <c r="B2947" s="60">
        <v>40066</v>
      </c>
      <c r="C2947" s="7">
        <v>3.3010000000000005E-2</v>
      </c>
      <c r="D2947" s="7">
        <v>3.3010000000000005E-2</v>
      </c>
      <c r="E2947" s="7">
        <v>3.3010000000000005E-2</v>
      </c>
      <c r="F2947" s="7">
        <v>3.3010000000000005E-2</v>
      </c>
      <c r="G2947" s="7">
        <v>-2.1100000000000001E-2</v>
      </c>
    </row>
    <row r="2948" spans="2:7" x14ac:dyDescent="0.2">
      <c r="B2948" s="60">
        <v>40067</v>
      </c>
      <c r="C2948" s="7">
        <v>3.2340000000000001E-2</v>
      </c>
      <c r="D2948" s="7">
        <v>3.2340000000000001E-2</v>
      </c>
      <c r="E2948" s="7">
        <v>3.2340000000000001E-2</v>
      </c>
      <c r="F2948" s="7">
        <v>3.2340000000000001E-2</v>
      </c>
      <c r="G2948" s="7">
        <v>-2.0299999999999999E-2</v>
      </c>
    </row>
    <row r="2949" spans="2:7" x14ac:dyDescent="0.2">
      <c r="B2949" s="60">
        <v>40070</v>
      </c>
      <c r="C2949" s="7">
        <v>3.2570000000000002E-2</v>
      </c>
      <c r="D2949" s="7">
        <v>3.2570000000000002E-2</v>
      </c>
      <c r="E2949" s="7">
        <v>3.2570000000000002E-2</v>
      </c>
      <c r="F2949" s="7">
        <v>3.2570000000000002E-2</v>
      </c>
      <c r="G2949" s="7">
        <v>7.1000000000000004E-3</v>
      </c>
    </row>
    <row r="2950" spans="2:7" x14ac:dyDescent="0.2">
      <c r="B2950" s="60">
        <v>40071</v>
      </c>
      <c r="C2950" s="7">
        <v>3.2939999999999997E-2</v>
      </c>
      <c r="D2950" s="7">
        <v>3.2939999999999997E-2</v>
      </c>
      <c r="E2950" s="7">
        <v>3.2939999999999997E-2</v>
      </c>
      <c r="F2950" s="7">
        <v>3.2939999999999997E-2</v>
      </c>
      <c r="G2950" s="7">
        <v>1.14E-2</v>
      </c>
    </row>
    <row r="2951" spans="2:7" x14ac:dyDescent="0.2">
      <c r="B2951" s="60">
        <v>40072</v>
      </c>
      <c r="C2951" s="7">
        <v>3.3430000000000001E-2</v>
      </c>
      <c r="D2951" s="7">
        <v>3.3430000000000001E-2</v>
      </c>
      <c r="E2951" s="7">
        <v>3.3430000000000001E-2</v>
      </c>
      <c r="F2951" s="7">
        <v>3.3430000000000001E-2</v>
      </c>
      <c r="G2951" s="7">
        <v>1.49E-2</v>
      </c>
    </row>
    <row r="2952" spans="2:7" x14ac:dyDescent="0.2">
      <c r="B2952" s="60">
        <v>40073</v>
      </c>
      <c r="C2952" s="7">
        <v>3.3649999999999999E-2</v>
      </c>
      <c r="D2952" s="7">
        <v>3.3649999999999999E-2</v>
      </c>
      <c r="E2952" s="7">
        <v>3.3649999999999999E-2</v>
      </c>
      <c r="F2952" s="7">
        <v>3.3649999999999999E-2</v>
      </c>
      <c r="G2952" s="7">
        <v>6.6E-3</v>
      </c>
    </row>
    <row r="2953" spans="2:7" x14ac:dyDescent="0.2">
      <c r="B2953" s="60">
        <v>40074</v>
      </c>
      <c r="C2953" s="7">
        <v>3.3919999999999999E-2</v>
      </c>
      <c r="D2953" s="7">
        <v>3.3919999999999999E-2</v>
      </c>
      <c r="E2953" s="7">
        <v>3.3919999999999999E-2</v>
      </c>
      <c r="F2953" s="7">
        <v>3.3919999999999999E-2</v>
      </c>
      <c r="G2953" s="7">
        <v>8.0000000000000002E-3</v>
      </c>
    </row>
    <row r="2954" spans="2:7" x14ac:dyDescent="0.2">
      <c r="B2954" s="60">
        <v>40077</v>
      </c>
      <c r="C2954" s="7">
        <v>3.3790000000000001E-2</v>
      </c>
      <c r="D2954" s="7">
        <v>3.3790000000000001E-2</v>
      </c>
      <c r="E2954" s="7">
        <v>3.3790000000000001E-2</v>
      </c>
      <c r="F2954" s="7">
        <v>3.3790000000000001E-2</v>
      </c>
      <c r="G2954" s="7">
        <v>-3.8E-3</v>
      </c>
    </row>
    <row r="2955" spans="2:7" x14ac:dyDescent="0.2">
      <c r="B2955" s="60">
        <v>40078</v>
      </c>
      <c r="C2955" s="7">
        <v>3.3939999999999998E-2</v>
      </c>
      <c r="D2955" s="7">
        <v>3.3939999999999998E-2</v>
      </c>
      <c r="E2955" s="7">
        <v>3.3939999999999998E-2</v>
      </c>
      <c r="F2955" s="7">
        <v>3.3939999999999998E-2</v>
      </c>
      <c r="G2955" s="7">
        <v>4.4000000000000003E-3</v>
      </c>
    </row>
    <row r="2956" spans="2:7" x14ac:dyDescent="0.2">
      <c r="B2956" s="60">
        <v>40079</v>
      </c>
      <c r="C2956" s="7">
        <v>3.3759999999999998E-2</v>
      </c>
      <c r="D2956" s="7">
        <v>3.3759999999999998E-2</v>
      </c>
      <c r="E2956" s="7">
        <v>3.3759999999999998E-2</v>
      </c>
      <c r="F2956" s="7">
        <v>3.3759999999999998E-2</v>
      </c>
      <c r="G2956" s="7">
        <v>-5.3E-3</v>
      </c>
    </row>
    <row r="2957" spans="2:7" x14ac:dyDescent="0.2">
      <c r="B2957" s="60">
        <v>40080</v>
      </c>
      <c r="C2957" s="7">
        <v>3.3050000000000003E-2</v>
      </c>
      <c r="D2957" s="7">
        <v>3.3050000000000003E-2</v>
      </c>
      <c r="E2957" s="7">
        <v>3.3050000000000003E-2</v>
      </c>
      <c r="F2957" s="7">
        <v>3.3050000000000003E-2</v>
      </c>
      <c r="G2957" s="7">
        <v>-2.1000000000000001E-2</v>
      </c>
    </row>
    <row r="2958" spans="2:7" x14ac:dyDescent="0.2">
      <c r="B2958" s="60">
        <v>40081</v>
      </c>
      <c r="C2958" s="7">
        <v>3.2410000000000001E-2</v>
      </c>
      <c r="D2958" s="7">
        <v>3.2410000000000001E-2</v>
      </c>
      <c r="E2958" s="7">
        <v>3.2410000000000001E-2</v>
      </c>
      <c r="F2958" s="7">
        <v>3.2410000000000001E-2</v>
      </c>
      <c r="G2958" s="7">
        <v>-1.9400000000000001E-2</v>
      </c>
    </row>
    <row r="2959" spans="2:7" x14ac:dyDescent="0.2">
      <c r="B2959" s="60">
        <v>40084</v>
      </c>
      <c r="C2959" s="7">
        <v>3.2590000000000001E-2</v>
      </c>
      <c r="D2959" s="7">
        <v>3.2590000000000001E-2</v>
      </c>
      <c r="E2959" s="7">
        <v>3.2590000000000001E-2</v>
      </c>
      <c r="F2959" s="7">
        <v>3.2590000000000001E-2</v>
      </c>
      <c r="G2959" s="7">
        <v>5.5999999999999999E-3</v>
      </c>
    </row>
    <row r="2960" spans="2:7" x14ac:dyDescent="0.2">
      <c r="B2960" s="60">
        <v>40085</v>
      </c>
      <c r="C2960" s="7">
        <v>3.2189999999999996E-2</v>
      </c>
      <c r="D2960" s="7">
        <v>3.2189999999999996E-2</v>
      </c>
      <c r="E2960" s="7">
        <v>3.2189999999999996E-2</v>
      </c>
      <c r="F2960" s="7">
        <v>3.2189999999999996E-2</v>
      </c>
      <c r="G2960" s="7">
        <v>-1.23E-2</v>
      </c>
    </row>
    <row r="2961" spans="2:7" x14ac:dyDescent="0.2">
      <c r="B2961" s="60">
        <v>40086</v>
      </c>
      <c r="C2961" s="7">
        <v>3.2240000000000005E-2</v>
      </c>
      <c r="D2961" s="7">
        <v>3.2240000000000005E-2</v>
      </c>
      <c r="E2961" s="7">
        <v>3.2240000000000005E-2</v>
      </c>
      <c r="F2961" s="7">
        <v>3.2240000000000005E-2</v>
      </c>
      <c r="G2961" s="7">
        <v>1.6000000000000001E-3</v>
      </c>
    </row>
    <row r="2962" spans="2:7" x14ac:dyDescent="0.2">
      <c r="B2962" s="60">
        <v>40087</v>
      </c>
      <c r="C2962" s="7">
        <v>3.1519999999999999E-2</v>
      </c>
      <c r="D2962" s="7">
        <v>3.1519999999999999E-2</v>
      </c>
      <c r="E2962" s="7">
        <v>3.1519999999999999E-2</v>
      </c>
      <c r="F2962" s="7">
        <v>3.1519999999999999E-2</v>
      </c>
      <c r="G2962" s="7">
        <v>-2.23E-2</v>
      </c>
    </row>
    <row r="2963" spans="2:7" x14ac:dyDescent="0.2">
      <c r="B2963" s="60">
        <v>40088</v>
      </c>
      <c r="C2963" s="7">
        <v>3.1139999999999998E-2</v>
      </c>
      <c r="D2963" s="7">
        <v>3.1139999999999998E-2</v>
      </c>
      <c r="E2963" s="7">
        <v>3.1139999999999998E-2</v>
      </c>
      <c r="F2963" s="7">
        <v>3.1139999999999998E-2</v>
      </c>
      <c r="G2963" s="7">
        <v>-1.21E-2</v>
      </c>
    </row>
    <row r="2964" spans="2:7" x14ac:dyDescent="0.2">
      <c r="B2964" s="60">
        <v>40091</v>
      </c>
      <c r="C2964" s="7">
        <v>3.124E-2</v>
      </c>
      <c r="D2964" s="7">
        <v>3.124E-2</v>
      </c>
      <c r="E2964" s="7">
        <v>3.124E-2</v>
      </c>
      <c r="F2964" s="7">
        <v>3.124E-2</v>
      </c>
      <c r="G2964" s="7">
        <v>3.2000000000000002E-3</v>
      </c>
    </row>
    <row r="2965" spans="2:7" x14ac:dyDescent="0.2">
      <c r="B2965" s="60">
        <v>40092</v>
      </c>
      <c r="C2965" s="7">
        <v>3.1609999999999999E-2</v>
      </c>
      <c r="D2965" s="7">
        <v>3.1609999999999999E-2</v>
      </c>
      <c r="E2965" s="7">
        <v>3.1609999999999999E-2</v>
      </c>
      <c r="F2965" s="7">
        <v>3.1609999999999999E-2</v>
      </c>
      <c r="G2965" s="7">
        <v>1.18E-2</v>
      </c>
    </row>
    <row r="2966" spans="2:7" x14ac:dyDescent="0.2">
      <c r="B2966" s="60">
        <v>40093</v>
      </c>
      <c r="C2966" s="7">
        <v>3.1210000000000002E-2</v>
      </c>
      <c r="D2966" s="7">
        <v>3.1210000000000002E-2</v>
      </c>
      <c r="E2966" s="7">
        <v>3.1210000000000002E-2</v>
      </c>
      <c r="F2966" s="7">
        <v>3.1210000000000002E-2</v>
      </c>
      <c r="G2966" s="7">
        <v>-1.2699999999999999E-2</v>
      </c>
    </row>
    <row r="2967" spans="2:7" x14ac:dyDescent="0.2">
      <c r="B2967" s="60">
        <v>40094</v>
      </c>
      <c r="C2967" s="7">
        <v>3.1120000000000002E-2</v>
      </c>
      <c r="D2967" s="7">
        <v>3.1120000000000002E-2</v>
      </c>
      <c r="E2967" s="7">
        <v>3.1120000000000002E-2</v>
      </c>
      <c r="F2967" s="7">
        <v>3.1120000000000002E-2</v>
      </c>
      <c r="G2967" s="7">
        <v>-2.8999999999999998E-3</v>
      </c>
    </row>
    <row r="2968" spans="2:7" x14ac:dyDescent="0.2">
      <c r="B2968" s="60">
        <v>40095</v>
      </c>
      <c r="C2968" s="7">
        <v>3.2039999999999999E-2</v>
      </c>
      <c r="D2968" s="7">
        <v>3.2039999999999999E-2</v>
      </c>
      <c r="E2968" s="7">
        <v>3.2039999999999999E-2</v>
      </c>
      <c r="F2968" s="7">
        <v>3.2039999999999999E-2</v>
      </c>
      <c r="G2968" s="7">
        <v>2.9600000000000001E-2</v>
      </c>
    </row>
    <row r="2969" spans="2:7" x14ac:dyDescent="0.2">
      <c r="B2969" s="60">
        <v>40098</v>
      </c>
      <c r="C2969" s="7">
        <v>3.1809999999999998E-2</v>
      </c>
      <c r="D2969" s="7">
        <v>3.1809999999999998E-2</v>
      </c>
      <c r="E2969" s="7">
        <v>3.1809999999999998E-2</v>
      </c>
      <c r="F2969" s="7">
        <v>3.1809999999999998E-2</v>
      </c>
      <c r="G2969" s="7">
        <v>-7.1999999999999998E-3</v>
      </c>
    </row>
    <row r="2970" spans="2:7" x14ac:dyDescent="0.2">
      <c r="B2970" s="60">
        <v>40099</v>
      </c>
      <c r="C2970" s="7">
        <v>3.1669999999999997E-2</v>
      </c>
      <c r="D2970" s="7">
        <v>3.1669999999999997E-2</v>
      </c>
      <c r="E2970" s="7">
        <v>3.1669999999999997E-2</v>
      </c>
      <c r="F2970" s="7">
        <v>3.1669999999999997E-2</v>
      </c>
      <c r="G2970" s="7">
        <v>-4.4000000000000003E-3</v>
      </c>
    </row>
    <row r="2971" spans="2:7" x14ac:dyDescent="0.2">
      <c r="B2971" s="60">
        <v>40100</v>
      </c>
      <c r="C2971" s="7">
        <v>3.236E-2</v>
      </c>
      <c r="D2971" s="7">
        <v>3.236E-2</v>
      </c>
      <c r="E2971" s="7">
        <v>3.236E-2</v>
      </c>
      <c r="F2971" s="7">
        <v>3.236E-2</v>
      </c>
      <c r="G2971" s="7">
        <v>2.18E-2</v>
      </c>
    </row>
    <row r="2972" spans="2:7" x14ac:dyDescent="0.2">
      <c r="B2972" s="60">
        <v>40101</v>
      </c>
      <c r="C2972" s="7">
        <v>3.3020000000000001E-2</v>
      </c>
      <c r="D2972" s="7">
        <v>3.3020000000000001E-2</v>
      </c>
      <c r="E2972" s="7">
        <v>3.3020000000000001E-2</v>
      </c>
      <c r="F2972" s="7">
        <v>3.3020000000000001E-2</v>
      </c>
      <c r="G2972" s="7">
        <v>2.0400000000000001E-2</v>
      </c>
    </row>
    <row r="2973" spans="2:7" x14ac:dyDescent="0.2">
      <c r="B2973" s="60">
        <v>40102</v>
      </c>
      <c r="C2973" s="7">
        <v>3.2910000000000002E-2</v>
      </c>
      <c r="D2973" s="7">
        <v>3.2910000000000002E-2</v>
      </c>
      <c r="E2973" s="7">
        <v>3.2910000000000002E-2</v>
      </c>
      <c r="F2973" s="7">
        <v>3.2910000000000002E-2</v>
      </c>
      <c r="G2973" s="7">
        <v>-3.3E-3</v>
      </c>
    </row>
    <row r="2974" spans="2:7" x14ac:dyDescent="0.2">
      <c r="B2974" s="60">
        <v>40105</v>
      </c>
      <c r="C2974" s="7">
        <v>3.295E-2</v>
      </c>
      <c r="D2974" s="7">
        <v>3.295E-2</v>
      </c>
      <c r="E2974" s="7">
        <v>3.295E-2</v>
      </c>
      <c r="F2974" s="7">
        <v>3.295E-2</v>
      </c>
      <c r="G2974" s="7">
        <v>1.1999999999999999E-3</v>
      </c>
    </row>
    <row r="2975" spans="2:7" x14ac:dyDescent="0.2">
      <c r="B2975" s="60">
        <v>40106</v>
      </c>
      <c r="C2975" s="7">
        <v>3.2320000000000002E-2</v>
      </c>
      <c r="D2975" s="7">
        <v>3.2320000000000002E-2</v>
      </c>
      <c r="E2975" s="7">
        <v>3.2320000000000002E-2</v>
      </c>
      <c r="F2975" s="7">
        <v>3.2320000000000002E-2</v>
      </c>
      <c r="G2975" s="7">
        <v>-1.9099999999999999E-2</v>
      </c>
    </row>
    <row r="2976" spans="2:7" x14ac:dyDescent="0.2">
      <c r="B2976" s="60">
        <v>40107</v>
      </c>
      <c r="C2976" s="7">
        <v>3.3210000000000003E-2</v>
      </c>
      <c r="D2976" s="7">
        <v>3.3210000000000003E-2</v>
      </c>
      <c r="E2976" s="7">
        <v>3.3210000000000003E-2</v>
      </c>
      <c r="F2976" s="7">
        <v>3.3210000000000003E-2</v>
      </c>
      <c r="G2976" s="7">
        <v>2.75E-2</v>
      </c>
    </row>
    <row r="2977" spans="2:7" x14ac:dyDescent="0.2">
      <c r="B2977" s="60">
        <v>40108</v>
      </c>
      <c r="C2977" s="7">
        <v>3.3000000000000002E-2</v>
      </c>
      <c r="D2977" s="7">
        <v>3.3000000000000002E-2</v>
      </c>
      <c r="E2977" s="7">
        <v>3.3000000000000002E-2</v>
      </c>
      <c r="F2977" s="7">
        <v>3.3000000000000002E-2</v>
      </c>
      <c r="G2977" s="7">
        <v>-6.3E-3</v>
      </c>
    </row>
    <row r="2978" spans="2:7" x14ac:dyDescent="0.2">
      <c r="B2978" s="60">
        <v>40109</v>
      </c>
      <c r="C2978" s="7">
        <v>3.3520000000000001E-2</v>
      </c>
      <c r="D2978" s="7">
        <v>3.3520000000000001E-2</v>
      </c>
      <c r="E2978" s="7">
        <v>3.3520000000000001E-2</v>
      </c>
      <c r="F2978" s="7">
        <v>3.3520000000000001E-2</v>
      </c>
      <c r="G2978" s="7">
        <v>1.5800000000000002E-2</v>
      </c>
    </row>
    <row r="2979" spans="2:7" x14ac:dyDescent="0.2">
      <c r="B2979" s="60">
        <v>40112</v>
      </c>
      <c r="C2979" s="7">
        <v>3.3549999999999996E-2</v>
      </c>
      <c r="D2979" s="7">
        <v>3.3549999999999996E-2</v>
      </c>
      <c r="E2979" s="7">
        <v>3.3549999999999996E-2</v>
      </c>
      <c r="F2979" s="7">
        <v>3.3549999999999996E-2</v>
      </c>
      <c r="G2979" s="7">
        <v>8.9999999999999998E-4</v>
      </c>
    </row>
    <row r="2980" spans="2:7" x14ac:dyDescent="0.2">
      <c r="B2980" s="60">
        <v>40113</v>
      </c>
      <c r="C2980" s="7">
        <v>3.2599999999999997E-2</v>
      </c>
      <c r="D2980" s="7">
        <v>3.2599999999999997E-2</v>
      </c>
      <c r="E2980" s="7">
        <v>3.2599999999999997E-2</v>
      </c>
      <c r="F2980" s="7">
        <v>3.2599999999999997E-2</v>
      </c>
      <c r="G2980" s="7">
        <v>-2.8299999999999999E-2</v>
      </c>
    </row>
    <row r="2981" spans="2:7" x14ac:dyDescent="0.2">
      <c r="B2981" s="60">
        <v>40114</v>
      </c>
      <c r="C2981" s="7">
        <v>3.2539999999999999E-2</v>
      </c>
      <c r="D2981" s="7">
        <v>3.2539999999999999E-2</v>
      </c>
      <c r="E2981" s="7">
        <v>3.2539999999999999E-2</v>
      </c>
      <c r="F2981" s="7">
        <v>3.2539999999999999E-2</v>
      </c>
      <c r="G2981" s="7">
        <v>-1.8E-3</v>
      </c>
    </row>
    <row r="2982" spans="2:7" x14ac:dyDescent="0.2">
      <c r="B2982" s="60">
        <v>40115</v>
      </c>
      <c r="C2982" s="7">
        <v>3.329E-2</v>
      </c>
      <c r="D2982" s="7">
        <v>3.329E-2</v>
      </c>
      <c r="E2982" s="7">
        <v>3.329E-2</v>
      </c>
      <c r="F2982" s="7">
        <v>3.329E-2</v>
      </c>
      <c r="G2982" s="7">
        <v>2.3E-2</v>
      </c>
    </row>
    <row r="2983" spans="2:7" x14ac:dyDescent="0.2">
      <c r="B2983" s="60">
        <v>40116</v>
      </c>
      <c r="C2983" s="7">
        <v>3.2250000000000001E-2</v>
      </c>
      <c r="D2983" s="7">
        <v>3.2250000000000001E-2</v>
      </c>
      <c r="E2983" s="7">
        <v>3.2250000000000001E-2</v>
      </c>
      <c r="F2983" s="7">
        <v>3.2250000000000001E-2</v>
      </c>
      <c r="G2983" s="7">
        <v>-3.1199999999999999E-2</v>
      </c>
    </row>
    <row r="2984" spans="2:7" x14ac:dyDescent="0.2">
      <c r="B2984" s="60">
        <v>40119</v>
      </c>
      <c r="C2984" s="7">
        <v>3.2400000000000005E-2</v>
      </c>
      <c r="D2984" s="7">
        <v>3.2400000000000005E-2</v>
      </c>
      <c r="E2984" s="7">
        <v>3.2400000000000005E-2</v>
      </c>
      <c r="F2984" s="7">
        <v>3.2400000000000005E-2</v>
      </c>
      <c r="G2984" s="7">
        <v>4.7000000000000002E-3</v>
      </c>
    </row>
    <row r="2985" spans="2:7" x14ac:dyDescent="0.2">
      <c r="B2985" s="60">
        <v>40120</v>
      </c>
      <c r="C2985" s="7">
        <v>3.2709999999999996E-2</v>
      </c>
      <c r="D2985" s="7">
        <v>3.2709999999999996E-2</v>
      </c>
      <c r="E2985" s="7">
        <v>3.2709999999999996E-2</v>
      </c>
      <c r="F2985" s="7">
        <v>3.2709999999999996E-2</v>
      </c>
      <c r="G2985" s="7">
        <v>9.5999999999999992E-3</v>
      </c>
    </row>
    <row r="2986" spans="2:7" x14ac:dyDescent="0.2">
      <c r="B2986" s="60">
        <v>40121</v>
      </c>
      <c r="C2986" s="7">
        <v>3.3170000000000005E-2</v>
      </c>
      <c r="D2986" s="7">
        <v>3.3170000000000005E-2</v>
      </c>
      <c r="E2986" s="7">
        <v>3.3170000000000005E-2</v>
      </c>
      <c r="F2986" s="7">
        <v>3.3170000000000005E-2</v>
      </c>
      <c r="G2986" s="7">
        <v>1.41E-2</v>
      </c>
    </row>
    <row r="2987" spans="2:7" x14ac:dyDescent="0.2">
      <c r="B2987" s="60">
        <v>40122</v>
      </c>
      <c r="C2987" s="7">
        <v>3.3450000000000001E-2</v>
      </c>
      <c r="D2987" s="7">
        <v>3.3450000000000001E-2</v>
      </c>
      <c r="E2987" s="7">
        <v>3.3450000000000001E-2</v>
      </c>
      <c r="F2987" s="7">
        <v>3.3450000000000001E-2</v>
      </c>
      <c r="G2987" s="7">
        <v>8.3999999999999995E-3</v>
      </c>
    </row>
    <row r="2988" spans="2:7" x14ac:dyDescent="0.2">
      <c r="B2988" s="60">
        <v>40123</v>
      </c>
      <c r="C2988" s="7">
        <v>3.381E-2</v>
      </c>
      <c r="D2988" s="7">
        <v>3.381E-2</v>
      </c>
      <c r="E2988" s="7">
        <v>3.381E-2</v>
      </c>
      <c r="F2988" s="7">
        <v>3.381E-2</v>
      </c>
      <c r="G2988" s="7">
        <v>1.0800000000000001E-2</v>
      </c>
    </row>
    <row r="2989" spans="2:7" x14ac:dyDescent="0.2">
      <c r="B2989" s="60">
        <v>40126</v>
      </c>
      <c r="C2989" s="7">
        <v>3.3159999999999995E-2</v>
      </c>
      <c r="D2989" s="7">
        <v>3.3159999999999995E-2</v>
      </c>
      <c r="E2989" s="7">
        <v>3.3159999999999995E-2</v>
      </c>
      <c r="F2989" s="7">
        <v>3.3159999999999995E-2</v>
      </c>
      <c r="G2989" s="7">
        <v>-1.9199999999999998E-2</v>
      </c>
    </row>
    <row r="2990" spans="2:7" x14ac:dyDescent="0.2">
      <c r="B2990" s="60">
        <v>40127</v>
      </c>
      <c r="C2990" s="7">
        <v>3.286E-2</v>
      </c>
      <c r="D2990" s="7">
        <v>3.286E-2</v>
      </c>
      <c r="E2990" s="7">
        <v>3.286E-2</v>
      </c>
      <c r="F2990" s="7">
        <v>3.286E-2</v>
      </c>
      <c r="G2990" s="7">
        <v>-8.9999999999999993E-3</v>
      </c>
    </row>
    <row r="2991" spans="2:7" x14ac:dyDescent="0.2">
      <c r="B2991" s="60">
        <v>40128</v>
      </c>
      <c r="C2991" s="7">
        <v>3.3419999999999998E-2</v>
      </c>
      <c r="D2991" s="7">
        <v>3.3419999999999998E-2</v>
      </c>
      <c r="E2991" s="7">
        <v>3.3419999999999998E-2</v>
      </c>
      <c r="F2991" s="7">
        <v>3.3419999999999998E-2</v>
      </c>
      <c r="G2991" s="7">
        <v>1.7000000000000001E-2</v>
      </c>
    </row>
    <row r="2992" spans="2:7" x14ac:dyDescent="0.2">
      <c r="B2992" s="60">
        <v>40129</v>
      </c>
      <c r="C2992" s="7">
        <v>3.3709999999999997E-2</v>
      </c>
      <c r="D2992" s="7">
        <v>3.3709999999999997E-2</v>
      </c>
      <c r="E2992" s="7">
        <v>3.3709999999999997E-2</v>
      </c>
      <c r="F2992" s="7">
        <v>3.3709999999999997E-2</v>
      </c>
      <c r="G2992" s="7">
        <v>8.6999999999999994E-3</v>
      </c>
    </row>
    <row r="2993" spans="2:7" x14ac:dyDescent="0.2">
      <c r="B2993" s="60">
        <v>40130</v>
      </c>
      <c r="C2993" s="7">
        <v>3.3820000000000003E-2</v>
      </c>
      <c r="D2993" s="7">
        <v>3.3820000000000003E-2</v>
      </c>
      <c r="E2993" s="7">
        <v>3.3820000000000003E-2</v>
      </c>
      <c r="F2993" s="7">
        <v>3.3820000000000003E-2</v>
      </c>
      <c r="G2993" s="7">
        <v>3.3E-3</v>
      </c>
    </row>
    <row r="2994" spans="2:7" x14ac:dyDescent="0.2">
      <c r="B2994" s="60">
        <v>40133</v>
      </c>
      <c r="C2994" s="7">
        <v>3.3149999999999999E-2</v>
      </c>
      <c r="D2994" s="7">
        <v>3.3149999999999999E-2</v>
      </c>
      <c r="E2994" s="7">
        <v>3.3149999999999999E-2</v>
      </c>
      <c r="F2994" s="7">
        <v>3.3149999999999999E-2</v>
      </c>
      <c r="G2994" s="7">
        <v>-1.9800000000000002E-2</v>
      </c>
    </row>
    <row r="2995" spans="2:7" x14ac:dyDescent="0.2">
      <c r="B2995" s="60">
        <v>40134</v>
      </c>
      <c r="C2995" s="7">
        <v>3.2780000000000004E-2</v>
      </c>
      <c r="D2995" s="7">
        <v>3.2780000000000004E-2</v>
      </c>
      <c r="E2995" s="7">
        <v>3.2780000000000004E-2</v>
      </c>
      <c r="F2995" s="7">
        <v>3.2780000000000004E-2</v>
      </c>
      <c r="G2995" s="7">
        <v>-1.12E-2</v>
      </c>
    </row>
    <row r="2996" spans="2:7" x14ac:dyDescent="0.2">
      <c r="B2996" s="60">
        <v>40135</v>
      </c>
      <c r="C2996" s="7">
        <v>3.2840000000000001E-2</v>
      </c>
      <c r="D2996" s="7">
        <v>3.2840000000000001E-2</v>
      </c>
      <c r="E2996" s="7">
        <v>3.2840000000000001E-2</v>
      </c>
      <c r="F2996" s="7">
        <v>3.2840000000000001E-2</v>
      </c>
      <c r="G2996" s="7">
        <v>1.8E-3</v>
      </c>
    </row>
    <row r="2997" spans="2:7" x14ac:dyDescent="0.2">
      <c r="B2997" s="60">
        <v>40136</v>
      </c>
      <c r="C2997" s="7">
        <v>3.2709999999999996E-2</v>
      </c>
      <c r="D2997" s="7">
        <v>3.2709999999999996E-2</v>
      </c>
      <c r="E2997" s="7">
        <v>3.2709999999999996E-2</v>
      </c>
      <c r="F2997" s="7">
        <v>3.2709999999999996E-2</v>
      </c>
      <c r="G2997" s="7">
        <v>-4.0000000000000001E-3</v>
      </c>
    </row>
    <row r="2998" spans="2:7" x14ac:dyDescent="0.2">
      <c r="B2998" s="60">
        <v>40137</v>
      </c>
      <c r="C2998" s="7">
        <v>3.2419999999999997E-2</v>
      </c>
      <c r="D2998" s="7">
        <v>3.2419999999999997E-2</v>
      </c>
      <c r="E2998" s="7">
        <v>3.2419999999999997E-2</v>
      </c>
      <c r="F2998" s="7">
        <v>3.2419999999999997E-2</v>
      </c>
      <c r="G2998" s="7">
        <v>-8.8999999999999999E-3</v>
      </c>
    </row>
    <row r="2999" spans="2:7" x14ac:dyDescent="0.2">
      <c r="B2999" s="60">
        <v>40140</v>
      </c>
      <c r="C2999" s="7">
        <v>3.2709999999999996E-2</v>
      </c>
      <c r="D2999" s="7">
        <v>3.2709999999999996E-2</v>
      </c>
      <c r="E2999" s="7">
        <v>3.2709999999999996E-2</v>
      </c>
      <c r="F2999" s="7">
        <v>3.2709999999999996E-2</v>
      </c>
      <c r="G2999" s="7">
        <v>8.8999999999999999E-3</v>
      </c>
    </row>
    <row r="3000" spans="2:7" x14ac:dyDescent="0.2">
      <c r="B3000" s="60">
        <v>40141</v>
      </c>
      <c r="C3000" s="7">
        <v>3.2530000000000003E-2</v>
      </c>
      <c r="D3000" s="7">
        <v>3.2530000000000003E-2</v>
      </c>
      <c r="E3000" s="7">
        <v>3.2530000000000003E-2</v>
      </c>
      <c r="F3000" s="7">
        <v>3.2530000000000003E-2</v>
      </c>
      <c r="G3000" s="7">
        <v>-5.4999999999999997E-3</v>
      </c>
    </row>
    <row r="3001" spans="2:7" x14ac:dyDescent="0.2">
      <c r="B3001" s="60">
        <v>40142</v>
      </c>
      <c r="C3001" s="7">
        <v>3.2680000000000001E-2</v>
      </c>
      <c r="D3001" s="7">
        <v>3.2680000000000001E-2</v>
      </c>
      <c r="E3001" s="7">
        <v>3.2680000000000001E-2</v>
      </c>
      <c r="F3001" s="7">
        <v>3.2680000000000001E-2</v>
      </c>
      <c r="G3001" s="7">
        <v>4.5999999999999999E-3</v>
      </c>
    </row>
    <row r="3002" spans="2:7" x14ac:dyDescent="0.2">
      <c r="B3002" s="60">
        <v>40143</v>
      </c>
      <c r="C3002" s="7">
        <v>3.1570000000000001E-2</v>
      </c>
      <c r="D3002" s="7">
        <v>3.1570000000000001E-2</v>
      </c>
      <c r="E3002" s="7">
        <v>3.1570000000000001E-2</v>
      </c>
      <c r="F3002" s="7">
        <v>3.1570000000000001E-2</v>
      </c>
      <c r="G3002" s="7">
        <v>-3.4000000000000002E-2</v>
      </c>
    </row>
    <row r="3003" spans="2:7" x14ac:dyDescent="0.2">
      <c r="B3003" s="60">
        <v>40144</v>
      </c>
      <c r="C3003" s="7">
        <v>3.1579999999999997E-2</v>
      </c>
      <c r="D3003" s="7">
        <v>3.1579999999999997E-2</v>
      </c>
      <c r="E3003" s="7">
        <v>3.1579999999999997E-2</v>
      </c>
      <c r="F3003" s="7">
        <v>3.1579999999999997E-2</v>
      </c>
      <c r="G3003" s="7">
        <v>2.9999999999999997E-4</v>
      </c>
    </row>
    <row r="3004" spans="2:7" x14ac:dyDescent="0.2">
      <c r="B3004" s="60">
        <v>40147</v>
      </c>
      <c r="C3004" s="7">
        <v>3.1570000000000001E-2</v>
      </c>
      <c r="D3004" s="7">
        <v>3.1570000000000001E-2</v>
      </c>
      <c r="E3004" s="7">
        <v>3.1570000000000001E-2</v>
      </c>
      <c r="F3004" s="7">
        <v>3.1570000000000001E-2</v>
      </c>
      <c r="G3004" s="7">
        <v>-2.9999999999999997E-4</v>
      </c>
    </row>
    <row r="3005" spans="2:7" x14ac:dyDescent="0.2">
      <c r="B3005" s="60">
        <v>40148</v>
      </c>
      <c r="C3005" s="7">
        <v>3.1509999999999996E-2</v>
      </c>
      <c r="D3005" s="7">
        <v>3.1509999999999996E-2</v>
      </c>
      <c r="E3005" s="7">
        <v>3.1509999999999996E-2</v>
      </c>
      <c r="F3005" s="7">
        <v>3.1509999999999996E-2</v>
      </c>
      <c r="G3005" s="7">
        <v>-1.9E-3</v>
      </c>
    </row>
    <row r="3006" spans="2:7" x14ac:dyDescent="0.2">
      <c r="B3006" s="60">
        <v>40149</v>
      </c>
      <c r="C3006" s="7">
        <v>3.1560000000000005E-2</v>
      </c>
      <c r="D3006" s="7">
        <v>3.1560000000000005E-2</v>
      </c>
      <c r="E3006" s="7">
        <v>3.1560000000000005E-2</v>
      </c>
      <c r="F3006" s="7">
        <v>3.1560000000000005E-2</v>
      </c>
      <c r="G3006" s="7">
        <v>1.6000000000000001E-3</v>
      </c>
    </row>
    <row r="3007" spans="2:7" x14ac:dyDescent="0.2">
      <c r="B3007" s="60">
        <v>40150</v>
      </c>
      <c r="C3007" s="7">
        <v>3.1699999999999999E-2</v>
      </c>
      <c r="D3007" s="7">
        <v>3.1699999999999999E-2</v>
      </c>
      <c r="E3007" s="7">
        <v>3.1699999999999999E-2</v>
      </c>
      <c r="F3007" s="7">
        <v>3.1699999999999999E-2</v>
      </c>
      <c r="G3007" s="7">
        <v>4.4000000000000003E-3</v>
      </c>
    </row>
    <row r="3008" spans="2:7" x14ac:dyDescent="0.2">
      <c r="B3008" s="60">
        <v>40151</v>
      </c>
      <c r="C3008" s="7">
        <v>3.2329999999999998E-2</v>
      </c>
      <c r="D3008" s="7">
        <v>3.2329999999999998E-2</v>
      </c>
      <c r="E3008" s="7">
        <v>3.2329999999999998E-2</v>
      </c>
      <c r="F3008" s="7">
        <v>3.2329999999999998E-2</v>
      </c>
      <c r="G3008" s="7">
        <v>1.9900000000000001E-2</v>
      </c>
    </row>
    <row r="3009" spans="2:7" x14ac:dyDescent="0.2">
      <c r="B3009" s="60">
        <v>40154</v>
      </c>
      <c r="C3009" s="7">
        <v>3.1820000000000001E-2</v>
      </c>
      <c r="D3009" s="7">
        <v>3.1820000000000001E-2</v>
      </c>
      <c r="E3009" s="7">
        <v>3.1820000000000001E-2</v>
      </c>
      <c r="F3009" s="7">
        <v>3.1820000000000001E-2</v>
      </c>
      <c r="G3009" s="7">
        <v>-1.5800000000000002E-2</v>
      </c>
    </row>
    <row r="3010" spans="2:7" x14ac:dyDescent="0.2">
      <c r="B3010" s="60">
        <v>40155</v>
      </c>
      <c r="C3010" s="7">
        <v>3.1480000000000001E-2</v>
      </c>
      <c r="D3010" s="7">
        <v>3.1480000000000001E-2</v>
      </c>
      <c r="E3010" s="7">
        <v>3.1480000000000001E-2</v>
      </c>
      <c r="F3010" s="7">
        <v>3.1480000000000001E-2</v>
      </c>
      <c r="G3010" s="7">
        <v>-1.0699999999999999E-2</v>
      </c>
    </row>
    <row r="3011" spans="2:7" x14ac:dyDescent="0.2">
      <c r="B3011" s="60">
        <v>40156</v>
      </c>
      <c r="C3011" s="7">
        <v>3.143E-2</v>
      </c>
      <c r="D3011" s="7">
        <v>3.143E-2</v>
      </c>
      <c r="E3011" s="7">
        <v>3.143E-2</v>
      </c>
      <c r="F3011" s="7">
        <v>3.143E-2</v>
      </c>
      <c r="G3011" s="7">
        <v>-1.6000000000000001E-3</v>
      </c>
    </row>
    <row r="3012" spans="2:7" x14ac:dyDescent="0.2">
      <c r="B3012" s="60">
        <v>40157</v>
      </c>
      <c r="C3012" s="7">
        <v>3.1850000000000003E-2</v>
      </c>
      <c r="D3012" s="7">
        <v>3.1850000000000003E-2</v>
      </c>
      <c r="E3012" s="7">
        <v>3.1850000000000003E-2</v>
      </c>
      <c r="F3012" s="7">
        <v>3.1850000000000003E-2</v>
      </c>
      <c r="G3012" s="7">
        <v>1.34E-2</v>
      </c>
    </row>
    <row r="3013" spans="2:7" x14ac:dyDescent="0.2">
      <c r="B3013" s="60">
        <v>40158</v>
      </c>
      <c r="C3013" s="7">
        <v>3.2050000000000002E-2</v>
      </c>
      <c r="D3013" s="7">
        <v>3.2050000000000002E-2</v>
      </c>
      <c r="E3013" s="7">
        <v>3.2050000000000002E-2</v>
      </c>
      <c r="F3013" s="7">
        <v>3.2050000000000002E-2</v>
      </c>
      <c r="G3013" s="7">
        <v>6.3E-3</v>
      </c>
    </row>
    <row r="3014" spans="2:7" x14ac:dyDescent="0.2">
      <c r="B3014" s="60">
        <v>40161</v>
      </c>
      <c r="C3014" s="7">
        <v>3.184E-2</v>
      </c>
      <c r="D3014" s="7">
        <v>3.184E-2</v>
      </c>
      <c r="E3014" s="7">
        <v>3.184E-2</v>
      </c>
      <c r="F3014" s="7">
        <v>3.184E-2</v>
      </c>
      <c r="G3014" s="7">
        <v>-6.6E-3</v>
      </c>
    </row>
    <row r="3015" spans="2:7" x14ac:dyDescent="0.2">
      <c r="B3015" s="60">
        <v>40162</v>
      </c>
      <c r="C3015" s="7">
        <v>3.2340000000000001E-2</v>
      </c>
      <c r="D3015" s="7">
        <v>3.2340000000000001E-2</v>
      </c>
      <c r="E3015" s="7">
        <v>3.2340000000000001E-2</v>
      </c>
      <c r="F3015" s="7">
        <v>3.2340000000000001E-2</v>
      </c>
      <c r="G3015" s="7">
        <v>1.5699999999999999E-2</v>
      </c>
    </row>
    <row r="3016" spans="2:7" x14ac:dyDescent="0.2">
      <c r="B3016" s="60">
        <v>40163</v>
      </c>
      <c r="C3016" s="7">
        <v>3.1850000000000003E-2</v>
      </c>
      <c r="D3016" s="7">
        <v>3.1850000000000003E-2</v>
      </c>
      <c r="E3016" s="7">
        <v>3.1850000000000003E-2</v>
      </c>
      <c r="F3016" s="7">
        <v>3.1850000000000003E-2</v>
      </c>
      <c r="G3016" s="7">
        <v>-1.52E-2</v>
      </c>
    </row>
    <row r="3017" spans="2:7" x14ac:dyDescent="0.2">
      <c r="B3017" s="60">
        <v>40164</v>
      </c>
      <c r="C3017" s="7">
        <v>3.141E-2</v>
      </c>
      <c r="D3017" s="7">
        <v>3.141E-2</v>
      </c>
      <c r="E3017" s="7">
        <v>3.141E-2</v>
      </c>
      <c r="F3017" s="7">
        <v>3.141E-2</v>
      </c>
      <c r="G3017" s="7">
        <v>-1.38E-2</v>
      </c>
    </row>
    <row r="3018" spans="2:7" x14ac:dyDescent="0.2">
      <c r="B3018" s="60">
        <v>40165</v>
      </c>
      <c r="C3018" s="7">
        <v>3.141E-2</v>
      </c>
      <c r="D3018" s="7">
        <v>3.141E-2</v>
      </c>
      <c r="E3018" s="7">
        <v>3.141E-2</v>
      </c>
      <c r="F3018" s="7">
        <v>3.141E-2</v>
      </c>
      <c r="G3018" s="7">
        <v>0</v>
      </c>
    </row>
    <row r="3019" spans="2:7" x14ac:dyDescent="0.2">
      <c r="B3019" s="60">
        <v>40168</v>
      </c>
      <c r="C3019" s="7">
        <v>3.1969999999999998E-2</v>
      </c>
      <c r="D3019" s="7">
        <v>3.1969999999999998E-2</v>
      </c>
      <c r="E3019" s="7">
        <v>3.1969999999999998E-2</v>
      </c>
      <c r="F3019" s="7">
        <v>3.1969999999999998E-2</v>
      </c>
      <c r="G3019" s="7">
        <v>1.78E-2</v>
      </c>
    </row>
    <row r="3020" spans="2:7" x14ac:dyDescent="0.2">
      <c r="B3020" s="60">
        <v>40169</v>
      </c>
      <c r="C3020" s="7">
        <v>3.2599999999999997E-2</v>
      </c>
      <c r="D3020" s="7">
        <v>3.2599999999999997E-2</v>
      </c>
      <c r="E3020" s="7">
        <v>3.2599999999999997E-2</v>
      </c>
      <c r="F3020" s="7">
        <v>3.2599999999999997E-2</v>
      </c>
      <c r="G3020" s="7">
        <v>1.9699999999999999E-2</v>
      </c>
    </row>
    <row r="3021" spans="2:7" x14ac:dyDescent="0.2">
      <c r="B3021" s="60">
        <v>40170</v>
      </c>
      <c r="C3021" s="7">
        <v>3.3300000000000003E-2</v>
      </c>
      <c r="D3021" s="7">
        <v>3.3300000000000003E-2</v>
      </c>
      <c r="E3021" s="7">
        <v>3.3300000000000003E-2</v>
      </c>
      <c r="F3021" s="7">
        <v>3.3300000000000003E-2</v>
      </c>
      <c r="G3021" s="7">
        <v>2.1499999999999998E-2</v>
      </c>
    </row>
    <row r="3022" spans="2:7" x14ac:dyDescent="0.2">
      <c r="B3022" s="60">
        <v>40175</v>
      </c>
      <c r="C3022" s="7">
        <v>3.363E-2</v>
      </c>
      <c r="D3022" s="7">
        <v>3.363E-2</v>
      </c>
      <c r="E3022" s="7">
        <v>3.363E-2</v>
      </c>
      <c r="F3022" s="7">
        <v>3.363E-2</v>
      </c>
      <c r="G3022" s="7">
        <v>9.9000000000000008E-3</v>
      </c>
    </row>
    <row r="3023" spans="2:7" x14ac:dyDescent="0.2">
      <c r="B3023" s="60">
        <v>40176</v>
      </c>
      <c r="C3023" s="7">
        <v>3.3750000000000002E-2</v>
      </c>
      <c r="D3023" s="7">
        <v>3.3750000000000002E-2</v>
      </c>
      <c r="E3023" s="7">
        <v>3.3750000000000002E-2</v>
      </c>
      <c r="F3023" s="7">
        <v>3.3750000000000002E-2</v>
      </c>
      <c r="G3023" s="7">
        <v>3.5999999999999999E-3</v>
      </c>
    </row>
    <row r="3024" spans="2:7" x14ac:dyDescent="0.2">
      <c r="B3024" s="60">
        <v>40177</v>
      </c>
      <c r="C3024" s="7">
        <v>3.388E-2</v>
      </c>
      <c r="D3024" s="7">
        <v>3.388E-2</v>
      </c>
      <c r="E3024" s="7">
        <v>3.388E-2</v>
      </c>
      <c r="F3024" s="7">
        <v>3.388E-2</v>
      </c>
      <c r="G3024" s="7">
        <v>3.8999999999999998E-3</v>
      </c>
    </row>
    <row r="3025" spans="2:7" x14ac:dyDescent="0.2">
      <c r="B3025" s="60">
        <v>40182</v>
      </c>
      <c r="C3025" s="7">
        <v>3.39E-2</v>
      </c>
      <c r="D3025" s="7">
        <v>3.39E-2</v>
      </c>
      <c r="E3025" s="7">
        <v>3.39E-2</v>
      </c>
      <c r="F3025" s="7">
        <v>3.39E-2</v>
      </c>
      <c r="G3025" s="7">
        <v>5.9999999999999995E-4</v>
      </c>
    </row>
    <row r="3026" spans="2:7" x14ac:dyDescent="0.2">
      <c r="B3026" s="60">
        <v>40183</v>
      </c>
      <c r="C3026" s="7">
        <v>3.3690000000000005E-2</v>
      </c>
      <c r="D3026" s="7">
        <v>3.3690000000000005E-2</v>
      </c>
      <c r="E3026" s="7">
        <v>3.3690000000000005E-2</v>
      </c>
      <c r="F3026" s="7">
        <v>3.3690000000000005E-2</v>
      </c>
      <c r="G3026" s="7">
        <v>-6.1999999999999998E-3</v>
      </c>
    </row>
    <row r="3027" spans="2:7" x14ac:dyDescent="0.2">
      <c r="B3027" s="60">
        <v>40184</v>
      </c>
      <c r="C3027" s="7">
        <v>3.3910000000000003E-2</v>
      </c>
      <c r="D3027" s="7">
        <v>3.3910000000000003E-2</v>
      </c>
      <c r="E3027" s="7">
        <v>3.3910000000000003E-2</v>
      </c>
      <c r="F3027" s="7">
        <v>3.3910000000000003E-2</v>
      </c>
      <c r="G3027" s="7">
        <v>6.4999999999999997E-3</v>
      </c>
    </row>
    <row r="3028" spans="2:7" x14ac:dyDescent="0.2">
      <c r="B3028" s="60">
        <v>40185</v>
      </c>
      <c r="C3028" s="7">
        <v>3.3709999999999997E-2</v>
      </c>
      <c r="D3028" s="7">
        <v>3.3709999999999997E-2</v>
      </c>
      <c r="E3028" s="7">
        <v>3.3709999999999997E-2</v>
      </c>
      <c r="F3028" s="7">
        <v>3.3709999999999997E-2</v>
      </c>
      <c r="G3028" s="7">
        <v>-5.8999999999999999E-3</v>
      </c>
    </row>
    <row r="3029" spans="2:7" x14ac:dyDescent="0.2">
      <c r="B3029" s="60">
        <v>40186</v>
      </c>
      <c r="C3029" s="7">
        <v>3.3790000000000001E-2</v>
      </c>
      <c r="D3029" s="7">
        <v>3.3790000000000001E-2</v>
      </c>
      <c r="E3029" s="7">
        <v>3.3790000000000001E-2</v>
      </c>
      <c r="F3029" s="7">
        <v>3.3790000000000001E-2</v>
      </c>
      <c r="G3029" s="7">
        <v>2.3999999999999998E-3</v>
      </c>
    </row>
    <row r="3030" spans="2:7" x14ac:dyDescent="0.2">
      <c r="B3030" s="60">
        <v>40189</v>
      </c>
      <c r="C3030" s="7">
        <v>3.3450000000000001E-2</v>
      </c>
      <c r="D3030" s="7">
        <v>3.3450000000000001E-2</v>
      </c>
      <c r="E3030" s="7">
        <v>3.3450000000000001E-2</v>
      </c>
      <c r="F3030" s="7">
        <v>3.3450000000000001E-2</v>
      </c>
      <c r="G3030" s="7">
        <v>-1.01E-2</v>
      </c>
    </row>
    <row r="3031" spans="2:7" x14ac:dyDescent="0.2">
      <c r="B3031" s="60">
        <v>40190</v>
      </c>
      <c r="C3031" s="7">
        <v>3.3140000000000003E-2</v>
      </c>
      <c r="D3031" s="7">
        <v>3.3140000000000003E-2</v>
      </c>
      <c r="E3031" s="7">
        <v>3.3140000000000003E-2</v>
      </c>
      <c r="F3031" s="7">
        <v>3.3140000000000003E-2</v>
      </c>
      <c r="G3031" s="7">
        <v>-9.2999999999999992E-3</v>
      </c>
    </row>
    <row r="3032" spans="2:7" x14ac:dyDescent="0.2">
      <c r="B3032" s="60">
        <v>40191</v>
      </c>
      <c r="C3032" s="7">
        <v>3.3029999999999997E-2</v>
      </c>
      <c r="D3032" s="7">
        <v>3.3029999999999997E-2</v>
      </c>
      <c r="E3032" s="7">
        <v>3.3029999999999997E-2</v>
      </c>
      <c r="F3032" s="7">
        <v>3.3029999999999997E-2</v>
      </c>
      <c r="G3032" s="7">
        <v>-3.3E-3</v>
      </c>
    </row>
    <row r="3033" spans="2:7" x14ac:dyDescent="0.2">
      <c r="B3033" s="60">
        <v>40192</v>
      </c>
      <c r="C3033" s="7">
        <v>3.295E-2</v>
      </c>
      <c r="D3033" s="7">
        <v>3.295E-2</v>
      </c>
      <c r="E3033" s="7">
        <v>3.295E-2</v>
      </c>
      <c r="F3033" s="7">
        <v>3.295E-2</v>
      </c>
      <c r="G3033" s="7">
        <v>-2.3999999999999998E-3</v>
      </c>
    </row>
    <row r="3034" spans="2:7" x14ac:dyDescent="0.2">
      <c r="B3034" s="60">
        <v>40193</v>
      </c>
      <c r="C3034" s="7">
        <v>3.2579999999999998E-2</v>
      </c>
      <c r="D3034" s="7">
        <v>3.2579999999999998E-2</v>
      </c>
      <c r="E3034" s="7">
        <v>3.2579999999999998E-2</v>
      </c>
      <c r="F3034" s="7">
        <v>3.2579999999999998E-2</v>
      </c>
      <c r="G3034" s="7">
        <v>-1.12E-2</v>
      </c>
    </row>
    <row r="3035" spans="2:7" x14ac:dyDescent="0.2">
      <c r="B3035" s="60">
        <v>40196</v>
      </c>
      <c r="C3035" s="7">
        <v>3.2480000000000002E-2</v>
      </c>
      <c r="D3035" s="7">
        <v>3.2480000000000002E-2</v>
      </c>
      <c r="E3035" s="7">
        <v>3.2480000000000002E-2</v>
      </c>
      <c r="F3035" s="7">
        <v>3.2480000000000002E-2</v>
      </c>
      <c r="G3035" s="7">
        <v>-3.0999999999999999E-3</v>
      </c>
    </row>
    <row r="3036" spans="2:7" x14ac:dyDescent="0.2">
      <c r="B3036" s="60">
        <v>40197</v>
      </c>
      <c r="C3036" s="7">
        <v>3.2759999999999997E-2</v>
      </c>
      <c r="D3036" s="7">
        <v>3.2759999999999997E-2</v>
      </c>
      <c r="E3036" s="7">
        <v>3.2759999999999997E-2</v>
      </c>
      <c r="F3036" s="7">
        <v>3.2759999999999997E-2</v>
      </c>
      <c r="G3036" s="7">
        <v>8.6E-3</v>
      </c>
    </row>
    <row r="3037" spans="2:7" x14ac:dyDescent="0.2">
      <c r="B3037" s="60">
        <v>40198</v>
      </c>
      <c r="C3037" s="7">
        <v>3.2199999999999999E-2</v>
      </c>
      <c r="D3037" s="7">
        <v>3.2199999999999999E-2</v>
      </c>
      <c r="E3037" s="7">
        <v>3.2199999999999999E-2</v>
      </c>
      <c r="F3037" s="7">
        <v>3.2199999999999999E-2</v>
      </c>
      <c r="G3037" s="7">
        <v>-1.7100000000000001E-2</v>
      </c>
    </row>
    <row r="3038" spans="2:7" x14ac:dyDescent="0.2">
      <c r="B3038" s="60">
        <v>40199</v>
      </c>
      <c r="C3038" s="7">
        <v>3.1980000000000001E-2</v>
      </c>
      <c r="D3038" s="7">
        <v>3.1980000000000001E-2</v>
      </c>
      <c r="E3038" s="7">
        <v>3.1980000000000001E-2</v>
      </c>
      <c r="F3038" s="7">
        <v>3.1980000000000001E-2</v>
      </c>
      <c r="G3038" s="7">
        <v>-6.7999999999999996E-3</v>
      </c>
    </row>
    <row r="3039" spans="2:7" x14ac:dyDescent="0.2">
      <c r="B3039" s="60">
        <v>40200</v>
      </c>
      <c r="C3039" s="7">
        <v>3.218E-2</v>
      </c>
      <c r="D3039" s="7">
        <v>3.218E-2</v>
      </c>
      <c r="E3039" s="7">
        <v>3.218E-2</v>
      </c>
      <c r="F3039" s="7">
        <v>3.218E-2</v>
      </c>
      <c r="G3039" s="7">
        <v>6.3E-3</v>
      </c>
    </row>
    <row r="3040" spans="2:7" x14ac:dyDescent="0.2">
      <c r="B3040" s="60">
        <v>40203</v>
      </c>
      <c r="C3040" s="7">
        <v>3.2140000000000002E-2</v>
      </c>
      <c r="D3040" s="7">
        <v>3.2140000000000002E-2</v>
      </c>
      <c r="E3040" s="7">
        <v>3.2140000000000002E-2</v>
      </c>
      <c r="F3040" s="7">
        <v>3.2140000000000002E-2</v>
      </c>
      <c r="G3040" s="7">
        <v>-1.1999999999999999E-3</v>
      </c>
    </row>
    <row r="3041" spans="2:7" x14ac:dyDescent="0.2">
      <c r="B3041" s="60">
        <v>40204</v>
      </c>
      <c r="C3041" s="7">
        <v>3.2039999999999999E-2</v>
      </c>
      <c r="D3041" s="7">
        <v>3.2039999999999999E-2</v>
      </c>
      <c r="E3041" s="7">
        <v>3.2039999999999999E-2</v>
      </c>
      <c r="F3041" s="7">
        <v>3.2039999999999999E-2</v>
      </c>
      <c r="G3041" s="7">
        <v>-3.0999999999999999E-3</v>
      </c>
    </row>
    <row r="3042" spans="2:7" x14ac:dyDescent="0.2">
      <c r="B3042" s="60">
        <v>40205</v>
      </c>
      <c r="C3042" s="7">
        <v>3.2070000000000001E-2</v>
      </c>
      <c r="D3042" s="7">
        <v>3.2070000000000001E-2</v>
      </c>
      <c r="E3042" s="7">
        <v>3.2070000000000001E-2</v>
      </c>
      <c r="F3042" s="7">
        <v>3.2070000000000001E-2</v>
      </c>
      <c r="G3042" s="7">
        <v>8.9999999999999998E-4</v>
      </c>
    </row>
    <row r="3043" spans="2:7" x14ac:dyDescent="0.2">
      <c r="B3043" s="60">
        <v>40206</v>
      </c>
      <c r="C3043" s="7">
        <v>3.1989999999999998E-2</v>
      </c>
      <c r="D3043" s="7">
        <v>3.1989999999999998E-2</v>
      </c>
      <c r="E3043" s="7">
        <v>3.1989999999999998E-2</v>
      </c>
      <c r="F3043" s="7">
        <v>3.1989999999999998E-2</v>
      </c>
      <c r="G3043" s="7">
        <v>-2.5000000000000001E-3</v>
      </c>
    </row>
    <row r="3044" spans="2:7" x14ac:dyDescent="0.2">
      <c r="B3044" s="60">
        <v>40207</v>
      </c>
      <c r="C3044" s="7">
        <v>3.1899999999999998E-2</v>
      </c>
      <c r="D3044" s="7">
        <v>3.1899999999999998E-2</v>
      </c>
      <c r="E3044" s="7">
        <v>3.1899999999999998E-2</v>
      </c>
      <c r="F3044" s="7">
        <v>3.1899999999999998E-2</v>
      </c>
      <c r="G3044" s="7">
        <v>-2.8E-3</v>
      </c>
    </row>
    <row r="3045" spans="2:7" x14ac:dyDescent="0.2">
      <c r="B3045" s="60">
        <v>40210</v>
      </c>
      <c r="C3045" s="7">
        <v>3.1850000000000003E-2</v>
      </c>
      <c r="D3045" s="7">
        <v>3.1850000000000003E-2</v>
      </c>
      <c r="E3045" s="7">
        <v>3.1850000000000003E-2</v>
      </c>
      <c r="F3045" s="7">
        <v>3.1850000000000003E-2</v>
      </c>
      <c r="G3045" s="7">
        <v>-1.6000000000000001E-3</v>
      </c>
    </row>
    <row r="3046" spans="2:7" x14ac:dyDescent="0.2">
      <c r="B3046" s="60">
        <v>40211</v>
      </c>
      <c r="C3046" s="7">
        <v>3.2000000000000001E-2</v>
      </c>
      <c r="D3046" s="7">
        <v>3.2000000000000001E-2</v>
      </c>
      <c r="E3046" s="7">
        <v>3.2000000000000001E-2</v>
      </c>
      <c r="F3046" s="7">
        <v>3.2000000000000001E-2</v>
      </c>
      <c r="G3046" s="7">
        <v>4.7000000000000002E-3</v>
      </c>
    </row>
    <row r="3047" spans="2:7" x14ac:dyDescent="0.2">
      <c r="B3047" s="60">
        <v>40212</v>
      </c>
      <c r="C3047" s="7">
        <v>3.2259999999999997E-2</v>
      </c>
      <c r="D3047" s="7">
        <v>3.2259999999999997E-2</v>
      </c>
      <c r="E3047" s="7">
        <v>3.2259999999999997E-2</v>
      </c>
      <c r="F3047" s="7">
        <v>3.2259999999999997E-2</v>
      </c>
      <c r="G3047" s="7">
        <v>8.0999999999999996E-3</v>
      </c>
    </row>
    <row r="3048" spans="2:7" x14ac:dyDescent="0.2">
      <c r="B3048" s="60">
        <v>40213</v>
      </c>
      <c r="C3048" s="7">
        <v>3.159E-2</v>
      </c>
      <c r="D3048" s="7">
        <v>3.159E-2</v>
      </c>
      <c r="E3048" s="7">
        <v>3.159E-2</v>
      </c>
      <c r="F3048" s="7">
        <v>3.159E-2</v>
      </c>
      <c r="G3048" s="7">
        <v>-2.0799999999999999E-2</v>
      </c>
    </row>
    <row r="3049" spans="2:7" x14ac:dyDescent="0.2">
      <c r="B3049" s="60">
        <v>40214</v>
      </c>
      <c r="C3049" s="7">
        <v>3.1139999999999998E-2</v>
      </c>
      <c r="D3049" s="7">
        <v>3.1139999999999998E-2</v>
      </c>
      <c r="E3049" s="7">
        <v>3.1139999999999998E-2</v>
      </c>
      <c r="F3049" s="7">
        <v>3.1139999999999998E-2</v>
      </c>
      <c r="G3049" s="7">
        <v>-1.4200000000000001E-2</v>
      </c>
    </row>
    <row r="3050" spans="2:7" x14ac:dyDescent="0.2">
      <c r="B3050" s="60">
        <v>40217</v>
      </c>
      <c r="C3050" s="7">
        <v>3.1480000000000001E-2</v>
      </c>
      <c r="D3050" s="7">
        <v>3.1480000000000001E-2</v>
      </c>
      <c r="E3050" s="7">
        <v>3.1480000000000001E-2</v>
      </c>
      <c r="F3050" s="7">
        <v>3.1480000000000001E-2</v>
      </c>
      <c r="G3050" s="7">
        <v>1.09E-2</v>
      </c>
    </row>
    <row r="3051" spans="2:7" x14ac:dyDescent="0.2">
      <c r="B3051" s="60">
        <v>40218</v>
      </c>
      <c r="C3051" s="7">
        <v>3.2080000000000004E-2</v>
      </c>
      <c r="D3051" s="7">
        <v>3.2080000000000004E-2</v>
      </c>
      <c r="E3051" s="7">
        <v>3.2080000000000004E-2</v>
      </c>
      <c r="F3051" s="7">
        <v>3.2080000000000004E-2</v>
      </c>
      <c r="G3051" s="7">
        <v>1.9099999999999999E-2</v>
      </c>
    </row>
    <row r="3052" spans="2:7" x14ac:dyDescent="0.2">
      <c r="B3052" s="60">
        <v>40219</v>
      </c>
      <c r="C3052" s="7">
        <v>3.2080000000000004E-2</v>
      </c>
      <c r="D3052" s="7">
        <v>3.2080000000000004E-2</v>
      </c>
      <c r="E3052" s="7">
        <v>3.2080000000000004E-2</v>
      </c>
      <c r="F3052" s="7">
        <v>3.2080000000000004E-2</v>
      </c>
      <c r="G3052" s="7">
        <v>0</v>
      </c>
    </row>
    <row r="3053" spans="2:7" x14ac:dyDescent="0.2">
      <c r="B3053" s="60">
        <v>40220</v>
      </c>
      <c r="C3053" s="7">
        <v>3.236E-2</v>
      </c>
      <c r="D3053" s="7">
        <v>3.236E-2</v>
      </c>
      <c r="E3053" s="7">
        <v>3.236E-2</v>
      </c>
      <c r="F3053" s="7">
        <v>3.236E-2</v>
      </c>
      <c r="G3053" s="7">
        <v>8.6999999999999994E-3</v>
      </c>
    </row>
    <row r="3054" spans="2:7" x14ac:dyDescent="0.2">
      <c r="B3054" s="60">
        <v>40221</v>
      </c>
      <c r="C3054" s="7">
        <v>3.1920000000000004E-2</v>
      </c>
      <c r="D3054" s="7">
        <v>3.1920000000000004E-2</v>
      </c>
      <c r="E3054" s="7">
        <v>3.1920000000000004E-2</v>
      </c>
      <c r="F3054" s="7">
        <v>3.1920000000000004E-2</v>
      </c>
      <c r="G3054" s="7">
        <v>-1.3599999999999999E-2</v>
      </c>
    </row>
    <row r="3055" spans="2:7" x14ac:dyDescent="0.2">
      <c r="B3055" s="60">
        <v>40224</v>
      </c>
      <c r="C3055" s="7">
        <v>3.1989999999999998E-2</v>
      </c>
      <c r="D3055" s="7">
        <v>3.1989999999999998E-2</v>
      </c>
      <c r="E3055" s="7">
        <v>3.1989999999999998E-2</v>
      </c>
      <c r="F3055" s="7">
        <v>3.1989999999999998E-2</v>
      </c>
      <c r="G3055" s="7">
        <v>2.2000000000000001E-3</v>
      </c>
    </row>
    <row r="3056" spans="2:7" x14ac:dyDescent="0.2">
      <c r="B3056" s="60">
        <v>40225</v>
      </c>
      <c r="C3056" s="7">
        <v>3.2029999999999996E-2</v>
      </c>
      <c r="D3056" s="7">
        <v>3.2029999999999996E-2</v>
      </c>
      <c r="E3056" s="7">
        <v>3.2029999999999996E-2</v>
      </c>
      <c r="F3056" s="7">
        <v>3.2029999999999996E-2</v>
      </c>
      <c r="G3056" s="7">
        <v>1.2999999999999999E-3</v>
      </c>
    </row>
    <row r="3057" spans="2:7" x14ac:dyDescent="0.2">
      <c r="B3057" s="60">
        <v>40226</v>
      </c>
      <c r="C3057" s="7">
        <v>3.1939999999999996E-2</v>
      </c>
      <c r="D3057" s="7">
        <v>3.1939999999999996E-2</v>
      </c>
      <c r="E3057" s="7">
        <v>3.1939999999999996E-2</v>
      </c>
      <c r="F3057" s="7">
        <v>3.1939999999999996E-2</v>
      </c>
      <c r="G3057" s="7">
        <v>-2.8E-3</v>
      </c>
    </row>
    <row r="3058" spans="2:7" x14ac:dyDescent="0.2">
      <c r="B3058" s="60">
        <v>40227</v>
      </c>
      <c r="C3058" s="7">
        <v>3.252E-2</v>
      </c>
      <c r="D3058" s="7">
        <v>3.252E-2</v>
      </c>
      <c r="E3058" s="7">
        <v>3.252E-2</v>
      </c>
      <c r="F3058" s="7">
        <v>3.252E-2</v>
      </c>
      <c r="G3058" s="7">
        <v>1.8200000000000001E-2</v>
      </c>
    </row>
    <row r="3059" spans="2:7" x14ac:dyDescent="0.2">
      <c r="B3059" s="60">
        <v>40228</v>
      </c>
      <c r="C3059" s="7">
        <v>3.2890000000000003E-2</v>
      </c>
      <c r="D3059" s="7">
        <v>3.2890000000000003E-2</v>
      </c>
      <c r="E3059" s="7">
        <v>3.2890000000000003E-2</v>
      </c>
      <c r="F3059" s="7">
        <v>3.2890000000000003E-2</v>
      </c>
      <c r="G3059" s="7">
        <v>1.14E-2</v>
      </c>
    </row>
    <row r="3060" spans="2:7" x14ac:dyDescent="0.2">
      <c r="B3060" s="60">
        <v>40231</v>
      </c>
      <c r="C3060" s="7">
        <v>3.2680000000000001E-2</v>
      </c>
      <c r="D3060" s="7">
        <v>3.2680000000000001E-2</v>
      </c>
      <c r="E3060" s="7">
        <v>3.2680000000000001E-2</v>
      </c>
      <c r="F3060" s="7">
        <v>3.2680000000000001E-2</v>
      </c>
      <c r="G3060" s="7">
        <v>-6.4000000000000003E-3</v>
      </c>
    </row>
    <row r="3061" spans="2:7" x14ac:dyDescent="0.2">
      <c r="B3061" s="60">
        <v>40232</v>
      </c>
      <c r="C3061" s="7">
        <v>3.1660000000000001E-2</v>
      </c>
      <c r="D3061" s="7">
        <v>3.1660000000000001E-2</v>
      </c>
      <c r="E3061" s="7">
        <v>3.1660000000000001E-2</v>
      </c>
      <c r="F3061" s="7">
        <v>3.1660000000000001E-2</v>
      </c>
      <c r="G3061" s="7">
        <v>-3.1199999999999999E-2</v>
      </c>
    </row>
    <row r="3062" spans="2:7" x14ac:dyDescent="0.2">
      <c r="B3062" s="60">
        <v>40233</v>
      </c>
      <c r="C3062" s="7">
        <v>3.134E-2</v>
      </c>
      <c r="D3062" s="7">
        <v>3.134E-2</v>
      </c>
      <c r="E3062" s="7">
        <v>3.134E-2</v>
      </c>
      <c r="F3062" s="7">
        <v>3.134E-2</v>
      </c>
      <c r="G3062" s="7">
        <v>-1.01E-2</v>
      </c>
    </row>
    <row r="3063" spans="2:7" x14ac:dyDescent="0.2">
      <c r="B3063" s="60">
        <v>40234</v>
      </c>
      <c r="C3063" s="7">
        <v>3.109E-2</v>
      </c>
      <c r="D3063" s="7">
        <v>3.109E-2</v>
      </c>
      <c r="E3063" s="7">
        <v>3.109E-2</v>
      </c>
      <c r="F3063" s="7">
        <v>3.109E-2</v>
      </c>
      <c r="G3063" s="7">
        <v>-8.0000000000000002E-3</v>
      </c>
    </row>
    <row r="3064" spans="2:7" x14ac:dyDescent="0.2">
      <c r="B3064" s="60">
        <v>40235</v>
      </c>
      <c r="C3064" s="7">
        <v>3.0990000000000004E-2</v>
      </c>
      <c r="D3064" s="7">
        <v>3.0990000000000004E-2</v>
      </c>
      <c r="E3064" s="7">
        <v>3.0990000000000004E-2</v>
      </c>
      <c r="F3064" s="7">
        <v>3.0990000000000004E-2</v>
      </c>
      <c r="G3064" s="7">
        <v>-3.2000000000000002E-3</v>
      </c>
    </row>
    <row r="3065" spans="2:7" x14ac:dyDescent="0.2">
      <c r="B3065" s="60">
        <v>40238</v>
      </c>
      <c r="C3065" s="7">
        <v>3.1040000000000002E-2</v>
      </c>
      <c r="D3065" s="7">
        <v>3.1040000000000002E-2</v>
      </c>
      <c r="E3065" s="7">
        <v>3.1040000000000002E-2</v>
      </c>
      <c r="F3065" s="7">
        <v>3.1040000000000002E-2</v>
      </c>
      <c r="G3065" s="7">
        <v>1.6000000000000001E-3</v>
      </c>
    </row>
    <row r="3066" spans="2:7" x14ac:dyDescent="0.2">
      <c r="B3066" s="60">
        <v>40239</v>
      </c>
      <c r="C3066" s="7">
        <v>3.109E-2</v>
      </c>
      <c r="D3066" s="7">
        <v>3.109E-2</v>
      </c>
      <c r="E3066" s="7">
        <v>3.109E-2</v>
      </c>
      <c r="F3066" s="7">
        <v>3.109E-2</v>
      </c>
      <c r="G3066" s="7">
        <v>1.6000000000000001E-3</v>
      </c>
    </row>
    <row r="3067" spans="2:7" x14ac:dyDescent="0.2">
      <c r="B3067" s="60">
        <v>40240</v>
      </c>
      <c r="C3067" s="7">
        <v>3.1379999999999998E-2</v>
      </c>
      <c r="D3067" s="7">
        <v>3.1379999999999998E-2</v>
      </c>
      <c r="E3067" s="7">
        <v>3.1379999999999998E-2</v>
      </c>
      <c r="F3067" s="7">
        <v>3.1379999999999998E-2</v>
      </c>
      <c r="G3067" s="7">
        <v>9.2999999999999992E-3</v>
      </c>
    </row>
    <row r="3068" spans="2:7" x14ac:dyDescent="0.2">
      <c r="B3068" s="60">
        <v>40241</v>
      </c>
      <c r="C3068" s="7">
        <v>3.1179999999999999E-2</v>
      </c>
      <c r="D3068" s="7">
        <v>3.1179999999999999E-2</v>
      </c>
      <c r="E3068" s="7">
        <v>3.1179999999999999E-2</v>
      </c>
      <c r="F3068" s="7">
        <v>3.1179999999999999E-2</v>
      </c>
      <c r="G3068" s="7">
        <v>-6.4000000000000003E-3</v>
      </c>
    </row>
    <row r="3069" spans="2:7" x14ac:dyDescent="0.2">
      <c r="B3069" s="60">
        <v>40242</v>
      </c>
      <c r="C3069" s="7">
        <v>3.1480000000000001E-2</v>
      </c>
      <c r="D3069" s="7">
        <v>3.1480000000000001E-2</v>
      </c>
      <c r="E3069" s="7">
        <v>3.1480000000000001E-2</v>
      </c>
      <c r="F3069" s="7">
        <v>3.1480000000000001E-2</v>
      </c>
      <c r="G3069" s="7">
        <v>9.5999999999999992E-3</v>
      </c>
    </row>
    <row r="3070" spans="2:7" x14ac:dyDescent="0.2">
      <c r="B3070" s="60">
        <v>40245</v>
      </c>
      <c r="C3070" s="7">
        <v>3.1629999999999998E-2</v>
      </c>
      <c r="D3070" s="7">
        <v>3.1629999999999998E-2</v>
      </c>
      <c r="E3070" s="7">
        <v>3.1629999999999998E-2</v>
      </c>
      <c r="F3070" s="7">
        <v>3.1629999999999998E-2</v>
      </c>
      <c r="G3070" s="7">
        <v>4.7999999999999996E-3</v>
      </c>
    </row>
    <row r="3071" spans="2:7" x14ac:dyDescent="0.2">
      <c r="B3071" s="60">
        <v>40246</v>
      </c>
      <c r="C3071" s="7">
        <v>3.134E-2</v>
      </c>
      <c r="D3071" s="7">
        <v>3.134E-2</v>
      </c>
      <c r="E3071" s="7">
        <v>3.134E-2</v>
      </c>
      <c r="F3071" s="7">
        <v>3.134E-2</v>
      </c>
      <c r="G3071" s="7">
        <v>-9.1999999999999998E-3</v>
      </c>
    </row>
    <row r="3072" spans="2:7" x14ac:dyDescent="0.2">
      <c r="B3072" s="60">
        <v>40247</v>
      </c>
      <c r="C3072" s="7">
        <v>3.1549999999999995E-2</v>
      </c>
      <c r="D3072" s="7">
        <v>3.1549999999999995E-2</v>
      </c>
      <c r="E3072" s="7">
        <v>3.1549999999999995E-2</v>
      </c>
      <c r="F3072" s="7">
        <v>3.1549999999999995E-2</v>
      </c>
      <c r="G3072" s="7">
        <v>6.7000000000000002E-3</v>
      </c>
    </row>
    <row r="3073" spans="2:7" x14ac:dyDescent="0.2">
      <c r="B3073" s="60">
        <v>40248</v>
      </c>
      <c r="C3073" s="7">
        <v>3.1820000000000001E-2</v>
      </c>
      <c r="D3073" s="7">
        <v>3.1820000000000001E-2</v>
      </c>
      <c r="E3073" s="7">
        <v>3.1820000000000001E-2</v>
      </c>
      <c r="F3073" s="7">
        <v>3.1820000000000001E-2</v>
      </c>
      <c r="G3073" s="7">
        <v>8.6E-3</v>
      </c>
    </row>
    <row r="3074" spans="2:7" x14ac:dyDescent="0.2">
      <c r="B3074" s="60">
        <v>40249</v>
      </c>
      <c r="C3074" s="7">
        <v>3.1620000000000002E-2</v>
      </c>
      <c r="D3074" s="7">
        <v>3.1620000000000002E-2</v>
      </c>
      <c r="E3074" s="7">
        <v>3.1620000000000002E-2</v>
      </c>
      <c r="F3074" s="7">
        <v>3.1620000000000002E-2</v>
      </c>
      <c r="G3074" s="7">
        <v>-6.3E-3</v>
      </c>
    </row>
    <row r="3075" spans="2:7" x14ac:dyDescent="0.2">
      <c r="B3075" s="60">
        <v>40252</v>
      </c>
      <c r="C3075" s="7">
        <v>3.1579999999999997E-2</v>
      </c>
      <c r="D3075" s="7">
        <v>3.1579999999999997E-2</v>
      </c>
      <c r="E3075" s="7">
        <v>3.1579999999999997E-2</v>
      </c>
      <c r="F3075" s="7">
        <v>3.1579999999999997E-2</v>
      </c>
      <c r="G3075" s="7">
        <v>-1.2999999999999999E-3</v>
      </c>
    </row>
    <row r="3076" spans="2:7" x14ac:dyDescent="0.2">
      <c r="B3076" s="60">
        <v>40253</v>
      </c>
      <c r="C3076" s="7">
        <v>3.1320000000000001E-2</v>
      </c>
      <c r="D3076" s="7">
        <v>3.1320000000000001E-2</v>
      </c>
      <c r="E3076" s="7">
        <v>3.1320000000000001E-2</v>
      </c>
      <c r="F3076" s="7">
        <v>3.1320000000000001E-2</v>
      </c>
      <c r="G3076" s="7">
        <v>-8.2000000000000007E-3</v>
      </c>
    </row>
    <row r="3077" spans="2:7" x14ac:dyDescent="0.2">
      <c r="B3077" s="60">
        <v>40254</v>
      </c>
      <c r="C3077" s="7">
        <v>3.1150000000000001E-2</v>
      </c>
      <c r="D3077" s="7">
        <v>3.1150000000000001E-2</v>
      </c>
      <c r="E3077" s="7">
        <v>3.1150000000000001E-2</v>
      </c>
      <c r="F3077" s="7">
        <v>3.1150000000000001E-2</v>
      </c>
      <c r="G3077" s="7">
        <v>-5.4000000000000003E-3</v>
      </c>
    </row>
    <row r="3078" spans="2:7" x14ac:dyDescent="0.2">
      <c r="B3078" s="60">
        <v>40255</v>
      </c>
      <c r="C3078" s="7">
        <v>3.1289999999999998E-2</v>
      </c>
      <c r="D3078" s="7">
        <v>3.1289999999999998E-2</v>
      </c>
      <c r="E3078" s="7">
        <v>3.1289999999999998E-2</v>
      </c>
      <c r="F3078" s="7">
        <v>3.1289999999999998E-2</v>
      </c>
      <c r="G3078" s="7">
        <v>4.4999999999999997E-3</v>
      </c>
    </row>
    <row r="3079" spans="2:7" x14ac:dyDescent="0.2">
      <c r="B3079" s="60">
        <v>40256</v>
      </c>
      <c r="C3079" s="7">
        <v>3.109E-2</v>
      </c>
      <c r="D3079" s="7">
        <v>3.109E-2</v>
      </c>
      <c r="E3079" s="7">
        <v>3.109E-2</v>
      </c>
      <c r="F3079" s="7">
        <v>3.109E-2</v>
      </c>
      <c r="G3079" s="7">
        <v>-6.4000000000000003E-3</v>
      </c>
    </row>
    <row r="3080" spans="2:7" x14ac:dyDescent="0.2">
      <c r="B3080" s="60">
        <v>40259</v>
      </c>
      <c r="C3080" s="7">
        <v>3.0679999999999999E-2</v>
      </c>
      <c r="D3080" s="7">
        <v>3.0679999999999999E-2</v>
      </c>
      <c r="E3080" s="7">
        <v>3.0679999999999999E-2</v>
      </c>
      <c r="F3080" s="7">
        <v>3.0679999999999999E-2</v>
      </c>
      <c r="G3080" s="7">
        <v>-1.32E-2</v>
      </c>
    </row>
    <row r="3081" spans="2:7" x14ac:dyDescent="0.2">
      <c r="B3081" s="60">
        <v>40260</v>
      </c>
      <c r="C3081" s="7">
        <v>3.0590000000000003E-2</v>
      </c>
      <c r="D3081" s="7">
        <v>3.0590000000000003E-2</v>
      </c>
      <c r="E3081" s="7">
        <v>3.0590000000000003E-2</v>
      </c>
      <c r="F3081" s="7">
        <v>3.0590000000000003E-2</v>
      </c>
      <c r="G3081" s="7">
        <v>-2.8999999999999998E-3</v>
      </c>
    </row>
    <row r="3082" spans="2:7" x14ac:dyDescent="0.2">
      <c r="B3082" s="60">
        <v>40261</v>
      </c>
      <c r="C3082" s="7">
        <v>3.0939999999999999E-2</v>
      </c>
      <c r="D3082" s="7">
        <v>3.0939999999999999E-2</v>
      </c>
      <c r="E3082" s="7">
        <v>3.0939999999999999E-2</v>
      </c>
      <c r="F3082" s="7">
        <v>3.0939999999999999E-2</v>
      </c>
      <c r="G3082" s="7">
        <v>1.14E-2</v>
      </c>
    </row>
    <row r="3083" spans="2:7" x14ac:dyDescent="0.2">
      <c r="B3083" s="60">
        <v>40262</v>
      </c>
      <c r="C3083" s="7">
        <v>3.1760000000000004E-2</v>
      </c>
      <c r="D3083" s="7">
        <v>3.1760000000000004E-2</v>
      </c>
      <c r="E3083" s="7">
        <v>3.1760000000000004E-2</v>
      </c>
      <c r="F3083" s="7">
        <v>3.1760000000000004E-2</v>
      </c>
      <c r="G3083" s="7">
        <v>2.6499999999999999E-2</v>
      </c>
    </row>
    <row r="3084" spans="2:7" x14ac:dyDescent="0.2">
      <c r="B3084" s="60">
        <v>40263</v>
      </c>
      <c r="C3084" s="7">
        <v>3.15E-2</v>
      </c>
      <c r="D3084" s="7">
        <v>3.15E-2</v>
      </c>
      <c r="E3084" s="7">
        <v>3.15E-2</v>
      </c>
      <c r="F3084" s="7">
        <v>3.15E-2</v>
      </c>
      <c r="G3084" s="7">
        <v>-8.2000000000000007E-3</v>
      </c>
    </row>
    <row r="3085" spans="2:7" x14ac:dyDescent="0.2">
      <c r="B3085" s="60">
        <v>40266</v>
      </c>
      <c r="C3085" s="7">
        <v>3.1329999999999997E-2</v>
      </c>
      <c r="D3085" s="7">
        <v>3.1329999999999997E-2</v>
      </c>
      <c r="E3085" s="7">
        <v>3.1329999999999997E-2</v>
      </c>
      <c r="F3085" s="7">
        <v>3.1329999999999997E-2</v>
      </c>
      <c r="G3085" s="7">
        <v>-5.4000000000000003E-3</v>
      </c>
    </row>
    <row r="3086" spans="2:7" x14ac:dyDescent="0.2">
      <c r="B3086" s="60">
        <v>40267</v>
      </c>
      <c r="C3086" s="7">
        <v>3.108E-2</v>
      </c>
      <c r="D3086" s="7">
        <v>3.108E-2</v>
      </c>
      <c r="E3086" s="7">
        <v>3.108E-2</v>
      </c>
      <c r="F3086" s="7">
        <v>3.108E-2</v>
      </c>
      <c r="G3086" s="7">
        <v>-8.0000000000000002E-3</v>
      </c>
    </row>
    <row r="3087" spans="2:7" x14ac:dyDescent="0.2">
      <c r="B3087" s="60">
        <v>40268</v>
      </c>
      <c r="C3087" s="7">
        <v>3.0979999999999997E-2</v>
      </c>
      <c r="D3087" s="7">
        <v>3.0979999999999997E-2</v>
      </c>
      <c r="E3087" s="7">
        <v>3.0979999999999997E-2</v>
      </c>
      <c r="F3087" s="7">
        <v>3.0979999999999997E-2</v>
      </c>
      <c r="G3087" s="7">
        <v>-3.2000000000000002E-3</v>
      </c>
    </row>
    <row r="3088" spans="2:7" x14ac:dyDescent="0.2">
      <c r="B3088" s="60">
        <v>40269</v>
      </c>
      <c r="C3088" s="7">
        <v>3.0859999999999999E-2</v>
      </c>
      <c r="D3088" s="7">
        <v>3.0859999999999999E-2</v>
      </c>
      <c r="E3088" s="7">
        <v>3.0859999999999999E-2</v>
      </c>
      <c r="F3088" s="7">
        <v>3.0859999999999999E-2</v>
      </c>
      <c r="G3088" s="7">
        <v>-3.8999999999999998E-3</v>
      </c>
    </row>
    <row r="3089" spans="2:7" x14ac:dyDescent="0.2">
      <c r="B3089" s="60">
        <v>40274</v>
      </c>
      <c r="C3089" s="7">
        <v>3.1530000000000002E-2</v>
      </c>
      <c r="D3089" s="7">
        <v>3.1530000000000002E-2</v>
      </c>
      <c r="E3089" s="7">
        <v>3.1530000000000002E-2</v>
      </c>
      <c r="F3089" s="7">
        <v>3.1530000000000002E-2</v>
      </c>
      <c r="G3089" s="7">
        <v>2.1700000000000001E-2</v>
      </c>
    </row>
    <row r="3090" spans="2:7" x14ac:dyDescent="0.2">
      <c r="B3090" s="60">
        <v>40275</v>
      </c>
      <c r="C3090" s="7">
        <v>3.1210000000000002E-2</v>
      </c>
      <c r="D3090" s="7">
        <v>3.1210000000000002E-2</v>
      </c>
      <c r="E3090" s="7">
        <v>3.1210000000000002E-2</v>
      </c>
      <c r="F3090" s="7">
        <v>3.1210000000000002E-2</v>
      </c>
      <c r="G3090" s="7">
        <v>-1.01E-2</v>
      </c>
    </row>
    <row r="3091" spans="2:7" x14ac:dyDescent="0.2">
      <c r="B3091" s="60">
        <v>40276</v>
      </c>
      <c r="C3091" s="7">
        <v>3.0979999999999997E-2</v>
      </c>
      <c r="D3091" s="7">
        <v>3.0979999999999997E-2</v>
      </c>
      <c r="E3091" s="7">
        <v>3.0979999999999997E-2</v>
      </c>
      <c r="F3091" s="7">
        <v>3.0979999999999997E-2</v>
      </c>
      <c r="G3091" s="7">
        <v>-7.4000000000000003E-3</v>
      </c>
    </row>
    <row r="3092" spans="2:7" x14ac:dyDescent="0.2">
      <c r="B3092" s="60">
        <v>40277</v>
      </c>
      <c r="C3092" s="7">
        <v>3.1649999999999998E-2</v>
      </c>
      <c r="D3092" s="7">
        <v>3.1649999999999998E-2</v>
      </c>
      <c r="E3092" s="7">
        <v>3.1649999999999998E-2</v>
      </c>
      <c r="F3092" s="7">
        <v>3.1649999999999998E-2</v>
      </c>
      <c r="G3092" s="7">
        <v>2.1600000000000001E-2</v>
      </c>
    </row>
    <row r="3093" spans="2:7" x14ac:dyDescent="0.2">
      <c r="B3093" s="60">
        <v>40280</v>
      </c>
      <c r="C3093" s="7">
        <v>3.1800000000000002E-2</v>
      </c>
      <c r="D3093" s="7">
        <v>3.1800000000000002E-2</v>
      </c>
      <c r="E3093" s="7">
        <v>3.1800000000000002E-2</v>
      </c>
      <c r="F3093" s="7">
        <v>3.1800000000000002E-2</v>
      </c>
      <c r="G3093" s="7">
        <v>4.7000000000000002E-3</v>
      </c>
    </row>
    <row r="3094" spans="2:7" x14ac:dyDescent="0.2">
      <c r="B3094" s="60">
        <v>40281</v>
      </c>
      <c r="C3094" s="7">
        <v>3.1469999999999998E-2</v>
      </c>
      <c r="D3094" s="7">
        <v>3.1469999999999998E-2</v>
      </c>
      <c r="E3094" s="7">
        <v>3.1469999999999998E-2</v>
      </c>
      <c r="F3094" s="7">
        <v>3.1469999999999998E-2</v>
      </c>
      <c r="G3094" s="7">
        <v>-1.04E-2</v>
      </c>
    </row>
    <row r="3095" spans="2:7" x14ac:dyDescent="0.2">
      <c r="B3095" s="60">
        <v>40282</v>
      </c>
      <c r="C3095" s="7">
        <v>3.1370000000000002E-2</v>
      </c>
      <c r="D3095" s="7">
        <v>3.1370000000000002E-2</v>
      </c>
      <c r="E3095" s="7">
        <v>3.1370000000000002E-2</v>
      </c>
      <c r="F3095" s="7">
        <v>3.1370000000000002E-2</v>
      </c>
      <c r="G3095" s="7">
        <v>-3.2000000000000002E-3</v>
      </c>
    </row>
    <row r="3096" spans="2:7" x14ac:dyDescent="0.2">
      <c r="B3096" s="60">
        <v>40283</v>
      </c>
      <c r="C3096" s="7">
        <v>3.1259999999999996E-2</v>
      </c>
      <c r="D3096" s="7">
        <v>3.1259999999999996E-2</v>
      </c>
      <c r="E3096" s="7">
        <v>3.1259999999999996E-2</v>
      </c>
      <c r="F3096" s="7">
        <v>3.1259999999999996E-2</v>
      </c>
      <c r="G3096" s="7">
        <v>-3.5000000000000001E-3</v>
      </c>
    </row>
    <row r="3097" spans="2:7" x14ac:dyDescent="0.2">
      <c r="B3097" s="60">
        <v>40284</v>
      </c>
      <c r="C3097" s="7">
        <v>3.0859999999999999E-2</v>
      </c>
      <c r="D3097" s="7">
        <v>3.0859999999999999E-2</v>
      </c>
      <c r="E3097" s="7">
        <v>3.0859999999999999E-2</v>
      </c>
      <c r="F3097" s="7">
        <v>3.0859999999999999E-2</v>
      </c>
      <c r="G3097" s="7">
        <v>-1.2800000000000001E-2</v>
      </c>
    </row>
    <row r="3098" spans="2:7" x14ac:dyDescent="0.2">
      <c r="B3098" s="60">
        <v>40287</v>
      </c>
      <c r="C3098" s="7">
        <v>3.082E-2</v>
      </c>
      <c r="D3098" s="7">
        <v>3.082E-2</v>
      </c>
      <c r="E3098" s="7">
        <v>3.082E-2</v>
      </c>
      <c r="F3098" s="7">
        <v>3.082E-2</v>
      </c>
      <c r="G3098" s="7">
        <v>-1.2999999999999999E-3</v>
      </c>
    </row>
    <row r="3099" spans="2:7" x14ac:dyDescent="0.2">
      <c r="B3099" s="60">
        <v>40288</v>
      </c>
      <c r="C3099" s="7">
        <v>3.1009999999999999E-2</v>
      </c>
      <c r="D3099" s="7">
        <v>3.1009999999999999E-2</v>
      </c>
      <c r="E3099" s="7">
        <v>3.1009999999999999E-2</v>
      </c>
      <c r="F3099" s="7">
        <v>3.1009999999999999E-2</v>
      </c>
      <c r="G3099" s="7">
        <v>6.1999999999999998E-3</v>
      </c>
    </row>
    <row r="3100" spans="2:7" x14ac:dyDescent="0.2">
      <c r="B3100" s="60">
        <v>40289</v>
      </c>
      <c r="C3100" s="7">
        <v>3.0759999999999999E-2</v>
      </c>
      <c r="D3100" s="7">
        <v>3.0759999999999999E-2</v>
      </c>
      <c r="E3100" s="7">
        <v>3.0759999999999999E-2</v>
      </c>
      <c r="F3100" s="7">
        <v>3.0759999999999999E-2</v>
      </c>
      <c r="G3100" s="7">
        <v>-8.0999999999999996E-3</v>
      </c>
    </row>
    <row r="3101" spans="2:7" x14ac:dyDescent="0.2">
      <c r="B3101" s="60">
        <v>40290</v>
      </c>
      <c r="C3101" s="7">
        <v>3.0499999999999999E-2</v>
      </c>
      <c r="D3101" s="7">
        <v>3.0499999999999999E-2</v>
      </c>
      <c r="E3101" s="7">
        <v>3.0499999999999999E-2</v>
      </c>
      <c r="F3101" s="7">
        <v>3.0499999999999999E-2</v>
      </c>
      <c r="G3101" s="7">
        <v>-8.5000000000000006E-3</v>
      </c>
    </row>
    <row r="3102" spans="2:7" x14ac:dyDescent="0.2">
      <c r="B3102" s="60">
        <v>40291</v>
      </c>
      <c r="C3102" s="7">
        <v>3.0529999999999998E-2</v>
      </c>
      <c r="D3102" s="7">
        <v>3.0529999999999998E-2</v>
      </c>
      <c r="E3102" s="7">
        <v>3.0529999999999998E-2</v>
      </c>
      <c r="F3102" s="7">
        <v>3.0529999999999998E-2</v>
      </c>
      <c r="G3102" s="7">
        <v>1E-3</v>
      </c>
    </row>
    <row r="3103" spans="2:7" x14ac:dyDescent="0.2">
      <c r="B3103" s="60">
        <v>40294</v>
      </c>
      <c r="C3103" s="7">
        <v>3.0510000000000002E-2</v>
      </c>
      <c r="D3103" s="7">
        <v>3.0510000000000002E-2</v>
      </c>
      <c r="E3103" s="7">
        <v>3.0510000000000002E-2</v>
      </c>
      <c r="F3103" s="7">
        <v>3.0510000000000002E-2</v>
      </c>
      <c r="G3103" s="7">
        <v>-6.9999999999999999E-4</v>
      </c>
    </row>
    <row r="3104" spans="2:7" x14ac:dyDescent="0.2">
      <c r="B3104" s="60">
        <v>40295</v>
      </c>
      <c r="C3104" s="7">
        <v>2.9409999999999999E-2</v>
      </c>
      <c r="D3104" s="7">
        <v>2.9409999999999999E-2</v>
      </c>
      <c r="E3104" s="7">
        <v>2.9409999999999999E-2</v>
      </c>
      <c r="F3104" s="7">
        <v>2.9409999999999999E-2</v>
      </c>
      <c r="G3104" s="7">
        <v>-3.61E-2</v>
      </c>
    </row>
    <row r="3105" spans="2:7" x14ac:dyDescent="0.2">
      <c r="B3105" s="60">
        <v>40296</v>
      </c>
      <c r="C3105" s="7">
        <v>2.971E-2</v>
      </c>
      <c r="D3105" s="7">
        <v>2.971E-2</v>
      </c>
      <c r="E3105" s="7">
        <v>2.971E-2</v>
      </c>
      <c r="F3105" s="7">
        <v>2.971E-2</v>
      </c>
      <c r="G3105" s="7">
        <v>1.0200000000000001E-2</v>
      </c>
    </row>
    <row r="3106" spans="2:7" x14ac:dyDescent="0.2">
      <c r="B3106" s="60">
        <v>40297</v>
      </c>
      <c r="C3106" s="7">
        <v>3.0089999999999999E-2</v>
      </c>
      <c r="D3106" s="7">
        <v>3.0089999999999999E-2</v>
      </c>
      <c r="E3106" s="7">
        <v>3.0089999999999999E-2</v>
      </c>
      <c r="F3106" s="7">
        <v>3.0089999999999999E-2</v>
      </c>
      <c r="G3106" s="7">
        <v>1.2800000000000001E-2</v>
      </c>
    </row>
    <row r="3107" spans="2:7" x14ac:dyDescent="0.2">
      <c r="B3107" s="60">
        <v>40298</v>
      </c>
      <c r="C3107" s="7">
        <v>3.0190000000000002E-2</v>
      </c>
      <c r="D3107" s="7">
        <v>3.0190000000000002E-2</v>
      </c>
      <c r="E3107" s="7">
        <v>3.0190000000000002E-2</v>
      </c>
      <c r="F3107" s="7">
        <v>3.0190000000000002E-2</v>
      </c>
      <c r="G3107" s="7">
        <v>3.3E-3</v>
      </c>
    </row>
    <row r="3108" spans="2:7" x14ac:dyDescent="0.2">
      <c r="B3108" s="60">
        <v>40301</v>
      </c>
      <c r="C3108" s="7">
        <v>3.056E-2</v>
      </c>
      <c r="D3108" s="7">
        <v>3.056E-2</v>
      </c>
      <c r="E3108" s="7">
        <v>3.056E-2</v>
      </c>
      <c r="F3108" s="7">
        <v>3.056E-2</v>
      </c>
      <c r="G3108" s="7">
        <v>1.23E-2</v>
      </c>
    </row>
    <row r="3109" spans="2:7" x14ac:dyDescent="0.2">
      <c r="B3109" s="60">
        <v>40302</v>
      </c>
      <c r="C3109" s="7">
        <v>2.9520000000000001E-2</v>
      </c>
      <c r="D3109" s="7">
        <v>2.9520000000000001E-2</v>
      </c>
      <c r="E3109" s="7">
        <v>2.9520000000000001E-2</v>
      </c>
      <c r="F3109" s="7">
        <v>2.9520000000000001E-2</v>
      </c>
      <c r="G3109" s="7">
        <v>-3.4000000000000002E-2</v>
      </c>
    </row>
    <row r="3110" spans="2:7" x14ac:dyDescent="0.2">
      <c r="B3110" s="60">
        <v>40303</v>
      </c>
      <c r="C3110" s="7">
        <v>2.8590000000000001E-2</v>
      </c>
      <c r="D3110" s="7">
        <v>2.8590000000000001E-2</v>
      </c>
      <c r="E3110" s="7">
        <v>2.8590000000000001E-2</v>
      </c>
      <c r="F3110" s="7">
        <v>2.8590000000000001E-2</v>
      </c>
      <c r="G3110" s="7">
        <v>-3.15E-2</v>
      </c>
    </row>
    <row r="3111" spans="2:7" x14ac:dyDescent="0.2">
      <c r="B3111" s="60">
        <v>40304</v>
      </c>
      <c r="C3111" s="7">
        <v>2.794E-2</v>
      </c>
      <c r="D3111" s="7">
        <v>2.794E-2</v>
      </c>
      <c r="E3111" s="7">
        <v>2.794E-2</v>
      </c>
      <c r="F3111" s="7">
        <v>2.794E-2</v>
      </c>
      <c r="G3111" s="7">
        <v>-2.2700000000000001E-2</v>
      </c>
    </row>
    <row r="3112" spans="2:7" x14ac:dyDescent="0.2">
      <c r="B3112" s="60">
        <v>40305</v>
      </c>
      <c r="C3112" s="7">
        <v>2.785E-2</v>
      </c>
      <c r="D3112" s="7">
        <v>2.785E-2</v>
      </c>
      <c r="E3112" s="7">
        <v>2.785E-2</v>
      </c>
      <c r="F3112" s="7">
        <v>2.785E-2</v>
      </c>
      <c r="G3112" s="7">
        <v>-3.2000000000000002E-3</v>
      </c>
    </row>
    <row r="3113" spans="2:7" x14ac:dyDescent="0.2">
      <c r="B3113" s="60">
        <v>40308</v>
      </c>
      <c r="C3113" s="7">
        <v>2.9529999999999997E-2</v>
      </c>
      <c r="D3113" s="7">
        <v>2.9529999999999997E-2</v>
      </c>
      <c r="E3113" s="7">
        <v>2.9529999999999997E-2</v>
      </c>
      <c r="F3113" s="7">
        <v>2.9529999999999997E-2</v>
      </c>
      <c r="G3113" s="7">
        <v>6.0299999999999999E-2</v>
      </c>
    </row>
    <row r="3114" spans="2:7" x14ac:dyDescent="0.2">
      <c r="B3114" s="60">
        <v>40309</v>
      </c>
      <c r="C3114" s="7">
        <v>2.9340000000000001E-2</v>
      </c>
      <c r="D3114" s="7">
        <v>2.9340000000000001E-2</v>
      </c>
      <c r="E3114" s="7">
        <v>2.9340000000000001E-2</v>
      </c>
      <c r="F3114" s="7">
        <v>2.9340000000000001E-2</v>
      </c>
      <c r="G3114" s="7">
        <v>-6.4000000000000003E-3</v>
      </c>
    </row>
    <row r="3115" spans="2:7" x14ac:dyDescent="0.2">
      <c r="B3115" s="60">
        <v>40310</v>
      </c>
      <c r="C3115" s="7">
        <v>2.9399999999999999E-2</v>
      </c>
      <c r="D3115" s="7">
        <v>2.9399999999999999E-2</v>
      </c>
      <c r="E3115" s="7">
        <v>2.9399999999999999E-2</v>
      </c>
      <c r="F3115" s="7">
        <v>2.9399999999999999E-2</v>
      </c>
      <c r="G3115" s="7">
        <v>2E-3</v>
      </c>
    </row>
    <row r="3116" spans="2:7" x14ac:dyDescent="0.2">
      <c r="B3116" s="60">
        <v>40311</v>
      </c>
      <c r="C3116" s="7">
        <v>2.9399999999999999E-2</v>
      </c>
      <c r="D3116" s="7">
        <v>2.9399999999999999E-2</v>
      </c>
      <c r="E3116" s="7">
        <v>2.9399999999999999E-2</v>
      </c>
      <c r="F3116" s="7">
        <v>2.9399999999999999E-2</v>
      </c>
      <c r="G3116" s="7">
        <v>0</v>
      </c>
    </row>
    <row r="3117" spans="2:7" x14ac:dyDescent="0.2">
      <c r="B3117" s="60">
        <v>40312</v>
      </c>
      <c r="C3117" s="7">
        <v>2.8679999999999997E-2</v>
      </c>
      <c r="D3117" s="7">
        <v>2.8679999999999997E-2</v>
      </c>
      <c r="E3117" s="7">
        <v>2.8679999999999997E-2</v>
      </c>
      <c r="F3117" s="7">
        <v>2.8679999999999997E-2</v>
      </c>
      <c r="G3117" s="7">
        <v>-2.4500000000000001E-2</v>
      </c>
    </row>
    <row r="3118" spans="2:7" x14ac:dyDescent="0.2">
      <c r="B3118" s="60">
        <v>40315</v>
      </c>
      <c r="C3118" s="7">
        <v>2.862E-2</v>
      </c>
      <c r="D3118" s="7">
        <v>2.862E-2</v>
      </c>
      <c r="E3118" s="7">
        <v>2.862E-2</v>
      </c>
      <c r="F3118" s="7">
        <v>2.862E-2</v>
      </c>
      <c r="G3118" s="7">
        <v>-2.0999999999999999E-3</v>
      </c>
    </row>
    <row r="3119" spans="2:7" x14ac:dyDescent="0.2">
      <c r="B3119" s="60">
        <v>40316</v>
      </c>
      <c r="C3119" s="7">
        <v>2.8290000000000003E-2</v>
      </c>
      <c r="D3119" s="7">
        <v>2.8290000000000003E-2</v>
      </c>
      <c r="E3119" s="7">
        <v>2.8290000000000003E-2</v>
      </c>
      <c r="F3119" s="7">
        <v>2.8290000000000003E-2</v>
      </c>
      <c r="G3119" s="7">
        <v>-1.15E-2</v>
      </c>
    </row>
    <row r="3120" spans="2:7" x14ac:dyDescent="0.2">
      <c r="B3120" s="60">
        <v>40317</v>
      </c>
      <c r="C3120" s="7">
        <v>2.76E-2</v>
      </c>
      <c r="D3120" s="7">
        <v>2.76E-2</v>
      </c>
      <c r="E3120" s="7">
        <v>2.76E-2</v>
      </c>
      <c r="F3120" s="7">
        <v>2.76E-2</v>
      </c>
      <c r="G3120" s="7">
        <v>-2.4400000000000002E-2</v>
      </c>
    </row>
    <row r="3121" spans="2:7" x14ac:dyDescent="0.2">
      <c r="B3121" s="60">
        <v>40318</v>
      </c>
      <c r="C3121" s="7">
        <v>2.6960000000000001E-2</v>
      </c>
      <c r="D3121" s="7">
        <v>2.6960000000000001E-2</v>
      </c>
      <c r="E3121" s="7">
        <v>2.6960000000000001E-2</v>
      </c>
      <c r="F3121" s="7">
        <v>2.6960000000000001E-2</v>
      </c>
      <c r="G3121" s="7">
        <v>-2.3199999999999998E-2</v>
      </c>
    </row>
    <row r="3122" spans="2:7" x14ac:dyDescent="0.2">
      <c r="B3122" s="60">
        <v>40319</v>
      </c>
      <c r="C3122" s="7">
        <v>2.665E-2</v>
      </c>
      <c r="D3122" s="7">
        <v>2.665E-2</v>
      </c>
      <c r="E3122" s="7">
        <v>2.665E-2</v>
      </c>
      <c r="F3122" s="7">
        <v>2.665E-2</v>
      </c>
      <c r="G3122" s="7">
        <v>-1.15E-2</v>
      </c>
    </row>
    <row r="3123" spans="2:7" x14ac:dyDescent="0.2">
      <c r="B3123" s="60">
        <v>40322</v>
      </c>
      <c r="C3123" s="7">
        <v>2.6530000000000001E-2</v>
      </c>
      <c r="D3123" s="7">
        <v>2.6530000000000001E-2</v>
      </c>
      <c r="E3123" s="7">
        <v>2.6530000000000001E-2</v>
      </c>
      <c r="F3123" s="7">
        <v>2.6530000000000001E-2</v>
      </c>
      <c r="G3123" s="7">
        <v>-4.4999999999999997E-3</v>
      </c>
    </row>
    <row r="3124" spans="2:7" x14ac:dyDescent="0.2">
      <c r="B3124" s="60">
        <v>40323</v>
      </c>
      <c r="C3124" s="7">
        <v>2.5779999999999997E-2</v>
      </c>
      <c r="D3124" s="7">
        <v>2.5779999999999997E-2</v>
      </c>
      <c r="E3124" s="7">
        <v>2.5779999999999997E-2</v>
      </c>
      <c r="F3124" s="7">
        <v>2.5779999999999997E-2</v>
      </c>
      <c r="G3124" s="7">
        <v>-2.8299999999999999E-2</v>
      </c>
    </row>
    <row r="3125" spans="2:7" x14ac:dyDescent="0.2">
      <c r="B3125" s="60">
        <v>40324</v>
      </c>
      <c r="C3125" s="7">
        <v>2.632E-2</v>
      </c>
      <c r="D3125" s="7">
        <v>2.632E-2</v>
      </c>
      <c r="E3125" s="7">
        <v>2.632E-2</v>
      </c>
      <c r="F3125" s="7">
        <v>2.632E-2</v>
      </c>
      <c r="G3125" s="7">
        <v>2.0899999999999998E-2</v>
      </c>
    </row>
    <row r="3126" spans="2:7" x14ac:dyDescent="0.2">
      <c r="B3126" s="60">
        <v>40325</v>
      </c>
      <c r="C3126" s="7">
        <v>2.7060000000000001E-2</v>
      </c>
      <c r="D3126" s="7">
        <v>2.7060000000000001E-2</v>
      </c>
      <c r="E3126" s="7">
        <v>2.7060000000000001E-2</v>
      </c>
      <c r="F3126" s="7">
        <v>2.7060000000000001E-2</v>
      </c>
      <c r="G3126" s="7">
        <v>2.81E-2</v>
      </c>
    </row>
    <row r="3127" spans="2:7" x14ac:dyDescent="0.2">
      <c r="B3127" s="60">
        <v>40326</v>
      </c>
      <c r="C3127" s="7">
        <v>2.6760000000000003E-2</v>
      </c>
      <c r="D3127" s="7">
        <v>2.6760000000000003E-2</v>
      </c>
      <c r="E3127" s="7">
        <v>2.6760000000000003E-2</v>
      </c>
      <c r="F3127" s="7">
        <v>2.6760000000000003E-2</v>
      </c>
      <c r="G3127" s="7">
        <v>-1.11E-2</v>
      </c>
    </row>
    <row r="3128" spans="2:7" x14ac:dyDescent="0.2">
      <c r="B3128" s="60">
        <v>40329</v>
      </c>
      <c r="C3128" s="7">
        <v>2.6549999999999997E-2</v>
      </c>
      <c r="D3128" s="7">
        <v>2.6549999999999997E-2</v>
      </c>
      <c r="E3128" s="7">
        <v>2.6549999999999997E-2</v>
      </c>
      <c r="F3128" s="7">
        <v>2.6549999999999997E-2</v>
      </c>
      <c r="G3128" s="7">
        <v>-7.7999999999999996E-3</v>
      </c>
    </row>
    <row r="3129" spans="2:7" x14ac:dyDescent="0.2">
      <c r="B3129" s="60">
        <v>40330</v>
      </c>
      <c r="C3129" s="7">
        <v>2.682E-2</v>
      </c>
      <c r="D3129" s="7">
        <v>2.682E-2</v>
      </c>
      <c r="E3129" s="7">
        <v>2.682E-2</v>
      </c>
      <c r="F3129" s="7">
        <v>2.682E-2</v>
      </c>
      <c r="G3129" s="7">
        <v>1.0200000000000001E-2</v>
      </c>
    </row>
    <row r="3130" spans="2:7" x14ac:dyDescent="0.2">
      <c r="B3130" s="60">
        <v>40331</v>
      </c>
      <c r="C3130" s="7">
        <v>2.656E-2</v>
      </c>
      <c r="D3130" s="7">
        <v>2.656E-2</v>
      </c>
      <c r="E3130" s="7">
        <v>2.656E-2</v>
      </c>
      <c r="F3130" s="7">
        <v>2.656E-2</v>
      </c>
      <c r="G3130" s="7">
        <v>-9.7000000000000003E-3</v>
      </c>
    </row>
    <row r="3131" spans="2:7" x14ac:dyDescent="0.2">
      <c r="B3131" s="60">
        <v>40332</v>
      </c>
      <c r="C3131" s="7">
        <v>2.674E-2</v>
      </c>
      <c r="D3131" s="7">
        <v>2.674E-2</v>
      </c>
      <c r="E3131" s="7">
        <v>2.674E-2</v>
      </c>
      <c r="F3131" s="7">
        <v>2.674E-2</v>
      </c>
      <c r="G3131" s="7">
        <v>6.7999999999999996E-3</v>
      </c>
    </row>
    <row r="3132" spans="2:7" x14ac:dyDescent="0.2">
      <c r="B3132" s="60">
        <v>40333</v>
      </c>
      <c r="C3132" s="7">
        <v>2.5680000000000001E-2</v>
      </c>
      <c r="D3132" s="7">
        <v>2.5680000000000001E-2</v>
      </c>
      <c r="E3132" s="7">
        <v>2.5680000000000001E-2</v>
      </c>
      <c r="F3132" s="7">
        <v>2.5680000000000001E-2</v>
      </c>
      <c r="G3132" s="7">
        <v>-3.9600000000000003E-2</v>
      </c>
    </row>
    <row r="3133" spans="2:7" x14ac:dyDescent="0.2">
      <c r="B3133" s="60">
        <v>40336</v>
      </c>
      <c r="C3133" s="7">
        <v>2.5590000000000002E-2</v>
      </c>
      <c r="D3133" s="7">
        <v>2.5590000000000002E-2</v>
      </c>
      <c r="E3133" s="7">
        <v>2.5590000000000002E-2</v>
      </c>
      <c r="F3133" s="7">
        <v>2.5590000000000002E-2</v>
      </c>
      <c r="G3133" s="7">
        <v>-3.5000000000000001E-3</v>
      </c>
    </row>
    <row r="3134" spans="2:7" x14ac:dyDescent="0.2">
      <c r="B3134" s="60">
        <v>40337</v>
      </c>
      <c r="C3134" s="7">
        <v>2.513E-2</v>
      </c>
      <c r="D3134" s="7">
        <v>2.513E-2</v>
      </c>
      <c r="E3134" s="7">
        <v>2.513E-2</v>
      </c>
      <c r="F3134" s="7">
        <v>2.513E-2</v>
      </c>
      <c r="G3134" s="7">
        <v>-1.7999999999999999E-2</v>
      </c>
    </row>
    <row r="3135" spans="2:7" x14ac:dyDescent="0.2">
      <c r="B3135" s="60">
        <v>40338</v>
      </c>
      <c r="C3135" s="7">
        <v>2.5659999999999999E-2</v>
      </c>
      <c r="D3135" s="7">
        <v>2.5659999999999999E-2</v>
      </c>
      <c r="E3135" s="7">
        <v>2.5659999999999999E-2</v>
      </c>
      <c r="F3135" s="7">
        <v>2.5659999999999999E-2</v>
      </c>
      <c r="G3135" s="7">
        <v>2.1100000000000001E-2</v>
      </c>
    </row>
    <row r="3136" spans="2:7" x14ac:dyDescent="0.2">
      <c r="B3136" s="60">
        <v>40339</v>
      </c>
      <c r="C3136" s="7">
        <v>2.6089999999999999E-2</v>
      </c>
      <c r="D3136" s="7">
        <v>2.6089999999999999E-2</v>
      </c>
      <c r="E3136" s="7">
        <v>2.6089999999999999E-2</v>
      </c>
      <c r="F3136" s="7">
        <v>2.6089999999999999E-2</v>
      </c>
      <c r="G3136" s="7">
        <v>1.6799999999999999E-2</v>
      </c>
    </row>
    <row r="3137" spans="2:7" x14ac:dyDescent="0.2">
      <c r="B3137" s="60">
        <v>40340</v>
      </c>
      <c r="C3137" s="7">
        <v>2.5729999999999999E-2</v>
      </c>
      <c r="D3137" s="7">
        <v>2.5729999999999999E-2</v>
      </c>
      <c r="E3137" s="7">
        <v>2.5729999999999999E-2</v>
      </c>
      <c r="F3137" s="7">
        <v>2.5729999999999999E-2</v>
      </c>
      <c r="G3137" s="7">
        <v>-1.38E-2</v>
      </c>
    </row>
    <row r="3138" spans="2:7" x14ac:dyDescent="0.2">
      <c r="B3138" s="60">
        <v>40343</v>
      </c>
      <c r="C3138" s="7">
        <v>2.6429999999999999E-2</v>
      </c>
      <c r="D3138" s="7">
        <v>2.6429999999999999E-2</v>
      </c>
      <c r="E3138" s="7">
        <v>2.6429999999999999E-2</v>
      </c>
      <c r="F3138" s="7">
        <v>2.6429999999999999E-2</v>
      </c>
      <c r="G3138" s="7">
        <v>2.7199999999999998E-2</v>
      </c>
    </row>
    <row r="3139" spans="2:7" x14ac:dyDescent="0.2">
      <c r="B3139" s="60">
        <v>40344</v>
      </c>
      <c r="C3139" s="7">
        <v>2.6699999999999998E-2</v>
      </c>
      <c r="D3139" s="7">
        <v>2.6699999999999998E-2</v>
      </c>
      <c r="E3139" s="7">
        <v>2.6699999999999998E-2</v>
      </c>
      <c r="F3139" s="7">
        <v>2.6699999999999998E-2</v>
      </c>
      <c r="G3139" s="7">
        <v>1.0200000000000001E-2</v>
      </c>
    </row>
    <row r="3140" spans="2:7" x14ac:dyDescent="0.2">
      <c r="B3140" s="60">
        <v>40345</v>
      </c>
      <c r="C3140" s="7">
        <v>2.6749999999999999E-2</v>
      </c>
      <c r="D3140" s="7">
        <v>2.6749999999999999E-2</v>
      </c>
      <c r="E3140" s="7">
        <v>2.6749999999999999E-2</v>
      </c>
      <c r="F3140" s="7">
        <v>2.6749999999999999E-2</v>
      </c>
      <c r="G3140" s="7">
        <v>1.9E-3</v>
      </c>
    </row>
    <row r="3141" spans="2:7" x14ac:dyDescent="0.2">
      <c r="B3141" s="60">
        <v>40346</v>
      </c>
      <c r="C3141" s="7">
        <v>2.665E-2</v>
      </c>
      <c r="D3141" s="7">
        <v>2.665E-2</v>
      </c>
      <c r="E3141" s="7">
        <v>2.665E-2</v>
      </c>
      <c r="F3141" s="7">
        <v>2.665E-2</v>
      </c>
      <c r="G3141" s="7">
        <v>-3.7000000000000002E-3</v>
      </c>
    </row>
    <row r="3142" spans="2:7" x14ac:dyDescent="0.2">
      <c r="B3142" s="60">
        <v>40347</v>
      </c>
      <c r="C3142" s="7">
        <v>2.7300000000000001E-2</v>
      </c>
      <c r="D3142" s="7">
        <v>2.7300000000000001E-2</v>
      </c>
      <c r="E3142" s="7">
        <v>2.7300000000000001E-2</v>
      </c>
      <c r="F3142" s="7">
        <v>2.7300000000000001E-2</v>
      </c>
      <c r="G3142" s="7">
        <v>2.4400000000000002E-2</v>
      </c>
    </row>
    <row r="3143" spans="2:7" x14ac:dyDescent="0.2">
      <c r="B3143" s="60">
        <v>40350</v>
      </c>
      <c r="C3143" s="7">
        <v>2.7730000000000001E-2</v>
      </c>
      <c r="D3143" s="7">
        <v>2.7730000000000001E-2</v>
      </c>
      <c r="E3143" s="7">
        <v>2.7730000000000001E-2</v>
      </c>
      <c r="F3143" s="7">
        <v>2.7730000000000001E-2</v>
      </c>
      <c r="G3143" s="7">
        <v>1.5800000000000002E-2</v>
      </c>
    </row>
    <row r="3144" spans="2:7" x14ac:dyDescent="0.2">
      <c r="B3144" s="60">
        <v>40351</v>
      </c>
      <c r="C3144" s="7">
        <v>2.6949999999999998E-2</v>
      </c>
      <c r="D3144" s="7">
        <v>2.6949999999999998E-2</v>
      </c>
      <c r="E3144" s="7">
        <v>2.6949999999999998E-2</v>
      </c>
      <c r="F3144" s="7">
        <v>2.6949999999999998E-2</v>
      </c>
      <c r="G3144" s="7">
        <v>-2.81E-2</v>
      </c>
    </row>
    <row r="3145" spans="2:7" x14ac:dyDescent="0.2">
      <c r="B3145" s="60">
        <v>40352</v>
      </c>
      <c r="C3145" s="7">
        <v>2.649E-2</v>
      </c>
      <c r="D3145" s="7">
        <v>2.649E-2</v>
      </c>
      <c r="E3145" s="7">
        <v>2.649E-2</v>
      </c>
      <c r="F3145" s="7">
        <v>2.649E-2</v>
      </c>
      <c r="G3145" s="7">
        <v>-1.7100000000000001E-2</v>
      </c>
    </row>
    <row r="3146" spans="2:7" x14ac:dyDescent="0.2">
      <c r="B3146" s="60">
        <v>40353</v>
      </c>
      <c r="C3146" s="7">
        <v>2.597E-2</v>
      </c>
      <c r="D3146" s="7">
        <v>2.597E-2</v>
      </c>
      <c r="E3146" s="7">
        <v>2.597E-2</v>
      </c>
      <c r="F3146" s="7">
        <v>2.597E-2</v>
      </c>
      <c r="G3146" s="7">
        <v>-1.9599999999999999E-2</v>
      </c>
    </row>
    <row r="3147" spans="2:7" x14ac:dyDescent="0.2">
      <c r="B3147" s="60">
        <v>40354</v>
      </c>
      <c r="C3147" s="7">
        <v>2.6179999999999998E-2</v>
      </c>
      <c r="D3147" s="7">
        <v>2.6179999999999998E-2</v>
      </c>
      <c r="E3147" s="7">
        <v>2.6179999999999998E-2</v>
      </c>
      <c r="F3147" s="7">
        <v>2.6179999999999998E-2</v>
      </c>
      <c r="G3147" s="7">
        <v>8.0999999999999996E-3</v>
      </c>
    </row>
    <row r="3148" spans="2:7" x14ac:dyDescent="0.2">
      <c r="B3148" s="60">
        <v>40357</v>
      </c>
      <c r="C3148" s="7">
        <v>2.589E-2</v>
      </c>
      <c r="D3148" s="7">
        <v>2.589E-2</v>
      </c>
      <c r="E3148" s="7">
        <v>2.589E-2</v>
      </c>
      <c r="F3148" s="7">
        <v>2.589E-2</v>
      </c>
      <c r="G3148" s="7">
        <v>-1.11E-2</v>
      </c>
    </row>
    <row r="3149" spans="2:7" x14ac:dyDescent="0.2">
      <c r="B3149" s="60">
        <v>40358</v>
      </c>
      <c r="C3149" s="7">
        <v>2.563E-2</v>
      </c>
      <c r="D3149" s="7">
        <v>2.563E-2</v>
      </c>
      <c r="E3149" s="7">
        <v>2.563E-2</v>
      </c>
      <c r="F3149" s="7">
        <v>2.563E-2</v>
      </c>
      <c r="G3149" s="7">
        <v>-0.01</v>
      </c>
    </row>
    <row r="3150" spans="2:7" x14ac:dyDescent="0.2">
      <c r="B3150" s="60">
        <v>40359</v>
      </c>
      <c r="C3150" s="7">
        <v>2.5520000000000001E-2</v>
      </c>
      <c r="D3150" s="7">
        <v>2.5520000000000001E-2</v>
      </c>
      <c r="E3150" s="7">
        <v>2.5520000000000001E-2</v>
      </c>
      <c r="F3150" s="7">
        <v>2.5520000000000001E-2</v>
      </c>
      <c r="G3150" s="7">
        <v>-4.3E-3</v>
      </c>
    </row>
    <row r="3151" spans="2:7" x14ac:dyDescent="0.2">
      <c r="B3151" s="60">
        <v>40360</v>
      </c>
      <c r="C3151" s="7">
        <v>2.563E-2</v>
      </c>
      <c r="D3151" s="7">
        <v>2.563E-2</v>
      </c>
      <c r="E3151" s="7">
        <v>2.563E-2</v>
      </c>
      <c r="F3151" s="7">
        <v>2.563E-2</v>
      </c>
      <c r="G3151" s="7">
        <v>4.3E-3</v>
      </c>
    </row>
    <row r="3152" spans="2:7" x14ac:dyDescent="0.2">
      <c r="B3152" s="60">
        <v>40361</v>
      </c>
      <c r="C3152" s="7">
        <v>2.5870000000000001E-2</v>
      </c>
      <c r="D3152" s="7">
        <v>2.5870000000000001E-2</v>
      </c>
      <c r="E3152" s="7">
        <v>2.5870000000000001E-2</v>
      </c>
      <c r="F3152" s="7">
        <v>2.5870000000000001E-2</v>
      </c>
      <c r="G3152" s="7">
        <v>9.4000000000000004E-3</v>
      </c>
    </row>
    <row r="3153" spans="2:7" x14ac:dyDescent="0.2">
      <c r="B3153" s="60">
        <v>40364</v>
      </c>
      <c r="C3153" s="7">
        <v>2.5440000000000001E-2</v>
      </c>
      <c r="D3153" s="7">
        <v>2.5440000000000001E-2</v>
      </c>
      <c r="E3153" s="7">
        <v>2.5440000000000001E-2</v>
      </c>
      <c r="F3153" s="7">
        <v>2.5440000000000001E-2</v>
      </c>
      <c r="G3153" s="7">
        <v>-1.66E-2</v>
      </c>
    </row>
    <row r="3154" spans="2:7" x14ac:dyDescent="0.2">
      <c r="B3154" s="60">
        <v>40365</v>
      </c>
      <c r="C3154" s="7">
        <v>2.589E-2</v>
      </c>
      <c r="D3154" s="7">
        <v>2.589E-2</v>
      </c>
      <c r="E3154" s="7">
        <v>2.589E-2</v>
      </c>
      <c r="F3154" s="7">
        <v>2.589E-2</v>
      </c>
      <c r="G3154" s="7">
        <v>1.77E-2</v>
      </c>
    </row>
    <row r="3155" spans="2:7" x14ac:dyDescent="0.2">
      <c r="B3155" s="60">
        <v>40366</v>
      </c>
      <c r="C3155" s="7">
        <v>2.6019999999999998E-2</v>
      </c>
      <c r="D3155" s="7">
        <v>2.6019999999999998E-2</v>
      </c>
      <c r="E3155" s="7">
        <v>2.6019999999999998E-2</v>
      </c>
      <c r="F3155" s="7">
        <v>2.6019999999999998E-2</v>
      </c>
      <c r="G3155" s="7">
        <v>5.0000000000000001E-3</v>
      </c>
    </row>
    <row r="3156" spans="2:7" x14ac:dyDescent="0.2">
      <c r="B3156" s="60">
        <v>40367</v>
      </c>
      <c r="C3156" s="7">
        <v>2.6329999999999999E-2</v>
      </c>
      <c r="D3156" s="7">
        <v>2.6329999999999999E-2</v>
      </c>
      <c r="E3156" s="7">
        <v>2.6329999999999999E-2</v>
      </c>
      <c r="F3156" s="7">
        <v>2.6329999999999999E-2</v>
      </c>
      <c r="G3156" s="7">
        <v>1.1900000000000001E-2</v>
      </c>
    </row>
    <row r="3157" spans="2:7" x14ac:dyDescent="0.2">
      <c r="B3157" s="60">
        <v>40368</v>
      </c>
      <c r="C3157" s="7">
        <v>2.6360000000000001E-2</v>
      </c>
      <c r="D3157" s="7">
        <v>2.6360000000000001E-2</v>
      </c>
      <c r="E3157" s="7">
        <v>2.6360000000000001E-2</v>
      </c>
      <c r="F3157" s="7">
        <v>2.6360000000000001E-2</v>
      </c>
      <c r="G3157" s="7">
        <v>1.1000000000000001E-3</v>
      </c>
    </row>
    <row r="3158" spans="2:7" x14ac:dyDescent="0.2">
      <c r="B3158" s="60">
        <v>40371</v>
      </c>
      <c r="C3158" s="7">
        <v>2.5910000000000002E-2</v>
      </c>
      <c r="D3158" s="7">
        <v>2.5910000000000002E-2</v>
      </c>
      <c r="E3158" s="7">
        <v>2.5910000000000002E-2</v>
      </c>
      <c r="F3158" s="7">
        <v>2.5910000000000002E-2</v>
      </c>
      <c r="G3158" s="7">
        <v>-1.7100000000000001E-2</v>
      </c>
    </row>
    <row r="3159" spans="2:7" x14ac:dyDescent="0.2">
      <c r="B3159" s="60">
        <v>40372</v>
      </c>
      <c r="C3159" s="7">
        <v>2.6459999999999997E-2</v>
      </c>
      <c r="D3159" s="7">
        <v>2.6459999999999997E-2</v>
      </c>
      <c r="E3159" s="7">
        <v>2.6459999999999997E-2</v>
      </c>
      <c r="F3159" s="7">
        <v>2.6459999999999997E-2</v>
      </c>
      <c r="G3159" s="7">
        <v>2.12E-2</v>
      </c>
    </row>
    <row r="3160" spans="2:7" x14ac:dyDescent="0.2">
      <c r="B3160" s="60">
        <v>40373</v>
      </c>
      <c r="C3160" s="7">
        <v>2.664E-2</v>
      </c>
      <c r="D3160" s="7">
        <v>2.664E-2</v>
      </c>
      <c r="E3160" s="7">
        <v>2.664E-2</v>
      </c>
      <c r="F3160" s="7">
        <v>2.664E-2</v>
      </c>
      <c r="G3160" s="7">
        <v>6.7999999999999996E-3</v>
      </c>
    </row>
    <row r="3161" spans="2:7" x14ac:dyDescent="0.2">
      <c r="B3161" s="60">
        <v>40374</v>
      </c>
      <c r="C3161" s="7">
        <v>2.6549999999999997E-2</v>
      </c>
      <c r="D3161" s="7">
        <v>2.6549999999999997E-2</v>
      </c>
      <c r="E3161" s="7">
        <v>2.6549999999999997E-2</v>
      </c>
      <c r="F3161" s="7">
        <v>2.6549999999999997E-2</v>
      </c>
      <c r="G3161" s="7">
        <v>-3.3999999999999998E-3</v>
      </c>
    </row>
    <row r="3162" spans="2:7" x14ac:dyDescent="0.2">
      <c r="B3162" s="60">
        <v>40375</v>
      </c>
      <c r="C3162" s="7">
        <v>2.6040000000000001E-2</v>
      </c>
      <c r="D3162" s="7">
        <v>2.6040000000000001E-2</v>
      </c>
      <c r="E3162" s="7">
        <v>2.6040000000000001E-2</v>
      </c>
      <c r="F3162" s="7">
        <v>2.6040000000000001E-2</v>
      </c>
      <c r="G3162" s="7">
        <v>-1.9199999999999998E-2</v>
      </c>
    </row>
    <row r="3163" spans="2:7" x14ac:dyDescent="0.2">
      <c r="B3163" s="60">
        <v>40378</v>
      </c>
      <c r="C3163" s="7">
        <v>2.6589999999999999E-2</v>
      </c>
      <c r="D3163" s="7">
        <v>2.6589999999999999E-2</v>
      </c>
      <c r="E3163" s="7">
        <v>2.6589999999999999E-2</v>
      </c>
      <c r="F3163" s="7">
        <v>2.6589999999999999E-2</v>
      </c>
      <c r="G3163" s="7">
        <v>2.1100000000000001E-2</v>
      </c>
    </row>
    <row r="3164" spans="2:7" x14ac:dyDescent="0.2">
      <c r="B3164" s="60">
        <v>40379</v>
      </c>
      <c r="C3164" s="7">
        <v>2.6360000000000001E-2</v>
      </c>
      <c r="D3164" s="7">
        <v>2.6360000000000001E-2</v>
      </c>
      <c r="E3164" s="7">
        <v>2.6360000000000001E-2</v>
      </c>
      <c r="F3164" s="7">
        <v>2.6360000000000001E-2</v>
      </c>
      <c r="G3164" s="7">
        <v>-8.6E-3</v>
      </c>
    </row>
    <row r="3165" spans="2:7" x14ac:dyDescent="0.2">
      <c r="B3165" s="60">
        <v>40380</v>
      </c>
      <c r="C3165" s="7">
        <v>2.6370000000000001E-2</v>
      </c>
      <c r="D3165" s="7">
        <v>2.6370000000000001E-2</v>
      </c>
      <c r="E3165" s="7">
        <v>2.6370000000000001E-2</v>
      </c>
      <c r="F3165" s="7">
        <v>2.6370000000000001E-2</v>
      </c>
      <c r="G3165" s="7">
        <v>4.0000000000000002E-4</v>
      </c>
    </row>
    <row r="3166" spans="2:7" x14ac:dyDescent="0.2">
      <c r="B3166" s="60">
        <v>40381</v>
      </c>
      <c r="C3166" s="7">
        <v>2.6779999999999998E-2</v>
      </c>
      <c r="D3166" s="7">
        <v>2.6779999999999998E-2</v>
      </c>
      <c r="E3166" s="7">
        <v>2.6779999999999998E-2</v>
      </c>
      <c r="F3166" s="7">
        <v>2.6779999999999998E-2</v>
      </c>
      <c r="G3166" s="7">
        <v>1.55E-2</v>
      </c>
    </row>
    <row r="3167" spans="2:7" x14ac:dyDescent="0.2">
      <c r="B3167" s="60">
        <v>40382</v>
      </c>
      <c r="C3167" s="7">
        <v>2.7080000000000003E-2</v>
      </c>
      <c r="D3167" s="7">
        <v>2.7080000000000003E-2</v>
      </c>
      <c r="E3167" s="7">
        <v>2.7080000000000003E-2</v>
      </c>
      <c r="F3167" s="7">
        <v>2.7080000000000003E-2</v>
      </c>
      <c r="G3167" s="7">
        <v>1.12E-2</v>
      </c>
    </row>
    <row r="3168" spans="2:7" x14ac:dyDescent="0.2">
      <c r="B3168" s="60">
        <v>40385</v>
      </c>
      <c r="C3168" s="7">
        <v>2.7650000000000001E-2</v>
      </c>
      <c r="D3168" s="7">
        <v>2.7650000000000001E-2</v>
      </c>
      <c r="E3168" s="7">
        <v>2.7650000000000001E-2</v>
      </c>
      <c r="F3168" s="7">
        <v>2.7650000000000001E-2</v>
      </c>
      <c r="G3168" s="7">
        <v>2.1000000000000001E-2</v>
      </c>
    </row>
    <row r="3169" spans="2:7" x14ac:dyDescent="0.2">
      <c r="B3169" s="60">
        <v>40386</v>
      </c>
      <c r="C3169" s="7">
        <v>2.7730000000000001E-2</v>
      </c>
      <c r="D3169" s="7">
        <v>2.7730000000000001E-2</v>
      </c>
      <c r="E3169" s="7">
        <v>2.7730000000000001E-2</v>
      </c>
      <c r="F3169" s="7">
        <v>2.7730000000000001E-2</v>
      </c>
      <c r="G3169" s="7">
        <v>2.8999999999999998E-3</v>
      </c>
    </row>
    <row r="3170" spans="2:7" x14ac:dyDescent="0.2">
      <c r="B3170" s="60">
        <v>40387</v>
      </c>
      <c r="C3170" s="7">
        <v>2.7490000000000001E-2</v>
      </c>
      <c r="D3170" s="7">
        <v>2.7490000000000001E-2</v>
      </c>
      <c r="E3170" s="7">
        <v>2.7490000000000001E-2</v>
      </c>
      <c r="F3170" s="7">
        <v>2.7490000000000001E-2</v>
      </c>
      <c r="G3170" s="7">
        <v>-8.6999999999999994E-3</v>
      </c>
    </row>
    <row r="3171" spans="2:7" x14ac:dyDescent="0.2">
      <c r="B3171" s="60">
        <v>40388</v>
      </c>
      <c r="C3171" s="7">
        <v>2.7120000000000002E-2</v>
      </c>
      <c r="D3171" s="7">
        <v>2.7120000000000002E-2</v>
      </c>
      <c r="E3171" s="7">
        <v>2.7120000000000002E-2</v>
      </c>
      <c r="F3171" s="7">
        <v>2.7120000000000002E-2</v>
      </c>
      <c r="G3171" s="7">
        <v>-1.35E-2</v>
      </c>
    </row>
    <row r="3172" spans="2:7" x14ac:dyDescent="0.2">
      <c r="B3172" s="60">
        <v>40389</v>
      </c>
      <c r="C3172" s="7">
        <v>2.6709999999999998E-2</v>
      </c>
      <c r="D3172" s="7">
        <v>2.6709999999999998E-2</v>
      </c>
      <c r="E3172" s="7">
        <v>2.6709999999999998E-2</v>
      </c>
      <c r="F3172" s="7">
        <v>2.6709999999999998E-2</v>
      </c>
      <c r="G3172" s="7">
        <v>-1.5100000000000001E-2</v>
      </c>
    </row>
    <row r="3173" spans="2:7" x14ac:dyDescent="0.2">
      <c r="B3173" s="60">
        <v>40392</v>
      </c>
      <c r="C3173" s="7">
        <v>2.7029999999999998E-2</v>
      </c>
      <c r="D3173" s="7">
        <v>2.7029999999999998E-2</v>
      </c>
      <c r="E3173" s="7">
        <v>2.7029999999999998E-2</v>
      </c>
      <c r="F3173" s="7">
        <v>2.7029999999999998E-2</v>
      </c>
      <c r="G3173" s="7">
        <v>1.2E-2</v>
      </c>
    </row>
    <row r="3174" spans="2:7" x14ac:dyDescent="0.2">
      <c r="B3174" s="60">
        <v>40393</v>
      </c>
      <c r="C3174" s="7">
        <v>2.6099999999999998E-2</v>
      </c>
      <c r="D3174" s="7">
        <v>2.6099999999999998E-2</v>
      </c>
      <c r="E3174" s="7">
        <v>2.6099999999999998E-2</v>
      </c>
      <c r="F3174" s="7">
        <v>2.6099999999999998E-2</v>
      </c>
      <c r="G3174" s="7">
        <v>-3.44E-2</v>
      </c>
    </row>
    <row r="3175" spans="2:7" x14ac:dyDescent="0.2">
      <c r="B3175" s="60">
        <v>40394</v>
      </c>
      <c r="C3175" s="7">
        <v>2.6019999999999998E-2</v>
      </c>
      <c r="D3175" s="7">
        <v>2.6019999999999998E-2</v>
      </c>
      <c r="E3175" s="7">
        <v>2.6019999999999998E-2</v>
      </c>
      <c r="F3175" s="7">
        <v>2.6019999999999998E-2</v>
      </c>
      <c r="G3175" s="7">
        <v>-3.0999999999999999E-3</v>
      </c>
    </row>
    <row r="3176" spans="2:7" x14ac:dyDescent="0.2">
      <c r="B3176" s="60">
        <v>40395</v>
      </c>
      <c r="C3176" s="7">
        <v>2.5600000000000001E-2</v>
      </c>
      <c r="D3176" s="7">
        <v>2.5600000000000001E-2</v>
      </c>
      <c r="E3176" s="7">
        <v>2.5600000000000001E-2</v>
      </c>
      <c r="F3176" s="7">
        <v>2.5600000000000001E-2</v>
      </c>
      <c r="G3176" s="7">
        <v>-1.61E-2</v>
      </c>
    </row>
    <row r="3177" spans="2:7" x14ac:dyDescent="0.2">
      <c r="B3177" s="60">
        <v>40396</v>
      </c>
      <c r="C3177" s="7">
        <v>2.5160000000000002E-2</v>
      </c>
      <c r="D3177" s="7">
        <v>2.5160000000000002E-2</v>
      </c>
      <c r="E3177" s="7">
        <v>2.5160000000000002E-2</v>
      </c>
      <c r="F3177" s="7">
        <v>2.5160000000000002E-2</v>
      </c>
      <c r="G3177" s="7">
        <v>-1.72E-2</v>
      </c>
    </row>
    <row r="3178" spans="2:7" x14ac:dyDescent="0.2">
      <c r="B3178" s="60">
        <v>40399</v>
      </c>
      <c r="C3178" s="7">
        <v>2.529E-2</v>
      </c>
      <c r="D3178" s="7">
        <v>2.529E-2</v>
      </c>
      <c r="E3178" s="7">
        <v>2.529E-2</v>
      </c>
      <c r="F3178" s="7">
        <v>2.529E-2</v>
      </c>
      <c r="G3178" s="7">
        <v>5.1999999999999998E-3</v>
      </c>
    </row>
    <row r="3179" spans="2:7" x14ac:dyDescent="0.2">
      <c r="B3179" s="60">
        <v>40400</v>
      </c>
      <c r="C3179" s="7">
        <v>2.5390000000000003E-2</v>
      </c>
      <c r="D3179" s="7">
        <v>2.5390000000000003E-2</v>
      </c>
      <c r="E3179" s="7">
        <v>2.5390000000000003E-2</v>
      </c>
      <c r="F3179" s="7">
        <v>2.5390000000000003E-2</v>
      </c>
      <c r="G3179" s="7">
        <v>4.0000000000000001E-3</v>
      </c>
    </row>
    <row r="3180" spans="2:7" x14ac:dyDescent="0.2">
      <c r="B3180" s="60">
        <v>40401</v>
      </c>
      <c r="C3180" s="7">
        <v>2.427E-2</v>
      </c>
      <c r="D3180" s="7">
        <v>2.427E-2</v>
      </c>
      <c r="E3180" s="7">
        <v>2.427E-2</v>
      </c>
      <c r="F3180" s="7">
        <v>2.427E-2</v>
      </c>
      <c r="G3180" s="7">
        <v>-4.41E-2</v>
      </c>
    </row>
    <row r="3181" spans="2:7" x14ac:dyDescent="0.2">
      <c r="B3181" s="60">
        <v>40402</v>
      </c>
      <c r="C3181" s="7">
        <v>2.4249999999999997E-2</v>
      </c>
      <c r="D3181" s="7">
        <v>2.4249999999999997E-2</v>
      </c>
      <c r="E3181" s="7">
        <v>2.4249999999999997E-2</v>
      </c>
      <c r="F3181" s="7">
        <v>2.4249999999999997E-2</v>
      </c>
      <c r="G3181" s="7">
        <v>-8.0000000000000004E-4</v>
      </c>
    </row>
    <row r="3182" spans="2:7" x14ac:dyDescent="0.2">
      <c r="B3182" s="60">
        <v>40403</v>
      </c>
      <c r="C3182" s="7">
        <v>2.3940000000000003E-2</v>
      </c>
      <c r="D3182" s="7">
        <v>2.3940000000000003E-2</v>
      </c>
      <c r="E3182" s="7">
        <v>2.3940000000000003E-2</v>
      </c>
      <c r="F3182" s="7">
        <v>2.3940000000000003E-2</v>
      </c>
      <c r="G3182" s="7">
        <v>-1.2800000000000001E-2</v>
      </c>
    </row>
    <row r="3183" spans="2:7" x14ac:dyDescent="0.2">
      <c r="B3183" s="60">
        <v>40406</v>
      </c>
      <c r="C3183" s="7">
        <v>2.3269999999999999E-2</v>
      </c>
      <c r="D3183" s="7">
        <v>2.3269999999999999E-2</v>
      </c>
      <c r="E3183" s="7">
        <v>2.3269999999999999E-2</v>
      </c>
      <c r="F3183" s="7">
        <v>2.3269999999999999E-2</v>
      </c>
      <c r="G3183" s="7">
        <v>-2.8000000000000001E-2</v>
      </c>
    </row>
    <row r="3184" spans="2:7" x14ac:dyDescent="0.2">
      <c r="B3184" s="60">
        <v>40407</v>
      </c>
      <c r="C3184" s="7">
        <v>2.368E-2</v>
      </c>
      <c r="D3184" s="7">
        <v>2.368E-2</v>
      </c>
      <c r="E3184" s="7">
        <v>2.368E-2</v>
      </c>
      <c r="F3184" s="7">
        <v>2.368E-2</v>
      </c>
      <c r="G3184" s="7">
        <v>1.7600000000000001E-2</v>
      </c>
    </row>
    <row r="3185" spans="2:7" x14ac:dyDescent="0.2">
      <c r="B3185" s="60">
        <v>40408</v>
      </c>
      <c r="C3185" s="7">
        <v>2.3230000000000001E-2</v>
      </c>
      <c r="D3185" s="7">
        <v>2.3230000000000001E-2</v>
      </c>
      <c r="E3185" s="7">
        <v>2.3230000000000001E-2</v>
      </c>
      <c r="F3185" s="7">
        <v>2.3230000000000001E-2</v>
      </c>
      <c r="G3185" s="7">
        <v>-1.9E-2</v>
      </c>
    </row>
    <row r="3186" spans="2:7" x14ac:dyDescent="0.2">
      <c r="B3186" s="60">
        <v>40409</v>
      </c>
      <c r="C3186" s="7">
        <v>2.3029999999999998E-2</v>
      </c>
      <c r="D3186" s="7">
        <v>2.3029999999999998E-2</v>
      </c>
      <c r="E3186" s="7">
        <v>2.3029999999999998E-2</v>
      </c>
      <c r="F3186" s="7">
        <v>2.3029999999999998E-2</v>
      </c>
      <c r="G3186" s="7">
        <v>-8.6E-3</v>
      </c>
    </row>
    <row r="3187" spans="2:7" x14ac:dyDescent="0.2">
      <c r="B3187" s="60">
        <v>40410</v>
      </c>
      <c r="C3187" s="7">
        <v>2.2669999999999999E-2</v>
      </c>
      <c r="D3187" s="7">
        <v>2.2669999999999999E-2</v>
      </c>
      <c r="E3187" s="7">
        <v>2.2669999999999999E-2</v>
      </c>
      <c r="F3187" s="7">
        <v>2.2669999999999999E-2</v>
      </c>
      <c r="G3187" s="7">
        <v>-1.5599999999999999E-2</v>
      </c>
    </row>
    <row r="3188" spans="2:7" x14ac:dyDescent="0.2">
      <c r="B3188" s="60">
        <v>40413</v>
      </c>
      <c r="C3188" s="7">
        <v>2.2850000000000002E-2</v>
      </c>
      <c r="D3188" s="7">
        <v>2.2850000000000002E-2</v>
      </c>
      <c r="E3188" s="7">
        <v>2.2850000000000002E-2</v>
      </c>
      <c r="F3188" s="7">
        <v>2.2850000000000002E-2</v>
      </c>
      <c r="G3188" s="7">
        <v>7.9000000000000008E-3</v>
      </c>
    </row>
    <row r="3189" spans="2:7" x14ac:dyDescent="0.2">
      <c r="B3189" s="60">
        <v>40414</v>
      </c>
      <c r="C3189" s="7">
        <v>2.18E-2</v>
      </c>
      <c r="D3189" s="7">
        <v>2.18E-2</v>
      </c>
      <c r="E3189" s="7">
        <v>2.18E-2</v>
      </c>
      <c r="F3189" s="7">
        <v>2.18E-2</v>
      </c>
      <c r="G3189" s="7">
        <v>-4.5999999999999999E-2</v>
      </c>
    </row>
    <row r="3190" spans="2:7" x14ac:dyDescent="0.2">
      <c r="B3190" s="60">
        <v>40415</v>
      </c>
      <c r="C3190" s="7">
        <v>2.1429999999999998E-2</v>
      </c>
      <c r="D3190" s="7">
        <v>2.1429999999999998E-2</v>
      </c>
      <c r="E3190" s="7">
        <v>2.1429999999999998E-2</v>
      </c>
      <c r="F3190" s="7">
        <v>2.1429999999999998E-2</v>
      </c>
      <c r="G3190" s="7">
        <v>-1.7000000000000001E-2</v>
      </c>
    </row>
    <row r="3191" spans="2:7" x14ac:dyDescent="0.2">
      <c r="B3191" s="60">
        <v>40416</v>
      </c>
      <c r="C3191" s="7">
        <v>2.146E-2</v>
      </c>
      <c r="D3191" s="7">
        <v>2.146E-2</v>
      </c>
      <c r="E3191" s="7">
        <v>2.146E-2</v>
      </c>
      <c r="F3191" s="7">
        <v>2.146E-2</v>
      </c>
      <c r="G3191" s="7">
        <v>1.4E-3</v>
      </c>
    </row>
    <row r="3192" spans="2:7" x14ac:dyDescent="0.2">
      <c r="B3192" s="60">
        <v>40417</v>
      </c>
      <c r="C3192" s="7">
        <v>2.2029999999999998E-2</v>
      </c>
      <c r="D3192" s="7">
        <v>2.2029999999999998E-2</v>
      </c>
      <c r="E3192" s="7">
        <v>2.2029999999999998E-2</v>
      </c>
      <c r="F3192" s="7">
        <v>2.2029999999999998E-2</v>
      </c>
      <c r="G3192" s="7">
        <v>2.6599999999999999E-2</v>
      </c>
    </row>
    <row r="3193" spans="2:7" x14ac:dyDescent="0.2">
      <c r="B3193" s="60">
        <v>40420</v>
      </c>
      <c r="C3193" s="7">
        <v>2.129E-2</v>
      </c>
      <c r="D3193" s="7">
        <v>2.129E-2</v>
      </c>
      <c r="E3193" s="7">
        <v>2.129E-2</v>
      </c>
      <c r="F3193" s="7">
        <v>2.129E-2</v>
      </c>
      <c r="G3193" s="7">
        <v>-3.3599999999999998E-2</v>
      </c>
    </row>
    <row r="3194" spans="2:7" x14ac:dyDescent="0.2">
      <c r="B3194" s="60">
        <v>40421</v>
      </c>
      <c r="C3194" s="7">
        <v>2.1150000000000002E-2</v>
      </c>
      <c r="D3194" s="7">
        <v>2.1150000000000002E-2</v>
      </c>
      <c r="E3194" s="7">
        <v>2.1150000000000002E-2</v>
      </c>
      <c r="F3194" s="7">
        <v>2.1150000000000002E-2</v>
      </c>
      <c r="G3194" s="7">
        <v>-6.6E-3</v>
      </c>
    </row>
    <row r="3195" spans="2:7" x14ac:dyDescent="0.2">
      <c r="B3195" s="60">
        <v>40422</v>
      </c>
      <c r="C3195" s="7">
        <v>2.223E-2</v>
      </c>
      <c r="D3195" s="7">
        <v>2.223E-2</v>
      </c>
      <c r="E3195" s="7">
        <v>2.223E-2</v>
      </c>
      <c r="F3195" s="7">
        <v>2.223E-2</v>
      </c>
      <c r="G3195" s="7">
        <v>5.11E-2</v>
      </c>
    </row>
    <row r="3196" spans="2:7" x14ac:dyDescent="0.2">
      <c r="B3196" s="60">
        <v>40423</v>
      </c>
      <c r="C3196" s="7">
        <v>2.2780000000000002E-2</v>
      </c>
      <c r="D3196" s="7">
        <v>2.2780000000000002E-2</v>
      </c>
      <c r="E3196" s="7">
        <v>2.2780000000000002E-2</v>
      </c>
      <c r="F3196" s="7">
        <v>2.2780000000000002E-2</v>
      </c>
      <c r="G3196" s="7">
        <v>2.47E-2</v>
      </c>
    </row>
    <row r="3197" spans="2:7" x14ac:dyDescent="0.2">
      <c r="B3197" s="60">
        <v>40424</v>
      </c>
      <c r="C3197" s="7">
        <v>2.3550000000000001E-2</v>
      </c>
      <c r="D3197" s="7">
        <v>2.3550000000000001E-2</v>
      </c>
      <c r="E3197" s="7">
        <v>2.3550000000000001E-2</v>
      </c>
      <c r="F3197" s="7">
        <v>2.3550000000000001E-2</v>
      </c>
      <c r="G3197" s="7">
        <v>3.3799999999999997E-2</v>
      </c>
    </row>
    <row r="3198" spans="2:7" x14ac:dyDescent="0.2">
      <c r="B3198" s="60">
        <v>40427</v>
      </c>
      <c r="C3198" s="7">
        <v>2.3460000000000002E-2</v>
      </c>
      <c r="D3198" s="7">
        <v>2.3460000000000002E-2</v>
      </c>
      <c r="E3198" s="7">
        <v>2.3460000000000002E-2</v>
      </c>
      <c r="F3198" s="7">
        <v>2.3460000000000002E-2</v>
      </c>
      <c r="G3198" s="7">
        <v>-3.8E-3</v>
      </c>
    </row>
    <row r="3199" spans="2:7" x14ac:dyDescent="0.2">
      <c r="B3199" s="60">
        <v>40428</v>
      </c>
      <c r="C3199" s="7">
        <v>2.273E-2</v>
      </c>
      <c r="D3199" s="7">
        <v>2.273E-2</v>
      </c>
      <c r="E3199" s="7">
        <v>2.273E-2</v>
      </c>
      <c r="F3199" s="7">
        <v>2.273E-2</v>
      </c>
      <c r="G3199" s="7">
        <v>-3.1099999999999999E-2</v>
      </c>
    </row>
    <row r="3200" spans="2:7" x14ac:dyDescent="0.2">
      <c r="B3200" s="60">
        <v>40429</v>
      </c>
      <c r="C3200" s="7">
        <v>2.2949999999999998E-2</v>
      </c>
      <c r="D3200" s="7">
        <v>2.2949999999999998E-2</v>
      </c>
      <c r="E3200" s="7">
        <v>2.2949999999999998E-2</v>
      </c>
      <c r="F3200" s="7">
        <v>2.2949999999999998E-2</v>
      </c>
      <c r="G3200" s="7">
        <v>9.7000000000000003E-3</v>
      </c>
    </row>
    <row r="3201" spans="2:7" x14ac:dyDescent="0.2">
      <c r="B3201" s="60">
        <v>40430</v>
      </c>
      <c r="C3201" s="7">
        <v>2.3390000000000001E-2</v>
      </c>
      <c r="D3201" s="7">
        <v>2.3390000000000001E-2</v>
      </c>
      <c r="E3201" s="7">
        <v>2.3390000000000001E-2</v>
      </c>
      <c r="F3201" s="7">
        <v>2.3390000000000001E-2</v>
      </c>
      <c r="G3201" s="7">
        <v>1.9199999999999998E-2</v>
      </c>
    </row>
    <row r="3202" spans="2:7" x14ac:dyDescent="0.2">
      <c r="B3202" s="60">
        <v>40431</v>
      </c>
      <c r="C3202" s="7">
        <v>2.4089999999999997E-2</v>
      </c>
      <c r="D3202" s="7">
        <v>2.4089999999999997E-2</v>
      </c>
      <c r="E3202" s="7">
        <v>2.4089999999999997E-2</v>
      </c>
      <c r="F3202" s="7">
        <v>2.4089999999999997E-2</v>
      </c>
      <c r="G3202" s="7">
        <v>2.9899999999999999E-2</v>
      </c>
    </row>
    <row r="3203" spans="2:7" x14ac:dyDescent="0.2">
      <c r="B3203" s="60">
        <v>40434</v>
      </c>
      <c r="C3203" s="7">
        <v>2.436E-2</v>
      </c>
      <c r="D3203" s="7">
        <v>2.436E-2</v>
      </c>
      <c r="E3203" s="7">
        <v>2.436E-2</v>
      </c>
      <c r="F3203" s="7">
        <v>2.436E-2</v>
      </c>
      <c r="G3203" s="7">
        <v>1.12E-2</v>
      </c>
    </row>
    <row r="3204" spans="2:7" x14ac:dyDescent="0.2">
      <c r="B3204" s="60">
        <v>40435</v>
      </c>
      <c r="C3204" s="7">
        <v>2.376E-2</v>
      </c>
      <c r="D3204" s="7">
        <v>2.376E-2</v>
      </c>
      <c r="E3204" s="7">
        <v>2.376E-2</v>
      </c>
      <c r="F3204" s="7">
        <v>2.376E-2</v>
      </c>
      <c r="G3204" s="7">
        <v>-2.46E-2</v>
      </c>
    </row>
    <row r="3205" spans="2:7" x14ac:dyDescent="0.2">
      <c r="B3205" s="60">
        <v>40436</v>
      </c>
      <c r="C3205" s="7">
        <v>2.4060000000000002E-2</v>
      </c>
      <c r="D3205" s="7">
        <v>2.4060000000000002E-2</v>
      </c>
      <c r="E3205" s="7">
        <v>2.4060000000000002E-2</v>
      </c>
      <c r="F3205" s="7">
        <v>2.4060000000000002E-2</v>
      </c>
      <c r="G3205" s="7">
        <v>1.26E-2</v>
      </c>
    </row>
    <row r="3206" spans="2:7" x14ac:dyDescent="0.2">
      <c r="B3206" s="60">
        <v>40437</v>
      </c>
      <c r="C3206" s="7">
        <v>2.4860000000000004E-2</v>
      </c>
      <c r="D3206" s="7">
        <v>2.4860000000000004E-2</v>
      </c>
      <c r="E3206" s="7">
        <v>2.4860000000000004E-2</v>
      </c>
      <c r="F3206" s="7">
        <v>2.4860000000000004E-2</v>
      </c>
      <c r="G3206" s="7">
        <v>3.3300000000000003E-2</v>
      </c>
    </row>
    <row r="3207" spans="2:7" x14ac:dyDescent="0.2">
      <c r="B3207" s="60">
        <v>40438</v>
      </c>
      <c r="C3207" s="7">
        <v>2.4220000000000002E-2</v>
      </c>
      <c r="D3207" s="7">
        <v>2.4220000000000002E-2</v>
      </c>
      <c r="E3207" s="7">
        <v>2.4220000000000002E-2</v>
      </c>
      <c r="F3207" s="7">
        <v>2.4220000000000002E-2</v>
      </c>
      <c r="G3207" s="7">
        <v>-2.5700000000000001E-2</v>
      </c>
    </row>
    <row r="3208" spans="2:7" x14ac:dyDescent="0.2">
      <c r="B3208" s="60">
        <v>40441</v>
      </c>
      <c r="C3208" s="7">
        <v>2.477E-2</v>
      </c>
      <c r="D3208" s="7">
        <v>2.477E-2</v>
      </c>
      <c r="E3208" s="7">
        <v>2.477E-2</v>
      </c>
      <c r="F3208" s="7">
        <v>2.477E-2</v>
      </c>
      <c r="G3208" s="7">
        <v>2.2700000000000001E-2</v>
      </c>
    </row>
    <row r="3209" spans="2:7" x14ac:dyDescent="0.2">
      <c r="B3209" s="60">
        <v>40442</v>
      </c>
      <c r="C3209" s="7">
        <v>2.452E-2</v>
      </c>
      <c r="D3209" s="7">
        <v>2.452E-2</v>
      </c>
      <c r="E3209" s="7">
        <v>2.452E-2</v>
      </c>
      <c r="F3209" s="7">
        <v>2.452E-2</v>
      </c>
      <c r="G3209" s="7">
        <v>-1.01E-2</v>
      </c>
    </row>
    <row r="3210" spans="2:7" x14ac:dyDescent="0.2">
      <c r="B3210" s="60">
        <v>40443</v>
      </c>
      <c r="C3210" s="7">
        <v>2.349E-2</v>
      </c>
      <c r="D3210" s="7">
        <v>2.349E-2</v>
      </c>
      <c r="E3210" s="7">
        <v>2.349E-2</v>
      </c>
      <c r="F3210" s="7">
        <v>2.349E-2</v>
      </c>
      <c r="G3210" s="7">
        <v>-4.2000000000000003E-2</v>
      </c>
    </row>
    <row r="3211" spans="2:7" x14ac:dyDescent="0.2">
      <c r="B3211" s="60">
        <v>40444</v>
      </c>
      <c r="C3211" s="7">
        <v>2.2970000000000001E-2</v>
      </c>
      <c r="D3211" s="7">
        <v>2.2970000000000001E-2</v>
      </c>
      <c r="E3211" s="7">
        <v>2.2970000000000001E-2</v>
      </c>
      <c r="F3211" s="7">
        <v>2.2970000000000001E-2</v>
      </c>
      <c r="G3211" s="7">
        <v>-2.2100000000000002E-2</v>
      </c>
    </row>
    <row r="3212" spans="2:7" x14ac:dyDescent="0.2">
      <c r="B3212" s="60">
        <v>40445</v>
      </c>
      <c r="C3212" s="7">
        <v>2.3479999999999997E-2</v>
      </c>
      <c r="D3212" s="7">
        <v>2.3479999999999997E-2</v>
      </c>
      <c r="E3212" s="7">
        <v>2.3479999999999997E-2</v>
      </c>
      <c r="F3212" s="7">
        <v>2.3479999999999997E-2</v>
      </c>
      <c r="G3212" s="7">
        <v>2.2200000000000001E-2</v>
      </c>
    </row>
    <row r="3213" spans="2:7" x14ac:dyDescent="0.2">
      <c r="B3213" s="60">
        <v>40448</v>
      </c>
      <c r="C3213" s="7">
        <v>2.2780000000000002E-2</v>
      </c>
      <c r="D3213" s="7">
        <v>2.2780000000000002E-2</v>
      </c>
      <c r="E3213" s="7">
        <v>2.2780000000000002E-2</v>
      </c>
      <c r="F3213" s="7">
        <v>2.2780000000000002E-2</v>
      </c>
      <c r="G3213" s="7">
        <v>-2.98E-2</v>
      </c>
    </row>
    <row r="3214" spans="2:7" x14ac:dyDescent="0.2">
      <c r="B3214" s="60">
        <v>40449</v>
      </c>
      <c r="C3214" s="7">
        <v>2.2499999999999999E-2</v>
      </c>
      <c r="D3214" s="7">
        <v>2.2499999999999999E-2</v>
      </c>
      <c r="E3214" s="7">
        <v>2.2499999999999999E-2</v>
      </c>
      <c r="F3214" s="7">
        <v>2.2499999999999999E-2</v>
      </c>
      <c r="G3214" s="7">
        <v>-1.23E-2</v>
      </c>
    </row>
    <row r="3215" spans="2:7" x14ac:dyDescent="0.2">
      <c r="B3215" s="60">
        <v>40450</v>
      </c>
      <c r="C3215" s="7">
        <v>2.2370000000000001E-2</v>
      </c>
      <c r="D3215" s="7">
        <v>2.2370000000000001E-2</v>
      </c>
      <c r="E3215" s="7">
        <v>2.2370000000000001E-2</v>
      </c>
      <c r="F3215" s="7">
        <v>2.2370000000000001E-2</v>
      </c>
      <c r="G3215" s="7">
        <v>-5.7999999999999996E-3</v>
      </c>
    </row>
    <row r="3216" spans="2:7" x14ac:dyDescent="0.2">
      <c r="B3216" s="60">
        <v>40451</v>
      </c>
      <c r="C3216" s="7">
        <v>2.2709999999999998E-2</v>
      </c>
      <c r="D3216" s="7">
        <v>2.2709999999999998E-2</v>
      </c>
      <c r="E3216" s="7">
        <v>2.2709999999999998E-2</v>
      </c>
      <c r="F3216" s="7">
        <v>2.2709999999999998E-2</v>
      </c>
      <c r="G3216" s="7">
        <v>1.52E-2</v>
      </c>
    </row>
    <row r="3217" spans="2:7" x14ac:dyDescent="0.2">
      <c r="B3217" s="60">
        <v>40452</v>
      </c>
      <c r="C3217" s="7">
        <v>2.2789999999999998E-2</v>
      </c>
      <c r="D3217" s="7">
        <v>2.2789999999999998E-2</v>
      </c>
      <c r="E3217" s="7">
        <v>2.2789999999999998E-2</v>
      </c>
      <c r="F3217" s="7">
        <v>2.2789999999999998E-2</v>
      </c>
      <c r="G3217" s="7">
        <v>3.5000000000000001E-3</v>
      </c>
    </row>
    <row r="3218" spans="2:7" x14ac:dyDescent="0.2">
      <c r="B3218" s="60">
        <v>40455</v>
      </c>
      <c r="C3218" s="7">
        <v>2.2519999999999998E-2</v>
      </c>
      <c r="D3218" s="7">
        <v>2.2519999999999998E-2</v>
      </c>
      <c r="E3218" s="7">
        <v>2.2519999999999998E-2</v>
      </c>
      <c r="F3218" s="7">
        <v>2.2519999999999998E-2</v>
      </c>
      <c r="G3218" s="7">
        <v>-1.18E-2</v>
      </c>
    </row>
    <row r="3219" spans="2:7" x14ac:dyDescent="0.2">
      <c r="B3219" s="60">
        <v>40456</v>
      </c>
      <c r="C3219" s="7">
        <v>2.291E-2</v>
      </c>
      <c r="D3219" s="7">
        <v>2.291E-2</v>
      </c>
      <c r="E3219" s="7">
        <v>2.291E-2</v>
      </c>
      <c r="F3219" s="7">
        <v>2.291E-2</v>
      </c>
      <c r="G3219" s="7">
        <v>1.7299999999999999E-2</v>
      </c>
    </row>
    <row r="3220" spans="2:7" x14ac:dyDescent="0.2">
      <c r="B3220" s="60">
        <v>40457</v>
      </c>
      <c r="C3220" s="7">
        <v>2.2200000000000001E-2</v>
      </c>
      <c r="D3220" s="7">
        <v>2.2200000000000001E-2</v>
      </c>
      <c r="E3220" s="7">
        <v>2.2200000000000001E-2</v>
      </c>
      <c r="F3220" s="7">
        <v>2.2200000000000001E-2</v>
      </c>
      <c r="G3220" s="7">
        <v>-3.1E-2</v>
      </c>
    </row>
    <row r="3221" spans="2:7" x14ac:dyDescent="0.2">
      <c r="B3221" s="60">
        <v>40458</v>
      </c>
      <c r="C3221" s="7">
        <v>2.2700000000000001E-2</v>
      </c>
      <c r="D3221" s="7">
        <v>2.2700000000000001E-2</v>
      </c>
      <c r="E3221" s="7">
        <v>2.2700000000000001E-2</v>
      </c>
      <c r="F3221" s="7">
        <v>2.2700000000000001E-2</v>
      </c>
      <c r="G3221" s="7">
        <v>2.2499999999999999E-2</v>
      </c>
    </row>
    <row r="3222" spans="2:7" x14ac:dyDescent="0.2">
      <c r="B3222" s="60">
        <v>40459</v>
      </c>
      <c r="C3222" s="7">
        <v>2.2550000000000001E-2</v>
      </c>
      <c r="D3222" s="7">
        <v>2.2550000000000001E-2</v>
      </c>
      <c r="E3222" s="7">
        <v>2.2550000000000001E-2</v>
      </c>
      <c r="F3222" s="7">
        <v>2.2550000000000001E-2</v>
      </c>
      <c r="G3222" s="7">
        <v>-6.6E-3</v>
      </c>
    </row>
    <row r="3223" spans="2:7" x14ac:dyDescent="0.2">
      <c r="B3223" s="60">
        <v>40462</v>
      </c>
      <c r="C3223" s="7">
        <v>2.2709999999999998E-2</v>
      </c>
      <c r="D3223" s="7">
        <v>2.2709999999999998E-2</v>
      </c>
      <c r="E3223" s="7">
        <v>2.2709999999999998E-2</v>
      </c>
      <c r="F3223" s="7">
        <v>2.2709999999999998E-2</v>
      </c>
      <c r="G3223" s="7">
        <v>7.1000000000000004E-3</v>
      </c>
    </row>
    <row r="3224" spans="2:7" x14ac:dyDescent="0.2">
      <c r="B3224" s="60">
        <v>40463</v>
      </c>
      <c r="C3224" s="7">
        <v>2.2519999999999998E-2</v>
      </c>
      <c r="D3224" s="7">
        <v>2.2519999999999998E-2</v>
      </c>
      <c r="E3224" s="7">
        <v>2.2519999999999998E-2</v>
      </c>
      <c r="F3224" s="7">
        <v>2.2519999999999998E-2</v>
      </c>
      <c r="G3224" s="7">
        <v>-8.3999999999999995E-3</v>
      </c>
    </row>
    <row r="3225" spans="2:7" x14ac:dyDescent="0.2">
      <c r="B3225" s="60">
        <v>40464</v>
      </c>
      <c r="C3225" s="7">
        <v>2.2799999999999997E-2</v>
      </c>
      <c r="D3225" s="7">
        <v>2.2799999999999997E-2</v>
      </c>
      <c r="E3225" s="7">
        <v>2.2799999999999997E-2</v>
      </c>
      <c r="F3225" s="7">
        <v>2.2799999999999997E-2</v>
      </c>
      <c r="G3225" s="7">
        <v>1.24E-2</v>
      </c>
    </row>
    <row r="3226" spans="2:7" x14ac:dyDescent="0.2">
      <c r="B3226" s="60">
        <v>40465</v>
      </c>
      <c r="C3226" s="7">
        <v>2.3029999999999998E-2</v>
      </c>
      <c r="D3226" s="7">
        <v>2.3029999999999998E-2</v>
      </c>
      <c r="E3226" s="7">
        <v>2.3029999999999998E-2</v>
      </c>
      <c r="F3226" s="7">
        <v>2.3029999999999998E-2</v>
      </c>
      <c r="G3226" s="7">
        <v>1.01E-2</v>
      </c>
    </row>
    <row r="3227" spans="2:7" x14ac:dyDescent="0.2">
      <c r="B3227" s="60">
        <v>40466</v>
      </c>
      <c r="C3227" s="7">
        <v>2.3780000000000003E-2</v>
      </c>
      <c r="D3227" s="7">
        <v>2.3780000000000003E-2</v>
      </c>
      <c r="E3227" s="7">
        <v>2.3780000000000003E-2</v>
      </c>
      <c r="F3227" s="7">
        <v>2.3780000000000003E-2</v>
      </c>
      <c r="G3227" s="7">
        <v>3.2599999999999997E-2</v>
      </c>
    </row>
    <row r="3228" spans="2:7" x14ac:dyDescent="0.2">
      <c r="B3228" s="60">
        <v>40469</v>
      </c>
      <c r="C3228" s="7">
        <v>2.3849999999999996E-2</v>
      </c>
      <c r="D3228" s="7">
        <v>2.3849999999999996E-2</v>
      </c>
      <c r="E3228" s="7">
        <v>2.3849999999999996E-2</v>
      </c>
      <c r="F3228" s="7">
        <v>2.3849999999999996E-2</v>
      </c>
      <c r="G3228" s="7">
        <v>2.8999999999999998E-3</v>
      </c>
    </row>
    <row r="3229" spans="2:7" x14ac:dyDescent="0.2">
      <c r="B3229" s="60">
        <v>40470</v>
      </c>
      <c r="C3229" s="7">
        <v>2.4230000000000002E-2</v>
      </c>
      <c r="D3229" s="7">
        <v>2.4230000000000002E-2</v>
      </c>
      <c r="E3229" s="7">
        <v>2.4230000000000002E-2</v>
      </c>
      <c r="F3229" s="7">
        <v>2.4230000000000002E-2</v>
      </c>
      <c r="G3229" s="7">
        <v>1.5900000000000001E-2</v>
      </c>
    </row>
    <row r="3230" spans="2:7" x14ac:dyDescent="0.2">
      <c r="B3230" s="60">
        <v>40471</v>
      </c>
      <c r="C3230" s="7">
        <v>2.4409999999999998E-2</v>
      </c>
      <c r="D3230" s="7">
        <v>2.4409999999999998E-2</v>
      </c>
      <c r="E3230" s="7">
        <v>2.4409999999999998E-2</v>
      </c>
      <c r="F3230" s="7">
        <v>2.4409999999999998E-2</v>
      </c>
      <c r="G3230" s="7">
        <v>7.4000000000000003E-3</v>
      </c>
    </row>
    <row r="3231" spans="2:7" x14ac:dyDescent="0.2">
      <c r="B3231" s="60">
        <v>40472</v>
      </c>
      <c r="C3231" s="7">
        <v>2.4929999999999997E-2</v>
      </c>
      <c r="D3231" s="7">
        <v>2.4929999999999997E-2</v>
      </c>
      <c r="E3231" s="7">
        <v>2.4929999999999997E-2</v>
      </c>
      <c r="F3231" s="7">
        <v>2.4929999999999997E-2</v>
      </c>
      <c r="G3231" s="7">
        <v>2.1299999999999999E-2</v>
      </c>
    </row>
    <row r="3232" spans="2:7" x14ac:dyDescent="0.2">
      <c r="B3232" s="60">
        <v>40473</v>
      </c>
      <c r="C3232" s="7">
        <v>2.479E-2</v>
      </c>
      <c r="D3232" s="7">
        <v>2.479E-2</v>
      </c>
      <c r="E3232" s="7">
        <v>2.479E-2</v>
      </c>
      <c r="F3232" s="7">
        <v>2.479E-2</v>
      </c>
      <c r="G3232" s="7">
        <v>-5.5999999999999999E-3</v>
      </c>
    </row>
    <row r="3233" spans="2:7" x14ac:dyDescent="0.2">
      <c r="B3233" s="60">
        <v>40476</v>
      </c>
      <c r="C3233" s="7">
        <v>2.452E-2</v>
      </c>
      <c r="D3233" s="7">
        <v>2.452E-2</v>
      </c>
      <c r="E3233" s="7">
        <v>2.452E-2</v>
      </c>
      <c r="F3233" s="7">
        <v>2.452E-2</v>
      </c>
      <c r="G3233" s="7">
        <v>-1.09E-2</v>
      </c>
    </row>
    <row r="3234" spans="2:7" x14ac:dyDescent="0.2">
      <c r="B3234" s="60">
        <v>40477</v>
      </c>
      <c r="C3234" s="7">
        <v>2.5070000000000002E-2</v>
      </c>
      <c r="D3234" s="7">
        <v>2.5070000000000002E-2</v>
      </c>
      <c r="E3234" s="7">
        <v>2.5070000000000002E-2</v>
      </c>
      <c r="F3234" s="7">
        <v>2.5070000000000002E-2</v>
      </c>
      <c r="G3234" s="7">
        <v>2.24E-2</v>
      </c>
    </row>
    <row r="3235" spans="2:7" x14ac:dyDescent="0.2">
      <c r="B3235" s="60">
        <v>40478</v>
      </c>
      <c r="C3235" s="7">
        <v>2.5680000000000001E-2</v>
      </c>
      <c r="D3235" s="7">
        <v>2.5680000000000001E-2</v>
      </c>
      <c r="E3235" s="7">
        <v>2.5680000000000001E-2</v>
      </c>
      <c r="F3235" s="7">
        <v>2.5680000000000001E-2</v>
      </c>
      <c r="G3235" s="7">
        <v>2.4299999999999999E-2</v>
      </c>
    </row>
    <row r="3236" spans="2:7" x14ac:dyDescent="0.2">
      <c r="B3236" s="60">
        <v>40479</v>
      </c>
      <c r="C3236" s="7">
        <v>2.5619999999999997E-2</v>
      </c>
      <c r="D3236" s="7">
        <v>2.5619999999999997E-2</v>
      </c>
      <c r="E3236" s="7">
        <v>2.5619999999999997E-2</v>
      </c>
      <c r="F3236" s="7">
        <v>2.5619999999999997E-2</v>
      </c>
      <c r="G3236" s="7">
        <v>-2.3E-3</v>
      </c>
    </row>
    <row r="3237" spans="2:7" x14ac:dyDescent="0.2">
      <c r="B3237" s="60">
        <v>40480</v>
      </c>
      <c r="C3237" s="7">
        <v>2.5219999999999999E-2</v>
      </c>
      <c r="D3237" s="7">
        <v>2.5219999999999999E-2</v>
      </c>
      <c r="E3237" s="7">
        <v>2.5219999999999999E-2</v>
      </c>
      <c r="F3237" s="7">
        <v>2.5219999999999999E-2</v>
      </c>
      <c r="G3237" s="7">
        <v>-1.5599999999999999E-2</v>
      </c>
    </row>
    <row r="3238" spans="2:7" x14ac:dyDescent="0.2">
      <c r="B3238" s="60">
        <v>40483</v>
      </c>
      <c r="C3238" s="7">
        <v>2.477E-2</v>
      </c>
      <c r="D3238" s="7">
        <v>2.477E-2</v>
      </c>
      <c r="E3238" s="7">
        <v>2.477E-2</v>
      </c>
      <c r="F3238" s="7">
        <v>2.477E-2</v>
      </c>
      <c r="G3238" s="7">
        <v>-1.78E-2</v>
      </c>
    </row>
    <row r="3239" spans="2:7" x14ac:dyDescent="0.2">
      <c r="B3239" s="60">
        <v>40484</v>
      </c>
      <c r="C3239" s="7">
        <v>2.4729999999999999E-2</v>
      </c>
      <c r="D3239" s="7">
        <v>2.4729999999999999E-2</v>
      </c>
      <c r="E3239" s="7">
        <v>2.4729999999999999E-2</v>
      </c>
      <c r="F3239" s="7">
        <v>2.4729999999999999E-2</v>
      </c>
      <c r="G3239" s="7">
        <v>-1.6000000000000001E-3</v>
      </c>
    </row>
    <row r="3240" spans="2:7" x14ac:dyDescent="0.2">
      <c r="B3240" s="60">
        <v>40485</v>
      </c>
      <c r="C3240" s="7">
        <v>2.4199999999999999E-2</v>
      </c>
      <c r="D3240" s="7">
        <v>2.4199999999999999E-2</v>
      </c>
      <c r="E3240" s="7">
        <v>2.4199999999999999E-2</v>
      </c>
      <c r="F3240" s="7">
        <v>2.4199999999999999E-2</v>
      </c>
      <c r="G3240" s="7">
        <v>-2.1399999999999999E-2</v>
      </c>
    </row>
    <row r="3241" spans="2:7" x14ac:dyDescent="0.2">
      <c r="B3241" s="60">
        <v>40486</v>
      </c>
      <c r="C3241" s="7">
        <v>2.3879999999999998E-2</v>
      </c>
      <c r="D3241" s="7">
        <v>2.3879999999999998E-2</v>
      </c>
      <c r="E3241" s="7">
        <v>2.3879999999999998E-2</v>
      </c>
      <c r="F3241" s="7">
        <v>2.3879999999999998E-2</v>
      </c>
      <c r="G3241" s="7">
        <v>-1.32E-2</v>
      </c>
    </row>
    <row r="3242" spans="2:7" x14ac:dyDescent="0.2">
      <c r="B3242" s="60">
        <v>40487</v>
      </c>
      <c r="C3242" s="7">
        <v>2.4230000000000002E-2</v>
      </c>
      <c r="D3242" s="7">
        <v>2.4230000000000002E-2</v>
      </c>
      <c r="E3242" s="7">
        <v>2.4230000000000002E-2</v>
      </c>
      <c r="F3242" s="7">
        <v>2.4230000000000002E-2</v>
      </c>
      <c r="G3242" s="7">
        <v>1.47E-2</v>
      </c>
    </row>
    <row r="3243" spans="2:7" x14ac:dyDescent="0.2">
      <c r="B3243" s="60">
        <v>40490</v>
      </c>
      <c r="C3243" s="7">
        <v>2.3889999999999998E-2</v>
      </c>
      <c r="D3243" s="7">
        <v>2.3889999999999998E-2</v>
      </c>
      <c r="E3243" s="7">
        <v>2.3889999999999998E-2</v>
      </c>
      <c r="F3243" s="7">
        <v>2.3889999999999998E-2</v>
      </c>
      <c r="G3243" s="7">
        <v>-1.4E-2</v>
      </c>
    </row>
    <row r="3244" spans="2:7" x14ac:dyDescent="0.2">
      <c r="B3244" s="60">
        <v>40491</v>
      </c>
      <c r="C3244" s="7">
        <v>2.4150000000000001E-2</v>
      </c>
      <c r="D3244" s="7">
        <v>2.4150000000000001E-2</v>
      </c>
      <c r="E3244" s="7">
        <v>2.4150000000000001E-2</v>
      </c>
      <c r="F3244" s="7">
        <v>2.4150000000000001E-2</v>
      </c>
      <c r="G3244" s="7">
        <v>1.09E-2</v>
      </c>
    </row>
    <row r="3245" spans="2:7" x14ac:dyDescent="0.2">
      <c r="B3245" s="60">
        <v>40492</v>
      </c>
      <c r="C3245" s="7">
        <v>2.4380000000000002E-2</v>
      </c>
      <c r="D3245" s="7">
        <v>2.4380000000000002E-2</v>
      </c>
      <c r="E3245" s="7">
        <v>2.4380000000000002E-2</v>
      </c>
      <c r="F3245" s="7">
        <v>2.4380000000000002E-2</v>
      </c>
      <c r="G3245" s="7">
        <v>9.4999999999999998E-3</v>
      </c>
    </row>
    <row r="3246" spans="2:7" x14ac:dyDescent="0.2">
      <c r="B3246" s="60">
        <v>40493</v>
      </c>
      <c r="C3246" s="7">
        <v>2.4220000000000002E-2</v>
      </c>
      <c r="D3246" s="7">
        <v>2.4220000000000002E-2</v>
      </c>
      <c r="E3246" s="7">
        <v>2.4220000000000002E-2</v>
      </c>
      <c r="F3246" s="7">
        <v>2.4220000000000002E-2</v>
      </c>
      <c r="G3246" s="7">
        <v>-6.6E-3</v>
      </c>
    </row>
    <row r="3247" spans="2:7" x14ac:dyDescent="0.2">
      <c r="B3247" s="60">
        <v>40494</v>
      </c>
      <c r="C3247" s="7">
        <v>2.5160000000000002E-2</v>
      </c>
      <c r="D3247" s="7">
        <v>2.5160000000000002E-2</v>
      </c>
      <c r="E3247" s="7">
        <v>2.5160000000000002E-2</v>
      </c>
      <c r="F3247" s="7">
        <v>2.5160000000000002E-2</v>
      </c>
      <c r="G3247" s="7">
        <v>3.8800000000000001E-2</v>
      </c>
    </row>
    <row r="3248" spans="2:7" x14ac:dyDescent="0.2">
      <c r="B3248" s="60">
        <v>40497</v>
      </c>
      <c r="C3248" s="7">
        <v>2.5659999999999999E-2</v>
      </c>
      <c r="D3248" s="7">
        <v>2.5659999999999999E-2</v>
      </c>
      <c r="E3248" s="7">
        <v>2.5659999999999999E-2</v>
      </c>
      <c r="F3248" s="7">
        <v>2.5659999999999999E-2</v>
      </c>
      <c r="G3248" s="7">
        <v>1.9900000000000001E-2</v>
      </c>
    </row>
    <row r="3249" spans="2:7" x14ac:dyDescent="0.2">
      <c r="B3249" s="60">
        <v>40498</v>
      </c>
      <c r="C3249" s="7">
        <v>2.6259999999999999E-2</v>
      </c>
      <c r="D3249" s="7">
        <v>2.6259999999999999E-2</v>
      </c>
      <c r="E3249" s="7">
        <v>2.6259999999999999E-2</v>
      </c>
      <c r="F3249" s="7">
        <v>2.6259999999999999E-2</v>
      </c>
      <c r="G3249" s="7">
        <v>2.3400000000000001E-2</v>
      </c>
    </row>
    <row r="3250" spans="2:7" x14ac:dyDescent="0.2">
      <c r="B3250" s="60">
        <v>40499</v>
      </c>
      <c r="C3250" s="7">
        <v>2.6019999999999998E-2</v>
      </c>
      <c r="D3250" s="7">
        <v>2.6019999999999998E-2</v>
      </c>
      <c r="E3250" s="7">
        <v>2.6019999999999998E-2</v>
      </c>
      <c r="F3250" s="7">
        <v>2.6019999999999998E-2</v>
      </c>
      <c r="G3250" s="7">
        <v>-9.1000000000000004E-3</v>
      </c>
    </row>
    <row r="3251" spans="2:7" x14ac:dyDescent="0.2">
      <c r="B3251" s="60">
        <v>40500</v>
      </c>
      <c r="C3251" s="7">
        <v>2.7080000000000003E-2</v>
      </c>
      <c r="D3251" s="7">
        <v>2.7080000000000003E-2</v>
      </c>
      <c r="E3251" s="7">
        <v>2.7080000000000003E-2</v>
      </c>
      <c r="F3251" s="7">
        <v>2.7080000000000003E-2</v>
      </c>
      <c r="G3251" s="7">
        <v>4.07E-2</v>
      </c>
    </row>
    <row r="3252" spans="2:7" x14ac:dyDescent="0.2">
      <c r="B3252" s="60">
        <v>40501</v>
      </c>
      <c r="C3252" s="7">
        <v>2.7050000000000001E-2</v>
      </c>
      <c r="D3252" s="7">
        <v>2.7050000000000001E-2</v>
      </c>
      <c r="E3252" s="7">
        <v>2.7050000000000001E-2</v>
      </c>
      <c r="F3252" s="7">
        <v>2.7050000000000001E-2</v>
      </c>
      <c r="G3252" s="7">
        <v>-1.1000000000000001E-3</v>
      </c>
    </row>
    <row r="3253" spans="2:7" x14ac:dyDescent="0.2">
      <c r="B3253" s="60">
        <v>40504</v>
      </c>
      <c r="C3253" s="7">
        <v>2.6610000000000002E-2</v>
      </c>
      <c r="D3253" s="7">
        <v>2.6610000000000002E-2</v>
      </c>
      <c r="E3253" s="7">
        <v>2.6610000000000002E-2</v>
      </c>
      <c r="F3253" s="7">
        <v>2.6610000000000002E-2</v>
      </c>
      <c r="G3253" s="7">
        <v>-1.6299999999999999E-2</v>
      </c>
    </row>
    <row r="3254" spans="2:7" x14ac:dyDescent="0.2">
      <c r="B3254" s="60">
        <v>40505</v>
      </c>
      <c r="C3254" s="7">
        <v>2.5520000000000001E-2</v>
      </c>
      <c r="D3254" s="7">
        <v>2.5520000000000001E-2</v>
      </c>
      <c r="E3254" s="7">
        <v>2.5520000000000001E-2</v>
      </c>
      <c r="F3254" s="7">
        <v>2.5520000000000001E-2</v>
      </c>
      <c r="G3254" s="7">
        <v>-4.1000000000000002E-2</v>
      </c>
    </row>
    <row r="3255" spans="2:7" x14ac:dyDescent="0.2">
      <c r="B3255" s="60">
        <v>40506</v>
      </c>
      <c r="C3255" s="7">
        <v>2.6629999999999997E-2</v>
      </c>
      <c r="D3255" s="7">
        <v>2.6629999999999997E-2</v>
      </c>
      <c r="E3255" s="7">
        <v>2.6629999999999997E-2</v>
      </c>
      <c r="F3255" s="7">
        <v>2.6629999999999997E-2</v>
      </c>
      <c r="G3255" s="7">
        <v>4.3499999999999997E-2</v>
      </c>
    </row>
    <row r="3256" spans="2:7" x14ac:dyDescent="0.2">
      <c r="B3256" s="60">
        <v>40507</v>
      </c>
      <c r="C3256" s="7">
        <v>2.7029999999999998E-2</v>
      </c>
      <c r="D3256" s="7">
        <v>2.7029999999999998E-2</v>
      </c>
      <c r="E3256" s="7">
        <v>2.7029999999999998E-2</v>
      </c>
      <c r="F3256" s="7">
        <v>2.7029999999999998E-2</v>
      </c>
      <c r="G3256" s="7">
        <v>1.4999999999999999E-2</v>
      </c>
    </row>
    <row r="3257" spans="2:7" x14ac:dyDescent="0.2">
      <c r="B3257" s="60">
        <v>40508</v>
      </c>
      <c r="C3257" s="7">
        <v>2.7380000000000002E-2</v>
      </c>
      <c r="D3257" s="7">
        <v>2.7380000000000002E-2</v>
      </c>
      <c r="E3257" s="7">
        <v>2.7380000000000002E-2</v>
      </c>
      <c r="F3257" s="7">
        <v>2.7380000000000002E-2</v>
      </c>
      <c r="G3257" s="7">
        <v>1.29E-2</v>
      </c>
    </row>
    <row r="3258" spans="2:7" x14ac:dyDescent="0.2">
      <c r="B3258" s="60">
        <v>40511</v>
      </c>
      <c r="C3258" s="7">
        <v>2.7610000000000003E-2</v>
      </c>
      <c r="D3258" s="7">
        <v>2.7610000000000003E-2</v>
      </c>
      <c r="E3258" s="7">
        <v>2.7610000000000003E-2</v>
      </c>
      <c r="F3258" s="7">
        <v>2.7610000000000003E-2</v>
      </c>
      <c r="G3258" s="7">
        <v>8.3999999999999995E-3</v>
      </c>
    </row>
    <row r="3259" spans="2:7" x14ac:dyDescent="0.2">
      <c r="B3259" s="60">
        <v>40512</v>
      </c>
      <c r="C3259" s="7">
        <v>2.6749999999999999E-2</v>
      </c>
      <c r="D3259" s="7">
        <v>2.6749999999999999E-2</v>
      </c>
      <c r="E3259" s="7">
        <v>2.6749999999999999E-2</v>
      </c>
      <c r="F3259" s="7">
        <v>2.6749999999999999E-2</v>
      </c>
      <c r="G3259" s="7">
        <v>-3.1099999999999999E-2</v>
      </c>
    </row>
    <row r="3260" spans="2:7" x14ac:dyDescent="0.2">
      <c r="B3260" s="60">
        <v>40513</v>
      </c>
      <c r="C3260" s="7">
        <v>2.7719999999999998E-2</v>
      </c>
      <c r="D3260" s="7">
        <v>2.7719999999999998E-2</v>
      </c>
      <c r="E3260" s="7">
        <v>2.7719999999999998E-2</v>
      </c>
      <c r="F3260" s="7">
        <v>2.7719999999999998E-2</v>
      </c>
      <c r="G3260" s="7">
        <v>3.6299999999999999E-2</v>
      </c>
    </row>
    <row r="3261" spans="2:7" x14ac:dyDescent="0.2">
      <c r="B3261" s="60">
        <v>40514</v>
      </c>
      <c r="C3261" s="7">
        <v>2.8170000000000001E-2</v>
      </c>
      <c r="D3261" s="7">
        <v>2.8170000000000001E-2</v>
      </c>
      <c r="E3261" s="7">
        <v>2.8170000000000001E-2</v>
      </c>
      <c r="F3261" s="7">
        <v>2.8170000000000001E-2</v>
      </c>
      <c r="G3261" s="7">
        <v>1.6199999999999999E-2</v>
      </c>
    </row>
    <row r="3262" spans="2:7" x14ac:dyDescent="0.2">
      <c r="B3262" s="60">
        <v>40515</v>
      </c>
      <c r="C3262" s="7">
        <v>2.8610000000000003E-2</v>
      </c>
      <c r="D3262" s="7">
        <v>2.8610000000000003E-2</v>
      </c>
      <c r="E3262" s="7">
        <v>2.8610000000000003E-2</v>
      </c>
      <c r="F3262" s="7">
        <v>2.8610000000000003E-2</v>
      </c>
      <c r="G3262" s="7">
        <v>1.5599999999999999E-2</v>
      </c>
    </row>
    <row r="3263" spans="2:7" x14ac:dyDescent="0.2">
      <c r="B3263" s="60">
        <v>40518</v>
      </c>
      <c r="C3263" s="7">
        <v>2.86E-2</v>
      </c>
      <c r="D3263" s="7">
        <v>2.86E-2</v>
      </c>
      <c r="E3263" s="7">
        <v>2.86E-2</v>
      </c>
      <c r="F3263" s="7">
        <v>2.86E-2</v>
      </c>
      <c r="G3263" s="7">
        <v>-2.9999999999999997E-4</v>
      </c>
    </row>
    <row r="3264" spans="2:7" x14ac:dyDescent="0.2">
      <c r="B3264" s="60">
        <v>40519</v>
      </c>
      <c r="C3264" s="7">
        <v>2.947E-2</v>
      </c>
      <c r="D3264" s="7">
        <v>2.947E-2</v>
      </c>
      <c r="E3264" s="7">
        <v>2.947E-2</v>
      </c>
      <c r="F3264" s="7">
        <v>2.947E-2</v>
      </c>
      <c r="G3264" s="7">
        <v>3.04E-2</v>
      </c>
    </row>
    <row r="3265" spans="2:7" x14ac:dyDescent="0.2">
      <c r="B3265" s="60">
        <v>40520</v>
      </c>
      <c r="C3265" s="7">
        <v>3.0249999999999999E-2</v>
      </c>
      <c r="D3265" s="7">
        <v>3.0249999999999999E-2</v>
      </c>
      <c r="E3265" s="7">
        <v>3.0249999999999999E-2</v>
      </c>
      <c r="F3265" s="7">
        <v>3.0249999999999999E-2</v>
      </c>
      <c r="G3265" s="7">
        <v>2.6499999999999999E-2</v>
      </c>
    </row>
    <row r="3266" spans="2:7" x14ac:dyDescent="0.2">
      <c r="B3266" s="60">
        <v>40521</v>
      </c>
      <c r="C3266" s="7">
        <v>2.9590000000000002E-2</v>
      </c>
      <c r="D3266" s="7">
        <v>2.9590000000000002E-2</v>
      </c>
      <c r="E3266" s="7">
        <v>2.9590000000000002E-2</v>
      </c>
      <c r="F3266" s="7">
        <v>2.9590000000000002E-2</v>
      </c>
      <c r="G3266" s="7">
        <v>-2.18E-2</v>
      </c>
    </row>
    <row r="3267" spans="2:7" x14ac:dyDescent="0.2">
      <c r="B3267" s="60">
        <v>40522</v>
      </c>
      <c r="C3267" s="7">
        <v>2.9529999999999997E-2</v>
      </c>
      <c r="D3267" s="7">
        <v>2.9529999999999997E-2</v>
      </c>
      <c r="E3267" s="7">
        <v>2.9529999999999997E-2</v>
      </c>
      <c r="F3267" s="7">
        <v>2.9529999999999997E-2</v>
      </c>
      <c r="G3267" s="7">
        <v>-2E-3</v>
      </c>
    </row>
    <row r="3268" spans="2:7" x14ac:dyDescent="0.2">
      <c r="B3268" s="60">
        <v>40525</v>
      </c>
      <c r="C3268" s="7">
        <v>2.9740000000000003E-2</v>
      </c>
      <c r="D3268" s="7">
        <v>2.9740000000000003E-2</v>
      </c>
      <c r="E3268" s="7">
        <v>2.9740000000000003E-2</v>
      </c>
      <c r="F3268" s="7">
        <v>2.9740000000000003E-2</v>
      </c>
      <c r="G3268" s="7">
        <v>7.1000000000000004E-3</v>
      </c>
    </row>
    <row r="3269" spans="2:7" x14ac:dyDescent="0.2">
      <c r="B3269" s="60">
        <v>40526</v>
      </c>
      <c r="C3269" s="7">
        <v>3.0360000000000002E-2</v>
      </c>
      <c r="D3269" s="7">
        <v>3.0360000000000002E-2</v>
      </c>
      <c r="E3269" s="7">
        <v>3.0360000000000002E-2</v>
      </c>
      <c r="F3269" s="7">
        <v>3.0360000000000002E-2</v>
      </c>
      <c r="G3269" s="7">
        <v>2.0799999999999999E-2</v>
      </c>
    </row>
    <row r="3270" spans="2:7" x14ac:dyDescent="0.2">
      <c r="B3270" s="60">
        <v>40527</v>
      </c>
      <c r="C3270" s="7">
        <v>3.0289999999999997E-2</v>
      </c>
      <c r="D3270" s="7">
        <v>3.0289999999999997E-2</v>
      </c>
      <c r="E3270" s="7">
        <v>3.0289999999999997E-2</v>
      </c>
      <c r="F3270" s="7">
        <v>3.0289999999999997E-2</v>
      </c>
      <c r="G3270" s="7">
        <v>-2.3E-3</v>
      </c>
    </row>
    <row r="3271" spans="2:7" x14ac:dyDescent="0.2">
      <c r="B3271" s="60">
        <v>40528</v>
      </c>
      <c r="C3271" s="7">
        <v>3.082E-2</v>
      </c>
      <c r="D3271" s="7">
        <v>3.082E-2</v>
      </c>
      <c r="E3271" s="7">
        <v>3.082E-2</v>
      </c>
      <c r="F3271" s="7">
        <v>3.082E-2</v>
      </c>
      <c r="G3271" s="7">
        <v>1.7500000000000002E-2</v>
      </c>
    </row>
    <row r="3272" spans="2:7" x14ac:dyDescent="0.2">
      <c r="B3272" s="60">
        <v>40529</v>
      </c>
      <c r="C3272" s="7">
        <v>3.023E-2</v>
      </c>
      <c r="D3272" s="7">
        <v>3.023E-2</v>
      </c>
      <c r="E3272" s="7">
        <v>3.023E-2</v>
      </c>
      <c r="F3272" s="7">
        <v>3.023E-2</v>
      </c>
      <c r="G3272" s="7">
        <v>-1.9099999999999999E-2</v>
      </c>
    </row>
    <row r="3273" spans="2:7" x14ac:dyDescent="0.2">
      <c r="B3273" s="60">
        <v>40532</v>
      </c>
      <c r="C3273" s="7">
        <v>2.9679999999999998E-2</v>
      </c>
      <c r="D3273" s="7">
        <v>2.9679999999999998E-2</v>
      </c>
      <c r="E3273" s="7">
        <v>2.9679999999999998E-2</v>
      </c>
      <c r="F3273" s="7">
        <v>2.9679999999999998E-2</v>
      </c>
      <c r="G3273" s="7">
        <v>-1.8200000000000001E-2</v>
      </c>
    </row>
    <row r="3274" spans="2:7" x14ac:dyDescent="0.2">
      <c r="B3274" s="60">
        <v>40533</v>
      </c>
      <c r="C3274" s="7">
        <v>2.98E-2</v>
      </c>
      <c r="D3274" s="7">
        <v>2.98E-2</v>
      </c>
      <c r="E3274" s="7">
        <v>2.98E-2</v>
      </c>
      <c r="F3274" s="7">
        <v>2.98E-2</v>
      </c>
      <c r="G3274" s="7">
        <v>4.0000000000000001E-3</v>
      </c>
    </row>
    <row r="3275" spans="2:7" x14ac:dyDescent="0.2">
      <c r="B3275" s="60">
        <v>40534</v>
      </c>
      <c r="C3275" s="7">
        <v>2.9600000000000001E-2</v>
      </c>
      <c r="D3275" s="7">
        <v>2.9600000000000001E-2</v>
      </c>
      <c r="E3275" s="7">
        <v>2.9600000000000001E-2</v>
      </c>
      <c r="F3275" s="7">
        <v>2.9600000000000001E-2</v>
      </c>
      <c r="G3275" s="7">
        <v>-6.7000000000000002E-3</v>
      </c>
    </row>
    <row r="3276" spans="2:7" x14ac:dyDescent="0.2">
      <c r="B3276" s="60">
        <v>40535</v>
      </c>
      <c r="C3276" s="7">
        <v>2.9820000000000003E-2</v>
      </c>
      <c r="D3276" s="7">
        <v>2.9820000000000003E-2</v>
      </c>
      <c r="E3276" s="7">
        <v>2.9820000000000003E-2</v>
      </c>
      <c r="F3276" s="7">
        <v>2.9820000000000003E-2</v>
      </c>
      <c r="G3276" s="7">
        <v>7.4000000000000003E-3</v>
      </c>
    </row>
    <row r="3277" spans="2:7" x14ac:dyDescent="0.2">
      <c r="B3277" s="60">
        <v>40539</v>
      </c>
      <c r="C3277" s="7">
        <v>3.031E-2</v>
      </c>
      <c r="D3277" s="7">
        <v>3.031E-2</v>
      </c>
      <c r="E3277" s="7">
        <v>3.031E-2</v>
      </c>
      <c r="F3277" s="7">
        <v>3.031E-2</v>
      </c>
      <c r="G3277" s="7">
        <v>1.6400000000000001E-2</v>
      </c>
    </row>
    <row r="3278" spans="2:7" x14ac:dyDescent="0.2">
      <c r="B3278" s="60">
        <v>40540</v>
      </c>
      <c r="C3278" s="7">
        <v>2.9910000000000003E-2</v>
      </c>
      <c r="D3278" s="7">
        <v>2.9910000000000003E-2</v>
      </c>
      <c r="E3278" s="7">
        <v>2.9910000000000003E-2</v>
      </c>
      <c r="F3278" s="7">
        <v>2.9910000000000003E-2</v>
      </c>
      <c r="G3278" s="7">
        <v>-1.32E-2</v>
      </c>
    </row>
    <row r="3279" spans="2:7" x14ac:dyDescent="0.2">
      <c r="B3279" s="60">
        <v>40541</v>
      </c>
      <c r="C3279" s="7">
        <v>3.0120000000000001E-2</v>
      </c>
      <c r="D3279" s="7">
        <v>3.0120000000000001E-2</v>
      </c>
      <c r="E3279" s="7">
        <v>3.0120000000000001E-2</v>
      </c>
      <c r="F3279" s="7">
        <v>3.0120000000000001E-2</v>
      </c>
      <c r="G3279" s="7">
        <v>7.0000000000000001E-3</v>
      </c>
    </row>
    <row r="3280" spans="2:7" x14ac:dyDescent="0.2">
      <c r="B3280" s="60">
        <v>40542</v>
      </c>
      <c r="C3280" s="7">
        <v>2.9489999999999999E-2</v>
      </c>
      <c r="D3280" s="7">
        <v>2.9489999999999999E-2</v>
      </c>
      <c r="E3280" s="7">
        <v>2.9489999999999999E-2</v>
      </c>
      <c r="F3280" s="7">
        <v>2.9489999999999999E-2</v>
      </c>
      <c r="G3280" s="7">
        <v>-2.0899999999999998E-2</v>
      </c>
    </row>
    <row r="3281" spans="2:7" x14ac:dyDescent="0.2">
      <c r="B3281" s="60">
        <v>40546</v>
      </c>
      <c r="C3281" s="7">
        <v>2.9049999999999999E-2</v>
      </c>
      <c r="D3281" s="7">
        <v>2.9049999999999999E-2</v>
      </c>
      <c r="E3281" s="7">
        <v>2.9049999999999999E-2</v>
      </c>
      <c r="F3281" s="7">
        <v>2.9049999999999999E-2</v>
      </c>
      <c r="G3281" s="7">
        <v>-1.49E-2</v>
      </c>
    </row>
    <row r="3282" spans="2:7" x14ac:dyDescent="0.2">
      <c r="B3282" s="60">
        <v>40547</v>
      </c>
      <c r="C3282" s="7">
        <v>2.8910000000000002E-2</v>
      </c>
      <c r="D3282" s="7">
        <v>2.8910000000000002E-2</v>
      </c>
      <c r="E3282" s="7">
        <v>2.8910000000000002E-2</v>
      </c>
      <c r="F3282" s="7">
        <v>2.8910000000000002E-2</v>
      </c>
      <c r="G3282" s="7">
        <v>-4.7999999999999996E-3</v>
      </c>
    </row>
    <row r="3283" spans="2:7" x14ac:dyDescent="0.2">
      <c r="B3283" s="60">
        <v>40548</v>
      </c>
      <c r="C3283" s="7">
        <v>2.954E-2</v>
      </c>
      <c r="D3283" s="7">
        <v>2.954E-2</v>
      </c>
      <c r="E3283" s="7">
        <v>2.954E-2</v>
      </c>
      <c r="F3283" s="7">
        <v>2.954E-2</v>
      </c>
      <c r="G3283" s="7">
        <v>2.18E-2</v>
      </c>
    </row>
    <row r="3284" spans="2:7" x14ac:dyDescent="0.2">
      <c r="B3284" s="60">
        <v>40549</v>
      </c>
      <c r="C3284" s="7">
        <v>2.9239999999999999E-2</v>
      </c>
      <c r="D3284" s="7">
        <v>2.9239999999999999E-2</v>
      </c>
      <c r="E3284" s="7">
        <v>2.9239999999999999E-2</v>
      </c>
      <c r="F3284" s="7">
        <v>2.9239999999999999E-2</v>
      </c>
      <c r="G3284" s="7">
        <v>-1.0200000000000001E-2</v>
      </c>
    </row>
    <row r="3285" spans="2:7" x14ac:dyDescent="0.2">
      <c r="B3285" s="60">
        <v>40550</v>
      </c>
      <c r="C3285" s="7">
        <v>2.862E-2</v>
      </c>
      <c r="D3285" s="7">
        <v>2.862E-2</v>
      </c>
      <c r="E3285" s="7">
        <v>2.862E-2</v>
      </c>
      <c r="F3285" s="7">
        <v>2.862E-2</v>
      </c>
      <c r="G3285" s="7">
        <v>-2.12E-2</v>
      </c>
    </row>
    <row r="3286" spans="2:7" x14ac:dyDescent="0.2">
      <c r="B3286" s="60">
        <v>40553</v>
      </c>
      <c r="C3286" s="7">
        <v>2.8740000000000002E-2</v>
      </c>
      <c r="D3286" s="7">
        <v>2.8740000000000002E-2</v>
      </c>
      <c r="E3286" s="7">
        <v>2.8740000000000002E-2</v>
      </c>
      <c r="F3286" s="7">
        <v>2.8740000000000002E-2</v>
      </c>
      <c r="G3286" s="7">
        <v>4.1999999999999997E-3</v>
      </c>
    </row>
    <row r="3287" spans="2:7" x14ac:dyDescent="0.2">
      <c r="B3287" s="60">
        <v>40554</v>
      </c>
      <c r="C3287" s="7">
        <v>2.9319999999999999E-2</v>
      </c>
      <c r="D3287" s="7">
        <v>2.9319999999999999E-2</v>
      </c>
      <c r="E3287" s="7">
        <v>2.9319999999999999E-2</v>
      </c>
      <c r="F3287" s="7">
        <v>2.9319999999999999E-2</v>
      </c>
      <c r="G3287" s="7">
        <v>2.0199999999999999E-2</v>
      </c>
    </row>
    <row r="3288" spans="2:7" x14ac:dyDescent="0.2">
      <c r="B3288" s="60">
        <v>40555</v>
      </c>
      <c r="C3288" s="7">
        <v>3.058E-2</v>
      </c>
      <c r="D3288" s="7">
        <v>3.058E-2</v>
      </c>
      <c r="E3288" s="7">
        <v>3.058E-2</v>
      </c>
      <c r="F3288" s="7">
        <v>3.058E-2</v>
      </c>
      <c r="G3288" s="7">
        <v>4.2999999999999997E-2</v>
      </c>
    </row>
    <row r="3289" spans="2:7" x14ac:dyDescent="0.2">
      <c r="B3289" s="60">
        <v>40556</v>
      </c>
      <c r="C3289" s="7">
        <v>3.0470000000000001E-2</v>
      </c>
      <c r="D3289" s="7">
        <v>3.0470000000000001E-2</v>
      </c>
      <c r="E3289" s="7">
        <v>3.0470000000000001E-2</v>
      </c>
      <c r="F3289" s="7">
        <v>3.0470000000000001E-2</v>
      </c>
      <c r="G3289" s="7">
        <v>-3.5999999999999999E-3</v>
      </c>
    </row>
    <row r="3290" spans="2:7" x14ac:dyDescent="0.2">
      <c r="B3290" s="60">
        <v>40557</v>
      </c>
      <c r="C3290" s="7">
        <v>3.0329999999999999E-2</v>
      </c>
      <c r="D3290" s="7">
        <v>3.0329999999999999E-2</v>
      </c>
      <c r="E3290" s="7">
        <v>3.0329999999999999E-2</v>
      </c>
      <c r="F3290" s="7">
        <v>3.0329999999999999E-2</v>
      </c>
      <c r="G3290" s="7">
        <v>-4.5999999999999999E-3</v>
      </c>
    </row>
    <row r="3291" spans="2:7" x14ac:dyDescent="0.2">
      <c r="B3291" s="60">
        <v>40560</v>
      </c>
      <c r="C3291" s="7">
        <v>3.04E-2</v>
      </c>
      <c r="D3291" s="7">
        <v>3.04E-2</v>
      </c>
      <c r="E3291" s="7">
        <v>3.04E-2</v>
      </c>
      <c r="F3291" s="7">
        <v>3.04E-2</v>
      </c>
      <c r="G3291" s="7">
        <v>2.3E-3</v>
      </c>
    </row>
    <row r="3292" spans="2:7" x14ac:dyDescent="0.2">
      <c r="B3292" s="60">
        <v>40561</v>
      </c>
      <c r="C3292" s="7">
        <v>3.1179999999999999E-2</v>
      </c>
      <c r="D3292" s="7">
        <v>3.1179999999999999E-2</v>
      </c>
      <c r="E3292" s="7">
        <v>3.1179999999999999E-2</v>
      </c>
      <c r="F3292" s="7">
        <v>3.1179999999999999E-2</v>
      </c>
      <c r="G3292" s="7">
        <v>2.5700000000000001E-2</v>
      </c>
    </row>
    <row r="3293" spans="2:7" x14ac:dyDescent="0.2">
      <c r="B3293" s="60">
        <v>40562</v>
      </c>
      <c r="C3293" s="7">
        <v>3.1139999999999998E-2</v>
      </c>
      <c r="D3293" s="7">
        <v>3.1139999999999998E-2</v>
      </c>
      <c r="E3293" s="7">
        <v>3.1139999999999998E-2</v>
      </c>
      <c r="F3293" s="7">
        <v>3.1139999999999998E-2</v>
      </c>
      <c r="G3293" s="7">
        <v>-1.2999999999999999E-3</v>
      </c>
    </row>
    <row r="3294" spans="2:7" x14ac:dyDescent="0.2">
      <c r="B3294" s="60">
        <v>40563</v>
      </c>
      <c r="C3294" s="7">
        <v>3.1509999999999996E-2</v>
      </c>
      <c r="D3294" s="7">
        <v>3.1509999999999996E-2</v>
      </c>
      <c r="E3294" s="7">
        <v>3.1509999999999996E-2</v>
      </c>
      <c r="F3294" s="7">
        <v>3.1509999999999996E-2</v>
      </c>
      <c r="G3294" s="7">
        <v>1.1900000000000001E-2</v>
      </c>
    </row>
    <row r="3295" spans="2:7" x14ac:dyDescent="0.2">
      <c r="B3295" s="60">
        <v>40564</v>
      </c>
      <c r="C3295" s="7">
        <v>3.1829999999999997E-2</v>
      </c>
      <c r="D3295" s="7">
        <v>3.1829999999999997E-2</v>
      </c>
      <c r="E3295" s="7">
        <v>3.1829999999999997E-2</v>
      </c>
      <c r="F3295" s="7">
        <v>3.1829999999999997E-2</v>
      </c>
      <c r="G3295" s="7">
        <v>1.0200000000000001E-2</v>
      </c>
    </row>
    <row r="3296" spans="2:7" x14ac:dyDescent="0.2">
      <c r="B3296" s="60">
        <v>40567</v>
      </c>
      <c r="C3296" s="7">
        <v>3.1469999999999998E-2</v>
      </c>
      <c r="D3296" s="7">
        <v>3.1469999999999998E-2</v>
      </c>
      <c r="E3296" s="7">
        <v>3.1469999999999998E-2</v>
      </c>
      <c r="F3296" s="7">
        <v>3.1469999999999998E-2</v>
      </c>
      <c r="G3296" s="7">
        <v>-1.1299999999999999E-2</v>
      </c>
    </row>
    <row r="3297" spans="2:7" x14ac:dyDescent="0.2">
      <c r="B3297" s="60">
        <v>40568</v>
      </c>
      <c r="C3297" s="7">
        <v>3.1460000000000002E-2</v>
      </c>
      <c r="D3297" s="7">
        <v>3.1460000000000002E-2</v>
      </c>
      <c r="E3297" s="7">
        <v>3.1460000000000002E-2</v>
      </c>
      <c r="F3297" s="7">
        <v>3.1460000000000002E-2</v>
      </c>
      <c r="G3297" s="7">
        <v>-2.9999999999999997E-4</v>
      </c>
    </row>
    <row r="3298" spans="2:7" x14ac:dyDescent="0.2">
      <c r="B3298" s="60">
        <v>40569</v>
      </c>
      <c r="C3298" s="7">
        <v>3.1859999999999999E-2</v>
      </c>
      <c r="D3298" s="7">
        <v>3.1859999999999999E-2</v>
      </c>
      <c r="E3298" s="7">
        <v>3.1859999999999999E-2</v>
      </c>
      <c r="F3298" s="7">
        <v>3.1859999999999999E-2</v>
      </c>
      <c r="G3298" s="7">
        <v>1.2699999999999999E-2</v>
      </c>
    </row>
    <row r="3299" spans="2:7" x14ac:dyDescent="0.2">
      <c r="B3299" s="60">
        <v>40570</v>
      </c>
      <c r="C3299" s="7">
        <v>3.2070000000000001E-2</v>
      </c>
      <c r="D3299" s="7">
        <v>3.2070000000000001E-2</v>
      </c>
      <c r="E3299" s="7">
        <v>3.2070000000000001E-2</v>
      </c>
      <c r="F3299" s="7">
        <v>3.2070000000000001E-2</v>
      </c>
      <c r="G3299" s="7">
        <v>6.6E-3</v>
      </c>
    </row>
    <row r="3300" spans="2:7" x14ac:dyDescent="0.2">
      <c r="B3300" s="60">
        <v>40571</v>
      </c>
      <c r="C3300" s="7">
        <v>3.1699999999999999E-2</v>
      </c>
      <c r="D3300" s="7">
        <v>3.1699999999999999E-2</v>
      </c>
      <c r="E3300" s="7">
        <v>3.1699999999999999E-2</v>
      </c>
      <c r="F3300" s="7">
        <v>3.1699999999999999E-2</v>
      </c>
      <c r="G3300" s="7">
        <v>-1.15E-2</v>
      </c>
    </row>
    <row r="3301" spans="2:7" x14ac:dyDescent="0.2">
      <c r="B3301" s="60">
        <v>40574</v>
      </c>
      <c r="C3301" s="7">
        <v>3.1629999999999998E-2</v>
      </c>
      <c r="D3301" s="7">
        <v>3.1629999999999998E-2</v>
      </c>
      <c r="E3301" s="7">
        <v>3.1629999999999998E-2</v>
      </c>
      <c r="F3301" s="7">
        <v>3.1629999999999998E-2</v>
      </c>
      <c r="G3301" s="7">
        <v>-2.2000000000000001E-3</v>
      </c>
    </row>
    <row r="3302" spans="2:7" x14ac:dyDescent="0.2">
      <c r="B3302" s="60">
        <v>40575</v>
      </c>
      <c r="C3302" s="7">
        <v>3.2309999999999998E-2</v>
      </c>
      <c r="D3302" s="7">
        <v>3.2309999999999998E-2</v>
      </c>
      <c r="E3302" s="7">
        <v>3.2309999999999998E-2</v>
      </c>
      <c r="F3302" s="7">
        <v>3.2309999999999998E-2</v>
      </c>
      <c r="G3302" s="7">
        <v>2.1499999999999998E-2</v>
      </c>
    </row>
    <row r="3303" spans="2:7" x14ac:dyDescent="0.2">
      <c r="B3303" s="60">
        <v>40576</v>
      </c>
      <c r="C3303" s="7">
        <v>3.2480000000000002E-2</v>
      </c>
      <c r="D3303" s="7">
        <v>3.2480000000000002E-2</v>
      </c>
      <c r="E3303" s="7">
        <v>3.2480000000000002E-2</v>
      </c>
      <c r="F3303" s="7">
        <v>3.2480000000000002E-2</v>
      </c>
      <c r="G3303" s="7">
        <v>5.3E-3</v>
      </c>
    </row>
    <row r="3304" spans="2:7" x14ac:dyDescent="0.2">
      <c r="B3304" s="60">
        <v>40577</v>
      </c>
      <c r="C3304" s="7">
        <v>3.209E-2</v>
      </c>
      <c r="D3304" s="7">
        <v>3.209E-2</v>
      </c>
      <c r="E3304" s="7">
        <v>3.209E-2</v>
      </c>
      <c r="F3304" s="7">
        <v>3.209E-2</v>
      </c>
      <c r="G3304" s="7">
        <v>-1.2E-2</v>
      </c>
    </row>
    <row r="3305" spans="2:7" x14ac:dyDescent="0.2">
      <c r="B3305" s="60">
        <v>40578</v>
      </c>
      <c r="C3305" s="7">
        <v>3.2590000000000001E-2</v>
      </c>
      <c r="D3305" s="7">
        <v>3.2590000000000001E-2</v>
      </c>
      <c r="E3305" s="7">
        <v>3.2590000000000001E-2</v>
      </c>
      <c r="F3305" s="7">
        <v>3.2590000000000001E-2</v>
      </c>
      <c r="G3305" s="7">
        <v>1.5599999999999999E-2</v>
      </c>
    </row>
    <row r="3306" spans="2:7" x14ac:dyDescent="0.2">
      <c r="B3306" s="60">
        <v>40581</v>
      </c>
      <c r="C3306" s="7">
        <v>3.2570000000000002E-2</v>
      </c>
      <c r="D3306" s="7">
        <v>3.2570000000000002E-2</v>
      </c>
      <c r="E3306" s="7">
        <v>3.2570000000000002E-2</v>
      </c>
      <c r="F3306" s="7">
        <v>3.2570000000000002E-2</v>
      </c>
      <c r="G3306" s="7">
        <v>-5.9999999999999995E-4</v>
      </c>
    </row>
    <row r="3307" spans="2:7" x14ac:dyDescent="0.2">
      <c r="B3307" s="60">
        <v>40582</v>
      </c>
      <c r="C3307" s="7">
        <v>3.2559999999999999E-2</v>
      </c>
      <c r="D3307" s="7">
        <v>3.2559999999999999E-2</v>
      </c>
      <c r="E3307" s="7">
        <v>3.2559999999999999E-2</v>
      </c>
      <c r="F3307" s="7">
        <v>3.2559999999999999E-2</v>
      </c>
      <c r="G3307" s="7">
        <v>-2.9999999999999997E-4</v>
      </c>
    </row>
    <row r="3308" spans="2:7" x14ac:dyDescent="0.2">
      <c r="B3308" s="60">
        <v>40583</v>
      </c>
      <c r="C3308" s="7">
        <v>3.3090000000000001E-2</v>
      </c>
      <c r="D3308" s="7">
        <v>3.3090000000000001E-2</v>
      </c>
      <c r="E3308" s="7">
        <v>3.3090000000000001E-2</v>
      </c>
      <c r="F3308" s="7">
        <v>3.3090000000000001E-2</v>
      </c>
      <c r="G3308" s="7">
        <v>1.6299999999999999E-2</v>
      </c>
    </row>
    <row r="3309" spans="2:7" x14ac:dyDescent="0.2">
      <c r="B3309" s="60">
        <v>40584</v>
      </c>
      <c r="C3309" s="7">
        <v>3.304E-2</v>
      </c>
      <c r="D3309" s="7">
        <v>3.304E-2</v>
      </c>
      <c r="E3309" s="7">
        <v>3.304E-2</v>
      </c>
      <c r="F3309" s="7">
        <v>3.304E-2</v>
      </c>
      <c r="G3309" s="7">
        <v>-1.5E-3</v>
      </c>
    </row>
    <row r="3310" spans="2:7" x14ac:dyDescent="0.2">
      <c r="B3310" s="60">
        <v>40585</v>
      </c>
      <c r="C3310" s="7">
        <v>3.2890000000000003E-2</v>
      </c>
      <c r="D3310" s="7">
        <v>3.2890000000000003E-2</v>
      </c>
      <c r="E3310" s="7">
        <v>3.2890000000000003E-2</v>
      </c>
      <c r="F3310" s="7">
        <v>3.2890000000000003E-2</v>
      </c>
      <c r="G3310" s="7">
        <v>-4.4999999999999997E-3</v>
      </c>
    </row>
    <row r="3311" spans="2:7" x14ac:dyDescent="0.2">
      <c r="B3311" s="60">
        <v>40588</v>
      </c>
      <c r="C3311" s="7">
        <v>3.2919999999999998E-2</v>
      </c>
      <c r="D3311" s="7">
        <v>3.2919999999999998E-2</v>
      </c>
      <c r="E3311" s="7">
        <v>3.2919999999999998E-2</v>
      </c>
      <c r="F3311" s="7">
        <v>3.2919999999999998E-2</v>
      </c>
      <c r="G3311" s="7">
        <v>8.9999999999999998E-4</v>
      </c>
    </row>
    <row r="3312" spans="2:7" x14ac:dyDescent="0.2">
      <c r="B3312" s="60">
        <v>40589</v>
      </c>
      <c r="C3312" s="7">
        <v>3.2930000000000001E-2</v>
      </c>
      <c r="D3312" s="7">
        <v>3.2930000000000001E-2</v>
      </c>
      <c r="E3312" s="7">
        <v>3.2930000000000001E-2</v>
      </c>
      <c r="F3312" s="7">
        <v>3.2930000000000001E-2</v>
      </c>
      <c r="G3312" s="7">
        <v>2.9999999999999997E-4</v>
      </c>
    </row>
    <row r="3313" spans="2:7" x14ac:dyDescent="0.2">
      <c r="B3313" s="60">
        <v>40590</v>
      </c>
      <c r="C3313" s="7">
        <v>3.2390000000000002E-2</v>
      </c>
      <c r="D3313" s="7">
        <v>3.2390000000000002E-2</v>
      </c>
      <c r="E3313" s="7">
        <v>3.2390000000000002E-2</v>
      </c>
      <c r="F3313" s="7">
        <v>3.2390000000000002E-2</v>
      </c>
      <c r="G3313" s="7">
        <v>-1.6400000000000001E-2</v>
      </c>
    </row>
    <row r="3314" spans="2:7" x14ac:dyDescent="0.2">
      <c r="B3314" s="60">
        <v>40591</v>
      </c>
      <c r="C3314" s="7">
        <v>3.1780000000000003E-2</v>
      </c>
      <c r="D3314" s="7">
        <v>3.1780000000000003E-2</v>
      </c>
      <c r="E3314" s="7">
        <v>3.1780000000000003E-2</v>
      </c>
      <c r="F3314" s="7">
        <v>3.1780000000000003E-2</v>
      </c>
      <c r="G3314" s="7">
        <v>-1.8800000000000001E-2</v>
      </c>
    </row>
    <row r="3315" spans="2:7" x14ac:dyDescent="0.2">
      <c r="B3315" s="60">
        <v>40592</v>
      </c>
      <c r="C3315" s="7">
        <v>3.2530000000000003E-2</v>
      </c>
      <c r="D3315" s="7">
        <v>3.2530000000000003E-2</v>
      </c>
      <c r="E3315" s="7">
        <v>3.2530000000000003E-2</v>
      </c>
      <c r="F3315" s="7">
        <v>3.2530000000000003E-2</v>
      </c>
      <c r="G3315" s="7">
        <v>2.3599999999999999E-2</v>
      </c>
    </row>
    <row r="3316" spans="2:7" x14ac:dyDescent="0.2">
      <c r="B3316" s="60">
        <v>40595</v>
      </c>
      <c r="C3316" s="7">
        <v>3.1869999999999996E-2</v>
      </c>
      <c r="D3316" s="7">
        <v>3.1869999999999996E-2</v>
      </c>
      <c r="E3316" s="7">
        <v>3.1869999999999996E-2</v>
      </c>
      <c r="F3316" s="7">
        <v>3.1869999999999996E-2</v>
      </c>
      <c r="G3316" s="7">
        <v>-2.0299999999999999E-2</v>
      </c>
    </row>
    <row r="3317" spans="2:7" x14ac:dyDescent="0.2">
      <c r="B3317" s="60">
        <v>40596</v>
      </c>
      <c r="C3317" s="7">
        <v>3.159E-2</v>
      </c>
      <c r="D3317" s="7">
        <v>3.159E-2</v>
      </c>
      <c r="E3317" s="7">
        <v>3.159E-2</v>
      </c>
      <c r="F3317" s="7">
        <v>3.159E-2</v>
      </c>
      <c r="G3317" s="7">
        <v>-8.8000000000000005E-3</v>
      </c>
    </row>
    <row r="3318" spans="2:7" x14ac:dyDescent="0.2">
      <c r="B3318" s="60">
        <v>40597</v>
      </c>
      <c r="C3318" s="7">
        <v>3.15E-2</v>
      </c>
      <c r="D3318" s="7">
        <v>3.15E-2</v>
      </c>
      <c r="E3318" s="7">
        <v>3.15E-2</v>
      </c>
      <c r="F3318" s="7">
        <v>3.15E-2</v>
      </c>
      <c r="G3318" s="7">
        <v>-2.8E-3</v>
      </c>
    </row>
    <row r="3319" spans="2:7" x14ac:dyDescent="0.2">
      <c r="B3319" s="60">
        <v>40598</v>
      </c>
      <c r="C3319" s="7">
        <v>3.134E-2</v>
      </c>
      <c r="D3319" s="7">
        <v>3.134E-2</v>
      </c>
      <c r="E3319" s="7">
        <v>3.134E-2</v>
      </c>
      <c r="F3319" s="7">
        <v>3.134E-2</v>
      </c>
      <c r="G3319" s="7">
        <v>-5.1000000000000004E-3</v>
      </c>
    </row>
    <row r="3320" spans="2:7" x14ac:dyDescent="0.2">
      <c r="B3320" s="60">
        <v>40599</v>
      </c>
      <c r="C3320" s="7">
        <v>3.1449999999999999E-2</v>
      </c>
      <c r="D3320" s="7">
        <v>3.1449999999999999E-2</v>
      </c>
      <c r="E3320" s="7">
        <v>3.1449999999999999E-2</v>
      </c>
      <c r="F3320" s="7">
        <v>3.1449999999999999E-2</v>
      </c>
      <c r="G3320" s="7">
        <v>3.5000000000000001E-3</v>
      </c>
    </row>
    <row r="3321" spans="2:7" x14ac:dyDescent="0.2">
      <c r="B3321" s="60">
        <v>40602</v>
      </c>
      <c r="C3321" s="7">
        <v>3.1780000000000003E-2</v>
      </c>
      <c r="D3321" s="7">
        <v>3.1780000000000003E-2</v>
      </c>
      <c r="E3321" s="7">
        <v>3.1780000000000003E-2</v>
      </c>
      <c r="F3321" s="7">
        <v>3.1780000000000003E-2</v>
      </c>
      <c r="G3321" s="7">
        <v>1.0500000000000001E-2</v>
      </c>
    </row>
    <row r="3322" spans="2:7" x14ac:dyDescent="0.2">
      <c r="B3322" s="60">
        <v>40603</v>
      </c>
      <c r="C3322" s="7">
        <v>3.1800000000000002E-2</v>
      </c>
      <c r="D3322" s="7">
        <v>3.1800000000000002E-2</v>
      </c>
      <c r="E3322" s="7">
        <v>3.1800000000000002E-2</v>
      </c>
      <c r="F3322" s="7">
        <v>3.1800000000000002E-2</v>
      </c>
      <c r="G3322" s="7">
        <v>5.9999999999999995E-4</v>
      </c>
    </row>
    <row r="3323" spans="2:7" x14ac:dyDescent="0.2">
      <c r="B3323" s="60">
        <v>40604</v>
      </c>
      <c r="C3323" s="7">
        <v>3.211E-2</v>
      </c>
      <c r="D3323" s="7">
        <v>3.211E-2</v>
      </c>
      <c r="E3323" s="7">
        <v>3.211E-2</v>
      </c>
      <c r="F3323" s="7">
        <v>3.211E-2</v>
      </c>
      <c r="G3323" s="7">
        <v>9.7000000000000003E-3</v>
      </c>
    </row>
    <row r="3324" spans="2:7" x14ac:dyDescent="0.2">
      <c r="B3324" s="60">
        <v>40605</v>
      </c>
      <c r="C3324" s="7">
        <v>3.3250000000000002E-2</v>
      </c>
      <c r="D3324" s="7">
        <v>3.3250000000000002E-2</v>
      </c>
      <c r="E3324" s="7">
        <v>3.3250000000000002E-2</v>
      </c>
      <c r="F3324" s="7">
        <v>3.3250000000000002E-2</v>
      </c>
      <c r="G3324" s="7">
        <v>3.5499999999999997E-2</v>
      </c>
    </row>
    <row r="3325" spans="2:7" x14ac:dyDescent="0.2">
      <c r="B3325" s="60">
        <v>40606</v>
      </c>
      <c r="C3325" s="7">
        <v>3.2890000000000003E-2</v>
      </c>
      <c r="D3325" s="7">
        <v>3.2890000000000003E-2</v>
      </c>
      <c r="E3325" s="7">
        <v>3.2890000000000003E-2</v>
      </c>
      <c r="F3325" s="7">
        <v>3.2890000000000003E-2</v>
      </c>
      <c r="G3325" s="7">
        <v>-1.0800000000000001E-2</v>
      </c>
    </row>
    <row r="3326" spans="2:7" x14ac:dyDescent="0.2">
      <c r="B3326" s="60">
        <v>40609</v>
      </c>
      <c r="C3326" s="7">
        <v>3.2899999999999999E-2</v>
      </c>
      <c r="D3326" s="7">
        <v>3.2899999999999999E-2</v>
      </c>
      <c r="E3326" s="7">
        <v>3.2899999999999999E-2</v>
      </c>
      <c r="F3326" s="7">
        <v>3.2899999999999999E-2</v>
      </c>
      <c r="G3326" s="7">
        <v>2.9999999999999997E-4</v>
      </c>
    </row>
    <row r="3327" spans="2:7" x14ac:dyDescent="0.2">
      <c r="B3327" s="60">
        <v>40610</v>
      </c>
      <c r="C3327" s="7">
        <v>3.3140000000000003E-2</v>
      </c>
      <c r="D3327" s="7">
        <v>3.3140000000000003E-2</v>
      </c>
      <c r="E3327" s="7">
        <v>3.3140000000000003E-2</v>
      </c>
      <c r="F3327" s="7">
        <v>3.3140000000000003E-2</v>
      </c>
      <c r="G3327" s="7">
        <v>7.3000000000000001E-3</v>
      </c>
    </row>
    <row r="3328" spans="2:7" x14ac:dyDescent="0.2">
      <c r="B3328" s="60">
        <v>40611</v>
      </c>
      <c r="C3328" s="7">
        <v>3.2980000000000002E-2</v>
      </c>
      <c r="D3328" s="7">
        <v>3.2980000000000002E-2</v>
      </c>
      <c r="E3328" s="7">
        <v>3.2980000000000002E-2</v>
      </c>
      <c r="F3328" s="7">
        <v>3.2980000000000002E-2</v>
      </c>
      <c r="G3328" s="7">
        <v>-4.7999999999999996E-3</v>
      </c>
    </row>
    <row r="3329" spans="2:7" x14ac:dyDescent="0.2">
      <c r="B3329" s="60">
        <v>40612</v>
      </c>
      <c r="C3329" s="7">
        <v>3.245E-2</v>
      </c>
      <c r="D3329" s="7">
        <v>3.245E-2</v>
      </c>
      <c r="E3329" s="7">
        <v>3.245E-2</v>
      </c>
      <c r="F3329" s="7">
        <v>3.245E-2</v>
      </c>
      <c r="G3329" s="7">
        <v>-1.61E-2</v>
      </c>
    </row>
    <row r="3330" spans="2:7" x14ac:dyDescent="0.2">
      <c r="B3330" s="60">
        <v>40613</v>
      </c>
      <c r="C3330" s="7">
        <v>3.2039999999999999E-2</v>
      </c>
      <c r="D3330" s="7">
        <v>3.2039999999999999E-2</v>
      </c>
      <c r="E3330" s="7">
        <v>3.2039999999999999E-2</v>
      </c>
      <c r="F3330" s="7">
        <v>3.2039999999999999E-2</v>
      </c>
      <c r="G3330" s="7">
        <v>-1.26E-2</v>
      </c>
    </row>
    <row r="3331" spans="2:7" x14ac:dyDescent="0.2">
      <c r="B3331" s="60">
        <v>40616</v>
      </c>
      <c r="C3331" s="7">
        <v>3.227E-2</v>
      </c>
      <c r="D3331" s="7">
        <v>3.227E-2</v>
      </c>
      <c r="E3331" s="7">
        <v>3.227E-2</v>
      </c>
      <c r="F3331" s="7">
        <v>3.227E-2</v>
      </c>
      <c r="G3331" s="7">
        <v>7.1999999999999998E-3</v>
      </c>
    </row>
    <row r="3332" spans="2:7" x14ac:dyDescent="0.2">
      <c r="B3332" s="60">
        <v>40617</v>
      </c>
      <c r="C3332" s="7">
        <v>3.1400000000000004E-2</v>
      </c>
      <c r="D3332" s="7">
        <v>3.1400000000000004E-2</v>
      </c>
      <c r="E3332" s="7">
        <v>3.1400000000000004E-2</v>
      </c>
      <c r="F3332" s="7">
        <v>3.1400000000000004E-2</v>
      </c>
      <c r="G3332" s="7">
        <v>-2.7E-2</v>
      </c>
    </row>
    <row r="3333" spans="2:7" x14ac:dyDescent="0.2">
      <c r="B3333" s="60">
        <v>40618</v>
      </c>
      <c r="C3333" s="7">
        <v>3.0880000000000001E-2</v>
      </c>
      <c r="D3333" s="7">
        <v>3.0880000000000001E-2</v>
      </c>
      <c r="E3333" s="7">
        <v>3.0880000000000001E-2</v>
      </c>
      <c r="F3333" s="7">
        <v>3.0880000000000001E-2</v>
      </c>
      <c r="G3333" s="7">
        <v>-1.66E-2</v>
      </c>
    </row>
    <row r="3334" spans="2:7" x14ac:dyDescent="0.2">
      <c r="B3334" s="60">
        <v>40619</v>
      </c>
      <c r="C3334" s="7">
        <v>3.184E-2</v>
      </c>
      <c r="D3334" s="7">
        <v>3.184E-2</v>
      </c>
      <c r="E3334" s="7">
        <v>3.184E-2</v>
      </c>
      <c r="F3334" s="7">
        <v>3.184E-2</v>
      </c>
      <c r="G3334" s="7">
        <v>3.1099999999999999E-2</v>
      </c>
    </row>
    <row r="3335" spans="2:7" x14ac:dyDescent="0.2">
      <c r="B3335" s="60">
        <v>40620</v>
      </c>
      <c r="C3335" s="7">
        <v>3.1890000000000002E-2</v>
      </c>
      <c r="D3335" s="7">
        <v>3.1890000000000002E-2</v>
      </c>
      <c r="E3335" s="7">
        <v>3.1890000000000002E-2</v>
      </c>
      <c r="F3335" s="7">
        <v>3.1890000000000002E-2</v>
      </c>
      <c r="G3335" s="7">
        <v>1.6000000000000001E-3</v>
      </c>
    </row>
    <row r="3336" spans="2:7" x14ac:dyDescent="0.2">
      <c r="B3336" s="60">
        <v>40623</v>
      </c>
      <c r="C3336" s="7">
        <v>3.2410000000000001E-2</v>
      </c>
      <c r="D3336" s="7">
        <v>3.2410000000000001E-2</v>
      </c>
      <c r="E3336" s="7">
        <v>3.2410000000000001E-2</v>
      </c>
      <c r="F3336" s="7">
        <v>3.2410000000000001E-2</v>
      </c>
      <c r="G3336" s="7">
        <v>1.6299999999999999E-2</v>
      </c>
    </row>
    <row r="3337" spans="2:7" x14ac:dyDescent="0.2">
      <c r="B3337" s="60">
        <v>40624</v>
      </c>
      <c r="C3337" s="7">
        <v>3.2649999999999998E-2</v>
      </c>
      <c r="D3337" s="7">
        <v>3.2649999999999998E-2</v>
      </c>
      <c r="E3337" s="7">
        <v>3.2649999999999998E-2</v>
      </c>
      <c r="F3337" s="7">
        <v>3.2649999999999998E-2</v>
      </c>
      <c r="G3337" s="7">
        <v>7.4000000000000003E-3</v>
      </c>
    </row>
    <row r="3338" spans="2:7" x14ac:dyDescent="0.2">
      <c r="B3338" s="60">
        <v>40625</v>
      </c>
      <c r="C3338" s="7">
        <v>3.236E-2</v>
      </c>
      <c r="D3338" s="7">
        <v>3.236E-2</v>
      </c>
      <c r="E3338" s="7">
        <v>3.236E-2</v>
      </c>
      <c r="F3338" s="7">
        <v>3.236E-2</v>
      </c>
      <c r="G3338" s="7">
        <v>-8.8999999999999999E-3</v>
      </c>
    </row>
    <row r="3339" spans="2:7" x14ac:dyDescent="0.2">
      <c r="B3339" s="60">
        <v>40626</v>
      </c>
      <c r="C3339" s="7">
        <v>3.2509999999999997E-2</v>
      </c>
      <c r="D3339" s="7">
        <v>3.2509999999999997E-2</v>
      </c>
      <c r="E3339" s="7">
        <v>3.2509999999999997E-2</v>
      </c>
      <c r="F3339" s="7">
        <v>3.2509999999999997E-2</v>
      </c>
      <c r="G3339" s="7">
        <v>4.5999999999999999E-3</v>
      </c>
    </row>
    <row r="3340" spans="2:7" x14ac:dyDescent="0.2">
      <c r="B3340" s="60">
        <v>40627</v>
      </c>
      <c r="C3340" s="7">
        <v>3.2709999999999996E-2</v>
      </c>
      <c r="D3340" s="7">
        <v>3.2709999999999996E-2</v>
      </c>
      <c r="E3340" s="7">
        <v>3.2709999999999996E-2</v>
      </c>
      <c r="F3340" s="7">
        <v>3.2709999999999996E-2</v>
      </c>
      <c r="G3340" s="7">
        <v>6.1999999999999998E-3</v>
      </c>
    </row>
    <row r="3341" spans="2:7" x14ac:dyDescent="0.2">
      <c r="B3341" s="60">
        <v>40630</v>
      </c>
      <c r="C3341" s="7">
        <v>3.3099999999999997E-2</v>
      </c>
      <c r="D3341" s="7">
        <v>3.3099999999999997E-2</v>
      </c>
      <c r="E3341" s="7">
        <v>3.3099999999999997E-2</v>
      </c>
      <c r="F3341" s="7">
        <v>3.3099999999999997E-2</v>
      </c>
      <c r="G3341" s="7">
        <v>1.1900000000000001E-2</v>
      </c>
    </row>
    <row r="3342" spans="2:7" x14ac:dyDescent="0.2">
      <c r="B3342" s="60">
        <v>40631</v>
      </c>
      <c r="C3342" s="7">
        <v>3.3390000000000003E-2</v>
      </c>
      <c r="D3342" s="7">
        <v>3.3390000000000003E-2</v>
      </c>
      <c r="E3342" s="7">
        <v>3.3390000000000003E-2</v>
      </c>
      <c r="F3342" s="7">
        <v>3.3390000000000003E-2</v>
      </c>
      <c r="G3342" s="7">
        <v>8.8000000000000005E-3</v>
      </c>
    </row>
    <row r="3343" spans="2:7" x14ac:dyDescent="0.2">
      <c r="B3343" s="60">
        <v>40632</v>
      </c>
      <c r="C3343" s="7">
        <v>3.3390000000000003E-2</v>
      </c>
      <c r="D3343" s="7">
        <v>3.3390000000000003E-2</v>
      </c>
      <c r="E3343" s="7">
        <v>3.3390000000000003E-2</v>
      </c>
      <c r="F3343" s="7">
        <v>3.3390000000000003E-2</v>
      </c>
      <c r="G3343" s="7">
        <v>0</v>
      </c>
    </row>
    <row r="3344" spans="2:7" x14ac:dyDescent="0.2">
      <c r="B3344" s="60">
        <v>40633</v>
      </c>
      <c r="C3344" s="7">
        <v>3.3610000000000001E-2</v>
      </c>
      <c r="D3344" s="7">
        <v>3.3610000000000001E-2</v>
      </c>
      <c r="E3344" s="7">
        <v>3.3610000000000001E-2</v>
      </c>
      <c r="F3344" s="7">
        <v>3.3610000000000001E-2</v>
      </c>
      <c r="G3344" s="7">
        <v>6.6E-3</v>
      </c>
    </row>
    <row r="3345" spans="2:7" x14ac:dyDescent="0.2">
      <c r="B3345" s="60">
        <v>40634</v>
      </c>
      <c r="C3345" s="7">
        <v>3.3849999999999998E-2</v>
      </c>
      <c r="D3345" s="7">
        <v>3.3849999999999998E-2</v>
      </c>
      <c r="E3345" s="7">
        <v>3.3849999999999998E-2</v>
      </c>
      <c r="F3345" s="7">
        <v>3.3849999999999998E-2</v>
      </c>
      <c r="G3345" s="7">
        <v>7.1000000000000004E-3</v>
      </c>
    </row>
    <row r="3346" spans="2:7" x14ac:dyDescent="0.2">
      <c r="B3346" s="60">
        <v>40637</v>
      </c>
      <c r="C3346" s="7">
        <v>3.3690000000000005E-2</v>
      </c>
      <c r="D3346" s="7">
        <v>3.3690000000000005E-2</v>
      </c>
      <c r="E3346" s="7">
        <v>3.3690000000000005E-2</v>
      </c>
      <c r="F3346" s="7">
        <v>3.3690000000000005E-2</v>
      </c>
      <c r="G3346" s="7">
        <v>-4.7000000000000002E-3</v>
      </c>
    </row>
    <row r="3347" spans="2:7" x14ac:dyDescent="0.2">
      <c r="B3347" s="60">
        <v>40638</v>
      </c>
      <c r="C3347" s="7">
        <v>3.3919999999999999E-2</v>
      </c>
      <c r="D3347" s="7">
        <v>3.3919999999999999E-2</v>
      </c>
      <c r="E3347" s="7">
        <v>3.3919999999999999E-2</v>
      </c>
      <c r="F3347" s="7">
        <v>3.3919999999999999E-2</v>
      </c>
      <c r="G3347" s="7">
        <v>6.7999999999999996E-3</v>
      </c>
    </row>
    <row r="3348" spans="2:7" x14ac:dyDescent="0.2">
      <c r="B3348" s="60">
        <v>40639</v>
      </c>
      <c r="C3348" s="7">
        <v>3.4319999999999996E-2</v>
      </c>
      <c r="D3348" s="7">
        <v>3.4319999999999996E-2</v>
      </c>
      <c r="E3348" s="7">
        <v>3.4319999999999996E-2</v>
      </c>
      <c r="F3348" s="7">
        <v>3.4319999999999996E-2</v>
      </c>
      <c r="G3348" s="7">
        <v>1.18E-2</v>
      </c>
    </row>
    <row r="3349" spans="2:7" x14ac:dyDescent="0.2">
      <c r="B3349" s="60">
        <v>40640</v>
      </c>
      <c r="C3349" s="7">
        <v>3.4209999999999997E-2</v>
      </c>
      <c r="D3349" s="7">
        <v>3.4209999999999997E-2</v>
      </c>
      <c r="E3349" s="7">
        <v>3.4209999999999997E-2</v>
      </c>
      <c r="F3349" s="7">
        <v>3.4209999999999997E-2</v>
      </c>
      <c r="G3349" s="7">
        <v>-3.2000000000000002E-3</v>
      </c>
    </row>
    <row r="3350" spans="2:7" x14ac:dyDescent="0.2">
      <c r="B3350" s="60">
        <v>40641</v>
      </c>
      <c r="C3350" s="7">
        <v>3.4860000000000002E-2</v>
      </c>
      <c r="D3350" s="7">
        <v>3.4860000000000002E-2</v>
      </c>
      <c r="E3350" s="7">
        <v>3.4860000000000002E-2</v>
      </c>
      <c r="F3350" s="7">
        <v>3.4860000000000002E-2</v>
      </c>
      <c r="G3350" s="7">
        <v>1.9E-2</v>
      </c>
    </row>
    <row r="3351" spans="2:7" x14ac:dyDescent="0.2">
      <c r="B3351" s="60">
        <v>40644</v>
      </c>
      <c r="C3351" s="7">
        <v>3.4970000000000001E-2</v>
      </c>
      <c r="D3351" s="7">
        <v>3.4970000000000001E-2</v>
      </c>
      <c r="E3351" s="7">
        <v>3.4970000000000001E-2</v>
      </c>
      <c r="F3351" s="7">
        <v>3.4970000000000001E-2</v>
      </c>
      <c r="G3351" s="7">
        <v>3.2000000000000002E-3</v>
      </c>
    </row>
    <row r="3352" spans="2:7" x14ac:dyDescent="0.2">
      <c r="B3352" s="60">
        <v>40645</v>
      </c>
      <c r="C3352" s="7">
        <v>3.4450000000000001E-2</v>
      </c>
      <c r="D3352" s="7">
        <v>3.4450000000000001E-2</v>
      </c>
      <c r="E3352" s="7">
        <v>3.4450000000000001E-2</v>
      </c>
      <c r="F3352" s="7">
        <v>3.4450000000000001E-2</v>
      </c>
      <c r="G3352" s="7">
        <v>-1.49E-2</v>
      </c>
    </row>
    <row r="3353" spans="2:7" x14ac:dyDescent="0.2">
      <c r="B3353" s="60">
        <v>40646</v>
      </c>
      <c r="C3353" s="7">
        <v>3.4500000000000003E-2</v>
      </c>
      <c r="D3353" s="7">
        <v>3.4500000000000003E-2</v>
      </c>
      <c r="E3353" s="7">
        <v>3.4500000000000003E-2</v>
      </c>
      <c r="F3353" s="7">
        <v>3.4500000000000003E-2</v>
      </c>
      <c r="G3353" s="7">
        <v>1.5E-3</v>
      </c>
    </row>
    <row r="3354" spans="2:7" x14ac:dyDescent="0.2">
      <c r="B3354" s="60">
        <v>40647</v>
      </c>
      <c r="C3354" s="7">
        <v>3.4369999999999998E-2</v>
      </c>
      <c r="D3354" s="7">
        <v>3.4369999999999998E-2</v>
      </c>
      <c r="E3354" s="7">
        <v>3.4369999999999998E-2</v>
      </c>
      <c r="F3354" s="7">
        <v>3.4369999999999998E-2</v>
      </c>
      <c r="G3354" s="7">
        <v>-3.8E-3</v>
      </c>
    </row>
    <row r="3355" spans="2:7" x14ac:dyDescent="0.2">
      <c r="B3355" s="60">
        <v>40648</v>
      </c>
      <c r="C3355" s="7">
        <v>3.3829999999999999E-2</v>
      </c>
      <c r="D3355" s="7">
        <v>3.3829999999999999E-2</v>
      </c>
      <c r="E3355" s="7">
        <v>3.3829999999999999E-2</v>
      </c>
      <c r="F3355" s="7">
        <v>3.3829999999999999E-2</v>
      </c>
      <c r="G3355" s="7">
        <v>-1.5699999999999999E-2</v>
      </c>
    </row>
    <row r="3356" spans="2:7" x14ac:dyDescent="0.2">
      <c r="B3356" s="60">
        <v>40651</v>
      </c>
      <c r="C3356" s="7">
        <v>3.243E-2</v>
      </c>
      <c r="D3356" s="7">
        <v>3.243E-2</v>
      </c>
      <c r="E3356" s="7">
        <v>3.243E-2</v>
      </c>
      <c r="F3356" s="7">
        <v>3.243E-2</v>
      </c>
      <c r="G3356" s="7">
        <v>-4.1399999999999999E-2</v>
      </c>
    </row>
    <row r="3357" spans="2:7" x14ac:dyDescent="0.2">
      <c r="B3357" s="60">
        <v>40652</v>
      </c>
      <c r="C3357" s="7">
        <v>3.2750000000000001E-2</v>
      </c>
      <c r="D3357" s="7">
        <v>3.2750000000000001E-2</v>
      </c>
      <c r="E3357" s="7">
        <v>3.2750000000000001E-2</v>
      </c>
      <c r="F3357" s="7">
        <v>3.2750000000000001E-2</v>
      </c>
      <c r="G3357" s="7">
        <v>9.9000000000000008E-3</v>
      </c>
    </row>
    <row r="3358" spans="2:7" x14ac:dyDescent="0.2">
      <c r="B3358" s="60">
        <v>40653</v>
      </c>
      <c r="C3358" s="7">
        <v>3.3079999999999998E-2</v>
      </c>
      <c r="D3358" s="7">
        <v>3.3079999999999998E-2</v>
      </c>
      <c r="E3358" s="7">
        <v>3.3079999999999998E-2</v>
      </c>
      <c r="F3358" s="7">
        <v>3.3079999999999998E-2</v>
      </c>
      <c r="G3358" s="7">
        <v>1.01E-2</v>
      </c>
    </row>
    <row r="3359" spans="2:7" x14ac:dyDescent="0.2">
      <c r="B3359" s="60">
        <v>40654</v>
      </c>
      <c r="C3359" s="7">
        <v>3.27E-2</v>
      </c>
      <c r="D3359" s="7">
        <v>3.27E-2</v>
      </c>
      <c r="E3359" s="7">
        <v>3.27E-2</v>
      </c>
      <c r="F3359" s="7">
        <v>3.27E-2</v>
      </c>
      <c r="G3359" s="7">
        <v>-1.15E-2</v>
      </c>
    </row>
    <row r="3360" spans="2:7" x14ac:dyDescent="0.2">
      <c r="B3360" s="60">
        <v>40659</v>
      </c>
      <c r="C3360" s="7">
        <v>3.2500000000000001E-2</v>
      </c>
      <c r="D3360" s="7">
        <v>3.2500000000000001E-2</v>
      </c>
      <c r="E3360" s="7">
        <v>3.2500000000000001E-2</v>
      </c>
      <c r="F3360" s="7">
        <v>3.2500000000000001E-2</v>
      </c>
      <c r="G3360" s="7">
        <v>-6.1000000000000004E-3</v>
      </c>
    </row>
    <row r="3361" spans="2:7" x14ac:dyDescent="0.2">
      <c r="B3361" s="60">
        <v>40660</v>
      </c>
      <c r="C3361" s="7">
        <v>3.2969999999999999E-2</v>
      </c>
      <c r="D3361" s="7">
        <v>3.2969999999999999E-2</v>
      </c>
      <c r="E3361" s="7">
        <v>3.2969999999999999E-2</v>
      </c>
      <c r="F3361" s="7">
        <v>3.2969999999999999E-2</v>
      </c>
      <c r="G3361" s="7">
        <v>1.4500000000000001E-2</v>
      </c>
    </row>
    <row r="3362" spans="2:7" x14ac:dyDescent="0.2">
      <c r="B3362" s="60">
        <v>40661</v>
      </c>
      <c r="C3362" s="7">
        <v>3.2500000000000001E-2</v>
      </c>
      <c r="D3362" s="7">
        <v>3.2500000000000001E-2</v>
      </c>
      <c r="E3362" s="7">
        <v>3.2500000000000001E-2</v>
      </c>
      <c r="F3362" s="7">
        <v>3.2500000000000001E-2</v>
      </c>
      <c r="G3362" s="7">
        <v>-1.43E-2</v>
      </c>
    </row>
    <row r="3363" spans="2:7" x14ac:dyDescent="0.2">
      <c r="B3363" s="60">
        <v>40662</v>
      </c>
      <c r="C3363" s="7">
        <v>3.236E-2</v>
      </c>
      <c r="D3363" s="7">
        <v>3.236E-2</v>
      </c>
      <c r="E3363" s="7">
        <v>3.236E-2</v>
      </c>
      <c r="F3363" s="7">
        <v>3.236E-2</v>
      </c>
      <c r="G3363" s="7">
        <v>-4.3E-3</v>
      </c>
    </row>
    <row r="3364" spans="2:7" x14ac:dyDescent="0.2">
      <c r="B3364" s="60">
        <v>40665</v>
      </c>
      <c r="C3364" s="7">
        <v>3.2460000000000003E-2</v>
      </c>
      <c r="D3364" s="7">
        <v>3.2460000000000003E-2</v>
      </c>
      <c r="E3364" s="7">
        <v>3.2460000000000003E-2</v>
      </c>
      <c r="F3364" s="7">
        <v>3.2460000000000003E-2</v>
      </c>
      <c r="G3364" s="7">
        <v>3.0999999999999999E-3</v>
      </c>
    </row>
    <row r="3365" spans="2:7" x14ac:dyDescent="0.2">
      <c r="B3365" s="60">
        <v>40666</v>
      </c>
      <c r="C3365" s="7">
        <v>3.2709999999999996E-2</v>
      </c>
      <c r="D3365" s="7">
        <v>3.2709999999999996E-2</v>
      </c>
      <c r="E3365" s="7">
        <v>3.2709999999999996E-2</v>
      </c>
      <c r="F3365" s="7">
        <v>3.2709999999999996E-2</v>
      </c>
      <c r="G3365" s="7">
        <v>7.7000000000000002E-3</v>
      </c>
    </row>
    <row r="3366" spans="2:7" x14ac:dyDescent="0.2">
      <c r="B3366" s="60">
        <v>40667</v>
      </c>
      <c r="C3366" s="7">
        <v>3.2959999999999996E-2</v>
      </c>
      <c r="D3366" s="7">
        <v>3.2959999999999996E-2</v>
      </c>
      <c r="E3366" s="7">
        <v>3.2959999999999996E-2</v>
      </c>
      <c r="F3366" s="7">
        <v>3.2959999999999996E-2</v>
      </c>
      <c r="G3366" s="7">
        <v>7.6E-3</v>
      </c>
    </row>
    <row r="3367" spans="2:7" x14ac:dyDescent="0.2">
      <c r="B3367" s="60">
        <v>40668</v>
      </c>
      <c r="C3367" s="7">
        <v>3.211E-2</v>
      </c>
      <c r="D3367" s="7">
        <v>3.211E-2</v>
      </c>
      <c r="E3367" s="7">
        <v>3.211E-2</v>
      </c>
      <c r="F3367" s="7">
        <v>3.211E-2</v>
      </c>
      <c r="G3367" s="7">
        <v>-2.58E-2</v>
      </c>
    </row>
    <row r="3368" spans="2:7" x14ac:dyDescent="0.2">
      <c r="B3368" s="60">
        <v>40669</v>
      </c>
      <c r="C3368" s="7">
        <v>3.1800000000000002E-2</v>
      </c>
      <c r="D3368" s="7">
        <v>3.1800000000000002E-2</v>
      </c>
      <c r="E3368" s="7">
        <v>3.1800000000000002E-2</v>
      </c>
      <c r="F3368" s="7">
        <v>3.1800000000000002E-2</v>
      </c>
      <c r="G3368" s="7">
        <v>-9.7000000000000003E-3</v>
      </c>
    </row>
    <row r="3369" spans="2:7" x14ac:dyDescent="0.2">
      <c r="B3369" s="60">
        <v>40672</v>
      </c>
      <c r="C3369" s="7">
        <v>3.1E-2</v>
      </c>
      <c r="D3369" s="7">
        <v>3.1E-2</v>
      </c>
      <c r="E3369" s="7">
        <v>3.1E-2</v>
      </c>
      <c r="F3369" s="7">
        <v>3.1E-2</v>
      </c>
      <c r="G3369" s="7">
        <v>-2.52E-2</v>
      </c>
    </row>
    <row r="3370" spans="2:7" x14ac:dyDescent="0.2">
      <c r="B3370" s="60">
        <v>40673</v>
      </c>
      <c r="C3370" s="7">
        <v>3.1269999999999999E-2</v>
      </c>
      <c r="D3370" s="7">
        <v>3.1269999999999999E-2</v>
      </c>
      <c r="E3370" s="7">
        <v>3.1269999999999999E-2</v>
      </c>
      <c r="F3370" s="7">
        <v>3.1269999999999999E-2</v>
      </c>
      <c r="G3370" s="7">
        <v>8.6999999999999994E-3</v>
      </c>
    </row>
    <row r="3371" spans="2:7" x14ac:dyDescent="0.2">
      <c r="B3371" s="60">
        <v>40674</v>
      </c>
      <c r="C3371" s="7">
        <v>3.1440000000000003E-2</v>
      </c>
      <c r="D3371" s="7">
        <v>3.1440000000000003E-2</v>
      </c>
      <c r="E3371" s="7">
        <v>3.1440000000000003E-2</v>
      </c>
      <c r="F3371" s="7">
        <v>3.1440000000000003E-2</v>
      </c>
      <c r="G3371" s="7">
        <v>5.4000000000000003E-3</v>
      </c>
    </row>
    <row r="3372" spans="2:7" x14ac:dyDescent="0.2">
      <c r="B3372" s="60">
        <v>40675</v>
      </c>
      <c r="C3372" s="7">
        <v>3.1130000000000001E-2</v>
      </c>
      <c r="D3372" s="7">
        <v>3.1130000000000001E-2</v>
      </c>
      <c r="E3372" s="7">
        <v>3.1130000000000001E-2</v>
      </c>
      <c r="F3372" s="7">
        <v>3.1130000000000001E-2</v>
      </c>
      <c r="G3372" s="7">
        <v>-9.9000000000000008E-3</v>
      </c>
    </row>
    <row r="3373" spans="2:7" x14ac:dyDescent="0.2">
      <c r="B3373" s="60">
        <v>40676</v>
      </c>
      <c r="C3373" s="7">
        <v>3.0839999999999999E-2</v>
      </c>
      <c r="D3373" s="7">
        <v>3.0839999999999999E-2</v>
      </c>
      <c r="E3373" s="7">
        <v>3.0839999999999999E-2</v>
      </c>
      <c r="F3373" s="7">
        <v>3.0839999999999999E-2</v>
      </c>
      <c r="G3373" s="7">
        <v>-9.2999999999999992E-3</v>
      </c>
    </row>
    <row r="3374" spans="2:7" x14ac:dyDescent="0.2">
      <c r="B3374" s="60">
        <v>40679</v>
      </c>
      <c r="C3374" s="7">
        <v>3.1200000000000002E-2</v>
      </c>
      <c r="D3374" s="7">
        <v>3.1200000000000002E-2</v>
      </c>
      <c r="E3374" s="7">
        <v>3.1200000000000002E-2</v>
      </c>
      <c r="F3374" s="7">
        <v>3.1200000000000002E-2</v>
      </c>
      <c r="G3374" s="7">
        <v>1.17E-2</v>
      </c>
    </row>
    <row r="3375" spans="2:7" x14ac:dyDescent="0.2">
      <c r="B3375" s="60">
        <v>40680</v>
      </c>
      <c r="C3375" s="7">
        <v>3.092E-2</v>
      </c>
      <c r="D3375" s="7">
        <v>3.092E-2</v>
      </c>
      <c r="E3375" s="7">
        <v>3.092E-2</v>
      </c>
      <c r="F3375" s="7">
        <v>3.092E-2</v>
      </c>
      <c r="G3375" s="7">
        <v>-8.9999999999999993E-3</v>
      </c>
    </row>
    <row r="3376" spans="2:7" x14ac:dyDescent="0.2">
      <c r="B3376" s="60">
        <v>40681</v>
      </c>
      <c r="C3376" s="7">
        <v>3.1190000000000002E-2</v>
      </c>
      <c r="D3376" s="7">
        <v>3.1190000000000002E-2</v>
      </c>
      <c r="E3376" s="7">
        <v>3.1190000000000002E-2</v>
      </c>
      <c r="F3376" s="7">
        <v>3.1190000000000002E-2</v>
      </c>
      <c r="G3376" s="7">
        <v>8.6999999999999994E-3</v>
      </c>
    </row>
    <row r="3377" spans="2:7" x14ac:dyDescent="0.2">
      <c r="B3377" s="60">
        <v>40682</v>
      </c>
      <c r="C3377" s="7">
        <v>3.1280000000000002E-2</v>
      </c>
      <c r="D3377" s="7">
        <v>3.1280000000000002E-2</v>
      </c>
      <c r="E3377" s="7">
        <v>3.1280000000000002E-2</v>
      </c>
      <c r="F3377" s="7">
        <v>3.1280000000000002E-2</v>
      </c>
      <c r="G3377" s="7">
        <v>2.8999999999999998E-3</v>
      </c>
    </row>
    <row r="3378" spans="2:7" x14ac:dyDescent="0.2">
      <c r="B3378" s="60">
        <v>40683</v>
      </c>
      <c r="C3378" s="7">
        <v>3.0679999999999999E-2</v>
      </c>
      <c r="D3378" s="7">
        <v>3.0679999999999999E-2</v>
      </c>
      <c r="E3378" s="7">
        <v>3.0679999999999999E-2</v>
      </c>
      <c r="F3378" s="7">
        <v>3.0679999999999999E-2</v>
      </c>
      <c r="G3378" s="7">
        <v>-1.9199999999999998E-2</v>
      </c>
    </row>
    <row r="3379" spans="2:7" x14ac:dyDescent="0.2">
      <c r="B3379" s="60">
        <v>40686</v>
      </c>
      <c r="C3379" s="7">
        <v>3.0249999999999999E-2</v>
      </c>
      <c r="D3379" s="7">
        <v>3.0249999999999999E-2</v>
      </c>
      <c r="E3379" s="7">
        <v>3.0249999999999999E-2</v>
      </c>
      <c r="F3379" s="7">
        <v>3.0249999999999999E-2</v>
      </c>
      <c r="G3379" s="7">
        <v>-1.4E-2</v>
      </c>
    </row>
    <row r="3380" spans="2:7" x14ac:dyDescent="0.2">
      <c r="B3380" s="60">
        <v>40687</v>
      </c>
      <c r="C3380" s="7">
        <v>3.066E-2</v>
      </c>
      <c r="D3380" s="7">
        <v>3.066E-2</v>
      </c>
      <c r="E3380" s="7">
        <v>3.066E-2</v>
      </c>
      <c r="F3380" s="7">
        <v>3.066E-2</v>
      </c>
      <c r="G3380" s="7">
        <v>1.3599999999999999E-2</v>
      </c>
    </row>
    <row r="3381" spans="2:7" x14ac:dyDescent="0.2">
      <c r="B3381" s="60">
        <v>40688</v>
      </c>
      <c r="C3381" s="7">
        <v>3.04E-2</v>
      </c>
      <c r="D3381" s="7">
        <v>3.04E-2</v>
      </c>
      <c r="E3381" s="7">
        <v>3.04E-2</v>
      </c>
      <c r="F3381" s="7">
        <v>3.04E-2</v>
      </c>
      <c r="G3381" s="7">
        <v>-8.5000000000000006E-3</v>
      </c>
    </row>
    <row r="3382" spans="2:7" x14ac:dyDescent="0.2">
      <c r="B3382" s="60">
        <v>40689</v>
      </c>
      <c r="C3382" s="7">
        <v>3.0019999999999998E-2</v>
      </c>
      <c r="D3382" s="7">
        <v>3.0019999999999998E-2</v>
      </c>
      <c r="E3382" s="7">
        <v>3.0019999999999998E-2</v>
      </c>
      <c r="F3382" s="7">
        <v>3.0019999999999998E-2</v>
      </c>
      <c r="G3382" s="7">
        <v>-1.2500000000000001E-2</v>
      </c>
    </row>
    <row r="3383" spans="2:7" x14ac:dyDescent="0.2">
      <c r="B3383" s="60">
        <v>40690</v>
      </c>
      <c r="C3383" s="7">
        <v>2.9790000000000001E-2</v>
      </c>
      <c r="D3383" s="7">
        <v>2.9790000000000001E-2</v>
      </c>
      <c r="E3383" s="7">
        <v>2.9790000000000001E-2</v>
      </c>
      <c r="F3383" s="7">
        <v>2.9790000000000001E-2</v>
      </c>
      <c r="G3383" s="7">
        <v>-7.7000000000000002E-3</v>
      </c>
    </row>
    <row r="3384" spans="2:7" x14ac:dyDescent="0.2">
      <c r="B3384" s="60">
        <v>40693</v>
      </c>
      <c r="C3384" s="7">
        <v>2.9780000000000001E-2</v>
      </c>
      <c r="D3384" s="7">
        <v>2.9780000000000001E-2</v>
      </c>
      <c r="E3384" s="7">
        <v>2.9780000000000001E-2</v>
      </c>
      <c r="F3384" s="7">
        <v>2.9780000000000001E-2</v>
      </c>
      <c r="G3384" s="7">
        <v>-2.9999999999999997E-4</v>
      </c>
    </row>
    <row r="3385" spans="2:7" x14ac:dyDescent="0.2">
      <c r="B3385" s="60">
        <v>40694</v>
      </c>
      <c r="C3385" s="7">
        <v>3.0210000000000001E-2</v>
      </c>
      <c r="D3385" s="7">
        <v>3.0210000000000001E-2</v>
      </c>
      <c r="E3385" s="7">
        <v>3.0210000000000001E-2</v>
      </c>
      <c r="F3385" s="7">
        <v>3.0210000000000001E-2</v>
      </c>
      <c r="G3385" s="7">
        <v>1.44E-2</v>
      </c>
    </row>
    <row r="3386" spans="2:7" x14ac:dyDescent="0.2">
      <c r="B3386" s="60">
        <v>40695</v>
      </c>
      <c r="C3386" s="7">
        <v>3.0009999999999998E-2</v>
      </c>
      <c r="D3386" s="7">
        <v>3.0009999999999998E-2</v>
      </c>
      <c r="E3386" s="7">
        <v>3.0009999999999998E-2</v>
      </c>
      <c r="F3386" s="7">
        <v>3.0009999999999998E-2</v>
      </c>
      <c r="G3386" s="7">
        <v>-6.6E-3</v>
      </c>
    </row>
    <row r="3387" spans="2:7" x14ac:dyDescent="0.2">
      <c r="B3387" s="60">
        <v>40696</v>
      </c>
      <c r="C3387" s="7">
        <v>2.9830000000000002E-2</v>
      </c>
      <c r="D3387" s="7">
        <v>2.9830000000000002E-2</v>
      </c>
      <c r="E3387" s="7">
        <v>2.9830000000000002E-2</v>
      </c>
      <c r="F3387" s="7">
        <v>2.9830000000000002E-2</v>
      </c>
      <c r="G3387" s="7">
        <v>-6.0000000000000001E-3</v>
      </c>
    </row>
    <row r="3388" spans="2:7" x14ac:dyDescent="0.2">
      <c r="B3388" s="60">
        <v>40697</v>
      </c>
      <c r="C3388" s="7">
        <v>3.0590000000000003E-2</v>
      </c>
      <c r="D3388" s="7">
        <v>3.0590000000000003E-2</v>
      </c>
      <c r="E3388" s="7">
        <v>3.0590000000000003E-2</v>
      </c>
      <c r="F3388" s="7">
        <v>3.0590000000000003E-2</v>
      </c>
      <c r="G3388" s="7">
        <v>2.5499999999999998E-2</v>
      </c>
    </row>
    <row r="3389" spans="2:7" x14ac:dyDescent="0.2">
      <c r="B3389" s="60">
        <v>40700</v>
      </c>
      <c r="C3389" s="7">
        <v>3.0280000000000001E-2</v>
      </c>
      <c r="D3389" s="7">
        <v>3.0280000000000001E-2</v>
      </c>
      <c r="E3389" s="7">
        <v>3.0280000000000001E-2</v>
      </c>
      <c r="F3389" s="7">
        <v>3.0280000000000001E-2</v>
      </c>
      <c r="G3389" s="7">
        <v>-1.01E-2</v>
      </c>
    </row>
    <row r="3390" spans="2:7" x14ac:dyDescent="0.2">
      <c r="B3390" s="60">
        <v>40701</v>
      </c>
      <c r="C3390" s="7">
        <v>3.0910000000000003E-2</v>
      </c>
      <c r="D3390" s="7">
        <v>3.0910000000000003E-2</v>
      </c>
      <c r="E3390" s="7">
        <v>3.0910000000000003E-2</v>
      </c>
      <c r="F3390" s="7">
        <v>3.0910000000000003E-2</v>
      </c>
      <c r="G3390" s="7">
        <v>2.0799999999999999E-2</v>
      </c>
    </row>
    <row r="3391" spans="2:7" x14ac:dyDescent="0.2">
      <c r="B3391" s="60">
        <v>40702</v>
      </c>
      <c r="C3391" s="7">
        <v>3.056E-2</v>
      </c>
      <c r="D3391" s="7">
        <v>3.056E-2</v>
      </c>
      <c r="E3391" s="7">
        <v>3.056E-2</v>
      </c>
      <c r="F3391" s="7">
        <v>3.056E-2</v>
      </c>
      <c r="G3391" s="7">
        <v>-1.1299999999999999E-2</v>
      </c>
    </row>
    <row r="3392" spans="2:7" x14ac:dyDescent="0.2">
      <c r="B3392" s="60">
        <v>40703</v>
      </c>
      <c r="C3392" s="7">
        <v>3.0289999999999997E-2</v>
      </c>
      <c r="D3392" s="7">
        <v>3.0289999999999997E-2</v>
      </c>
      <c r="E3392" s="7">
        <v>3.0289999999999997E-2</v>
      </c>
      <c r="F3392" s="7">
        <v>3.0289999999999997E-2</v>
      </c>
      <c r="G3392" s="7">
        <v>-8.8000000000000005E-3</v>
      </c>
    </row>
    <row r="3393" spans="2:7" x14ac:dyDescent="0.2">
      <c r="B3393" s="60">
        <v>40704</v>
      </c>
      <c r="C3393" s="7">
        <v>2.9660000000000002E-2</v>
      </c>
      <c r="D3393" s="7">
        <v>2.9660000000000002E-2</v>
      </c>
      <c r="E3393" s="7">
        <v>2.9660000000000002E-2</v>
      </c>
      <c r="F3393" s="7">
        <v>2.9660000000000002E-2</v>
      </c>
      <c r="G3393" s="7">
        <v>-2.0799999999999999E-2</v>
      </c>
    </row>
    <row r="3394" spans="2:7" x14ac:dyDescent="0.2">
      <c r="B3394" s="60">
        <v>40707</v>
      </c>
      <c r="C3394" s="7">
        <v>2.9729999999999999E-2</v>
      </c>
      <c r="D3394" s="7">
        <v>2.9729999999999999E-2</v>
      </c>
      <c r="E3394" s="7">
        <v>2.9729999999999999E-2</v>
      </c>
      <c r="F3394" s="7">
        <v>2.9729999999999999E-2</v>
      </c>
      <c r="G3394" s="7">
        <v>2.3999999999999998E-3</v>
      </c>
    </row>
    <row r="3395" spans="2:7" x14ac:dyDescent="0.2">
      <c r="B3395" s="60">
        <v>40708</v>
      </c>
      <c r="C3395" s="7">
        <v>3.0179999999999998E-2</v>
      </c>
      <c r="D3395" s="7">
        <v>3.0179999999999998E-2</v>
      </c>
      <c r="E3395" s="7">
        <v>3.0179999999999998E-2</v>
      </c>
      <c r="F3395" s="7">
        <v>3.0179999999999998E-2</v>
      </c>
      <c r="G3395" s="7">
        <v>1.5100000000000001E-2</v>
      </c>
    </row>
    <row r="3396" spans="2:7" x14ac:dyDescent="0.2">
      <c r="B3396" s="60">
        <v>40709</v>
      </c>
      <c r="C3396" s="7">
        <v>2.98E-2</v>
      </c>
      <c r="D3396" s="7">
        <v>2.98E-2</v>
      </c>
      <c r="E3396" s="7">
        <v>2.98E-2</v>
      </c>
      <c r="F3396" s="7">
        <v>2.98E-2</v>
      </c>
      <c r="G3396" s="7">
        <v>-1.26E-2</v>
      </c>
    </row>
    <row r="3397" spans="2:7" x14ac:dyDescent="0.2">
      <c r="B3397" s="60">
        <v>40710</v>
      </c>
      <c r="C3397" s="7">
        <v>2.9369999999999997E-2</v>
      </c>
      <c r="D3397" s="7">
        <v>2.9369999999999997E-2</v>
      </c>
      <c r="E3397" s="7">
        <v>2.9369999999999997E-2</v>
      </c>
      <c r="F3397" s="7">
        <v>2.9369999999999997E-2</v>
      </c>
      <c r="G3397" s="7">
        <v>-1.44E-2</v>
      </c>
    </row>
    <row r="3398" spans="2:7" x14ac:dyDescent="0.2">
      <c r="B3398" s="60">
        <v>40711</v>
      </c>
      <c r="C3398" s="7">
        <v>2.955E-2</v>
      </c>
      <c r="D3398" s="7">
        <v>2.955E-2</v>
      </c>
      <c r="E3398" s="7">
        <v>2.955E-2</v>
      </c>
      <c r="F3398" s="7">
        <v>2.955E-2</v>
      </c>
      <c r="G3398" s="7">
        <v>6.1000000000000004E-3</v>
      </c>
    </row>
    <row r="3399" spans="2:7" x14ac:dyDescent="0.2">
      <c r="B3399" s="60">
        <v>40714</v>
      </c>
      <c r="C3399" s="7">
        <v>2.955E-2</v>
      </c>
      <c r="D3399" s="7">
        <v>2.955E-2</v>
      </c>
      <c r="E3399" s="7">
        <v>2.955E-2</v>
      </c>
      <c r="F3399" s="7">
        <v>2.955E-2</v>
      </c>
      <c r="G3399" s="7">
        <v>0</v>
      </c>
    </row>
    <row r="3400" spans="2:7" x14ac:dyDescent="0.2">
      <c r="B3400" s="60">
        <v>40715</v>
      </c>
      <c r="C3400" s="7">
        <v>2.9849999999999998E-2</v>
      </c>
      <c r="D3400" s="7">
        <v>2.9849999999999998E-2</v>
      </c>
      <c r="E3400" s="7">
        <v>2.9849999999999998E-2</v>
      </c>
      <c r="F3400" s="7">
        <v>2.9849999999999998E-2</v>
      </c>
      <c r="G3400" s="7">
        <v>1.0200000000000001E-2</v>
      </c>
    </row>
    <row r="3401" spans="2:7" x14ac:dyDescent="0.2">
      <c r="B3401" s="60">
        <v>40716</v>
      </c>
      <c r="C3401" s="7">
        <v>2.9559999999999999E-2</v>
      </c>
      <c r="D3401" s="7">
        <v>2.9559999999999999E-2</v>
      </c>
      <c r="E3401" s="7">
        <v>2.9559999999999999E-2</v>
      </c>
      <c r="F3401" s="7">
        <v>2.9559999999999999E-2</v>
      </c>
      <c r="G3401" s="7">
        <v>-9.7000000000000003E-3</v>
      </c>
    </row>
    <row r="3402" spans="2:7" x14ac:dyDescent="0.2">
      <c r="B3402" s="60">
        <v>40717</v>
      </c>
      <c r="C3402" s="7">
        <v>2.8670000000000001E-2</v>
      </c>
      <c r="D3402" s="7">
        <v>2.8670000000000001E-2</v>
      </c>
      <c r="E3402" s="7">
        <v>2.8670000000000001E-2</v>
      </c>
      <c r="F3402" s="7">
        <v>2.8670000000000001E-2</v>
      </c>
      <c r="G3402" s="7">
        <v>-3.0099999999999998E-2</v>
      </c>
    </row>
    <row r="3403" spans="2:7" x14ac:dyDescent="0.2">
      <c r="B3403" s="60">
        <v>40718</v>
      </c>
      <c r="C3403" s="7">
        <v>2.8340000000000001E-2</v>
      </c>
      <c r="D3403" s="7">
        <v>2.8340000000000001E-2</v>
      </c>
      <c r="E3403" s="7">
        <v>2.8340000000000001E-2</v>
      </c>
      <c r="F3403" s="7">
        <v>2.8340000000000001E-2</v>
      </c>
      <c r="G3403" s="7">
        <v>-1.15E-2</v>
      </c>
    </row>
    <row r="3404" spans="2:7" x14ac:dyDescent="0.2">
      <c r="B3404" s="60">
        <v>40721</v>
      </c>
      <c r="C3404" s="7">
        <v>2.8879999999999999E-2</v>
      </c>
      <c r="D3404" s="7">
        <v>2.8879999999999999E-2</v>
      </c>
      <c r="E3404" s="7">
        <v>2.8879999999999999E-2</v>
      </c>
      <c r="F3404" s="7">
        <v>2.8879999999999999E-2</v>
      </c>
      <c r="G3404" s="7">
        <v>1.9099999999999999E-2</v>
      </c>
    </row>
    <row r="3405" spans="2:7" x14ac:dyDescent="0.2">
      <c r="B3405" s="60">
        <v>40722</v>
      </c>
      <c r="C3405" s="7">
        <v>2.9309999999999999E-2</v>
      </c>
      <c r="D3405" s="7">
        <v>2.9309999999999999E-2</v>
      </c>
      <c r="E3405" s="7">
        <v>2.9309999999999999E-2</v>
      </c>
      <c r="F3405" s="7">
        <v>2.9309999999999999E-2</v>
      </c>
      <c r="G3405" s="7">
        <v>1.49E-2</v>
      </c>
    </row>
    <row r="3406" spans="2:7" x14ac:dyDescent="0.2">
      <c r="B3406" s="60">
        <v>40723</v>
      </c>
      <c r="C3406" s="7">
        <v>2.989E-2</v>
      </c>
      <c r="D3406" s="7">
        <v>2.989E-2</v>
      </c>
      <c r="E3406" s="7">
        <v>2.989E-2</v>
      </c>
      <c r="F3406" s="7">
        <v>2.989E-2</v>
      </c>
      <c r="G3406" s="7">
        <v>1.9800000000000002E-2</v>
      </c>
    </row>
    <row r="3407" spans="2:7" x14ac:dyDescent="0.2">
      <c r="B3407" s="60">
        <v>40724</v>
      </c>
      <c r="C3407" s="7">
        <v>3.0280000000000001E-2</v>
      </c>
      <c r="D3407" s="7">
        <v>3.0280000000000001E-2</v>
      </c>
      <c r="E3407" s="7">
        <v>3.0280000000000001E-2</v>
      </c>
      <c r="F3407" s="7">
        <v>3.0280000000000001E-2</v>
      </c>
      <c r="G3407" s="7">
        <v>1.2999999999999999E-2</v>
      </c>
    </row>
    <row r="3408" spans="2:7" x14ac:dyDescent="0.2">
      <c r="B3408" s="60">
        <v>40725</v>
      </c>
      <c r="C3408" s="7">
        <v>3.0539999999999998E-2</v>
      </c>
      <c r="D3408" s="7">
        <v>3.0539999999999998E-2</v>
      </c>
      <c r="E3408" s="7">
        <v>3.0539999999999998E-2</v>
      </c>
      <c r="F3408" s="7">
        <v>3.0539999999999998E-2</v>
      </c>
      <c r="G3408" s="7">
        <v>8.6E-3</v>
      </c>
    </row>
    <row r="3409" spans="2:7" x14ac:dyDescent="0.2">
      <c r="B3409" s="60">
        <v>40728</v>
      </c>
      <c r="C3409" s="7">
        <v>3.0219999999999997E-2</v>
      </c>
      <c r="D3409" s="7">
        <v>3.0219999999999997E-2</v>
      </c>
      <c r="E3409" s="7">
        <v>3.0219999999999997E-2</v>
      </c>
      <c r="F3409" s="7">
        <v>3.0219999999999997E-2</v>
      </c>
      <c r="G3409" s="7">
        <v>-1.0500000000000001E-2</v>
      </c>
    </row>
    <row r="3410" spans="2:7" x14ac:dyDescent="0.2">
      <c r="B3410" s="60">
        <v>40729</v>
      </c>
      <c r="C3410" s="7">
        <v>3.0110000000000001E-2</v>
      </c>
      <c r="D3410" s="7">
        <v>3.0110000000000001E-2</v>
      </c>
      <c r="E3410" s="7">
        <v>3.0110000000000001E-2</v>
      </c>
      <c r="F3410" s="7">
        <v>3.0110000000000001E-2</v>
      </c>
      <c r="G3410" s="7">
        <v>-3.5999999999999999E-3</v>
      </c>
    </row>
    <row r="3411" spans="2:7" x14ac:dyDescent="0.2">
      <c r="B3411" s="60">
        <v>40730</v>
      </c>
      <c r="C3411" s="7">
        <v>2.9300000000000003E-2</v>
      </c>
      <c r="D3411" s="7">
        <v>2.9300000000000003E-2</v>
      </c>
      <c r="E3411" s="7">
        <v>2.9300000000000003E-2</v>
      </c>
      <c r="F3411" s="7">
        <v>2.9300000000000003E-2</v>
      </c>
      <c r="G3411" s="7">
        <v>-2.69E-2</v>
      </c>
    </row>
    <row r="3412" spans="2:7" x14ac:dyDescent="0.2">
      <c r="B3412" s="60">
        <v>40731</v>
      </c>
      <c r="C3412" s="7">
        <v>2.9660000000000002E-2</v>
      </c>
      <c r="D3412" s="7">
        <v>2.9660000000000002E-2</v>
      </c>
      <c r="E3412" s="7">
        <v>2.9660000000000002E-2</v>
      </c>
      <c r="F3412" s="7">
        <v>2.9660000000000002E-2</v>
      </c>
      <c r="G3412" s="7">
        <v>1.23E-2</v>
      </c>
    </row>
    <row r="3413" spans="2:7" x14ac:dyDescent="0.2">
      <c r="B3413" s="60">
        <v>40732</v>
      </c>
      <c r="C3413" s="7">
        <v>2.835E-2</v>
      </c>
      <c r="D3413" s="7">
        <v>2.835E-2</v>
      </c>
      <c r="E3413" s="7">
        <v>2.835E-2</v>
      </c>
      <c r="F3413" s="7">
        <v>2.835E-2</v>
      </c>
      <c r="G3413" s="7">
        <v>-4.4200000000000003E-2</v>
      </c>
    </row>
    <row r="3414" spans="2:7" x14ac:dyDescent="0.2">
      <c r="B3414" s="60">
        <v>40735</v>
      </c>
      <c r="C3414" s="7">
        <v>2.6690000000000002E-2</v>
      </c>
      <c r="D3414" s="7">
        <v>2.6690000000000002E-2</v>
      </c>
      <c r="E3414" s="7">
        <v>2.6690000000000002E-2</v>
      </c>
      <c r="F3414" s="7">
        <v>2.6690000000000002E-2</v>
      </c>
      <c r="G3414" s="7">
        <v>-5.8599999999999999E-2</v>
      </c>
    </row>
    <row r="3415" spans="2:7" x14ac:dyDescent="0.2">
      <c r="B3415" s="60">
        <v>40736</v>
      </c>
      <c r="C3415" s="7">
        <v>2.7040000000000002E-2</v>
      </c>
      <c r="D3415" s="7">
        <v>2.7040000000000002E-2</v>
      </c>
      <c r="E3415" s="7">
        <v>2.7040000000000002E-2</v>
      </c>
      <c r="F3415" s="7">
        <v>2.7040000000000002E-2</v>
      </c>
      <c r="G3415" s="7">
        <v>1.3100000000000001E-2</v>
      </c>
    </row>
    <row r="3416" spans="2:7" x14ac:dyDescent="0.2">
      <c r="B3416" s="60">
        <v>40737</v>
      </c>
      <c r="C3416" s="7">
        <v>2.751E-2</v>
      </c>
      <c r="D3416" s="7">
        <v>2.751E-2</v>
      </c>
      <c r="E3416" s="7">
        <v>2.751E-2</v>
      </c>
      <c r="F3416" s="7">
        <v>2.751E-2</v>
      </c>
      <c r="G3416" s="7">
        <v>1.7399999999999999E-2</v>
      </c>
    </row>
    <row r="3417" spans="2:7" x14ac:dyDescent="0.2">
      <c r="B3417" s="60">
        <v>40738</v>
      </c>
      <c r="C3417" s="7">
        <v>2.7459999999999998E-2</v>
      </c>
      <c r="D3417" s="7">
        <v>2.7459999999999998E-2</v>
      </c>
      <c r="E3417" s="7">
        <v>2.7459999999999998E-2</v>
      </c>
      <c r="F3417" s="7">
        <v>2.7459999999999998E-2</v>
      </c>
      <c r="G3417" s="7">
        <v>-1.8E-3</v>
      </c>
    </row>
    <row r="3418" spans="2:7" x14ac:dyDescent="0.2">
      <c r="B3418" s="60">
        <v>40739</v>
      </c>
      <c r="C3418" s="7">
        <v>2.7040000000000002E-2</v>
      </c>
      <c r="D3418" s="7">
        <v>2.7040000000000002E-2</v>
      </c>
      <c r="E3418" s="7">
        <v>2.7040000000000002E-2</v>
      </c>
      <c r="F3418" s="7">
        <v>2.7040000000000002E-2</v>
      </c>
      <c r="G3418" s="7">
        <v>-1.5299999999999999E-2</v>
      </c>
    </row>
    <row r="3419" spans="2:7" x14ac:dyDescent="0.2">
      <c r="B3419" s="60">
        <v>40742</v>
      </c>
      <c r="C3419" s="7">
        <v>2.6549999999999997E-2</v>
      </c>
      <c r="D3419" s="7">
        <v>2.6549999999999997E-2</v>
      </c>
      <c r="E3419" s="7">
        <v>2.6549999999999997E-2</v>
      </c>
      <c r="F3419" s="7">
        <v>2.6549999999999997E-2</v>
      </c>
      <c r="G3419" s="7">
        <v>-1.8100000000000002E-2</v>
      </c>
    </row>
    <row r="3420" spans="2:7" x14ac:dyDescent="0.2">
      <c r="B3420" s="60">
        <v>40743</v>
      </c>
      <c r="C3420" s="7">
        <v>2.6800000000000001E-2</v>
      </c>
      <c r="D3420" s="7">
        <v>2.6800000000000001E-2</v>
      </c>
      <c r="E3420" s="7">
        <v>2.6800000000000001E-2</v>
      </c>
      <c r="F3420" s="7">
        <v>2.6800000000000001E-2</v>
      </c>
      <c r="G3420" s="7">
        <v>9.4000000000000004E-3</v>
      </c>
    </row>
    <row r="3421" spans="2:7" x14ac:dyDescent="0.2">
      <c r="B3421" s="60">
        <v>40744</v>
      </c>
      <c r="C3421" s="7">
        <v>2.7660000000000001E-2</v>
      </c>
      <c r="D3421" s="7">
        <v>2.7660000000000001E-2</v>
      </c>
      <c r="E3421" s="7">
        <v>2.7660000000000001E-2</v>
      </c>
      <c r="F3421" s="7">
        <v>2.7660000000000001E-2</v>
      </c>
      <c r="G3421" s="7">
        <v>3.2099999999999997E-2</v>
      </c>
    </row>
    <row r="3422" spans="2:7" x14ac:dyDescent="0.2">
      <c r="B3422" s="60">
        <v>40745</v>
      </c>
      <c r="C3422" s="7">
        <v>2.8809999999999999E-2</v>
      </c>
      <c r="D3422" s="7">
        <v>2.8809999999999999E-2</v>
      </c>
      <c r="E3422" s="7">
        <v>2.8809999999999999E-2</v>
      </c>
      <c r="F3422" s="7">
        <v>2.8809999999999999E-2</v>
      </c>
      <c r="G3422" s="7">
        <v>4.1599999999999998E-2</v>
      </c>
    </row>
    <row r="3423" spans="2:7" x14ac:dyDescent="0.2">
      <c r="B3423" s="60">
        <v>40746</v>
      </c>
      <c r="C3423" s="7">
        <v>2.8170000000000001E-2</v>
      </c>
      <c r="D3423" s="7">
        <v>2.8170000000000001E-2</v>
      </c>
      <c r="E3423" s="7">
        <v>2.8170000000000001E-2</v>
      </c>
      <c r="F3423" s="7">
        <v>2.8170000000000001E-2</v>
      </c>
      <c r="G3423" s="7">
        <v>-2.2200000000000001E-2</v>
      </c>
    </row>
    <row r="3424" spans="2:7" x14ac:dyDescent="0.2">
      <c r="B3424" s="60">
        <v>40749</v>
      </c>
      <c r="C3424" s="7">
        <v>2.7629999999999998E-2</v>
      </c>
      <c r="D3424" s="7">
        <v>2.7629999999999998E-2</v>
      </c>
      <c r="E3424" s="7">
        <v>2.7629999999999998E-2</v>
      </c>
      <c r="F3424" s="7">
        <v>2.7629999999999998E-2</v>
      </c>
      <c r="G3424" s="7">
        <v>-1.9199999999999998E-2</v>
      </c>
    </row>
    <row r="3425" spans="2:7" x14ac:dyDescent="0.2">
      <c r="B3425" s="60">
        <v>40750</v>
      </c>
      <c r="C3425" s="7">
        <v>2.7490000000000001E-2</v>
      </c>
      <c r="D3425" s="7">
        <v>2.7490000000000001E-2</v>
      </c>
      <c r="E3425" s="7">
        <v>2.7490000000000001E-2</v>
      </c>
      <c r="F3425" s="7">
        <v>2.7490000000000001E-2</v>
      </c>
      <c r="G3425" s="7">
        <v>-5.1000000000000004E-3</v>
      </c>
    </row>
    <row r="3426" spans="2:7" x14ac:dyDescent="0.2">
      <c r="B3426" s="60">
        <v>40751</v>
      </c>
      <c r="C3426" s="7">
        <v>2.6589999999999999E-2</v>
      </c>
      <c r="D3426" s="7">
        <v>2.6589999999999999E-2</v>
      </c>
      <c r="E3426" s="7">
        <v>2.6589999999999999E-2</v>
      </c>
      <c r="F3426" s="7">
        <v>2.6589999999999999E-2</v>
      </c>
      <c r="G3426" s="7">
        <v>-3.27E-2</v>
      </c>
    </row>
    <row r="3427" spans="2:7" x14ac:dyDescent="0.2">
      <c r="B3427" s="60">
        <v>40752</v>
      </c>
      <c r="C3427" s="7">
        <v>2.64E-2</v>
      </c>
      <c r="D3427" s="7">
        <v>2.64E-2</v>
      </c>
      <c r="E3427" s="7">
        <v>2.64E-2</v>
      </c>
      <c r="F3427" s="7">
        <v>2.64E-2</v>
      </c>
      <c r="G3427" s="7">
        <v>-7.1000000000000004E-3</v>
      </c>
    </row>
    <row r="3428" spans="2:7" x14ac:dyDescent="0.2">
      <c r="B3428" s="60">
        <v>40753</v>
      </c>
      <c r="C3428" s="7">
        <v>2.5440000000000001E-2</v>
      </c>
      <c r="D3428" s="7">
        <v>2.5440000000000001E-2</v>
      </c>
      <c r="E3428" s="7">
        <v>2.5440000000000001E-2</v>
      </c>
      <c r="F3428" s="7">
        <v>2.5440000000000001E-2</v>
      </c>
      <c r="G3428" s="7">
        <v>-3.6400000000000002E-2</v>
      </c>
    </row>
    <row r="3429" spans="2:7" x14ac:dyDescent="0.2">
      <c r="B3429" s="60">
        <v>40756</v>
      </c>
      <c r="C3429" s="7">
        <v>2.4719999999999999E-2</v>
      </c>
      <c r="D3429" s="7">
        <v>2.4719999999999999E-2</v>
      </c>
      <c r="E3429" s="7">
        <v>2.4719999999999999E-2</v>
      </c>
      <c r="F3429" s="7">
        <v>2.4719999999999999E-2</v>
      </c>
      <c r="G3429" s="7">
        <v>-2.8299999999999999E-2</v>
      </c>
    </row>
    <row r="3430" spans="2:7" x14ac:dyDescent="0.2">
      <c r="B3430" s="60">
        <v>40757</v>
      </c>
      <c r="C3430" s="7">
        <v>2.4109999999999999E-2</v>
      </c>
      <c r="D3430" s="7">
        <v>2.4109999999999999E-2</v>
      </c>
      <c r="E3430" s="7">
        <v>2.4109999999999999E-2</v>
      </c>
      <c r="F3430" s="7">
        <v>2.4109999999999999E-2</v>
      </c>
      <c r="G3430" s="7">
        <v>-2.47E-2</v>
      </c>
    </row>
    <row r="3431" spans="2:7" x14ac:dyDescent="0.2">
      <c r="B3431" s="60">
        <v>40758</v>
      </c>
      <c r="C3431" s="7">
        <v>2.4140000000000002E-2</v>
      </c>
      <c r="D3431" s="7">
        <v>2.4140000000000002E-2</v>
      </c>
      <c r="E3431" s="7">
        <v>2.4140000000000002E-2</v>
      </c>
      <c r="F3431" s="7">
        <v>2.4140000000000002E-2</v>
      </c>
      <c r="G3431" s="7">
        <v>1.1999999999999999E-3</v>
      </c>
    </row>
    <row r="3432" spans="2:7" x14ac:dyDescent="0.2">
      <c r="B3432" s="60">
        <v>40759</v>
      </c>
      <c r="C3432" s="7">
        <v>2.3130000000000001E-2</v>
      </c>
      <c r="D3432" s="7">
        <v>2.3130000000000001E-2</v>
      </c>
      <c r="E3432" s="7">
        <v>2.3130000000000001E-2</v>
      </c>
      <c r="F3432" s="7">
        <v>2.3130000000000001E-2</v>
      </c>
      <c r="G3432" s="7">
        <v>-4.1799999999999997E-2</v>
      </c>
    </row>
    <row r="3433" spans="2:7" x14ac:dyDescent="0.2">
      <c r="B3433" s="60">
        <v>40760</v>
      </c>
      <c r="C3433" s="7">
        <v>2.3599999999999999E-2</v>
      </c>
      <c r="D3433" s="7">
        <v>2.3599999999999999E-2</v>
      </c>
      <c r="E3433" s="7">
        <v>2.3599999999999999E-2</v>
      </c>
      <c r="F3433" s="7">
        <v>2.3599999999999999E-2</v>
      </c>
      <c r="G3433" s="7">
        <v>2.0299999999999999E-2</v>
      </c>
    </row>
    <row r="3434" spans="2:7" x14ac:dyDescent="0.2">
      <c r="B3434" s="60">
        <v>40763</v>
      </c>
      <c r="C3434" s="7">
        <v>2.2719999999999997E-2</v>
      </c>
      <c r="D3434" s="7">
        <v>2.2719999999999997E-2</v>
      </c>
      <c r="E3434" s="7">
        <v>2.2719999999999997E-2</v>
      </c>
      <c r="F3434" s="7">
        <v>2.2719999999999997E-2</v>
      </c>
      <c r="G3434" s="7">
        <v>-3.73E-2</v>
      </c>
    </row>
    <row r="3435" spans="2:7" x14ac:dyDescent="0.2">
      <c r="B3435" s="60">
        <v>40764</v>
      </c>
      <c r="C3435" s="7">
        <v>2.3629999999999998E-2</v>
      </c>
      <c r="D3435" s="7">
        <v>2.3629999999999998E-2</v>
      </c>
      <c r="E3435" s="7">
        <v>2.3629999999999998E-2</v>
      </c>
      <c r="F3435" s="7">
        <v>2.3629999999999998E-2</v>
      </c>
      <c r="G3435" s="7">
        <v>4.0099999999999997E-2</v>
      </c>
    </row>
    <row r="3436" spans="2:7" x14ac:dyDescent="0.2">
      <c r="B3436" s="60">
        <v>40765</v>
      </c>
      <c r="C3436" s="7">
        <v>2.198E-2</v>
      </c>
      <c r="D3436" s="7">
        <v>2.198E-2</v>
      </c>
      <c r="E3436" s="7">
        <v>2.198E-2</v>
      </c>
      <c r="F3436" s="7">
        <v>2.198E-2</v>
      </c>
      <c r="G3436" s="7">
        <v>-6.9800000000000001E-2</v>
      </c>
    </row>
    <row r="3437" spans="2:7" x14ac:dyDescent="0.2">
      <c r="B3437" s="60">
        <v>40766</v>
      </c>
      <c r="C3437" s="7">
        <v>2.29E-2</v>
      </c>
      <c r="D3437" s="7">
        <v>2.29E-2</v>
      </c>
      <c r="E3437" s="7">
        <v>2.29E-2</v>
      </c>
      <c r="F3437" s="7">
        <v>2.29E-2</v>
      </c>
      <c r="G3437" s="7">
        <v>4.19E-2</v>
      </c>
    </row>
    <row r="3438" spans="2:7" x14ac:dyDescent="0.2">
      <c r="B3438" s="60">
        <v>40767</v>
      </c>
      <c r="C3438" s="7">
        <v>2.334E-2</v>
      </c>
      <c r="D3438" s="7">
        <v>2.334E-2</v>
      </c>
      <c r="E3438" s="7">
        <v>2.334E-2</v>
      </c>
      <c r="F3438" s="7">
        <v>2.334E-2</v>
      </c>
      <c r="G3438" s="7">
        <v>1.9199999999999998E-2</v>
      </c>
    </row>
    <row r="3439" spans="2:7" x14ac:dyDescent="0.2">
      <c r="B3439" s="60">
        <v>40770</v>
      </c>
      <c r="C3439" s="7">
        <v>2.3250000000000003E-2</v>
      </c>
      <c r="D3439" s="7">
        <v>2.3250000000000003E-2</v>
      </c>
      <c r="E3439" s="7">
        <v>2.3250000000000003E-2</v>
      </c>
      <c r="F3439" s="7">
        <v>2.3250000000000003E-2</v>
      </c>
      <c r="G3439" s="7">
        <v>-3.8999999999999998E-3</v>
      </c>
    </row>
    <row r="3440" spans="2:7" x14ac:dyDescent="0.2">
      <c r="B3440" s="60">
        <v>40771</v>
      </c>
      <c r="C3440" s="7">
        <v>2.3210000000000001E-2</v>
      </c>
      <c r="D3440" s="7">
        <v>2.3210000000000001E-2</v>
      </c>
      <c r="E3440" s="7">
        <v>2.3210000000000001E-2</v>
      </c>
      <c r="F3440" s="7">
        <v>2.3210000000000001E-2</v>
      </c>
      <c r="G3440" s="7">
        <v>-1.6999999999999999E-3</v>
      </c>
    </row>
    <row r="3441" spans="2:7" x14ac:dyDescent="0.2">
      <c r="B3441" s="60">
        <v>40772</v>
      </c>
      <c r="C3441" s="7">
        <v>2.2349999999999998E-2</v>
      </c>
      <c r="D3441" s="7">
        <v>2.2349999999999998E-2</v>
      </c>
      <c r="E3441" s="7">
        <v>2.2349999999999998E-2</v>
      </c>
      <c r="F3441" s="7">
        <v>2.2349999999999998E-2</v>
      </c>
      <c r="G3441" s="7">
        <v>-3.7100000000000001E-2</v>
      </c>
    </row>
    <row r="3442" spans="2:7" x14ac:dyDescent="0.2">
      <c r="B3442" s="60">
        <v>40773</v>
      </c>
      <c r="C3442" s="7">
        <v>2.0830000000000001E-2</v>
      </c>
      <c r="D3442" s="7">
        <v>2.0830000000000001E-2</v>
      </c>
      <c r="E3442" s="7">
        <v>2.0830000000000001E-2</v>
      </c>
      <c r="F3442" s="7">
        <v>2.0830000000000001E-2</v>
      </c>
      <c r="G3442" s="7">
        <v>-6.8000000000000005E-2</v>
      </c>
    </row>
    <row r="3443" spans="2:7" x14ac:dyDescent="0.2">
      <c r="B3443" s="60">
        <v>40774</v>
      </c>
      <c r="C3443" s="7">
        <v>2.0990000000000002E-2</v>
      </c>
      <c r="D3443" s="7">
        <v>2.0990000000000002E-2</v>
      </c>
      <c r="E3443" s="7">
        <v>2.0990000000000002E-2</v>
      </c>
      <c r="F3443" s="7">
        <v>2.0990000000000002E-2</v>
      </c>
      <c r="G3443" s="7">
        <v>7.7000000000000002E-3</v>
      </c>
    </row>
    <row r="3444" spans="2:7" x14ac:dyDescent="0.2">
      <c r="B3444" s="60">
        <v>40777</v>
      </c>
      <c r="C3444" s="7">
        <v>2.112E-2</v>
      </c>
      <c r="D3444" s="7">
        <v>2.112E-2</v>
      </c>
      <c r="E3444" s="7">
        <v>2.112E-2</v>
      </c>
      <c r="F3444" s="7">
        <v>2.112E-2</v>
      </c>
      <c r="G3444" s="7">
        <v>6.1999999999999998E-3</v>
      </c>
    </row>
    <row r="3445" spans="2:7" x14ac:dyDescent="0.2">
      <c r="B3445" s="60">
        <v>40778</v>
      </c>
      <c r="C3445" s="7">
        <v>2.1170000000000001E-2</v>
      </c>
      <c r="D3445" s="7">
        <v>2.1170000000000001E-2</v>
      </c>
      <c r="E3445" s="7">
        <v>2.1170000000000001E-2</v>
      </c>
      <c r="F3445" s="7">
        <v>2.1170000000000001E-2</v>
      </c>
      <c r="G3445" s="7">
        <v>2.3999999999999998E-3</v>
      </c>
    </row>
    <row r="3446" spans="2:7" x14ac:dyDescent="0.2">
      <c r="B3446" s="60">
        <v>40779</v>
      </c>
      <c r="C3446" s="7">
        <v>2.1789999999999997E-2</v>
      </c>
      <c r="D3446" s="7">
        <v>2.1789999999999997E-2</v>
      </c>
      <c r="E3446" s="7">
        <v>2.1789999999999997E-2</v>
      </c>
      <c r="F3446" s="7">
        <v>2.1789999999999997E-2</v>
      </c>
      <c r="G3446" s="7">
        <v>2.93E-2</v>
      </c>
    </row>
    <row r="3447" spans="2:7" x14ac:dyDescent="0.2">
      <c r="B3447" s="60">
        <v>40780</v>
      </c>
      <c r="C3447" s="7">
        <v>2.188E-2</v>
      </c>
      <c r="D3447" s="7">
        <v>2.188E-2</v>
      </c>
      <c r="E3447" s="7">
        <v>2.188E-2</v>
      </c>
      <c r="F3447" s="7">
        <v>2.188E-2</v>
      </c>
      <c r="G3447" s="7">
        <v>4.1000000000000003E-3</v>
      </c>
    </row>
    <row r="3448" spans="2:7" x14ac:dyDescent="0.2">
      <c r="B3448" s="60">
        <v>40781</v>
      </c>
      <c r="C3448" s="7">
        <v>2.1520000000000001E-2</v>
      </c>
      <c r="D3448" s="7">
        <v>2.1520000000000001E-2</v>
      </c>
      <c r="E3448" s="7">
        <v>2.1520000000000001E-2</v>
      </c>
      <c r="F3448" s="7">
        <v>2.1520000000000001E-2</v>
      </c>
      <c r="G3448" s="7">
        <v>-1.6500000000000001E-2</v>
      </c>
    </row>
    <row r="3449" spans="2:7" x14ac:dyDescent="0.2">
      <c r="B3449" s="60">
        <v>40784</v>
      </c>
      <c r="C3449" s="7">
        <v>2.2240000000000003E-2</v>
      </c>
      <c r="D3449" s="7">
        <v>2.2240000000000003E-2</v>
      </c>
      <c r="E3449" s="7">
        <v>2.2240000000000003E-2</v>
      </c>
      <c r="F3449" s="7">
        <v>2.2240000000000003E-2</v>
      </c>
      <c r="G3449" s="7">
        <v>3.3500000000000002E-2</v>
      </c>
    </row>
    <row r="3450" spans="2:7" x14ac:dyDescent="0.2">
      <c r="B3450" s="60">
        <v>40785</v>
      </c>
      <c r="C3450" s="7">
        <v>2.1489999999999999E-2</v>
      </c>
      <c r="D3450" s="7">
        <v>2.1489999999999999E-2</v>
      </c>
      <c r="E3450" s="7">
        <v>2.1489999999999999E-2</v>
      </c>
      <c r="F3450" s="7">
        <v>2.1489999999999999E-2</v>
      </c>
      <c r="G3450" s="7">
        <v>-3.3700000000000001E-2</v>
      </c>
    </row>
    <row r="3451" spans="2:7" x14ac:dyDescent="0.2">
      <c r="B3451" s="60">
        <v>40786</v>
      </c>
      <c r="C3451" s="7">
        <v>2.2210000000000001E-2</v>
      </c>
      <c r="D3451" s="7">
        <v>2.2210000000000001E-2</v>
      </c>
      <c r="E3451" s="7">
        <v>2.2210000000000001E-2</v>
      </c>
      <c r="F3451" s="7">
        <v>2.2210000000000001E-2</v>
      </c>
      <c r="G3451" s="7">
        <v>3.3500000000000002E-2</v>
      </c>
    </row>
    <row r="3452" spans="2:7" x14ac:dyDescent="0.2">
      <c r="B3452" s="60">
        <v>40787</v>
      </c>
      <c r="C3452" s="7">
        <v>2.1569999999999999E-2</v>
      </c>
      <c r="D3452" s="7">
        <v>2.1569999999999999E-2</v>
      </c>
      <c r="E3452" s="7">
        <v>2.1569999999999999E-2</v>
      </c>
      <c r="F3452" s="7">
        <v>2.1569999999999999E-2</v>
      </c>
      <c r="G3452" s="7">
        <v>-2.8799999999999999E-2</v>
      </c>
    </row>
    <row r="3453" spans="2:7" x14ac:dyDescent="0.2">
      <c r="B3453" s="60">
        <v>40788</v>
      </c>
      <c r="C3453" s="7">
        <v>2.0119999999999999E-2</v>
      </c>
      <c r="D3453" s="7">
        <v>2.0119999999999999E-2</v>
      </c>
      <c r="E3453" s="7">
        <v>2.0119999999999999E-2</v>
      </c>
      <c r="F3453" s="7">
        <v>2.0119999999999999E-2</v>
      </c>
      <c r="G3453" s="7">
        <v>-6.7199999999999996E-2</v>
      </c>
    </row>
    <row r="3454" spans="2:7" x14ac:dyDescent="0.2">
      <c r="B3454" s="60">
        <v>40791</v>
      </c>
      <c r="C3454" s="7">
        <v>1.8689999999999998E-2</v>
      </c>
      <c r="D3454" s="7">
        <v>1.8689999999999998E-2</v>
      </c>
      <c r="E3454" s="7">
        <v>1.8689999999999998E-2</v>
      </c>
      <c r="F3454" s="7">
        <v>1.8689999999999998E-2</v>
      </c>
      <c r="G3454" s="7">
        <v>-7.1099999999999997E-2</v>
      </c>
    </row>
    <row r="3455" spans="2:7" x14ac:dyDescent="0.2">
      <c r="B3455" s="60">
        <v>40792</v>
      </c>
      <c r="C3455" s="7">
        <v>1.8489999999999999E-2</v>
      </c>
      <c r="D3455" s="7">
        <v>1.8489999999999999E-2</v>
      </c>
      <c r="E3455" s="7">
        <v>1.8489999999999999E-2</v>
      </c>
      <c r="F3455" s="7">
        <v>1.8489999999999999E-2</v>
      </c>
      <c r="G3455" s="7">
        <v>-1.0699999999999999E-2</v>
      </c>
    </row>
    <row r="3456" spans="2:7" x14ac:dyDescent="0.2">
      <c r="B3456" s="60">
        <v>40793</v>
      </c>
      <c r="C3456" s="7">
        <v>1.898E-2</v>
      </c>
      <c r="D3456" s="7">
        <v>1.898E-2</v>
      </c>
      <c r="E3456" s="7">
        <v>1.898E-2</v>
      </c>
      <c r="F3456" s="7">
        <v>1.898E-2</v>
      </c>
      <c r="G3456" s="7">
        <v>2.6499999999999999E-2</v>
      </c>
    </row>
    <row r="3457" spans="2:7" x14ac:dyDescent="0.2">
      <c r="B3457" s="60">
        <v>40794</v>
      </c>
      <c r="C3457" s="7">
        <v>1.8790000000000001E-2</v>
      </c>
      <c r="D3457" s="7">
        <v>1.8790000000000001E-2</v>
      </c>
      <c r="E3457" s="7">
        <v>1.8790000000000001E-2</v>
      </c>
      <c r="F3457" s="7">
        <v>1.8790000000000001E-2</v>
      </c>
      <c r="G3457" s="7">
        <v>-0.01</v>
      </c>
    </row>
    <row r="3458" spans="2:7" x14ac:dyDescent="0.2">
      <c r="B3458" s="60">
        <v>40795</v>
      </c>
      <c r="C3458" s="7">
        <v>1.7769999999999998E-2</v>
      </c>
      <c r="D3458" s="7">
        <v>1.7769999999999998E-2</v>
      </c>
      <c r="E3458" s="7">
        <v>1.7769999999999998E-2</v>
      </c>
      <c r="F3458" s="7">
        <v>1.7769999999999998E-2</v>
      </c>
      <c r="G3458" s="7">
        <v>-5.4300000000000001E-2</v>
      </c>
    </row>
    <row r="3459" spans="2:7" x14ac:dyDescent="0.2">
      <c r="B3459" s="60">
        <v>40798</v>
      </c>
      <c r="C3459" s="7">
        <v>1.737E-2</v>
      </c>
      <c r="D3459" s="7">
        <v>1.737E-2</v>
      </c>
      <c r="E3459" s="7">
        <v>1.737E-2</v>
      </c>
      <c r="F3459" s="7">
        <v>1.737E-2</v>
      </c>
      <c r="G3459" s="7">
        <v>-2.2499999999999999E-2</v>
      </c>
    </row>
    <row r="3460" spans="2:7" x14ac:dyDescent="0.2">
      <c r="B3460" s="60">
        <v>40799</v>
      </c>
      <c r="C3460" s="7">
        <v>1.7829999999999999E-2</v>
      </c>
      <c r="D3460" s="7">
        <v>1.7829999999999999E-2</v>
      </c>
      <c r="E3460" s="7">
        <v>1.7829999999999999E-2</v>
      </c>
      <c r="F3460" s="7">
        <v>1.7829999999999999E-2</v>
      </c>
      <c r="G3460" s="7">
        <v>2.6499999999999999E-2</v>
      </c>
    </row>
    <row r="3461" spans="2:7" x14ac:dyDescent="0.2">
      <c r="B3461" s="60">
        <v>40800</v>
      </c>
      <c r="C3461" s="7">
        <v>1.8669999999999999E-2</v>
      </c>
      <c r="D3461" s="7">
        <v>1.8669999999999999E-2</v>
      </c>
      <c r="E3461" s="7">
        <v>1.8669999999999999E-2</v>
      </c>
      <c r="F3461" s="7">
        <v>1.8669999999999999E-2</v>
      </c>
      <c r="G3461" s="7">
        <v>4.7100000000000003E-2</v>
      </c>
    </row>
    <row r="3462" spans="2:7" x14ac:dyDescent="0.2">
      <c r="B3462" s="60">
        <v>40801</v>
      </c>
      <c r="C3462" s="7">
        <v>1.933E-2</v>
      </c>
      <c r="D3462" s="7">
        <v>1.933E-2</v>
      </c>
      <c r="E3462" s="7">
        <v>1.933E-2</v>
      </c>
      <c r="F3462" s="7">
        <v>1.933E-2</v>
      </c>
      <c r="G3462" s="7">
        <v>3.5400000000000001E-2</v>
      </c>
    </row>
    <row r="3463" spans="2:7" x14ac:dyDescent="0.2">
      <c r="B3463" s="60">
        <v>40802</v>
      </c>
      <c r="C3463" s="7">
        <v>1.857E-2</v>
      </c>
      <c r="D3463" s="7">
        <v>1.857E-2</v>
      </c>
      <c r="E3463" s="7">
        <v>1.857E-2</v>
      </c>
      <c r="F3463" s="7">
        <v>1.857E-2</v>
      </c>
      <c r="G3463" s="7">
        <v>-3.9300000000000002E-2</v>
      </c>
    </row>
    <row r="3464" spans="2:7" x14ac:dyDescent="0.2">
      <c r="B3464" s="60">
        <v>40805</v>
      </c>
      <c r="C3464" s="7">
        <v>1.797E-2</v>
      </c>
      <c r="D3464" s="7">
        <v>1.797E-2</v>
      </c>
      <c r="E3464" s="7">
        <v>1.797E-2</v>
      </c>
      <c r="F3464" s="7">
        <v>1.797E-2</v>
      </c>
      <c r="G3464" s="7">
        <v>-3.2300000000000002E-2</v>
      </c>
    </row>
    <row r="3465" spans="2:7" x14ac:dyDescent="0.2">
      <c r="B3465" s="60">
        <v>40806</v>
      </c>
      <c r="C3465" s="7">
        <v>1.788E-2</v>
      </c>
      <c r="D3465" s="7">
        <v>1.788E-2</v>
      </c>
      <c r="E3465" s="7">
        <v>1.788E-2</v>
      </c>
      <c r="F3465" s="7">
        <v>1.788E-2</v>
      </c>
      <c r="G3465" s="7">
        <v>-5.0000000000000001E-3</v>
      </c>
    </row>
    <row r="3466" spans="2:7" x14ac:dyDescent="0.2">
      <c r="B3466" s="60">
        <v>40807</v>
      </c>
      <c r="C3466" s="7">
        <v>1.7689999999999997E-2</v>
      </c>
      <c r="D3466" s="7">
        <v>1.7689999999999997E-2</v>
      </c>
      <c r="E3466" s="7">
        <v>1.7689999999999997E-2</v>
      </c>
      <c r="F3466" s="7">
        <v>1.7689999999999997E-2</v>
      </c>
      <c r="G3466" s="7">
        <v>-1.06E-2</v>
      </c>
    </row>
    <row r="3467" spans="2:7" x14ac:dyDescent="0.2">
      <c r="B3467" s="60">
        <v>40808</v>
      </c>
      <c r="C3467" s="7">
        <v>1.6899999999999998E-2</v>
      </c>
      <c r="D3467" s="7">
        <v>1.6899999999999998E-2</v>
      </c>
      <c r="E3467" s="7">
        <v>1.6899999999999998E-2</v>
      </c>
      <c r="F3467" s="7">
        <v>1.6899999999999998E-2</v>
      </c>
      <c r="G3467" s="7">
        <v>-4.4699999999999997E-2</v>
      </c>
    </row>
    <row r="3468" spans="2:7" x14ac:dyDescent="0.2">
      <c r="B3468" s="60">
        <v>40809</v>
      </c>
      <c r="C3468" s="7">
        <v>1.745E-2</v>
      </c>
      <c r="D3468" s="7">
        <v>1.745E-2</v>
      </c>
      <c r="E3468" s="7">
        <v>1.745E-2</v>
      </c>
      <c r="F3468" s="7">
        <v>1.745E-2</v>
      </c>
      <c r="G3468" s="7">
        <v>3.2500000000000001E-2</v>
      </c>
    </row>
    <row r="3469" spans="2:7" x14ac:dyDescent="0.2">
      <c r="B3469" s="60">
        <v>40812</v>
      </c>
      <c r="C3469" s="7">
        <v>1.8249999999999999E-2</v>
      </c>
      <c r="D3469" s="7">
        <v>1.8249999999999999E-2</v>
      </c>
      <c r="E3469" s="7">
        <v>1.8249999999999999E-2</v>
      </c>
      <c r="F3469" s="7">
        <v>1.8249999999999999E-2</v>
      </c>
      <c r="G3469" s="7">
        <v>4.58E-2</v>
      </c>
    </row>
    <row r="3470" spans="2:7" x14ac:dyDescent="0.2">
      <c r="B3470" s="60">
        <v>40813</v>
      </c>
      <c r="C3470" s="7">
        <v>1.9539999999999998E-2</v>
      </c>
      <c r="D3470" s="7">
        <v>1.9539999999999998E-2</v>
      </c>
      <c r="E3470" s="7">
        <v>1.9539999999999998E-2</v>
      </c>
      <c r="F3470" s="7">
        <v>1.9539999999999998E-2</v>
      </c>
      <c r="G3470" s="7">
        <v>7.0699999999999999E-2</v>
      </c>
    </row>
    <row r="3471" spans="2:7" x14ac:dyDescent="0.2">
      <c r="B3471" s="60">
        <v>40814</v>
      </c>
      <c r="C3471" s="7">
        <v>1.983E-2</v>
      </c>
      <c r="D3471" s="7">
        <v>1.983E-2</v>
      </c>
      <c r="E3471" s="7">
        <v>1.983E-2</v>
      </c>
      <c r="F3471" s="7">
        <v>1.983E-2</v>
      </c>
      <c r="G3471" s="7">
        <v>1.4800000000000001E-2</v>
      </c>
    </row>
    <row r="3472" spans="2:7" x14ac:dyDescent="0.2">
      <c r="B3472" s="60">
        <v>40815</v>
      </c>
      <c r="C3472" s="7">
        <v>2.0080000000000001E-2</v>
      </c>
      <c r="D3472" s="7">
        <v>2.0080000000000001E-2</v>
      </c>
      <c r="E3472" s="7">
        <v>2.0080000000000001E-2</v>
      </c>
      <c r="F3472" s="7">
        <v>2.0080000000000001E-2</v>
      </c>
      <c r="G3472" s="7">
        <v>1.26E-2</v>
      </c>
    </row>
    <row r="3473" spans="2:7" x14ac:dyDescent="0.2">
      <c r="B3473" s="60">
        <v>40816</v>
      </c>
      <c r="C3473" s="7">
        <v>1.8859999999999998E-2</v>
      </c>
      <c r="D3473" s="7">
        <v>1.8859999999999998E-2</v>
      </c>
      <c r="E3473" s="7">
        <v>1.8859999999999998E-2</v>
      </c>
      <c r="F3473" s="7">
        <v>1.8859999999999998E-2</v>
      </c>
      <c r="G3473" s="7">
        <v>-6.08E-2</v>
      </c>
    </row>
    <row r="3474" spans="2:7" x14ac:dyDescent="0.2">
      <c r="B3474" s="60">
        <v>40819</v>
      </c>
      <c r="C3474" s="7">
        <v>1.814E-2</v>
      </c>
      <c r="D3474" s="7">
        <v>1.814E-2</v>
      </c>
      <c r="E3474" s="7">
        <v>1.814E-2</v>
      </c>
      <c r="F3474" s="7">
        <v>1.814E-2</v>
      </c>
      <c r="G3474" s="7">
        <v>-3.8199999999999998E-2</v>
      </c>
    </row>
    <row r="3475" spans="2:7" x14ac:dyDescent="0.2">
      <c r="B3475" s="60">
        <v>40820</v>
      </c>
      <c r="C3475" s="7">
        <v>1.719E-2</v>
      </c>
      <c r="D3475" s="7">
        <v>1.719E-2</v>
      </c>
      <c r="E3475" s="7">
        <v>1.719E-2</v>
      </c>
      <c r="F3475" s="7">
        <v>1.719E-2</v>
      </c>
      <c r="G3475" s="7">
        <v>-5.2400000000000002E-2</v>
      </c>
    </row>
    <row r="3476" spans="2:7" x14ac:dyDescent="0.2">
      <c r="B3476" s="60">
        <v>40821</v>
      </c>
      <c r="C3476" s="7">
        <v>1.84E-2</v>
      </c>
      <c r="D3476" s="7">
        <v>1.84E-2</v>
      </c>
      <c r="E3476" s="7">
        <v>1.84E-2</v>
      </c>
      <c r="F3476" s="7">
        <v>1.84E-2</v>
      </c>
      <c r="G3476" s="7">
        <v>7.0400000000000004E-2</v>
      </c>
    </row>
    <row r="3477" spans="2:7" x14ac:dyDescent="0.2">
      <c r="B3477" s="60">
        <v>40822</v>
      </c>
      <c r="C3477" s="7">
        <v>1.942E-2</v>
      </c>
      <c r="D3477" s="7">
        <v>1.942E-2</v>
      </c>
      <c r="E3477" s="7">
        <v>1.942E-2</v>
      </c>
      <c r="F3477" s="7">
        <v>1.942E-2</v>
      </c>
      <c r="G3477" s="7">
        <v>5.5399999999999998E-2</v>
      </c>
    </row>
    <row r="3478" spans="2:7" x14ac:dyDescent="0.2">
      <c r="B3478" s="60">
        <v>40823</v>
      </c>
      <c r="C3478" s="7">
        <v>2.0049999999999998E-2</v>
      </c>
      <c r="D3478" s="7">
        <v>2.0049999999999998E-2</v>
      </c>
      <c r="E3478" s="7">
        <v>2.0049999999999998E-2</v>
      </c>
      <c r="F3478" s="7">
        <v>2.0049999999999998E-2</v>
      </c>
      <c r="G3478" s="7">
        <v>3.2399999999999998E-2</v>
      </c>
    </row>
    <row r="3479" spans="2:7" x14ac:dyDescent="0.2">
      <c r="B3479" s="60">
        <v>40826</v>
      </c>
      <c r="C3479" s="7">
        <v>2.0870000000000003E-2</v>
      </c>
      <c r="D3479" s="7">
        <v>2.0870000000000003E-2</v>
      </c>
      <c r="E3479" s="7">
        <v>2.0870000000000003E-2</v>
      </c>
      <c r="F3479" s="7">
        <v>2.0870000000000003E-2</v>
      </c>
      <c r="G3479" s="7">
        <v>4.0899999999999999E-2</v>
      </c>
    </row>
    <row r="3480" spans="2:7" x14ac:dyDescent="0.2">
      <c r="B3480" s="60">
        <v>40827</v>
      </c>
      <c r="C3480" s="7">
        <v>2.085E-2</v>
      </c>
      <c r="D3480" s="7">
        <v>2.085E-2</v>
      </c>
      <c r="E3480" s="7">
        <v>2.085E-2</v>
      </c>
      <c r="F3480" s="7">
        <v>2.085E-2</v>
      </c>
      <c r="G3480" s="7">
        <v>-1E-3</v>
      </c>
    </row>
    <row r="3481" spans="2:7" x14ac:dyDescent="0.2">
      <c r="B3481" s="60">
        <v>40828</v>
      </c>
      <c r="C3481" s="7">
        <v>2.1909999999999999E-2</v>
      </c>
      <c r="D3481" s="7">
        <v>2.1909999999999999E-2</v>
      </c>
      <c r="E3481" s="7">
        <v>2.1909999999999999E-2</v>
      </c>
      <c r="F3481" s="7">
        <v>2.1909999999999999E-2</v>
      </c>
      <c r="G3481" s="7">
        <v>5.0799999999999998E-2</v>
      </c>
    </row>
    <row r="3482" spans="2:7" x14ac:dyDescent="0.2">
      <c r="B3482" s="60">
        <v>40829</v>
      </c>
      <c r="C3482" s="7">
        <v>2.1110000000000004E-2</v>
      </c>
      <c r="D3482" s="7">
        <v>2.1110000000000004E-2</v>
      </c>
      <c r="E3482" s="7">
        <v>2.1110000000000004E-2</v>
      </c>
      <c r="F3482" s="7">
        <v>2.1110000000000004E-2</v>
      </c>
      <c r="G3482" s="7">
        <v>-3.6499999999999998E-2</v>
      </c>
    </row>
    <row r="3483" spans="2:7" x14ac:dyDescent="0.2">
      <c r="B3483" s="60">
        <v>40830</v>
      </c>
      <c r="C3483" s="7">
        <v>2.198E-2</v>
      </c>
      <c r="D3483" s="7">
        <v>2.198E-2</v>
      </c>
      <c r="E3483" s="7">
        <v>2.198E-2</v>
      </c>
      <c r="F3483" s="7">
        <v>2.198E-2</v>
      </c>
      <c r="G3483" s="7">
        <v>4.1200000000000001E-2</v>
      </c>
    </row>
    <row r="3484" spans="2:7" x14ac:dyDescent="0.2">
      <c r="B3484" s="60">
        <v>40833</v>
      </c>
      <c r="C3484" s="7">
        <v>2.1000000000000001E-2</v>
      </c>
      <c r="D3484" s="7">
        <v>2.1000000000000001E-2</v>
      </c>
      <c r="E3484" s="7">
        <v>2.1000000000000001E-2</v>
      </c>
      <c r="F3484" s="7">
        <v>2.1000000000000001E-2</v>
      </c>
      <c r="G3484" s="7">
        <v>-4.4600000000000001E-2</v>
      </c>
    </row>
    <row r="3485" spans="2:7" x14ac:dyDescent="0.2">
      <c r="B3485" s="60">
        <v>40834</v>
      </c>
      <c r="C3485" s="7">
        <v>2.0099999999999996E-2</v>
      </c>
      <c r="D3485" s="7">
        <v>2.0099999999999996E-2</v>
      </c>
      <c r="E3485" s="7">
        <v>2.0099999999999996E-2</v>
      </c>
      <c r="F3485" s="7">
        <v>2.0099999999999996E-2</v>
      </c>
      <c r="G3485" s="7">
        <v>-4.2900000000000001E-2</v>
      </c>
    </row>
    <row r="3486" spans="2:7" x14ac:dyDescent="0.2">
      <c r="B3486" s="60">
        <v>40835</v>
      </c>
      <c r="C3486" s="7">
        <v>2.068E-2</v>
      </c>
      <c r="D3486" s="7">
        <v>2.068E-2</v>
      </c>
      <c r="E3486" s="7">
        <v>2.068E-2</v>
      </c>
      <c r="F3486" s="7">
        <v>2.068E-2</v>
      </c>
      <c r="G3486" s="7">
        <v>2.8899999999999999E-2</v>
      </c>
    </row>
    <row r="3487" spans="2:7" x14ac:dyDescent="0.2">
      <c r="B3487" s="60">
        <v>40836</v>
      </c>
      <c r="C3487" s="7">
        <v>2.009E-2</v>
      </c>
      <c r="D3487" s="7">
        <v>2.009E-2</v>
      </c>
      <c r="E3487" s="7">
        <v>2.009E-2</v>
      </c>
      <c r="F3487" s="7">
        <v>2.009E-2</v>
      </c>
      <c r="G3487" s="7">
        <v>-2.8500000000000001E-2</v>
      </c>
    </row>
    <row r="3488" spans="2:7" x14ac:dyDescent="0.2">
      <c r="B3488" s="60">
        <v>40837</v>
      </c>
      <c r="C3488" s="7">
        <v>2.1160000000000002E-2</v>
      </c>
      <c r="D3488" s="7">
        <v>2.1160000000000002E-2</v>
      </c>
      <c r="E3488" s="7">
        <v>2.1160000000000002E-2</v>
      </c>
      <c r="F3488" s="7">
        <v>2.1160000000000002E-2</v>
      </c>
      <c r="G3488" s="7">
        <v>5.33E-2</v>
      </c>
    </row>
    <row r="3489" spans="2:7" x14ac:dyDescent="0.2">
      <c r="B3489" s="60">
        <v>40840</v>
      </c>
      <c r="C3489" s="7">
        <v>2.1170000000000001E-2</v>
      </c>
      <c r="D3489" s="7">
        <v>2.1170000000000001E-2</v>
      </c>
      <c r="E3489" s="7">
        <v>2.1170000000000001E-2</v>
      </c>
      <c r="F3489" s="7">
        <v>2.1170000000000001E-2</v>
      </c>
      <c r="G3489" s="7">
        <v>5.0000000000000001E-4</v>
      </c>
    </row>
    <row r="3490" spans="2:7" x14ac:dyDescent="0.2">
      <c r="B3490" s="60">
        <v>40841</v>
      </c>
      <c r="C3490" s="7">
        <v>2.0619999999999999E-2</v>
      </c>
      <c r="D3490" s="7">
        <v>2.0619999999999999E-2</v>
      </c>
      <c r="E3490" s="7">
        <v>2.0619999999999999E-2</v>
      </c>
      <c r="F3490" s="7">
        <v>2.0619999999999999E-2</v>
      </c>
      <c r="G3490" s="7">
        <v>-2.5999999999999999E-2</v>
      </c>
    </row>
    <row r="3491" spans="2:7" x14ac:dyDescent="0.2">
      <c r="B3491" s="60">
        <v>40842</v>
      </c>
      <c r="C3491" s="7">
        <v>2.0369999999999999E-2</v>
      </c>
      <c r="D3491" s="7">
        <v>2.0369999999999999E-2</v>
      </c>
      <c r="E3491" s="7">
        <v>2.0369999999999999E-2</v>
      </c>
      <c r="F3491" s="7">
        <v>2.0369999999999999E-2</v>
      </c>
      <c r="G3491" s="7">
        <v>-1.21E-2</v>
      </c>
    </row>
    <row r="3492" spans="2:7" x14ac:dyDescent="0.2">
      <c r="B3492" s="60">
        <v>40843</v>
      </c>
      <c r="C3492" s="7">
        <v>2.2099999999999998E-2</v>
      </c>
      <c r="D3492" s="7">
        <v>2.2099999999999998E-2</v>
      </c>
      <c r="E3492" s="7">
        <v>2.2099999999999998E-2</v>
      </c>
      <c r="F3492" s="7">
        <v>2.2099999999999998E-2</v>
      </c>
      <c r="G3492" s="7">
        <v>8.4900000000000003E-2</v>
      </c>
    </row>
    <row r="3493" spans="2:7" x14ac:dyDescent="0.2">
      <c r="B3493" s="60">
        <v>40844</v>
      </c>
      <c r="C3493" s="7">
        <v>2.196E-2</v>
      </c>
      <c r="D3493" s="7">
        <v>2.196E-2</v>
      </c>
      <c r="E3493" s="7">
        <v>2.196E-2</v>
      </c>
      <c r="F3493" s="7">
        <v>2.196E-2</v>
      </c>
      <c r="G3493" s="7">
        <v>-6.3E-3</v>
      </c>
    </row>
    <row r="3494" spans="2:7" x14ac:dyDescent="0.2">
      <c r="B3494" s="60">
        <v>40847</v>
      </c>
      <c r="C3494" s="7">
        <v>2.0369999999999999E-2</v>
      </c>
      <c r="D3494" s="7">
        <v>2.0369999999999999E-2</v>
      </c>
      <c r="E3494" s="7">
        <v>2.0369999999999999E-2</v>
      </c>
      <c r="F3494" s="7">
        <v>2.0369999999999999E-2</v>
      </c>
      <c r="G3494" s="7">
        <v>-7.2400000000000006E-2</v>
      </c>
    </row>
    <row r="3495" spans="2:7" x14ac:dyDescent="0.2">
      <c r="B3495" s="60">
        <v>40848</v>
      </c>
      <c r="C3495" s="7">
        <v>1.7430000000000001E-2</v>
      </c>
      <c r="D3495" s="7">
        <v>1.7430000000000001E-2</v>
      </c>
      <c r="E3495" s="7">
        <v>1.7430000000000001E-2</v>
      </c>
      <c r="F3495" s="7">
        <v>1.7430000000000001E-2</v>
      </c>
      <c r="G3495" s="7">
        <v>-0.14430000000000001</v>
      </c>
    </row>
    <row r="3496" spans="2:7" x14ac:dyDescent="0.2">
      <c r="B3496" s="60">
        <v>40849</v>
      </c>
      <c r="C3496" s="7">
        <v>1.8440000000000002E-2</v>
      </c>
      <c r="D3496" s="7">
        <v>1.8440000000000002E-2</v>
      </c>
      <c r="E3496" s="7">
        <v>1.8440000000000002E-2</v>
      </c>
      <c r="F3496" s="7">
        <v>1.8440000000000002E-2</v>
      </c>
      <c r="G3496" s="7">
        <v>5.79E-2</v>
      </c>
    </row>
    <row r="3497" spans="2:7" x14ac:dyDescent="0.2">
      <c r="B3497" s="60">
        <v>40850</v>
      </c>
      <c r="C3497" s="7">
        <v>1.9009999999999999E-2</v>
      </c>
      <c r="D3497" s="7">
        <v>1.9009999999999999E-2</v>
      </c>
      <c r="E3497" s="7">
        <v>1.9009999999999999E-2</v>
      </c>
      <c r="F3497" s="7">
        <v>1.9009999999999999E-2</v>
      </c>
      <c r="G3497" s="7">
        <v>3.09E-2</v>
      </c>
    </row>
    <row r="3498" spans="2:7" x14ac:dyDescent="0.2">
      <c r="B3498" s="60">
        <v>40851</v>
      </c>
      <c r="C3498" s="7">
        <v>1.821E-2</v>
      </c>
      <c r="D3498" s="7">
        <v>1.821E-2</v>
      </c>
      <c r="E3498" s="7">
        <v>1.821E-2</v>
      </c>
      <c r="F3498" s="7">
        <v>1.821E-2</v>
      </c>
      <c r="G3498" s="7">
        <v>-4.2099999999999999E-2</v>
      </c>
    </row>
    <row r="3499" spans="2:7" x14ac:dyDescent="0.2">
      <c r="B3499" s="60">
        <v>40854</v>
      </c>
      <c r="C3499" s="7">
        <v>1.804E-2</v>
      </c>
      <c r="D3499" s="7">
        <v>1.804E-2</v>
      </c>
      <c r="E3499" s="7">
        <v>1.804E-2</v>
      </c>
      <c r="F3499" s="7">
        <v>1.804E-2</v>
      </c>
      <c r="G3499" s="7">
        <v>-9.2999999999999992E-3</v>
      </c>
    </row>
    <row r="3500" spans="2:7" x14ac:dyDescent="0.2">
      <c r="B3500" s="60">
        <v>40855</v>
      </c>
      <c r="C3500" s="7">
        <v>1.7979999999999999E-2</v>
      </c>
      <c r="D3500" s="7">
        <v>1.7979999999999999E-2</v>
      </c>
      <c r="E3500" s="7">
        <v>1.7979999999999999E-2</v>
      </c>
      <c r="F3500" s="7">
        <v>1.7979999999999999E-2</v>
      </c>
      <c r="G3500" s="7">
        <v>-3.3E-3</v>
      </c>
    </row>
    <row r="3501" spans="2:7" x14ac:dyDescent="0.2">
      <c r="B3501" s="60">
        <v>40856</v>
      </c>
      <c r="C3501" s="7">
        <v>1.7070000000000002E-2</v>
      </c>
      <c r="D3501" s="7">
        <v>1.7070000000000002E-2</v>
      </c>
      <c r="E3501" s="7">
        <v>1.7070000000000002E-2</v>
      </c>
      <c r="F3501" s="7">
        <v>1.7070000000000002E-2</v>
      </c>
      <c r="G3501" s="7">
        <v>-5.0599999999999999E-2</v>
      </c>
    </row>
    <row r="3502" spans="2:7" x14ac:dyDescent="0.2">
      <c r="B3502" s="60">
        <v>40857</v>
      </c>
      <c r="C3502" s="7">
        <v>1.737E-2</v>
      </c>
      <c r="D3502" s="7">
        <v>1.737E-2</v>
      </c>
      <c r="E3502" s="7">
        <v>1.737E-2</v>
      </c>
      <c r="F3502" s="7">
        <v>1.737E-2</v>
      </c>
      <c r="G3502" s="7">
        <v>1.7600000000000001E-2</v>
      </c>
    </row>
    <row r="3503" spans="2:7" x14ac:dyDescent="0.2">
      <c r="B3503" s="60">
        <v>40858</v>
      </c>
      <c r="C3503" s="7">
        <v>1.8530000000000001E-2</v>
      </c>
      <c r="D3503" s="7">
        <v>1.8530000000000001E-2</v>
      </c>
      <c r="E3503" s="7">
        <v>1.8530000000000001E-2</v>
      </c>
      <c r="F3503" s="7">
        <v>1.8530000000000001E-2</v>
      </c>
      <c r="G3503" s="7">
        <v>6.6799999999999998E-2</v>
      </c>
    </row>
    <row r="3504" spans="2:7" x14ac:dyDescent="0.2">
      <c r="B3504" s="60">
        <v>40861</v>
      </c>
      <c r="C3504" s="7">
        <v>1.8149999999999999E-2</v>
      </c>
      <c r="D3504" s="7">
        <v>1.8149999999999999E-2</v>
      </c>
      <c r="E3504" s="7">
        <v>1.8149999999999999E-2</v>
      </c>
      <c r="F3504" s="7">
        <v>1.8149999999999999E-2</v>
      </c>
      <c r="G3504" s="7">
        <v>-2.0500000000000001E-2</v>
      </c>
    </row>
    <row r="3505" spans="2:7" x14ac:dyDescent="0.2">
      <c r="B3505" s="60">
        <v>40862</v>
      </c>
      <c r="C3505" s="7">
        <v>1.7669999999999998E-2</v>
      </c>
      <c r="D3505" s="7">
        <v>1.7669999999999998E-2</v>
      </c>
      <c r="E3505" s="7">
        <v>1.7669999999999998E-2</v>
      </c>
      <c r="F3505" s="7">
        <v>1.7669999999999998E-2</v>
      </c>
      <c r="G3505" s="7">
        <v>-2.64E-2</v>
      </c>
    </row>
    <row r="3506" spans="2:7" x14ac:dyDescent="0.2">
      <c r="B3506" s="60">
        <v>40863</v>
      </c>
      <c r="C3506" s="7">
        <v>1.8100000000000002E-2</v>
      </c>
      <c r="D3506" s="7">
        <v>1.8100000000000002E-2</v>
      </c>
      <c r="E3506" s="7">
        <v>1.8100000000000002E-2</v>
      </c>
      <c r="F3506" s="7">
        <v>1.8100000000000002E-2</v>
      </c>
      <c r="G3506" s="7">
        <v>2.4299999999999999E-2</v>
      </c>
    </row>
    <row r="3507" spans="2:7" x14ac:dyDescent="0.2">
      <c r="B3507" s="60">
        <v>40864</v>
      </c>
      <c r="C3507" s="7">
        <v>1.873E-2</v>
      </c>
      <c r="D3507" s="7">
        <v>1.873E-2</v>
      </c>
      <c r="E3507" s="7">
        <v>1.873E-2</v>
      </c>
      <c r="F3507" s="7">
        <v>1.873E-2</v>
      </c>
      <c r="G3507" s="7">
        <v>3.4799999999999998E-2</v>
      </c>
    </row>
    <row r="3508" spans="2:7" x14ac:dyDescent="0.2">
      <c r="B3508" s="60">
        <v>40865</v>
      </c>
      <c r="C3508" s="7">
        <v>1.9689999999999999E-2</v>
      </c>
      <c r="D3508" s="7">
        <v>1.9689999999999999E-2</v>
      </c>
      <c r="E3508" s="7">
        <v>1.9689999999999999E-2</v>
      </c>
      <c r="F3508" s="7">
        <v>1.9689999999999999E-2</v>
      </c>
      <c r="G3508" s="7">
        <v>5.1299999999999998E-2</v>
      </c>
    </row>
    <row r="3509" spans="2:7" x14ac:dyDescent="0.2">
      <c r="B3509" s="60">
        <v>40868</v>
      </c>
      <c r="C3509" s="7">
        <v>1.8849999999999999E-2</v>
      </c>
      <c r="D3509" s="7">
        <v>1.8849999999999999E-2</v>
      </c>
      <c r="E3509" s="7">
        <v>1.8849999999999999E-2</v>
      </c>
      <c r="F3509" s="7">
        <v>1.8849999999999999E-2</v>
      </c>
      <c r="G3509" s="7">
        <v>-4.2700000000000002E-2</v>
      </c>
    </row>
    <row r="3510" spans="2:7" x14ac:dyDescent="0.2">
      <c r="B3510" s="60">
        <v>40869</v>
      </c>
      <c r="C3510" s="7">
        <v>1.9359999999999999E-2</v>
      </c>
      <c r="D3510" s="7">
        <v>1.9359999999999999E-2</v>
      </c>
      <c r="E3510" s="7">
        <v>1.9359999999999999E-2</v>
      </c>
      <c r="F3510" s="7">
        <v>1.9359999999999999E-2</v>
      </c>
      <c r="G3510" s="7">
        <v>2.7099999999999999E-2</v>
      </c>
    </row>
    <row r="3511" spans="2:7" x14ac:dyDescent="0.2">
      <c r="B3511" s="60">
        <v>40870</v>
      </c>
      <c r="C3511" s="7">
        <v>2.0240000000000001E-2</v>
      </c>
      <c r="D3511" s="7">
        <v>2.0240000000000001E-2</v>
      </c>
      <c r="E3511" s="7">
        <v>2.0240000000000001E-2</v>
      </c>
      <c r="F3511" s="7">
        <v>2.0240000000000001E-2</v>
      </c>
      <c r="G3511" s="7">
        <v>4.5499999999999999E-2</v>
      </c>
    </row>
    <row r="3512" spans="2:7" x14ac:dyDescent="0.2">
      <c r="B3512" s="60">
        <v>40871</v>
      </c>
      <c r="C3512" s="7">
        <v>2.1899999999999999E-2</v>
      </c>
      <c r="D3512" s="7">
        <v>2.1899999999999999E-2</v>
      </c>
      <c r="E3512" s="7">
        <v>2.1899999999999999E-2</v>
      </c>
      <c r="F3512" s="7">
        <v>2.1899999999999999E-2</v>
      </c>
      <c r="G3512" s="7">
        <v>8.2000000000000003E-2</v>
      </c>
    </row>
    <row r="3513" spans="2:7" x14ac:dyDescent="0.2">
      <c r="B3513" s="60">
        <v>40872</v>
      </c>
      <c r="C3513" s="7">
        <v>2.2620000000000001E-2</v>
      </c>
      <c r="D3513" s="7">
        <v>2.2620000000000001E-2</v>
      </c>
      <c r="E3513" s="7">
        <v>2.2620000000000001E-2</v>
      </c>
      <c r="F3513" s="7">
        <v>2.2620000000000001E-2</v>
      </c>
      <c r="G3513" s="7">
        <v>3.2899999999999999E-2</v>
      </c>
    </row>
    <row r="3514" spans="2:7" x14ac:dyDescent="0.2">
      <c r="B3514" s="60">
        <v>40875</v>
      </c>
      <c r="C3514" s="7">
        <v>2.3300000000000001E-2</v>
      </c>
      <c r="D3514" s="7">
        <v>2.3300000000000001E-2</v>
      </c>
      <c r="E3514" s="7">
        <v>2.3300000000000001E-2</v>
      </c>
      <c r="F3514" s="7">
        <v>2.3300000000000001E-2</v>
      </c>
      <c r="G3514" s="7">
        <v>3.0099999999999998E-2</v>
      </c>
    </row>
    <row r="3515" spans="2:7" x14ac:dyDescent="0.2">
      <c r="B3515" s="60">
        <v>40876</v>
      </c>
      <c r="C3515" s="7">
        <v>2.3550000000000001E-2</v>
      </c>
      <c r="D3515" s="7">
        <v>2.3550000000000001E-2</v>
      </c>
      <c r="E3515" s="7">
        <v>2.3550000000000001E-2</v>
      </c>
      <c r="F3515" s="7">
        <v>2.3550000000000001E-2</v>
      </c>
      <c r="G3515" s="7">
        <v>1.0699999999999999E-2</v>
      </c>
    </row>
    <row r="3516" spans="2:7" x14ac:dyDescent="0.2">
      <c r="B3516" s="60">
        <v>40877</v>
      </c>
      <c r="C3516" s="7">
        <v>2.281E-2</v>
      </c>
      <c r="D3516" s="7">
        <v>2.281E-2</v>
      </c>
      <c r="E3516" s="7">
        <v>2.281E-2</v>
      </c>
      <c r="F3516" s="7">
        <v>2.281E-2</v>
      </c>
      <c r="G3516" s="7">
        <v>-3.1399999999999997E-2</v>
      </c>
    </row>
    <row r="3517" spans="2:7" x14ac:dyDescent="0.2">
      <c r="B3517" s="60">
        <v>40878</v>
      </c>
      <c r="C3517" s="7">
        <v>2.2460000000000001E-2</v>
      </c>
      <c r="D3517" s="7">
        <v>2.2460000000000001E-2</v>
      </c>
      <c r="E3517" s="7">
        <v>2.2460000000000001E-2</v>
      </c>
      <c r="F3517" s="7">
        <v>2.2460000000000001E-2</v>
      </c>
      <c r="G3517" s="7">
        <v>-1.5299999999999999E-2</v>
      </c>
    </row>
    <row r="3518" spans="2:7" x14ac:dyDescent="0.2">
      <c r="B3518" s="60">
        <v>40879</v>
      </c>
      <c r="C3518" s="7">
        <v>2.1700000000000001E-2</v>
      </c>
      <c r="D3518" s="7">
        <v>2.1700000000000001E-2</v>
      </c>
      <c r="E3518" s="7">
        <v>2.1700000000000001E-2</v>
      </c>
      <c r="F3518" s="7">
        <v>2.1700000000000001E-2</v>
      </c>
      <c r="G3518" s="7">
        <v>-3.3799999999999997E-2</v>
      </c>
    </row>
    <row r="3519" spans="2:7" x14ac:dyDescent="0.2">
      <c r="B3519" s="60">
        <v>40882</v>
      </c>
      <c r="C3519" s="7">
        <v>2.2120000000000001E-2</v>
      </c>
      <c r="D3519" s="7">
        <v>2.2120000000000001E-2</v>
      </c>
      <c r="E3519" s="7">
        <v>2.2120000000000001E-2</v>
      </c>
      <c r="F3519" s="7">
        <v>2.2120000000000001E-2</v>
      </c>
      <c r="G3519" s="7">
        <v>1.9400000000000001E-2</v>
      </c>
    </row>
    <row r="3520" spans="2:7" x14ac:dyDescent="0.2">
      <c r="B3520" s="60">
        <v>40883</v>
      </c>
      <c r="C3520" s="7">
        <v>2.2099999999999998E-2</v>
      </c>
      <c r="D3520" s="7">
        <v>2.2099999999999998E-2</v>
      </c>
      <c r="E3520" s="7">
        <v>2.2099999999999998E-2</v>
      </c>
      <c r="F3520" s="7">
        <v>2.2099999999999998E-2</v>
      </c>
      <c r="G3520" s="7">
        <v>-8.9999999999999998E-4</v>
      </c>
    </row>
    <row r="3521" spans="2:7" x14ac:dyDescent="0.2">
      <c r="B3521" s="60">
        <v>40884</v>
      </c>
      <c r="C3521" s="7">
        <v>2.0649999999999998E-2</v>
      </c>
      <c r="D3521" s="7">
        <v>2.0649999999999998E-2</v>
      </c>
      <c r="E3521" s="7">
        <v>2.0649999999999998E-2</v>
      </c>
      <c r="F3521" s="7">
        <v>2.0649999999999998E-2</v>
      </c>
      <c r="G3521" s="7">
        <v>-6.5600000000000006E-2</v>
      </c>
    </row>
    <row r="3522" spans="2:7" x14ac:dyDescent="0.2">
      <c r="B3522" s="60">
        <v>40885</v>
      </c>
      <c r="C3522" s="7">
        <v>2.0539999999999999E-2</v>
      </c>
      <c r="D3522" s="7">
        <v>2.0539999999999999E-2</v>
      </c>
      <c r="E3522" s="7">
        <v>2.0539999999999999E-2</v>
      </c>
      <c r="F3522" s="7">
        <v>2.0539999999999999E-2</v>
      </c>
      <c r="G3522" s="7">
        <v>-5.3E-3</v>
      </c>
    </row>
    <row r="3523" spans="2:7" x14ac:dyDescent="0.2">
      <c r="B3523" s="60">
        <v>40886</v>
      </c>
      <c r="C3523" s="7">
        <v>2.1110000000000004E-2</v>
      </c>
      <c r="D3523" s="7">
        <v>2.1110000000000004E-2</v>
      </c>
      <c r="E3523" s="7">
        <v>2.1110000000000004E-2</v>
      </c>
      <c r="F3523" s="7">
        <v>2.1110000000000004E-2</v>
      </c>
      <c r="G3523" s="7">
        <v>2.7799999999999998E-2</v>
      </c>
    </row>
    <row r="3524" spans="2:7" x14ac:dyDescent="0.2">
      <c r="B3524" s="60">
        <v>40889</v>
      </c>
      <c r="C3524" s="7">
        <v>2.044E-2</v>
      </c>
      <c r="D3524" s="7">
        <v>2.044E-2</v>
      </c>
      <c r="E3524" s="7">
        <v>2.044E-2</v>
      </c>
      <c r="F3524" s="7">
        <v>2.044E-2</v>
      </c>
      <c r="G3524" s="7">
        <v>-3.1699999999999999E-2</v>
      </c>
    </row>
    <row r="3525" spans="2:7" x14ac:dyDescent="0.2">
      <c r="B3525" s="60">
        <v>40890</v>
      </c>
      <c r="C3525" s="7">
        <v>2.0729999999999998E-2</v>
      </c>
      <c r="D3525" s="7">
        <v>2.0729999999999998E-2</v>
      </c>
      <c r="E3525" s="7">
        <v>2.0729999999999998E-2</v>
      </c>
      <c r="F3525" s="7">
        <v>2.0729999999999998E-2</v>
      </c>
      <c r="G3525" s="7">
        <v>1.4200000000000001E-2</v>
      </c>
    </row>
    <row r="3526" spans="2:7" x14ac:dyDescent="0.2">
      <c r="B3526" s="60">
        <v>40891</v>
      </c>
      <c r="C3526" s="7">
        <v>1.9570000000000001E-2</v>
      </c>
      <c r="D3526" s="7">
        <v>1.9570000000000001E-2</v>
      </c>
      <c r="E3526" s="7">
        <v>1.9570000000000001E-2</v>
      </c>
      <c r="F3526" s="7">
        <v>1.9570000000000001E-2</v>
      </c>
      <c r="G3526" s="7">
        <v>-5.6000000000000001E-2</v>
      </c>
    </row>
    <row r="3527" spans="2:7" x14ac:dyDescent="0.2">
      <c r="B3527" s="60">
        <v>40892</v>
      </c>
      <c r="C3527" s="7">
        <v>1.941E-2</v>
      </c>
      <c r="D3527" s="7">
        <v>1.941E-2</v>
      </c>
      <c r="E3527" s="7">
        <v>1.941E-2</v>
      </c>
      <c r="F3527" s="7">
        <v>1.941E-2</v>
      </c>
      <c r="G3527" s="7">
        <v>-8.2000000000000007E-3</v>
      </c>
    </row>
    <row r="3528" spans="2:7" x14ac:dyDescent="0.2">
      <c r="B3528" s="60">
        <v>40893</v>
      </c>
      <c r="C3528" s="7">
        <v>1.8759999999999999E-2</v>
      </c>
      <c r="D3528" s="7">
        <v>1.8759999999999999E-2</v>
      </c>
      <c r="E3528" s="7">
        <v>1.8759999999999999E-2</v>
      </c>
      <c r="F3528" s="7">
        <v>1.8759999999999999E-2</v>
      </c>
      <c r="G3528" s="7">
        <v>-3.3500000000000002E-2</v>
      </c>
    </row>
    <row r="3529" spans="2:7" x14ac:dyDescent="0.2">
      <c r="B3529" s="60">
        <v>40896</v>
      </c>
      <c r="C3529" s="7">
        <v>1.8890000000000001E-2</v>
      </c>
      <c r="D3529" s="7">
        <v>1.8890000000000001E-2</v>
      </c>
      <c r="E3529" s="7">
        <v>1.8890000000000001E-2</v>
      </c>
      <c r="F3529" s="7">
        <v>1.8890000000000001E-2</v>
      </c>
      <c r="G3529" s="7">
        <v>6.8999999999999999E-3</v>
      </c>
    </row>
    <row r="3530" spans="2:7" x14ac:dyDescent="0.2">
      <c r="B3530" s="60">
        <v>40897</v>
      </c>
      <c r="C3530" s="7">
        <v>1.9610000000000002E-2</v>
      </c>
      <c r="D3530" s="7">
        <v>1.9610000000000002E-2</v>
      </c>
      <c r="E3530" s="7">
        <v>1.9610000000000002E-2</v>
      </c>
      <c r="F3530" s="7">
        <v>1.9610000000000002E-2</v>
      </c>
      <c r="G3530" s="7">
        <v>3.8100000000000002E-2</v>
      </c>
    </row>
    <row r="3531" spans="2:7" x14ac:dyDescent="0.2">
      <c r="B3531" s="60">
        <v>40898</v>
      </c>
      <c r="C3531" s="7">
        <v>1.942E-2</v>
      </c>
      <c r="D3531" s="7">
        <v>1.942E-2</v>
      </c>
      <c r="E3531" s="7">
        <v>1.942E-2</v>
      </c>
      <c r="F3531" s="7">
        <v>1.942E-2</v>
      </c>
      <c r="G3531" s="7">
        <v>-9.7000000000000003E-3</v>
      </c>
    </row>
    <row r="3532" spans="2:7" x14ac:dyDescent="0.2">
      <c r="B3532" s="60">
        <v>40899</v>
      </c>
      <c r="C3532" s="7">
        <v>1.9400000000000001E-2</v>
      </c>
      <c r="D3532" s="7">
        <v>1.9400000000000001E-2</v>
      </c>
      <c r="E3532" s="7">
        <v>1.9400000000000001E-2</v>
      </c>
      <c r="F3532" s="7">
        <v>1.9400000000000001E-2</v>
      </c>
      <c r="G3532" s="7">
        <v>-1E-3</v>
      </c>
    </row>
    <row r="3533" spans="2:7" x14ac:dyDescent="0.2">
      <c r="B3533" s="60">
        <v>40900</v>
      </c>
      <c r="C3533" s="7">
        <v>1.9480000000000001E-2</v>
      </c>
      <c r="D3533" s="7">
        <v>1.9480000000000001E-2</v>
      </c>
      <c r="E3533" s="7">
        <v>1.9480000000000001E-2</v>
      </c>
      <c r="F3533" s="7">
        <v>1.9480000000000001E-2</v>
      </c>
      <c r="G3533" s="7">
        <v>4.1000000000000003E-3</v>
      </c>
    </row>
    <row r="3534" spans="2:7" x14ac:dyDescent="0.2">
      <c r="B3534" s="60">
        <v>40904</v>
      </c>
      <c r="C3534" s="7">
        <v>1.9230000000000001E-2</v>
      </c>
      <c r="D3534" s="7">
        <v>1.9230000000000001E-2</v>
      </c>
      <c r="E3534" s="7">
        <v>1.9230000000000001E-2</v>
      </c>
      <c r="F3534" s="7">
        <v>1.9230000000000001E-2</v>
      </c>
      <c r="G3534" s="7">
        <v>-1.2800000000000001E-2</v>
      </c>
    </row>
    <row r="3535" spans="2:7" x14ac:dyDescent="0.2">
      <c r="B3535" s="60">
        <v>40905</v>
      </c>
      <c r="C3535" s="7">
        <v>1.9019999999999999E-2</v>
      </c>
      <c r="D3535" s="7">
        <v>1.9019999999999999E-2</v>
      </c>
      <c r="E3535" s="7">
        <v>1.9019999999999999E-2</v>
      </c>
      <c r="F3535" s="7">
        <v>1.9019999999999999E-2</v>
      </c>
      <c r="G3535" s="7">
        <v>-1.09E-2</v>
      </c>
    </row>
    <row r="3536" spans="2:7" x14ac:dyDescent="0.2">
      <c r="B3536" s="60">
        <v>40906</v>
      </c>
      <c r="C3536" s="7">
        <v>1.8669999999999999E-2</v>
      </c>
      <c r="D3536" s="7">
        <v>1.8669999999999999E-2</v>
      </c>
      <c r="E3536" s="7">
        <v>1.8669999999999999E-2</v>
      </c>
      <c r="F3536" s="7">
        <v>1.8669999999999999E-2</v>
      </c>
      <c r="G3536" s="7">
        <v>-1.84E-2</v>
      </c>
    </row>
    <row r="3537" spans="2:7" x14ac:dyDescent="0.2">
      <c r="B3537" s="60">
        <v>40907</v>
      </c>
      <c r="C3537" s="7">
        <v>1.8159999999999999E-2</v>
      </c>
      <c r="D3537" s="7">
        <v>1.8159999999999999E-2</v>
      </c>
      <c r="E3537" s="7">
        <v>1.8159999999999999E-2</v>
      </c>
      <c r="F3537" s="7">
        <v>1.8159999999999999E-2</v>
      </c>
      <c r="G3537" s="7">
        <v>-2.7300000000000001E-2</v>
      </c>
    </row>
    <row r="3538" spans="2:7" x14ac:dyDescent="0.2">
      <c r="B3538" s="60">
        <v>40910</v>
      </c>
      <c r="C3538" s="7">
        <v>1.9009999999999999E-2</v>
      </c>
      <c r="D3538" s="7">
        <v>1.9009999999999999E-2</v>
      </c>
      <c r="E3538" s="7">
        <v>1.9009999999999999E-2</v>
      </c>
      <c r="F3538" s="7">
        <v>1.9009999999999999E-2</v>
      </c>
      <c r="G3538" s="7">
        <v>4.6800000000000001E-2</v>
      </c>
    </row>
    <row r="3539" spans="2:7" x14ac:dyDescent="0.2">
      <c r="B3539" s="60">
        <v>40911</v>
      </c>
      <c r="C3539" s="7">
        <v>1.9130000000000001E-2</v>
      </c>
      <c r="D3539" s="7">
        <v>1.9130000000000001E-2</v>
      </c>
      <c r="E3539" s="7">
        <v>1.9130000000000001E-2</v>
      </c>
      <c r="F3539" s="7">
        <v>1.9130000000000001E-2</v>
      </c>
      <c r="G3539" s="7">
        <v>6.3E-3</v>
      </c>
    </row>
    <row r="3540" spans="2:7" x14ac:dyDescent="0.2">
      <c r="B3540" s="60">
        <v>40912</v>
      </c>
      <c r="C3540" s="7">
        <v>1.9030000000000002E-2</v>
      </c>
      <c r="D3540" s="7">
        <v>1.9030000000000002E-2</v>
      </c>
      <c r="E3540" s="7">
        <v>1.9030000000000002E-2</v>
      </c>
      <c r="F3540" s="7">
        <v>1.9030000000000002E-2</v>
      </c>
      <c r="G3540" s="7">
        <v>-5.1999999999999998E-3</v>
      </c>
    </row>
    <row r="3541" spans="2:7" x14ac:dyDescent="0.2">
      <c r="B3541" s="60">
        <v>40913</v>
      </c>
      <c r="C3541" s="7">
        <v>1.856E-2</v>
      </c>
      <c r="D3541" s="7">
        <v>1.856E-2</v>
      </c>
      <c r="E3541" s="7">
        <v>1.856E-2</v>
      </c>
      <c r="F3541" s="7">
        <v>1.856E-2</v>
      </c>
      <c r="G3541" s="7">
        <v>-2.47E-2</v>
      </c>
    </row>
    <row r="3542" spans="2:7" x14ac:dyDescent="0.2">
      <c r="B3542" s="60">
        <v>40914</v>
      </c>
      <c r="C3542" s="7">
        <v>1.8500000000000003E-2</v>
      </c>
      <c r="D3542" s="7">
        <v>1.8500000000000003E-2</v>
      </c>
      <c r="E3542" s="7">
        <v>1.8500000000000003E-2</v>
      </c>
      <c r="F3542" s="7">
        <v>1.8500000000000003E-2</v>
      </c>
      <c r="G3542" s="7">
        <v>-3.2000000000000002E-3</v>
      </c>
    </row>
    <row r="3543" spans="2:7" x14ac:dyDescent="0.2">
      <c r="B3543" s="60">
        <v>40917</v>
      </c>
      <c r="C3543" s="7">
        <v>1.8600000000000002E-2</v>
      </c>
      <c r="D3543" s="7">
        <v>1.8600000000000002E-2</v>
      </c>
      <c r="E3543" s="7">
        <v>1.8600000000000002E-2</v>
      </c>
      <c r="F3543" s="7">
        <v>1.8600000000000002E-2</v>
      </c>
      <c r="G3543" s="7">
        <v>5.4000000000000003E-3</v>
      </c>
    </row>
    <row r="3544" spans="2:7" x14ac:dyDescent="0.2">
      <c r="B3544" s="60">
        <v>40918</v>
      </c>
      <c r="C3544" s="7">
        <v>1.8669999999999999E-2</v>
      </c>
      <c r="D3544" s="7">
        <v>1.8669999999999999E-2</v>
      </c>
      <c r="E3544" s="7">
        <v>1.8669999999999999E-2</v>
      </c>
      <c r="F3544" s="7">
        <v>1.8669999999999999E-2</v>
      </c>
      <c r="G3544" s="7">
        <v>3.8E-3</v>
      </c>
    </row>
    <row r="3545" spans="2:7" x14ac:dyDescent="0.2">
      <c r="B3545" s="60">
        <v>40919</v>
      </c>
      <c r="C3545" s="7">
        <v>1.8189999999999998E-2</v>
      </c>
      <c r="D3545" s="7">
        <v>1.8189999999999998E-2</v>
      </c>
      <c r="E3545" s="7">
        <v>1.8189999999999998E-2</v>
      </c>
      <c r="F3545" s="7">
        <v>1.8189999999999998E-2</v>
      </c>
      <c r="G3545" s="7">
        <v>-2.5700000000000001E-2</v>
      </c>
    </row>
    <row r="3546" spans="2:7" x14ac:dyDescent="0.2">
      <c r="B3546" s="60">
        <v>40920</v>
      </c>
      <c r="C3546" s="7">
        <v>1.8239999999999999E-2</v>
      </c>
      <c r="D3546" s="7">
        <v>1.8239999999999999E-2</v>
      </c>
      <c r="E3546" s="7">
        <v>1.8239999999999999E-2</v>
      </c>
      <c r="F3546" s="7">
        <v>1.8239999999999999E-2</v>
      </c>
      <c r="G3546" s="7">
        <v>2.7000000000000001E-3</v>
      </c>
    </row>
    <row r="3547" spans="2:7" x14ac:dyDescent="0.2">
      <c r="B3547" s="60">
        <v>40921</v>
      </c>
      <c r="C3547" s="7">
        <v>1.7639999999999999E-2</v>
      </c>
      <c r="D3547" s="7">
        <v>1.7639999999999999E-2</v>
      </c>
      <c r="E3547" s="7">
        <v>1.7639999999999999E-2</v>
      </c>
      <c r="F3547" s="7">
        <v>1.7639999999999999E-2</v>
      </c>
      <c r="G3547" s="7">
        <v>-3.2899999999999999E-2</v>
      </c>
    </row>
    <row r="3548" spans="2:7" x14ac:dyDescent="0.2">
      <c r="B3548" s="60">
        <v>40924</v>
      </c>
      <c r="C3548" s="7">
        <v>1.7729999999999999E-2</v>
      </c>
      <c r="D3548" s="7">
        <v>1.7729999999999999E-2</v>
      </c>
      <c r="E3548" s="7">
        <v>1.7729999999999999E-2</v>
      </c>
      <c r="F3548" s="7">
        <v>1.7729999999999999E-2</v>
      </c>
      <c r="G3548" s="7">
        <v>5.1000000000000004E-3</v>
      </c>
    </row>
    <row r="3549" spans="2:7" x14ac:dyDescent="0.2">
      <c r="B3549" s="60">
        <v>40925</v>
      </c>
      <c r="C3549" s="7">
        <v>1.7909999999999999E-2</v>
      </c>
      <c r="D3549" s="7">
        <v>1.7909999999999999E-2</v>
      </c>
      <c r="E3549" s="7">
        <v>1.7909999999999999E-2</v>
      </c>
      <c r="F3549" s="7">
        <v>1.7909999999999999E-2</v>
      </c>
      <c r="G3549" s="7">
        <v>1.0200000000000001E-2</v>
      </c>
    </row>
    <row r="3550" spans="2:7" x14ac:dyDescent="0.2">
      <c r="B3550" s="60">
        <v>40926</v>
      </c>
      <c r="C3550" s="7">
        <v>1.779E-2</v>
      </c>
      <c r="D3550" s="7">
        <v>1.779E-2</v>
      </c>
      <c r="E3550" s="7">
        <v>1.779E-2</v>
      </c>
      <c r="F3550" s="7">
        <v>1.779E-2</v>
      </c>
      <c r="G3550" s="7">
        <v>-6.7000000000000002E-3</v>
      </c>
    </row>
    <row r="3551" spans="2:7" x14ac:dyDescent="0.2">
      <c r="B3551" s="60">
        <v>40927</v>
      </c>
      <c r="C3551" s="7">
        <v>1.8290000000000001E-2</v>
      </c>
      <c r="D3551" s="7">
        <v>1.8290000000000001E-2</v>
      </c>
      <c r="E3551" s="7">
        <v>1.8290000000000001E-2</v>
      </c>
      <c r="F3551" s="7">
        <v>1.8290000000000001E-2</v>
      </c>
      <c r="G3551" s="7">
        <v>2.81E-2</v>
      </c>
    </row>
    <row r="3552" spans="2:7" x14ac:dyDescent="0.2">
      <c r="B3552" s="60">
        <v>40928</v>
      </c>
      <c r="C3552" s="7">
        <v>1.9359999999999999E-2</v>
      </c>
      <c r="D3552" s="7">
        <v>1.9359999999999999E-2</v>
      </c>
      <c r="E3552" s="7">
        <v>1.9359999999999999E-2</v>
      </c>
      <c r="F3552" s="7">
        <v>1.9359999999999999E-2</v>
      </c>
      <c r="G3552" s="7">
        <v>5.8500000000000003E-2</v>
      </c>
    </row>
    <row r="3553" spans="2:7" x14ac:dyDescent="0.2">
      <c r="B3553" s="60">
        <v>40931</v>
      </c>
      <c r="C3553" s="7">
        <v>1.983E-2</v>
      </c>
      <c r="D3553" s="7">
        <v>1.983E-2</v>
      </c>
      <c r="E3553" s="7">
        <v>1.983E-2</v>
      </c>
      <c r="F3553" s="7">
        <v>1.983E-2</v>
      </c>
      <c r="G3553" s="7">
        <v>2.4299999999999999E-2</v>
      </c>
    </row>
    <row r="3554" spans="2:7" x14ac:dyDescent="0.2">
      <c r="B3554" s="60">
        <v>40932</v>
      </c>
      <c r="C3554" s="7">
        <v>1.992E-2</v>
      </c>
      <c r="D3554" s="7">
        <v>1.992E-2</v>
      </c>
      <c r="E3554" s="7">
        <v>1.992E-2</v>
      </c>
      <c r="F3554" s="7">
        <v>1.992E-2</v>
      </c>
      <c r="G3554" s="7">
        <v>4.4999999999999997E-3</v>
      </c>
    </row>
    <row r="3555" spans="2:7" x14ac:dyDescent="0.2">
      <c r="B3555" s="60">
        <v>40933</v>
      </c>
      <c r="C3555" s="7">
        <v>1.9689999999999999E-2</v>
      </c>
      <c r="D3555" s="7">
        <v>1.9689999999999999E-2</v>
      </c>
      <c r="E3555" s="7">
        <v>1.9689999999999999E-2</v>
      </c>
      <c r="F3555" s="7">
        <v>1.9689999999999999E-2</v>
      </c>
      <c r="G3555" s="7">
        <v>-1.15E-2</v>
      </c>
    </row>
    <row r="3556" spans="2:7" x14ac:dyDescent="0.2">
      <c r="B3556" s="60">
        <v>40934</v>
      </c>
      <c r="C3556" s="7">
        <v>1.8799999999999997E-2</v>
      </c>
      <c r="D3556" s="7">
        <v>1.8799999999999997E-2</v>
      </c>
      <c r="E3556" s="7">
        <v>1.8799999999999997E-2</v>
      </c>
      <c r="F3556" s="7">
        <v>1.8799999999999997E-2</v>
      </c>
      <c r="G3556" s="7">
        <v>-4.5199999999999997E-2</v>
      </c>
    </row>
    <row r="3557" spans="2:7" x14ac:dyDescent="0.2">
      <c r="B3557" s="60">
        <v>40935</v>
      </c>
      <c r="C3557" s="7">
        <v>1.8589999999999999E-2</v>
      </c>
      <c r="D3557" s="7">
        <v>1.8589999999999999E-2</v>
      </c>
      <c r="E3557" s="7">
        <v>1.8589999999999999E-2</v>
      </c>
      <c r="F3557" s="7">
        <v>1.8589999999999999E-2</v>
      </c>
      <c r="G3557" s="7">
        <v>-1.12E-2</v>
      </c>
    </row>
    <row r="3558" spans="2:7" x14ac:dyDescent="0.2">
      <c r="B3558" s="60">
        <v>40938</v>
      </c>
      <c r="C3558" s="7">
        <v>1.7979999999999999E-2</v>
      </c>
      <c r="D3558" s="7">
        <v>1.7979999999999999E-2</v>
      </c>
      <c r="E3558" s="7">
        <v>1.7979999999999999E-2</v>
      </c>
      <c r="F3558" s="7">
        <v>1.7979999999999999E-2</v>
      </c>
      <c r="G3558" s="7">
        <v>-3.2800000000000003E-2</v>
      </c>
    </row>
    <row r="3559" spans="2:7" x14ac:dyDescent="0.2">
      <c r="B3559" s="60">
        <v>40939</v>
      </c>
      <c r="C3559" s="7">
        <v>1.8089999999999998E-2</v>
      </c>
      <c r="D3559" s="7">
        <v>1.8089999999999998E-2</v>
      </c>
      <c r="E3559" s="7">
        <v>1.8089999999999998E-2</v>
      </c>
      <c r="F3559" s="7">
        <v>1.8089999999999998E-2</v>
      </c>
      <c r="G3559" s="7">
        <v>6.1000000000000004E-3</v>
      </c>
    </row>
    <row r="3560" spans="2:7" x14ac:dyDescent="0.2">
      <c r="B3560" s="60">
        <v>40940</v>
      </c>
      <c r="C3560" s="7">
        <v>1.8360000000000001E-2</v>
      </c>
      <c r="D3560" s="7">
        <v>1.8360000000000001E-2</v>
      </c>
      <c r="E3560" s="7">
        <v>1.8360000000000001E-2</v>
      </c>
      <c r="F3560" s="7">
        <v>1.8360000000000001E-2</v>
      </c>
      <c r="G3560" s="7">
        <v>1.49E-2</v>
      </c>
    </row>
    <row r="3561" spans="2:7" x14ac:dyDescent="0.2">
      <c r="B3561" s="60">
        <v>40941</v>
      </c>
      <c r="C3561" s="7">
        <v>1.8489999999999999E-2</v>
      </c>
      <c r="D3561" s="7">
        <v>1.8489999999999999E-2</v>
      </c>
      <c r="E3561" s="7">
        <v>1.8489999999999999E-2</v>
      </c>
      <c r="F3561" s="7">
        <v>1.8489999999999999E-2</v>
      </c>
      <c r="G3561" s="7">
        <v>7.1000000000000004E-3</v>
      </c>
    </row>
    <row r="3562" spans="2:7" x14ac:dyDescent="0.2">
      <c r="B3562" s="60">
        <v>40942</v>
      </c>
      <c r="C3562" s="7">
        <v>1.941E-2</v>
      </c>
      <c r="D3562" s="7">
        <v>1.941E-2</v>
      </c>
      <c r="E3562" s="7">
        <v>1.941E-2</v>
      </c>
      <c r="F3562" s="7">
        <v>1.941E-2</v>
      </c>
      <c r="G3562" s="7">
        <v>4.9799999999999997E-2</v>
      </c>
    </row>
    <row r="3563" spans="2:7" x14ac:dyDescent="0.2">
      <c r="B3563" s="60">
        <v>40945</v>
      </c>
      <c r="C3563" s="7">
        <v>1.9019999999999999E-2</v>
      </c>
      <c r="D3563" s="7">
        <v>1.9019999999999999E-2</v>
      </c>
      <c r="E3563" s="7">
        <v>1.9019999999999999E-2</v>
      </c>
      <c r="F3563" s="7">
        <v>1.9019999999999999E-2</v>
      </c>
      <c r="G3563" s="7">
        <v>-2.01E-2</v>
      </c>
    </row>
    <row r="3564" spans="2:7" x14ac:dyDescent="0.2">
      <c r="B3564" s="60">
        <v>40946</v>
      </c>
      <c r="C3564" s="7">
        <v>1.9390000000000001E-2</v>
      </c>
      <c r="D3564" s="7">
        <v>1.9390000000000001E-2</v>
      </c>
      <c r="E3564" s="7">
        <v>1.9390000000000001E-2</v>
      </c>
      <c r="F3564" s="7">
        <v>1.9390000000000001E-2</v>
      </c>
      <c r="G3564" s="7">
        <v>1.95E-2</v>
      </c>
    </row>
    <row r="3565" spans="2:7" x14ac:dyDescent="0.2">
      <c r="B3565" s="60">
        <v>40947</v>
      </c>
      <c r="C3565" s="7">
        <v>1.9820000000000001E-2</v>
      </c>
      <c r="D3565" s="7">
        <v>1.9820000000000001E-2</v>
      </c>
      <c r="E3565" s="7">
        <v>1.9820000000000001E-2</v>
      </c>
      <c r="F3565" s="7">
        <v>1.9820000000000001E-2</v>
      </c>
      <c r="G3565" s="7">
        <v>2.2200000000000001E-2</v>
      </c>
    </row>
    <row r="3566" spans="2:7" x14ac:dyDescent="0.2">
      <c r="B3566" s="60">
        <v>40948</v>
      </c>
      <c r="C3566" s="7">
        <v>2.0150000000000001E-2</v>
      </c>
      <c r="D3566" s="7">
        <v>2.0150000000000001E-2</v>
      </c>
      <c r="E3566" s="7">
        <v>2.0150000000000001E-2</v>
      </c>
      <c r="F3566" s="7">
        <v>2.0150000000000001E-2</v>
      </c>
      <c r="G3566" s="7">
        <v>1.66E-2</v>
      </c>
    </row>
    <row r="3567" spans="2:7" x14ac:dyDescent="0.2">
      <c r="B3567" s="60">
        <v>40949</v>
      </c>
      <c r="C3567" s="7">
        <v>1.9470000000000001E-2</v>
      </c>
      <c r="D3567" s="7">
        <v>1.9470000000000001E-2</v>
      </c>
      <c r="E3567" s="7">
        <v>1.9470000000000001E-2</v>
      </c>
      <c r="F3567" s="7">
        <v>1.9470000000000001E-2</v>
      </c>
      <c r="G3567" s="7">
        <v>-3.3700000000000001E-2</v>
      </c>
    </row>
    <row r="3568" spans="2:7" x14ac:dyDescent="0.2">
      <c r="B3568" s="60">
        <v>40952</v>
      </c>
      <c r="C3568" s="7">
        <v>1.924E-2</v>
      </c>
      <c r="D3568" s="7">
        <v>1.924E-2</v>
      </c>
      <c r="E3568" s="7">
        <v>1.924E-2</v>
      </c>
      <c r="F3568" s="7">
        <v>1.924E-2</v>
      </c>
      <c r="G3568" s="7">
        <v>-1.18E-2</v>
      </c>
    </row>
    <row r="3569" spans="2:7" x14ac:dyDescent="0.2">
      <c r="B3569" s="60">
        <v>40953</v>
      </c>
      <c r="C3569" s="7">
        <v>1.9089999999999999E-2</v>
      </c>
      <c r="D3569" s="7">
        <v>1.9089999999999999E-2</v>
      </c>
      <c r="E3569" s="7">
        <v>1.9089999999999999E-2</v>
      </c>
      <c r="F3569" s="7">
        <v>1.9089999999999999E-2</v>
      </c>
      <c r="G3569" s="7">
        <v>-7.7999999999999996E-3</v>
      </c>
    </row>
    <row r="3570" spans="2:7" x14ac:dyDescent="0.2">
      <c r="B3570" s="60">
        <v>40954</v>
      </c>
      <c r="C3570" s="7">
        <v>1.8610000000000002E-2</v>
      </c>
      <c r="D3570" s="7">
        <v>1.8610000000000002E-2</v>
      </c>
      <c r="E3570" s="7">
        <v>1.8610000000000002E-2</v>
      </c>
      <c r="F3570" s="7">
        <v>1.8610000000000002E-2</v>
      </c>
      <c r="G3570" s="7">
        <v>-2.5100000000000001E-2</v>
      </c>
    </row>
    <row r="3571" spans="2:7" x14ac:dyDescent="0.2">
      <c r="B3571" s="60">
        <v>40955</v>
      </c>
      <c r="C3571" s="7">
        <v>1.8790000000000001E-2</v>
      </c>
      <c r="D3571" s="7">
        <v>1.8790000000000001E-2</v>
      </c>
      <c r="E3571" s="7">
        <v>1.8790000000000001E-2</v>
      </c>
      <c r="F3571" s="7">
        <v>1.8790000000000001E-2</v>
      </c>
      <c r="G3571" s="7">
        <v>9.7000000000000003E-3</v>
      </c>
    </row>
    <row r="3572" spans="2:7" x14ac:dyDescent="0.2">
      <c r="B3572" s="60">
        <v>40956</v>
      </c>
      <c r="C3572" s="7">
        <v>1.9290000000000002E-2</v>
      </c>
      <c r="D3572" s="7">
        <v>1.9290000000000002E-2</v>
      </c>
      <c r="E3572" s="7">
        <v>1.9290000000000002E-2</v>
      </c>
      <c r="F3572" s="7">
        <v>1.9290000000000002E-2</v>
      </c>
      <c r="G3572" s="7">
        <v>2.6599999999999999E-2</v>
      </c>
    </row>
    <row r="3573" spans="2:7" x14ac:dyDescent="0.2">
      <c r="B3573" s="60">
        <v>40959</v>
      </c>
      <c r="C3573" s="7">
        <v>1.9619999999999999E-2</v>
      </c>
      <c r="D3573" s="7">
        <v>1.9619999999999999E-2</v>
      </c>
      <c r="E3573" s="7">
        <v>1.9619999999999999E-2</v>
      </c>
      <c r="F3573" s="7">
        <v>1.9619999999999999E-2</v>
      </c>
      <c r="G3573" s="7">
        <v>1.7100000000000001E-2</v>
      </c>
    </row>
    <row r="3574" spans="2:7" x14ac:dyDescent="0.2">
      <c r="B3574" s="60">
        <v>40960</v>
      </c>
      <c r="C3574" s="7">
        <v>1.9630000000000002E-2</v>
      </c>
      <c r="D3574" s="7">
        <v>1.9630000000000002E-2</v>
      </c>
      <c r="E3574" s="7">
        <v>1.9630000000000002E-2</v>
      </c>
      <c r="F3574" s="7">
        <v>1.9630000000000002E-2</v>
      </c>
      <c r="G3574" s="7">
        <v>5.0000000000000001E-4</v>
      </c>
    </row>
    <row r="3575" spans="2:7" x14ac:dyDescent="0.2">
      <c r="B3575" s="60">
        <v>40961</v>
      </c>
      <c r="C3575" s="7">
        <v>1.9230000000000001E-2</v>
      </c>
      <c r="D3575" s="7">
        <v>1.9230000000000001E-2</v>
      </c>
      <c r="E3575" s="7">
        <v>1.9230000000000001E-2</v>
      </c>
      <c r="F3575" s="7">
        <v>1.9230000000000001E-2</v>
      </c>
      <c r="G3575" s="7">
        <v>-2.0400000000000001E-2</v>
      </c>
    </row>
    <row r="3576" spans="2:7" x14ac:dyDescent="0.2">
      <c r="B3576" s="60">
        <v>40962</v>
      </c>
      <c r="C3576" s="7">
        <v>1.8870000000000001E-2</v>
      </c>
      <c r="D3576" s="7">
        <v>1.8870000000000001E-2</v>
      </c>
      <c r="E3576" s="7">
        <v>1.8870000000000001E-2</v>
      </c>
      <c r="F3576" s="7">
        <v>1.8870000000000001E-2</v>
      </c>
      <c r="G3576" s="7">
        <v>-1.8700000000000001E-2</v>
      </c>
    </row>
    <row r="3577" spans="2:7" x14ac:dyDescent="0.2">
      <c r="B3577" s="60">
        <v>40963</v>
      </c>
      <c r="C3577" s="7">
        <v>1.881E-2</v>
      </c>
      <c r="D3577" s="7">
        <v>1.881E-2</v>
      </c>
      <c r="E3577" s="7">
        <v>1.881E-2</v>
      </c>
      <c r="F3577" s="7">
        <v>1.881E-2</v>
      </c>
      <c r="G3577" s="7">
        <v>-3.2000000000000002E-3</v>
      </c>
    </row>
    <row r="3578" spans="2:7" x14ac:dyDescent="0.2">
      <c r="B3578" s="60">
        <v>40966</v>
      </c>
      <c r="C3578" s="7">
        <v>1.8280000000000001E-2</v>
      </c>
      <c r="D3578" s="7">
        <v>1.8280000000000001E-2</v>
      </c>
      <c r="E3578" s="7">
        <v>1.8280000000000001E-2</v>
      </c>
      <c r="F3578" s="7">
        <v>1.8280000000000001E-2</v>
      </c>
      <c r="G3578" s="7">
        <v>-2.8199999999999999E-2</v>
      </c>
    </row>
    <row r="3579" spans="2:7" x14ac:dyDescent="0.2">
      <c r="B3579" s="60">
        <v>40967</v>
      </c>
      <c r="C3579" s="7">
        <v>1.7920000000000002E-2</v>
      </c>
      <c r="D3579" s="7">
        <v>1.7920000000000002E-2</v>
      </c>
      <c r="E3579" s="7">
        <v>1.7920000000000002E-2</v>
      </c>
      <c r="F3579" s="7">
        <v>1.7920000000000002E-2</v>
      </c>
      <c r="G3579" s="7">
        <v>-1.9699999999999999E-2</v>
      </c>
    </row>
    <row r="3580" spans="2:7" x14ac:dyDescent="0.2">
      <c r="B3580" s="60">
        <v>40968</v>
      </c>
      <c r="C3580" s="7">
        <v>1.8340000000000002E-2</v>
      </c>
      <c r="D3580" s="7">
        <v>1.8340000000000002E-2</v>
      </c>
      <c r="E3580" s="7">
        <v>1.8340000000000002E-2</v>
      </c>
      <c r="F3580" s="7">
        <v>1.8340000000000002E-2</v>
      </c>
      <c r="G3580" s="7">
        <v>2.3400000000000001E-2</v>
      </c>
    </row>
    <row r="3581" spans="2:7" x14ac:dyDescent="0.2">
      <c r="B3581" s="60">
        <v>40969</v>
      </c>
      <c r="C3581" s="7">
        <v>1.865E-2</v>
      </c>
      <c r="D3581" s="7">
        <v>1.865E-2</v>
      </c>
      <c r="E3581" s="7">
        <v>1.865E-2</v>
      </c>
      <c r="F3581" s="7">
        <v>1.865E-2</v>
      </c>
      <c r="G3581" s="7">
        <v>1.6899999999999998E-2</v>
      </c>
    </row>
    <row r="3582" spans="2:7" x14ac:dyDescent="0.2">
      <c r="B3582" s="60">
        <v>40970</v>
      </c>
      <c r="C3582" s="7">
        <v>1.805E-2</v>
      </c>
      <c r="D3582" s="7">
        <v>1.805E-2</v>
      </c>
      <c r="E3582" s="7">
        <v>1.805E-2</v>
      </c>
      <c r="F3582" s="7">
        <v>1.805E-2</v>
      </c>
      <c r="G3582" s="7">
        <v>-3.2199999999999999E-2</v>
      </c>
    </row>
    <row r="3583" spans="2:7" x14ac:dyDescent="0.2">
      <c r="B3583" s="60">
        <v>40973</v>
      </c>
      <c r="C3583" s="7">
        <v>1.8089999999999998E-2</v>
      </c>
      <c r="D3583" s="7">
        <v>1.8089999999999998E-2</v>
      </c>
      <c r="E3583" s="7">
        <v>1.8089999999999998E-2</v>
      </c>
      <c r="F3583" s="7">
        <v>1.8089999999999998E-2</v>
      </c>
      <c r="G3583" s="7">
        <v>2.2000000000000001E-3</v>
      </c>
    </row>
    <row r="3584" spans="2:7" x14ac:dyDescent="0.2">
      <c r="B3584" s="60">
        <v>40974</v>
      </c>
      <c r="C3584" s="7">
        <v>1.779E-2</v>
      </c>
      <c r="D3584" s="7">
        <v>1.779E-2</v>
      </c>
      <c r="E3584" s="7">
        <v>1.779E-2</v>
      </c>
      <c r="F3584" s="7">
        <v>1.779E-2</v>
      </c>
      <c r="G3584" s="7">
        <v>-1.66E-2</v>
      </c>
    </row>
    <row r="3585" spans="2:7" x14ac:dyDescent="0.2">
      <c r="B3585" s="60">
        <v>40975</v>
      </c>
      <c r="C3585" s="7">
        <v>1.7760000000000001E-2</v>
      </c>
      <c r="D3585" s="7">
        <v>1.7760000000000001E-2</v>
      </c>
      <c r="E3585" s="7">
        <v>1.7760000000000001E-2</v>
      </c>
      <c r="F3585" s="7">
        <v>1.7760000000000001E-2</v>
      </c>
      <c r="G3585" s="7">
        <v>-1.6999999999999999E-3</v>
      </c>
    </row>
    <row r="3586" spans="2:7" x14ac:dyDescent="0.2">
      <c r="B3586" s="60">
        <v>40976</v>
      </c>
      <c r="C3586" s="7">
        <v>1.788E-2</v>
      </c>
      <c r="D3586" s="7">
        <v>1.788E-2</v>
      </c>
      <c r="E3586" s="7">
        <v>1.788E-2</v>
      </c>
      <c r="F3586" s="7">
        <v>1.788E-2</v>
      </c>
      <c r="G3586" s="7">
        <v>6.7999999999999996E-3</v>
      </c>
    </row>
    <row r="3587" spans="2:7" x14ac:dyDescent="0.2">
      <c r="B3587" s="60">
        <v>40977</v>
      </c>
      <c r="C3587" s="7">
        <v>1.8009999999999998E-2</v>
      </c>
      <c r="D3587" s="7">
        <v>1.8009999999999998E-2</v>
      </c>
      <c r="E3587" s="7">
        <v>1.8009999999999998E-2</v>
      </c>
      <c r="F3587" s="7">
        <v>1.8009999999999998E-2</v>
      </c>
      <c r="G3587" s="7">
        <v>7.3000000000000001E-3</v>
      </c>
    </row>
    <row r="3588" spans="2:7" x14ac:dyDescent="0.2">
      <c r="B3588" s="60">
        <v>40980</v>
      </c>
      <c r="C3588" s="7">
        <v>1.7500000000000002E-2</v>
      </c>
      <c r="D3588" s="7">
        <v>1.7500000000000002E-2</v>
      </c>
      <c r="E3588" s="7">
        <v>1.7500000000000002E-2</v>
      </c>
      <c r="F3588" s="7">
        <v>1.7500000000000002E-2</v>
      </c>
      <c r="G3588" s="7">
        <v>-2.8299999999999999E-2</v>
      </c>
    </row>
    <row r="3589" spans="2:7" x14ac:dyDescent="0.2">
      <c r="B3589" s="60">
        <v>40981</v>
      </c>
      <c r="C3589" s="7">
        <v>1.8200000000000001E-2</v>
      </c>
      <c r="D3589" s="7">
        <v>1.8200000000000001E-2</v>
      </c>
      <c r="E3589" s="7">
        <v>1.8200000000000001E-2</v>
      </c>
      <c r="F3589" s="7">
        <v>1.8200000000000001E-2</v>
      </c>
      <c r="G3589" s="7">
        <v>0.04</v>
      </c>
    </row>
    <row r="3590" spans="2:7" x14ac:dyDescent="0.2">
      <c r="B3590" s="60">
        <v>40982</v>
      </c>
      <c r="C3590" s="7">
        <v>1.933E-2</v>
      </c>
      <c r="D3590" s="7">
        <v>1.933E-2</v>
      </c>
      <c r="E3590" s="7">
        <v>1.933E-2</v>
      </c>
      <c r="F3590" s="7">
        <v>1.933E-2</v>
      </c>
      <c r="G3590" s="7">
        <v>6.2100000000000002E-2</v>
      </c>
    </row>
    <row r="3591" spans="2:7" x14ac:dyDescent="0.2">
      <c r="B3591" s="60">
        <v>40983</v>
      </c>
      <c r="C3591" s="7">
        <v>1.9689999999999999E-2</v>
      </c>
      <c r="D3591" s="7">
        <v>1.9689999999999999E-2</v>
      </c>
      <c r="E3591" s="7">
        <v>1.9689999999999999E-2</v>
      </c>
      <c r="F3591" s="7">
        <v>1.9689999999999999E-2</v>
      </c>
      <c r="G3591" s="7">
        <v>1.8599999999999998E-2</v>
      </c>
    </row>
    <row r="3592" spans="2:7" x14ac:dyDescent="0.2">
      <c r="B3592" s="60">
        <v>40984</v>
      </c>
      <c r="C3592" s="7">
        <v>2.0489999999999998E-2</v>
      </c>
      <c r="D3592" s="7">
        <v>2.0489999999999998E-2</v>
      </c>
      <c r="E3592" s="7">
        <v>2.0489999999999998E-2</v>
      </c>
      <c r="F3592" s="7">
        <v>2.0489999999999998E-2</v>
      </c>
      <c r="G3592" s="7">
        <v>4.0599999999999997E-2</v>
      </c>
    </row>
    <row r="3593" spans="2:7" x14ac:dyDescent="0.2">
      <c r="B3593" s="60">
        <v>40987</v>
      </c>
      <c r="C3593" s="7">
        <v>2.0400000000000001E-2</v>
      </c>
      <c r="D3593" s="7">
        <v>2.0400000000000001E-2</v>
      </c>
      <c r="E3593" s="7">
        <v>2.0400000000000001E-2</v>
      </c>
      <c r="F3593" s="7">
        <v>2.0400000000000001E-2</v>
      </c>
      <c r="G3593" s="7">
        <v>-4.4000000000000003E-3</v>
      </c>
    </row>
    <row r="3594" spans="2:7" x14ac:dyDescent="0.2">
      <c r="B3594" s="60">
        <v>40988</v>
      </c>
      <c r="C3594" s="7">
        <v>2.0499999999999997E-2</v>
      </c>
      <c r="D3594" s="7">
        <v>2.0499999999999997E-2</v>
      </c>
      <c r="E3594" s="7">
        <v>2.0499999999999997E-2</v>
      </c>
      <c r="F3594" s="7">
        <v>2.0499999999999997E-2</v>
      </c>
      <c r="G3594" s="7">
        <v>4.8999999999999998E-3</v>
      </c>
    </row>
    <row r="3595" spans="2:7" x14ac:dyDescent="0.2">
      <c r="B3595" s="60">
        <v>40989</v>
      </c>
      <c r="C3595" s="7">
        <v>1.985E-2</v>
      </c>
      <c r="D3595" s="7">
        <v>1.985E-2</v>
      </c>
      <c r="E3595" s="7">
        <v>1.985E-2</v>
      </c>
      <c r="F3595" s="7">
        <v>1.985E-2</v>
      </c>
      <c r="G3595" s="7">
        <v>-3.1699999999999999E-2</v>
      </c>
    </row>
    <row r="3596" spans="2:7" x14ac:dyDescent="0.2">
      <c r="B3596" s="60">
        <v>40990</v>
      </c>
      <c r="C3596" s="7">
        <v>1.916E-2</v>
      </c>
      <c r="D3596" s="7">
        <v>1.916E-2</v>
      </c>
      <c r="E3596" s="7">
        <v>1.916E-2</v>
      </c>
      <c r="F3596" s="7">
        <v>1.916E-2</v>
      </c>
      <c r="G3596" s="7">
        <v>-3.4799999999999998E-2</v>
      </c>
    </row>
    <row r="3597" spans="2:7" x14ac:dyDescent="0.2">
      <c r="B3597" s="60">
        <v>40991</v>
      </c>
      <c r="C3597" s="7">
        <v>1.873E-2</v>
      </c>
      <c r="D3597" s="7">
        <v>1.873E-2</v>
      </c>
      <c r="E3597" s="7">
        <v>1.873E-2</v>
      </c>
      <c r="F3597" s="7">
        <v>1.873E-2</v>
      </c>
      <c r="G3597" s="7">
        <v>-2.24E-2</v>
      </c>
    </row>
    <row r="3598" spans="2:7" x14ac:dyDescent="0.2">
      <c r="B3598" s="60">
        <v>40994</v>
      </c>
      <c r="C3598" s="7">
        <v>1.9439999999999999E-2</v>
      </c>
      <c r="D3598" s="7">
        <v>1.9439999999999999E-2</v>
      </c>
      <c r="E3598" s="7">
        <v>1.9439999999999999E-2</v>
      </c>
      <c r="F3598" s="7">
        <v>1.9439999999999999E-2</v>
      </c>
      <c r="G3598" s="7">
        <v>3.7900000000000003E-2</v>
      </c>
    </row>
    <row r="3599" spans="2:7" x14ac:dyDescent="0.2">
      <c r="B3599" s="60">
        <v>40995</v>
      </c>
      <c r="C3599" s="7">
        <v>1.882E-2</v>
      </c>
      <c r="D3599" s="7">
        <v>1.882E-2</v>
      </c>
      <c r="E3599" s="7">
        <v>1.882E-2</v>
      </c>
      <c r="F3599" s="7">
        <v>1.882E-2</v>
      </c>
      <c r="G3599" s="7">
        <v>-3.1899999999999998E-2</v>
      </c>
    </row>
    <row r="3600" spans="2:7" x14ac:dyDescent="0.2">
      <c r="B3600" s="60">
        <v>40996</v>
      </c>
      <c r="C3600" s="7">
        <v>1.8340000000000002E-2</v>
      </c>
      <c r="D3600" s="7">
        <v>1.8340000000000002E-2</v>
      </c>
      <c r="E3600" s="7">
        <v>1.8340000000000002E-2</v>
      </c>
      <c r="F3600" s="7">
        <v>1.8340000000000002E-2</v>
      </c>
      <c r="G3600" s="7">
        <v>-2.5499999999999998E-2</v>
      </c>
    </row>
    <row r="3601" spans="2:7" x14ac:dyDescent="0.2">
      <c r="B3601" s="60">
        <v>40997</v>
      </c>
      <c r="C3601" s="7">
        <v>1.8030000000000001E-2</v>
      </c>
      <c r="D3601" s="7">
        <v>1.8030000000000001E-2</v>
      </c>
      <c r="E3601" s="7">
        <v>1.8030000000000001E-2</v>
      </c>
      <c r="F3601" s="7">
        <v>1.8030000000000001E-2</v>
      </c>
      <c r="G3601" s="7">
        <v>-1.6899999999999998E-2</v>
      </c>
    </row>
    <row r="3602" spans="2:7" x14ac:dyDescent="0.2">
      <c r="B3602" s="60">
        <v>40998</v>
      </c>
      <c r="C3602" s="7">
        <v>1.805E-2</v>
      </c>
      <c r="D3602" s="7">
        <v>1.805E-2</v>
      </c>
      <c r="E3602" s="7">
        <v>1.805E-2</v>
      </c>
      <c r="F3602" s="7">
        <v>1.805E-2</v>
      </c>
      <c r="G3602" s="7">
        <v>1.1000000000000001E-3</v>
      </c>
    </row>
    <row r="3603" spans="2:7" x14ac:dyDescent="0.2">
      <c r="B3603" s="60">
        <v>41001</v>
      </c>
      <c r="C3603" s="7">
        <v>1.7979999999999999E-2</v>
      </c>
      <c r="D3603" s="7">
        <v>1.7979999999999999E-2</v>
      </c>
      <c r="E3603" s="7">
        <v>1.7979999999999999E-2</v>
      </c>
      <c r="F3603" s="7">
        <v>1.7979999999999999E-2</v>
      </c>
      <c r="G3603" s="7">
        <v>-3.8999999999999998E-3</v>
      </c>
    </row>
    <row r="3604" spans="2:7" x14ac:dyDescent="0.2">
      <c r="B3604" s="60">
        <v>41002</v>
      </c>
      <c r="C3604" s="7">
        <v>1.8120000000000001E-2</v>
      </c>
      <c r="D3604" s="7">
        <v>1.8120000000000001E-2</v>
      </c>
      <c r="E3604" s="7">
        <v>1.8120000000000001E-2</v>
      </c>
      <c r="F3604" s="7">
        <v>1.8120000000000001E-2</v>
      </c>
      <c r="G3604" s="7">
        <v>7.7999999999999996E-3</v>
      </c>
    </row>
    <row r="3605" spans="2:7" x14ac:dyDescent="0.2">
      <c r="B3605" s="60">
        <v>41003</v>
      </c>
      <c r="C3605" s="7">
        <v>1.7979999999999999E-2</v>
      </c>
      <c r="D3605" s="7">
        <v>1.7979999999999999E-2</v>
      </c>
      <c r="E3605" s="7">
        <v>1.7979999999999999E-2</v>
      </c>
      <c r="F3605" s="7">
        <v>1.7979999999999999E-2</v>
      </c>
      <c r="G3605" s="7">
        <v>-7.7000000000000002E-3</v>
      </c>
    </row>
    <row r="3606" spans="2:7" x14ac:dyDescent="0.2">
      <c r="B3606" s="60">
        <v>41004</v>
      </c>
      <c r="C3606" s="7">
        <v>1.7399999999999999E-2</v>
      </c>
      <c r="D3606" s="7">
        <v>1.7399999999999999E-2</v>
      </c>
      <c r="E3606" s="7">
        <v>1.7399999999999999E-2</v>
      </c>
      <c r="F3606" s="7">
        <v>1.7399999999999999E-2</v>
      </c>
      <c r="G3606" s="7">
        <v>-3.2300000000000002E-2</v>
      </c>
    </row>
    <row r="3607" spans="2:7" x14ac:dyDescent="0.2">
      <c r="B3607" s="60">
        <v>41009</v>
      </c>
      <c r="C3607" s="7">
        <v>1.66E-2</v>
      </c>
      <c r="D3607" s="7">
        <v>1.66E-2</v>
      </c>
      <c r="E3607" s="7">
        <v>1.66E-2</v>
      </c>
      <c r="F3607" s="7">
        <v>1.66E-2</v>
      </c>
      <c r="G3607" s="7">
        <v>-4.5999999999999999E-2</v>
      </c>
    </row>
    <row r="3608" spans="2:7" x14ac:dyDescent="0.2">
      <c r="B3608" s="60">
        <v>41010</v>
      </c>
      <c r="C3608" s="7">
        <v>1.712E-2</v>
      </c>
      <c r="D3608" s="7">
        <v>1.712E-2</v>
      </c>
      <c r="E3608" s="7">
        <v>1.712E-2</v>
      </c>
      <c r="F3608" s="7">
        <v>1.712E-2</v>
      </c>
      <c r="G3608" s="7">
        <v>3.1300000000000001E-2</v>
      </c>
    </row>
    <row r="3609" spans="2:7" x14ac:dyDescent="0.2">
      <c r="B3609" s="60">
        <v>41011</v>
      </c>
      <c r="C3609" s="7">
        <v>1.7840000000000002E-2</v>
      </c>
      <c r="D3609" s="7">
        <v>1.7840000000000002E-2</v>
      </c>
      <c r="E3609" s="7">
        <v>1.7840000000000002E-2</v>
      </c>
      <c r="F3609" s="7">
        <v>1.7840000000000002E-2</v>
      </c>
      <c r="G3609" s="7">
        <v>4.2099999999999999E-2</v>
      </c>
    </row>
    <row r="3610" spans="2:7" x14ac:dyDescent="0.2">
      <c r="B3610" s="60">
        <v>41012</v>
      </c>
      <c r="C3610" s="7">
        <v>1.729E-2</v>
      </c>
      <c r="D3610" s="7">
        <v>1.729E-2</v>
      </c>
      <c r="E3610" s="7">
        <v>1.729E-2</v>
      </c>
      <c r="F3610" s="7">
        <v>1.729E-2</v>
      </c>
      <c r="G3610" s="7">
        <v>-3.0800000000000001E-2</v>
      </c>
    </row>
    <row r="3611" spans="2:7" x14ac:dyDescent="0.2">
      <c r="B3611" s="60">
        <v>41015</v>
      </c>
      <c r="C3611" s="7">
        <v>1.7170000000000001E-2</v>
      </c>
      <c r="D3611" s="7">
        <v>1.7170000000000001E-2</v>
      </c>
      <c r="E3611" s="7">
        <v>1.7170000000000001E-2</v>
      </c>
      <c r="F3611" s="7">
        <v>1.7170000000000001E-2</v>
      </c>
      <c r="G3611" s="7">
        <v>-6.8999999999999999E-3</v>
      </c>
    </row>
    <row r="3612" spans="2:7" x14ac:dyDescent="0.2">
      <c r="B3612" s="60">
        <v>41016</v>
      </c>
      <c r="C3612" s="7">
        <v>1.754E-2</v>
      </c>
      <c r="D3612" s="7">
        <v>1.754E-2</v>
      </c>
      <c r="E3612" s="7">
        <v>1.754E-2</v>
      </c>
      <c r="F3612" s="7">
        <v>1.754E-2</v>
      </c>
      <c r="G3612" s="7">
        <v>2.1499999999999998E-2</v>
      </c>
    </row>
    <row r="3613" spans="2:7" x14ac:dyDescent="0.2">
      <c r="B3613" s="60">
        <v>41017</v>
      </c>
      <c r="C3613" s="7">
        <v>1.7239999999999998E-2</v>
      </c>
      <c r="D3613" s="7">
        <v>1.7239999999999998E-2</v>
      </c>
      <c r="E3613" s="7">
        <v>1.7239999999999998E-2</v>
      </c>
      <c r="F3613" s="7">
        <v>1.7239999999999998E-2</v>
      </c>
      <c r="G3613" s="7">
        <v>-1.7100000000000001E-2</v>
      </c>
    </row>
    <row r="3614" spans="2:7" x14ac:dyDescent="0.2">
      <c r="B3614" s="60">
        <v>41018</v>
      </c>
      <c r="C3614" s="7">
        <v>1.7010000000000001E-2</v>
      </c>
      <c r="D3614" s="7">
        <v>1.7010000000000001E-2</v>
      </c>
      <c r="E3614" s="7">
        <v>1.7010000000000001E-2</v>
      </c>
      <c r="F3614" s="7">
        <v>1.7010000000000001E-2</v>
      </c>
      <c r="G3614" s="7">
        <v>-1.3299999999999999E-2</v>
      </c>
    </row>
    <row r="3615" spans="2:7" x14ac:dyDescent="0.2">
      <c r="B3615" s="60">
        <v>41019</v>
      </c>
      <c r="C3615" s="7">
        <v>1.7230000000000002E-2</v>
      </c>
      <c r="D3615" s="7">
        <v>1.7230000000000002E-2</v>
      </c>
      <c r="E3615" s="7">
        <v>1.7230000000000002E-2</v>
      </c>
      <c r="F3615" s="7">
        <v>1.7230000000000002E-2</v>
      </c>
      <c r="G3615" s="7">
        <v>1.29E-2</v>
      </c>
    </row>
    <row r="3616" spans="2:7" x14ac:dyDescent="0.2">
      <c r="B3616" s="60">
        <v>41022</v>
      </c>
      <c r="C3616" s="7">
        <v>1.6390000000000002E-2</v>
      </c>
      <c r="D3616" s="7">
        <v>1.6390000000000002E-2</v>
      </c>
      <c r="E3616" s="7">
        <v>1.6390000000000002E-2</v>
      </c>
      <c r="F3616" s="7">
        <v>1.6390000000000002E-2</v>
      </c>
      <c r="G3616" s="7">
        <v>-4.8800000000000003E-2</v>
      </c>
    </row>
    <row r="3617" spans="2:7" x14ac:dyDescent="0.2">
      <c r="B3617" s="60">
        <v>41023</v>
      </c>
      <c r="C3617" s="7">
        <v>1.6979999999999999E-2</v>
      </c>
      <c r="D3617" s="7">
        <v>1.6979999999999999E-2</v>
      </c>
      <c r="E3617" s="7">
        <v>1.6979999999999999E-2</v>
      </c>
      <c r="F3617" s="7">
        <v>1.6979999999999999E-2</v>
      </c>
      <c r="G3617" s="7">
        <v>3.5999999999999997E-2</v>
      </c>
    </row>
    <row r="3618" spans="2:7" x14ac:dyDescent="0.2">
      <c r="B3618" s="60">
        <v>41024</v>
      </c>
      <c r="C3618" s="7">
        <v>1.7420000000000001E-2</v>
      </c>
      <c r="D3618" s="7">
        <v>1.7420000000000001E-2</v>
      </c>
      <c r="E3618" s="7">
        <v>1.7420000000000001E-2</v>
      </c>
      <c r="F3618" s="7">
        <v>1.7420000000000001E-2</v>
      </c>
      <c r="G3618" s="7">
        <v>2.5899999999999999E-2</v>
      </c>
    </row>
    <row r="3619" spans="2:7" x14ac:dyDescent="0.2">
      <c r="B3619" s="60">
        <v>41025</v>
      </c>
      <c r="C3619" s="7">
        <v>1.686E-2</v>
      </c>
      <c r="D3619" s="7">
        <v>1.686E-2</v>
      </c>
      <c r="E3619" s="7">
        <v>1.686E-2</v>
      </c>
      <c r="F3619" s="7">
        <v>1.686E-2</v>
      </c>
      <c r="G3619" s="7">
        <v>-3.2099999999999997E-2</v>
      </c>
    </row>
    <row r="3620" spans="2:7" x14ac:dyDescent="0.2">
      <c r="B3620" s="60">
        <v>41026</v>
      </c>
      <c r="C3620" s="7">
        <v>1.6959999999999999E-2</v>
      </c>
      <c r="D3620" s="7">
        <v>1.6959999999999999E-2</v>
      </c>
      <c r="E3620" s="7">
        <v>1.6959999999999999E-2</v>
      </c>
      <c r="F3620" s="7">
        <v>1.6959999999999999E-2</v>
      </c>
      <c r="G3620" s="7">
        <v>5.8999999999999999E-3</v>
      </c>
    </row>
    <row r="3621" spans="2:7" x14ac:dyDescent="0.2">
      <c r="B3621" s="60">
        <v>41029</v>
      </c>
      <c r="C3621" s="7">
        <v>1.6639999999999999E-2</v>
      </c>
      <c r="D3621" s="7">
        <v>1.6639999999999999E-2</v>
      </c>
      <c r="E3621" s="7">
        <v>1.6639999999999999E-2</v>
      </c>
      <c r="F3621" s="7">
        <v>1.6639999999999999E-2</v>
      </c>
      <c r="G3621" s="7">
        <v>-1.89E-2</v>
      </c>
    </row>
    <row r="3622" spans="2:7" x14ac:dyDescent="0.2">
      <c r="B3622" s="60">
        <v>41031</v>
      </c>
      <c r="C3622" s="7">
        <v>1.6040000000000002E-2</v>
      </c>
      <c r="D3622" s="7">
        <v>1.6040000000000002E-2</v>
      </c>
      <c r="E3622" s="7">
        <v>1.6040000000000002E-2</v>
      </c>
      <c r="F3622" s="7">
        <v>1.6040000000000002E-2</v>
      </c>
      <c r="G3622" s="7">
        <v>-3.61E-2</v>
      </c>
    </row>
    <row r="3623" spans="2:7" x14ac:dyDescent="0.2">
      <c r="B3623" s="60">
        <v>41032</v>
      </c>
      <c r="C3623" s="7">
        <v>1.6109999999999999E-2</v>
      </c>
      <c r="D3623" s="7">
        <v>1.6109999999999999E-2</v>
      </c>
      <c r="E3623" s="7">
        <v>1.6109999999999999E-2</v>
      </c>
      <c r="F3623" s="7">
        <v>1.6109999999999999E-2</v>
      </c>
      <c r="G3623" s="7">
        <v>4.4000000000000003E-3</v>
      </c>
    </row>
    <row r="3624" spans="2:7" x14ac:dyDescent="0.2">
      <c r="B3624" s="60">
        <v>41033</v>
      </c>
      <c r="C3624" s="7">
        <v>1.5869999999999999E-2</v>
      </c>
      <c r="D3624" s="7">
        <v>1.5869999999999999E-2</v>
      </c>
      <c r="E3624" s="7">
        <v>1.5869999999999999E-2</v>
      </c>
      <c r="F3624" s="7">
        <v>1.5869999999999999E-2</v>
      </c>
      <c r="G3624" s="7">
        <v>-1.49E-2</v>
      </c>
    </row>
    <row r="3625" spans="2:7" x14ac:dyDescent="0.2">
      <c r="B3625" s="60">
        <v>41036</v>
      </c>
      <c r="C3625" s="7">
        <v>1.576E-2</v>
      </c>
      <c r="D3625" s="7">
        <v>1.576E-2</v>
      </c>
      <c r="E3625" s="7">
        <v>1.576E-2</v>
      </c>
      <c r="F3625" s="7">
        <v>1.576E-2</v>
      </c>
      <c r="G3625" s="7">
        <v>-6.8999999999999999E-3</v>
      </c>
    </row>
    <row r="3626" spans="2:7" x14ac:dyDescent="0.2">
      <c r="B3626" s="60">
        <v>41037</v>
      </c>
      <c r="C3626" s="7">
        <v>1.554E-2</v>
      </c>
      <c r="D3626" s="7">
        <v>1.554E-2</v>
      </c>
      <c r="E3626" s="7">
        <v>1.554E-2</v>
      </c>
      <c r="F3626" s="7">
        <v>1.554E-2</v>
      </c>
      <c r="G3626" s="7">
        <v>-1.4E-2</v>
      </c>
    </row>
    <row r="3627" spans="2:7" x14ac:dyDescent="0.2">
      <c r="B3627" s="60">
        <v>41038</v>
      </c>
      <c r="C3627" s="7">
        <v>1.5029999999999998E-2</v>
      </c>
      <c r="D3627" s="7">
        <v>1.5029999999999998E-2</v>
      </c>
      <c r="E3627" s="7">
        <v>1.5029999999999998E-2</v>
      </c>
      <c r="F3627" s="7">
        <v>1.5029999999999998E-2</v>
      </c>
      <c r="G3627" s="7">
        <v>-3.2800000000000003E-2</v>
      </c>
    </row>
    <row r="3628" spans="2:7" x14ac:dyDescent="0.2">
      <c r="B3628" s="60">
        <v>41039</v>
      </c>
      <c r="C3628" s="7">
        <v>1.5469999999999999E-2</v>
      </c>
      <c r="D3628" s="7">
        <v>1.5469999999999999E-2</v>
      </c>
      <c r="E3628" s="7">
        <v>1.5469999999999999E-2</v>
      </c>
      <c r="F3628" s="7">
        <v>1.5469999999999999E-2</v>
      </c>
      <c r="G3628" s="7">
        <v>2.93E-2</v>
      </c>
    </row>
    <row r="3629" spans="2:7" x14ac:dyDescent="0.2">
      <c r="B3629" s="60">
        <v>41040</v>
      </c>
      <c r="C3629" s="7">
        <v>1.5260000000000001E-2</v>
      </c>
      <c r="D3629" s="7">
        <v>1.5260000000000001E-2</v>
      </c>
      <c r="E3629" s="7">
        <v>1.5260000000000001E-2</v>
      </c>
      <c r="F3629" s="7">
        <v>1.5260000000000001E-2</v>
      </c>
      <c r="G3629" s="7">
        <v>-1.3599999999999999E-2</v>
      </c>
    </row>
    <row r="3630" spans="2:7" x14ac:dyDescent="0.2">
      <c r="B3630" s="60">
        <v>41043</v>
      </c>
      <c r="C3630" s="7">
        <v>1.44E-2</v>
      </c>
      <c r="D3630" s="7">
        <v>1.44E-2</v>
      </c>
      <c r="E3630" s="7">
        <v>1.44E-2</v>
      </c>
      <c r="F3630" s="7">
        <v>1.44E-2</v>
      </c>
      <c r="G3630" s="7">
        <v>-5.6399999999999999E-2</v>
      </c>
    </row>
    <row r="3631" spans="2:7" x14ac:dyDescent="0.2">
      <c r="B3631" s="60">
        <v>41044</v>
      </c>
      <c r="C3631" s="7">
        <v>1.4670000000000001E-2</v>
      </c>
      <c r="D3631" s="7">
        <v>1.4670000000000001E-2</v>
      </c>
      <c r="E3631" s="7">
        <v>1.4670000000000001E-2</v>
      </c>
      <c r="F3631" s="7">
        <v>1.4670000000000001E-2</v>
      </c>
      <c r="G3631" s="7">
        <v>1.8700000000000001E-2</v>
      </c>
    </row>
    <row r="3632" spans="2:7" x14ac:dyDescent="0.2">
      <c r="B3632" s="60">
        <v>41045</v>
      </c>
      <c r="C3632" s="7">
        <v>1.5029999999999998E-2</v>
      </c>
      <c r="D3632" s="7">
        <v>1.5029999999999998E-2</v>
      </c>
      <c r="E3632" s="7">
        <v>1.5029999999999998E-2</v>
      </c>
      <c r="F3632" s="7">
        <v>1.5029999999999998E-2</v>
      </c>
      <c r="G3632" s="7">
        <v>2.4500000000000001E-2</v>
      </c>
    </row>
    <row r="3633" spans="2:7" x14ac:dyDescent="0.2">
      <c r="B3633" s="60">
        <v>41046</v>
      </c>
      <c r="C3633" s="7">
        <v>1.431E-2</v>
      </c>
      <c r="D3633" s="7">
        <v>1.431E-2</v>
      </c>
      <c r="E3633" s="7">
        <v>1.431E-2</v>
      </c>
      <c r="F3633" s="7">
        <v>1.431E-2</v>
      </c>
      <c r="G3633" s="7">
        <v>-4.7899999999999998E-2</v>
      </c>
    </row>
    <row r="3634" spans="2:7" x14ac:dyDescent="0.2">
      <c r="B3634" s="60">
        <v>41047</v>
      </c>
      <c r="C3634" s="7">
        <v>1.4250000000000001E-2</v>
      </c>
      <c r="D3634" s="7">
        <v>1.4250000000000001E-2</v>
      </c>
      <c r="E3634" s="7">
        <v>1.4250000000000001E-2</v>
      </c>
      <c r="F3634" s="7">
        <v>1.4250000000000001E-2</v>
      </c>
      <c r="G3634" s="7">
        <v>-4.1999999999999997E-3</v>
      </c>
    </row>
    <row r="3635" spans="2:7" x14ac:dyDescent="0.2">
      <c r="B3635" s="60">
        <v>41050</v>
      </c>
      <c r="C3635" s="7">
        <v>1.4459999999999999E-2</v>
      </c>
      <c r="D3635" s="7">
        <v>1.4459999999999999E-2</v>
      </c>
      <c r="E3635" s="7">
        <v>1.4459999999999999E-2</v>
      </c>
      <c r="F3635" s="7">
        <v>1.4459999999999999E-2</v>
      </c>
      <c r="G3635" s="7">
        <v>1.47E-2</v>
      </c>
    </row>
    <row r="3636" spans="2:7" x14ac:dyDescent="0.2">
      <c r="B3636" s="60">
        <v>41051</v>
      </c>
      <c r="C3636" s="7">
        <v>1.478E-2</v>
      </c>
      <c r="D3636" s="7">
        <v>1.478E-2</v>
      </c>
      <c r="E3636" s="7">
        <v>1.478E-2</v>
      </c>
      <c r="F3636" s="7">
        <v>1.478E-2</v>
      </c>
      <c r="G3636" s="7">
        <v>2.2100000000000002E-2</v>
      </c>
    </row>
    <row r="3637" spans="2:7" x14ac:dyDescent="0.2">
      <c r="B3637" s="60">
        <v>41052</v>
      </c>
      <c r="C3637" s="7">
        <v>1.3839999999999998E-2</v>
      </c>
      <c r="D3637" s="7">
        <v>1.3839999999999998E-2</v>
      </c>
      <c r="E3637" s="7">
        <v>1.3839999999999998E-2</v>
      </c>
      <c r="F3637" s="7">
        <v>1.3839999999999998E-2</v>
      </c>
      <c r="G3637" s="7">
        <v>-6.3600000000000004E-2</v>
      </c>
    </row>
    <row r="3638" spans="2:7" x14ac:dyDescent="0.2">
      <c r="B3638" s="60">
        <v>41053</v>
      </c>
      <c r="C3638" s="7">
        <v>1.3950000000000001E-2</v>
      </c>
      <c r="D3638" s="7">
        <v>1.3950000000000001E-2</v>
      </c>
      <c r="E3638" s="7">
        <v>1.3950000000000001E-2</v>
      </c>
      <c r="F3638" s="7">
        <v>1.3950000000000001E-2</v>
      </c>
      <c r="G3638" s="7">
        <v>7.9000000000000008E-3</v>
      </c>
    </row>
    <row r="3639" spans="2:7" x14ac:dyDescent="0.2">
      <c r="B3639" s="60">
        <v>41054</v>
      </c>
      <c r="C3639" s="7">
        <v>1.376E-2</v>
      </c>
      <c r="D3639" s="7">
        <v>1.376E-2</v>
      </c>
      <c r="E3639" s="7">
        <v>1.376E-2</v>
      </c>
      <c r="F3639" s="7">
        <v>1.376E-2</v>
      </c>
      <c r="G3639" s="7">
        <v>-1.3599999999999999E-2</v>
      </c>
    </row>
    <row r="3640" spans="2:7" x14ac:dyDescent="0.2">
      <c r="B3640" s="60">
        <v>41057</v>
      </c>
      <c r="C3640" s="7">
        <v>1.3600000000000001E-2</v>
      </c>
      <c r="D3640" s="7">
        <v>1.3600000000000001E-2</v>
      </c>
      <c r="E3640" s="7">
        <v>1.3600000000000001E-2</v>
      </c>
      <c r="F3640" s="7">
        <v>1.3600000000000001E-2</v>
      </c>
      <c r="G3640" s="7">
        <v>-1.1599999999999999E-2</v>
      </c>
    </row>
    <row r="3641" spans="2:7" x14ac:dyDescent="0.2">
      <c r="B3641" s="60">
        <v>41058</v>
      </c>
      <c r="C3641" s="7">
        <v>1.3680000000000001E-2</v>
      </c>
      <c r="D3641" s="7">
        <v>1.3680000000000001E-2</v>
      </c>
      <c r="E3641" s="7">
        <v>1.3680000000000001E-2</v>
      </c>
      <c r="F3641" s="7">
        <v>1.3680000000000001E-2</v>
      </c>
      <c r="G3641" s="7">
        <v>5.8999999999999999E-3</v>
      </c>
    </row>
    <row r="3642" spans="2:7" x14ac:dyDescent="0.2">
      <c r="B3642" s="60">
        <v>41059</v>
      </c>
      <c r="C3642" s="7">
        <v>1.286E-2</v>
      </c>
      <c r="D3642" s="7">
        <v>1.286E-2</v>
      </c>
      <c r="E3642" s="7">
        <v>1.286E-2</v>
      </c>
      <c r="F3642" s="7">
        <v>1.286E-2</v>
      </c>
      <c r="G3642" s="7">
        <v>-5.9900000000000002E-2</v>
      </c>
    </row>
    <row r="3643" spans="2:7" x14ac:dyDescent="0.2">
      <c r="B3643" s="60">
        <v>41060</v>
      </c>
      <c r="C3643" s="7">
        <v>1.2190000000000001E-2</v>
      </c>
      <c r="D3643" s="7">
        <v>1.2190000000000001E-2</v>
      </c>
      <c r="E3643" s="7">
        <v>1.2190000000000001E-2</v>
      </c>
      <c r="F3643" s="7">
        <v>1.2190000000000001E-2</v>
      </c>
      <c r="G3643" s="7">
        <v>-5.21E-2</v>
      </c>
    </row>
    <row r="3644" spans="2:7" x14ac:dyDescent="0.2">
      <c r="B3644" s="60">
        <v>41061</v>
      </c>
      <c r="C3644" s="7">
        <v>1.1779999999999999E-2</v>
      </c>
      <c r="D3644" s="7">
        <v>1.1779999999999999E-2</v>
      </c>
      <c r="E3644" s="7">
        <v>1.1779999999999999E-2</v>
      </c>
      <c r="F3644" s="7">
        <v>1.1779999999999999E-2</v>
      </c>
      <c r="G3644" s="7">
        <v>-3.3599999999999998E-2</v>
      </c>
    </row>
    <row r="3645" spans="2:7" x14ac:dyDescent="0.2">
      <c r="B3645" s="60">
        <v>41064</v>
      </c>
      <c r="C3645" s="7">
        <v>1.2230000000000001E-2</v>
      </c>
      <c r="D3645" s="7">
        <v>1.2230000000000001E-2</v>
      </c>
      <c r="E3645" s="7">
        <v>1.2230000000000001E-2</v>
      </c>
      <c r="F3645" s="7">
        <v>1.2230000000000001E-2</v>
      </c>
      <c r="G3645" s="7">
        <v>3.8199999999999998E-2</v>
      </c>
    </row>
    <row r="3646" spans="2:7" x14ac:dyDescent="0.2">
      <c r="B3646" s="60">
        <v>41065</v>
      </c>
      <c r="C3646" s="7">
        <v>1.2199999999999999E-2</v>
      </c>
      <c r="D3646" s="7">
        <v>1.2199999999999999E-2</v>
      </c>
      <c r="E3646" s="7">
        <v>1.2199999999999999E-2</v>
      </c>
      <c r="F3646" s="7">
        <v>1.2199999999999999E-2</v>
      </c>
      <c r="G3646" s="7">
        <v>-2.5000000000000001E-3</v>
      </c>
    </row>
    <row r="3647" spans="2:7" x14ac:dyDescent="0.2">
      <c r="B3647" s="60">
        <v>41066</v>
      </c>
      <c r="C3647" s="7">
        <v>1.2920000000000001E-2</v>
      </c>
      <c r="D3647" s="7">
        <v>1.2920000000000001E-2</v>
      </c>
      <c r="E3647" s="7">
        <v>1.2920000000000001E-2</v>
      </c>
      <c r="F3647" s="7">
        <v>1.2920000000000001E-2</v>
      </c>
      <c r="G3647" s="7">
        <v>5.8999999999999997E-2</v>
      </c>
    </row>
    <row r="3648" spans="2:7" x14ac:dyDescent="0.2">
      <c r="B3648" s="60">
        <v>41067</v>
      </c>
      <c r="C3648" s="7">
        <v>1.3819999999999999E-2</v>
      </c>
      <c r="D3648" s="7">
        <v>1.3819999999999999E-2</v>
      </c>
      <c r="E3648" s="7">
        <v>1.3819999999999999E-2</v>
      </c>
      <c r="F3648" s="7">
        <v>1.3819999999999999E-2</v>
      </c>
      <c r="G3648" s="7">
        <v>6.9699999999999998E-2</v>
      </c>
    </row>
    <row r="3649" spans="2:7" x14ac:dyDescent="0.2">
      <c r="B3649" s="60">
        <v>41068</v>
      </c>
      <c r="C3649" s="7">
        <v>1.316E-2</v>
      </c>
      <c r="D3649" s="7">
        <v>1.316E-2</v>
      </c>
      <c r="E3649" s="7">
        <v>1.316E-2</v>
      </c>
      <c r="F3649" s="7">
        <v>1.316E-2</v>
      </c>
      <c r="G3649" s="7">
        <v>-4.7800000000000002E-2</v>
      </c>
    </row>
    <row r="3650" spans="2:7" x14ac:dyDescent="0.2">
      <c r="B3650" s="60">
        <v>41071</v>
      </c>
      <c r="C3650" s="7">
        <v>1.325E-2</v>
      </c>
      <c r="D3650" s="7">
        <v>1.325E-2</v>
      </c>
      <c r="E3650" s="7">
        <v>1.325E-2</v>
      </c>
      <c r="F3650" s="7">
        <v>1.325E-2</v>
      </c>
      <c r="G3650" s="7">
        <v>6.7999999999999996E-3</v>
      </c>
    </row>
    <row r="3651" spans="2:7" x14ac:dyDescent="0.2">
      <c r="B3651" s="60">
        <v>41072</v>
      </c>
      <c r="C3651" s="7">
        <v>1.4030000000000001E-2</v>
      </c>
      <c r="D3651" s="7">
        <v>1.4030000000000001E-2</v>
      </c>
      <c r="E3651" s="7">
        <v>1.4030000000000001E-2</v>
      </c>
      <c r="F3651" s="7">
        <v>1.4030000000000001E-2</v>
      </c>
      <c r="G3651" s="7">
        <v>5.8900000000000001E-2</v>
      </c>
    </row>
    <row r="3652" spans="2:7" x14ac:dyDescent="0.2">
      <c r="B3652" s="60">
        <v>41073</v>
      </c>
      <c r="C3652" s="7">
        <v>1.489E-2</v>
      </c>
      <c r="D3652" s="7">
        <v>1.489E-2</v>
      </c>
      <c r="E3652" s="7">
        <v>1.489E-2</v>
      </c>
      <c r="F3652" s="7">
        <v>1.489E-2</v>
      </c>
      <c r="G3652" s="7">
        <v>6.13E-2</v>
      </c>
    </row>
    <row r="3653" spans="2:7" x14ac:dyDescent="0.2">
      <c r="B3653" s="60">
        <v>41074</v>
      </c>
      <c r="C3653" s="7">
        <v>1.481E-2</v>
      </c>
      <c r="D3653" s="7">
        <v>1.481E-2</v>
      </c>
      <c r="E3653" s="7">
        <v>1.481E-2</v>
      </c>
      <c r="F3653" s="7">
        <v>1.481E-2</v>
      </c>
      <c r="G3653" s="7">
        <v>-5.4000000000000003E-3</v>
      </c>
    </row>
    <row r="3654" spans="2:7" x14ac:dyDescent="0.2">
      <c r="B3654" s="60">
        <v>41075</v>
      </c>
      <c r="C3654" s="7">
        <v>1.4339999999999999E-2</v>
      </c>
      <c r="D3654" s="7">
        <v>1.4339999999999999E-2</v>
      </c>
      <c r="E3654" s="7">
        <v>1.4339999999999999E-2</v>
      </c>
      <c r="F3654" s="7">
        <v>1.4339999999999999E-2</v>
      </c>
      <c r="G3654" s="7">
        <v>-3.1699999999999999E-2</v>
      </c>
    </row>
    <row r="3655" spans="2:7" x14ac:dyDescent="0.2">
      <c r="B3655" s="60">
        <v>41078</v>
      </c>
      <c r="C3655" s="7">
        <v>1.4150000000000001E-2</v>
      </c>
      <c r="D3655" s="7">
        <v>1.4150000000000001E-2</v>
      </c>
      <c r="E3655" s="7">
        <v>1.4150000000000001E-2</v>
      </c>
      <c r="F3655" s="7">
        <v>1.4150000000000001E-2</v>
      </c>
      <c r="G3655" s="7">
        <v>-1.32E-2</v>
      </c>
    </row>
    <row r="3656" spans="2:7" x14ac:dyDescent="0.2">
      <c r="B3656" s="60">
        <v>41079</v>
      </c>
      <c r="C3656" s="7">
        <v>1.5100000000000001E-2</v>
      </c>
      <c r="D3656" s="7">
        <v>1.5100000000000001E-2</v>
      </c>
      <c r="E3656" s="7">
        <v>1.5100000000000001E-2</v>
      </c>
      <c r="F3656" s="7">
        <v>1.5100000000000001E-2</v>
      </c>
      <c r="G3656" s="7">
        <v>6.7100000000000007E-2</v>
      </c>
    </row>
    <row r="3657" spans="2:7" x14ac:dyDescent="0.2">
      <c r="B3657" s="60">
        <v>41080</v>
      </c>
      <c r="C3657" s="7">
        <v>1.6289999999999999E-2</v>
      </c>
      <c r="D3657" s="7">
        <v>1.6289999999999999E-2</v>
      </c>
      <c r="E3657" s="7">
        <v>1.6289999999999999E-2</v>
      </c>
      <c r="F3657" s="7">
        <v>1.6289999999999999E-2</v>
      </c>
      <c r="G3657" s="7">
        <v>7.8799999999999995E-2</v>
      </c>
    </row>
    <row r="3658" spans="2:7" x14ac:dyDescent="0.2">
      <c r="B3658" s="60">
        <v>41081</v>
      </c>
      <c r="C3658" s="7">
        <v>1.542E-2</v>
      </c>
      <c r="D3658" s="7">
        <v>1.542E-2</v>
      </c>
      <c r="E3658" s="7">
        <v>1.542E-2</v>
      </c>
      <c r="F3658" s="7">
        <v>1.542E-2</v>
      </c>
      <c r="G3658" s="7">
        <v>-5.3400000000000003E-2</v>
      </c>
    </row>
    <row r="3659" spans="2:7" x14ac:dyDescent="0.2">
      <c r="B3659" s="60">
        <v>41082</v>
      </c>
      <c r="C3659" s="7">
        <v>1.5769999999999999E-2</v>
      </c>
      <c r="D3659" s="7">
        <v>1.5769999999999999E-2</v>
      </c>
      <c r="E3659" s="7">
        <v>1.5769999999999999E-2</v>
      </c>
      <c r="F3659" s="7">
        <v>1.5769999999999999E-2</v>
      </c>
      <c r="G3659" s="7">
        <v>2.2700000000000001E-2</v>
      </c>
    </row>
    <row r="3660" spans="2:7" x14ac:dyDescent="0.2">
      <c r="B3660" s="60">
        <v>41085</v>
      </c>
      <c r="C3660" s="7">
        <v>1.4690000000000002E-2</v>
      </c>
      <c r="D3660" s="7">
        <v>1.4690000000000002E-2</v>
      </c>
      <c r="E3660" s="7">
        <v>1.4690000000000002E-2</v>
      </c>
      <c r="F3660" s="7">
        <v>1.4690000000000002E-2</v>
      </c>
      <c r="G3660" s="7">
        <v>-6.8500000000000005E-2</v>
      </c>
    </row>
    <row r="3661" spans="2:7" x14ac:dyDescent="0.2">
      <c r="B3661" s="60">
        <v>41086</v>
      </c>
      <c r="C3661" s="7">
        <v>1.516E-2</v>
      </c>
      <c r="D3661" s="7">
        <v>1.516E-2</v>
      </c>
      <c r="E3661" s="7">
        <v>1.516E-2</v>
      </c>
      <c r="F3661" s="7">
        <v>1.516E-2</v>
      </c>
      <c r="G3661" s="7">
        <v>3.2000000000000001E-2</v>
      </c>
    </row>
    <row r="3662" spans="2:7" x14ac:dyDescent="0.2">
      <c r="B3662" s="60">
        <v>41087</v>
      </c>
      <c r="C3662" s="7">
        <v>1.5600000000000001E-2</v>
      </c>
      <c r="D3662" s="7">
        <v>1.5600000000000001E-2</v>
      </c>
      <c r="E3662" s="7">
        <v>1.5600000000000001E-2</v>
      </c>
      <c r="F3662" s="7">
        <v>1.5600000000000001E-2</v>
      </c>
      <c r="G3662" s="7">
        <v>2.9000000000000001E-2</v>
      </c>
    </row>
    <row r="3663" spans="2:7" x14ac:dyDescent="0.2">
      <c r="B3663" s="60">
        <v>41088</v>
      </c>
      <c r="C3663" s="7">
        <v>1.5029999999999998E-2</v>
      </c>
      <c r="D3663" s="7">
        <v>1.5029999999999998E-2</v>
      </c>
      <c r="E3663" s="7">
        <v>1.5029999999999998E-2</v>
      </c>
      <c r="F3663" s="7">
        <v>1.5029999999999998E-2</v>
      </c>
      <c r="G3663" s="7">
        <v>-3.6499999999999998E-2</v>
      </c>
    </row>
    <row r="3664" spans="2:7" x14ac:dyDescent="0.2">
      <c r="B3664" s="60">
        <v>41089</v>
      </c>
      <c r="C3664" s="7">
        <v>1.6049999999999998E-2</v>
      </c>
      <c r="D3664" s="7">
        <v>1.6049999999999998E-2</v>
      </c>
      <c r="E3664" s="7">
        <v>1.6049999999999998E-2</v>
      </c>
      <c r="F3664" s="7">
        <v>1.6049999999999998E-2</v>
      </c>
      <c r="G3664" s="7">
        <v>6.7900000000000002E-2</v>
      </c>
    </row>
    <row r="3665" spans="2:7" x14ac:dyDescent="0.2">
      <c r="B3665" s="60">
        <v>41092</v>
      </c>
      <c r="C3665" s="7">
        <v>1.5109999999999998E-2</v>
      </c>
      <c r="D3665" s="7">
        <v>1.5109999999999998E-2</v>
      </c>
      <c r="E3665" s="7">
        <v>1.5109999999999998E-2</v>
      </c>
      <c r="F3665" s="7">
        <v>1.5109999999999998E-2</v>
      </c>
      <c r="G3665" s="7">
        <v>-5.8599999999999999E-2</v>
      </c>
    </row>
    <row r="3666" spans="2:7" x14ac:dyDescent="0.2">
      <c r="B3666" s="60">
        <v>41093</v>
      </c>
      <c r="C3666" s="7">
        <v>1.5169999999999999E-2</v>
      </c>
      <c r="D3666" s="7">
        <v>1.5169999999999999E-2</v>
      </c>
      <c r="E3666" s="7">
        <v>1.5169999999999999E-2</v>
      </c>
      <c r="F3666" s="7">
        <v>1.5169999999999999E-2</v>
      </c>
      <c r="G3666" s="7">
        <v>4.0000000000000001E-3</v>
      </c>
    </row>
    <row r="3667" spans="2:7" x14ac:dyDescent="0.2">
      <c r="B3667" s="60">
        <v>41094</v>
      </c>
      <c r="C3667" s="7">
        <v>1.47E-2</v>
      </c>
      <c r="D3667" s="7">
        <v>1.47E-2</v>
      </c>
      <c r="E3667" s="7">
        <v>1.47E-2</v>
      </c>
      <c r="F3667" s="7">
        <v>1.47E-2</v>
      </c>
      <c r="G3667" s="7">
        <v>-3.1E-2</v>
      </c>
    </row>
    <row r="3668" spans="2:7" x14ac:dyDescent="0.2">
      <c r="B3668" s="60">
        <v>41095</v>
      </c>
      <c r="C3668" s="7">
        <v>1.4070000000000001E-2</v>
      </c>
      <c r="D3668" s="7">
        <v>1.4070000000000001E-2</v>
      </c>
      <c r="E3668" s="7">
        <v>1.4070000000000001E-2</v>
      </c>
      <c r="F3668" s="7">
        <v>1.4070000000000001E-2</v>
      </c>
      <c r="G3668" s="7">
        <v>-4.2900000000000001E-2</v>
      </c>
    </row>
    <row r="3669" spans="2:7" x14ac:dyDescent="0.2">
      <c r="B3669" s="60">
        <v>41096</v>
      </c>
      <c r="C3669" s="7">
        <v>1.337E-2</v>
      </c>
      <c r="D3669" s="7">
        <v>1.337E-2</v>
      </c>
      <c r="E3669" s="7">
        <v>1.337E-2</v>
      </c>
      <c r="F3669" s="7">
        <v>1.337E-2</v>
      </c>
      <c r="G3669" s="7">
        <v>-4.9799999999999997E-2</v>
      </c>
    </row>
    <row r="3670" spans="2:7" x14ac:dyDescent="0.2">
      <c r="B3670" s="60">
        <v>41099</v>
      </c>
      <c r="C3670" s="7">
        <v>1.32E-2</v>
      </c>
      <c r="D3670" s="7">
        <v>1.32E-2</v>
      </c>
      <c r="E3670" s="7">
        <v>1.32E-2</v>
      </c>
      <c r="F3670" s="7">
        <v>1.32E-2</v>
      </c>
      <c r="G3670" s="7">
        <v>-1.2699999999999999E-2</v>
      </c>
    </row>
    <row r="3671" spans="2:7" x14ac:dyDescent="0.2">
      <c r="B3671" s="60">
        <v>41100</v>
      </c>
      <c r="C3671" s="7">
        <v>1.328E-2</v>
      </c>
      <c r="D3671" s="7">
        <v>1.328E-2</v>
      </c>
      <c r="E3671" s="7">
        <v>1.328E-2</v>
      </c>
      <c r="F3671" s="7">
        <v>1.328E-2</v>
      </c>
      <c r="G3671" s="7">
        <v>6.1000000000000004E-3</v>
      </c>
    </row>
    <row r="3672" spans="2:7" x14ac:dyDescent="0.2">
      <c r="B3672" s="60">
        <v>41101</v>
      </c>
      <c r="C3672" s="7">
        <v>1.282E-2</v>
      </c>
      <c r="D3672" s="7">
        <v>1.282E-2</v>
      </c>
      <c r="E3672" s="7">
        <v>1.282E-2</v>
      </c>
      <c r="F3672" s="7">
        <v>1.282E-2</v>
      </c>
      <c r="G3672" s="7">
        <v>-3.4599999999999999E-2</v>
      </c>
    </row>
    <row r="3673" spans="2:7" x14ac:dyDescent="0.2">
      <c r="B3673" s="60">
        <v>41102</v>
      </c>
      <c r="C3673" s="7">
        <v>1.2450000000000001E-2</v>
      </c>
      <c r="D3673" s="7">
        <v>1.2450000000000001E-2</v>
      </c>
      <c r="E3673" s="7">
        <v>1.2450000000000001E-2</v>
      </c>
      <c r="F3673" s="7">
        <v>1.2450000000000001E-2</v>
      </c>
      <c r="G3673" s="7">
        <v>-2.8899999999999999E-2</v>
      </c>
    </row>
    <row r="3674" spans="2:7" x14ac:dyDescent="0.2">
      <c r="B3674" s="60">
        <v>41103</v>
      </c>
      <c r="C3674" s="7">
        <v>1.2629999999999999E-2</v>
      </c>
      <c r="D3674" s="7">
        <v>1.2629999999999999E-2</v>
      </c>
      <c r="E3674" s="7">
        <v>1.2629999999999999E-2</v>
      </c>
      <c r="F3674" s="7">
        <v>1.2629999999999999E-2</v>
      </c>
      <c r="G3674" s="7">
        <v>1.4500000000000001E-2</v>
      </c>
    </row>
    <row r="3675" spans="2:7" x14ac:dyDescent="0.2">
      <c r="B3675" s="60">
        <v>41106</v>
      </c>
      <c r="C3675" s="7">
        <v>1.2199999999999999E-2</v>
      </c>
      <c r="D3675" s="7">
        <v>1.2199999999999999E-2</v>
      </c>
      <c r="E3675" s="7">
        <v>1.2199999999999999E-2</v>
      </c>
      <c r="F3675" s="7">
        <v>1.2199999999999999E-2</v>
      </c>
      <c r="G3675" s="7">
        <v>-3.4000000000000002E-2</v>
      </c>
    </row>
    <row r="3676" spans="2:7" x14ac:dyDescent="0.2">
      <c r="B3676" s="60">
        <v>41107</v>
      </c>
      <c r="C3676" s="7">
        <v>1.234E-2</v>
      </c>
      <c r="D3676" s="7">
        <v>1.234E-2</v>
      </c>
      <c r="E3676" s="7">
        <v>1.234E-2</v>
      </c>
      <c r="F3676" s="7">
        <v>1.234E-2</v>
      </c>
      <c r="G3676" s="7">
        <v>1.15E-2</v>
      </c>
    </row>
    <row r="3677" spans="2:7" x14ac:dyDescent="0.2">
      <c r="B3677" s="60">
        <v>41108</v>
      </c>
      <c r="C3677" s="7">
        <v>1.208E-2</v>
      </c>
      <c r="D3677" s="7">
        <v>1.208E-2</v>
      </c>
      <c r="E3677" s="7">
        <v>1.208E-2</v>
      </c>
      <c r="F3677" s="7">
        <v>1.208E-2</v>
      </c>
      <c r="G3677" s="7">
        <v>-2.1100000000000001E-2</v>
      </c>
    </row>
    <row r="3678" spans="2:7" x14ac:dyDescent="0.2">
      <c r="B3678" s="60">
        <v>41109</v>
      </c>
      <c r="C3678" s="7">
        <v>1.221E-2</v>
      </c>
      <c r="D3678" s="7">
        <v>1.221E-2</v>
      </c>
      <c r="E3678" s="7">
        <v>1.221E-2</v>
      </c>
      <c r="F3678" s="7">
        <v>1.221E-2</v>
      </c>
      <c r="G3678" s="7">
        <v>1.0800000000000001E-2</v>
      </c>
    </row>
    <row r="3679" spans="2:7" x14ac:dyDescent="0.2">
      <c r="B3679" s="60">
        <v>41110</v>
      </c>
      <c r="C3679" s="7">
        <v>1.1619999999999998E-2</v>
      </c>
      <c r="D3679" s="7">
        <v>1.1619999999999998E-2</v>
      </c>
      <c r="E3679" s="7">
        <v>1.1619999999999998E-2</v>
      </c>
      <c r="F3679" s="7">
        <v>1.1619999999999998E-2</v>
      </c>
      <c r="G3679" s="7">
        <v>-4.8300000000000003E-2</v>
      </c>
    </row>
    <row r="3680" spans="2:7" x14ac:dyDescent="0.2">
      <c r="B3680" s="60">
        <v>41113</v>
      </c>
      <c r="C3680" s="7">
        <v>1.1739999999999999E-2</v>
      </c>
      <c r="D3680" s="7">
        <v>1.1739999999999999E-2</v>
      </c>
      <c r="E3680" s="7">
        <v>1.1739999999999999E-2</v>
      </c>
      <c r="F3680" s="7">
        <v>1.1739999999999999E-2</v>
      </c>
      <c r="G3680" s="7">
        <v>1.03E-2</v>
      </c>
    </row>
    <row r="3681" spans="2:7" x14ac:dyDescent="0.2">
      <c r="B3681" s="60">
        <v>41114</v>
      </c>
      <c r="C3681" s="7">
        <v>1.2470000000000002E-2</v>
      </c>
      <c r="D3681" s="7">
        <v>1.2470000000000002E-2</v>
      </c>
      <c r="E3681" s="7">
        <v>1.2470000000000002E-2</v>
      </c>
      <c r="F3681" s="7">
        <v>1.2470000000000002E-2</v>
      </c>
      <c r="G3681" s="7">
        <v>6.2199999999999998E-2</v>
      </c>
    </row>
    <row r="3682" spans="2:7" x14ac:dyDescent="0.2">
      <c r="B3682" s="60">
        <v>41115</v>
      </c>
      <c r="C3682" s="7">
        <v>1.261E-2</v>
      </c>
      <c r="D3682" s="7">
        <v>1.261E-2</v>
      </c>
      <c r="E3682" s="7">
        <v>1.261E-2</v>
      </c>
      <c r="F3682" s="7">
        <v>1.261E-2</v>
      </c>
      <c r="G3682" s="7">
        <v>1.12E-2</v>
      </c>
    </row>
    <row r="3683" spans="2:7" x14ac:dyDescent="0.2">
      <c r="B3683" s="60">
        <v>41116</v>
      </c>
      <c r="C3683" s="7">
        <v>1.329E-2</v>
      </c>
      <c r="D3683" s="7">
        <v>1.329E-2</v>
      </c>
      <c r="E3683" s="7">
        <v>1.329E-2</v>
      </c>
      <c r="F3683" s="7">
        <v>1.329E-2</v>
      </c>
      <c r="G3683" s="7">
        <v>5.3900000000000003E-2</v>
      </c>
    </row>
    <row r="3684" spans="2:7" x14ac:dyDescent="0.2">
      <c r="B3684" s="60">
        <v>41117</v>
      </c>
      <c r="C3684" s="7">
        <v>1.3919999999999998E-2</v>
      </c>
      <c r="D3684" s="7">
        <v>1.3919999999999998E-2</v>
      </c>
      <c r="E3684" s="7">
        <v>1.3919999999999998E-2</v>
      </c>
      <c r="F3684" s="7">
        <v>1.3919999999999998E-2</v>
      </c>
      <c r="G3684" s="7">
        <v>4.7399999999999998E-2</v>
      </c>
    </row>
    <row r="3685" spans="2:7" x14ac:dyDescent="0.2">
      <c r="B3685" s="60">
        <v>41120</v>
      </c>
      <c r="C3685" s="7">
        <v>1.3939999999999999E-2</v>
      </c>
      <c r="D3685" s="7">
        <v>1.3939999999999999E-2</v>
      </c>
      <c r="E3685" s="7">
        <v>1.3939999999999999E-2</v>
      </c>
      <c r="F3685" s="7">
        <v>1.3939999999999999E-2</v>
      </c>
      <c r="G3685" s="7">
        <v>1.4E-3</v>
      </c>
    </row>
    <row r="3686" spans="2:7" x14ac:dyDescent="0.2">
      <c r="B3686" s="60">
        <v>41121</v>
      </c>
      <c r="C3686" s="7">
        <v>1.2920000000000001E-2</v>
      </c>
      <c r="D3686" s="7">
        <v>1.2920000000000001E-2</v>
      </c>
      <c r="E3686" s="7">
        <v>1.2920000000000001E-2</v>
      </c>
      <c r="F3686" s="7">
        <v>1.2920000000000001E-2</v>
      </c>
      <c r="G3686" s="7">
        <v>-7.3200000000000001E-2</v>
      </c>
    </row>
    <row r="3687" spans="2:7" x14ac:dyDescent="0.2">
      <c r="B3687" s="60">
        <v>41122</v>
      </c>
      <c r="C3687" s="7">
        <v>1.3950000000000001E-2</v>
      </c>
      <c r="D3687" s="7">
        <v>1.3950000000000001E-2</v>
      </c>
      <c r="E3687" s="7">
        <v>1.3950000000000001E-2</v>
      </c>
      <c r="F3687" s="7">
        <v>1.3950000000000001E-2</v>
      </c>
      <c r="G3687" s="7">
        <v>7.9699999999999993E-2</v>
      </c>
    </row>
    <row r="3688" spans="2:7" x14ac:dyDescent="0.2">
      <c r="B3688" s="60">
        <v>41123</v>
      </c>
      <c r="C3688" s="7">
        <v>1.2840000000000001E-2</v>
      </c>
      <c r="D3688" s="7">
        <v>1.2840000000000001E-2</v>
      </c>
      <c r="E3688" s="7">
        <v>1.2840000000000001E-2</v>
      </c>
      <c r="F3688" s="7">
        <v>1.2840000000000001E-2</v>
      </c>
      <c r="G3688" s="7">
        <v>-7.9600000000000004E-2</v>
      </c>
    </row>
    <row r="3689" spans="2:7" x14ac:dyDescent="0.2">
      <c r="B3689" s="60">
        <v>41124</v>
      </c>
      <c r="C3689" s="7">
        <v>1.4119999999999999E-2</v>
      </c>
      <c r="D3689" s="7">
        <v>1.4119999999999999E-2</v>
      </c>
      <c r="E3689" s="7">
        <v>1.4119999999999999E-2</v>
      </c>
      <c r="F3689" s="7">
        <v>1.4119999999999999E-2</v>
      </c>
      <c r="G3689" s="7">
        <v>9.9699999999999997E-2</v>
      </c>
    </row>
    <row r="3690" spans="2:7" x14ac:dyDescent="0.2">
      <c r="B3690" s="60">
        <v>41127</v>
      </c>
      <c r="C3690" s="7">
        <v>1.391E-2</v>
      </c>
      <c r="D3690" s="7">
        <v>1.391E-2</v>
      </c>
      <c r="E3690" s="7">
        <v>1.391E-2</v>
      </c>
      <c r="F3690" s="7">
        <v>1.391E-2</v>
      </c>
      <c r="G3690" s="7">
        <v>-1.49E-2</v>
      </c>
    </row>
    <row r="3691" spans="2:7" x14ac:dyDescent="0.2">
      <c r="B3691" s="60">
        <v>41128</v>
      </c>
      <c r="C3691" s="7">
        <v>1.4800000000000001E-2</v>
      </c>
      <c r="D3691" s="7">
        <v>1.4800000000000001E-2</v>
      </c>
      <c r="E3691" s="7">
        <v>1.4800000000000001E-2</v>
      </c>
      <c r="F3691" s="7">
        <v>1.4800000000000001E-2</v>
      </c>
      <c r="G3691" s="7">
        <v>6.4000000000000001E-2</v>
      </c>
    </row>
    <row r="3692" spans="2:7" x14ac:dyDescent="0.2">
      <c r="B3692" s="60">
        <v>41129</v>
      </c>
      <c r="C3692" s="7">
        <v>1.409E-2</v>
      </c>
      <c r="D3692" s="7">
        <v>1.409E-2</v>
      </c>
      <c r="E3692" s="7">
        <v>1.409E-2</v>
      </c>
      <c r="F3692" s="7">
        <v>1.409E-2</v>
      </c>
      <c r="G3692" s="7">
        <v>-4.8000000000000001E-2</v>
      </c>
    </row>
    <row r="3693" spans="2:7" x14ac:dyDescent="0.2">
      <c r="B3693" s="60">
        <v>41130</v>
      </c>
      <c r="C3693" s="7">
        <v>1.4530000000000001E-2</v>
      </c>
      <c r="D3693" s="7">
        <v>1.4530000000000001E-2</v>
      </c>
      <c r="E3693" s="7">
        <v>1.4530000000000001E-2</v>
      </c>
      <c r="F3693" s="7">
        <v>1.4530000000000001E-2</v>
      </c>
      <c r="G3693" s="7">
        <v>3.1199999999999999E-2</v>
      </c>
    </row>
    <row r="3694" spans="2:7" x14ac:dyDescent="0.2">
      <c r="B3694" s="60">
        <v>41131</v>
      </c>
      <c r="C3694" s="7">
        <v>1.375E-2</v>
      </c>
      <c r="D3694" s="7">
        <v>1.375E-2</v>
      </c>
      <c r="E3694" s="7">
        <v>1.375E-2</v>
      </c>
      <c r="F3694" s="7">
        <v>1.375E-2</v>
      </c>
      <c r="G3694" s="7">
        <v>-5.3699999999999998E-2</v>
      </c>
    </row>
    <row r="3695" spans="2:7" x14ac:dyDescent="0.2">
      <c r="B3695" s="60">
        <v>41134</v>
      </c>
      <c r="C3695" s="7">
        <v>1.4079999999999999E-2</v>
      </c>
      <c r="D3695" s="7">
        <v>1.4079999999999999E-2</v>
      </c>
      <c r="E3695" s="7">
        <v>1.4079999999999999E-2</v>
      </c>
      <c r="F3695" s="7">
        <v>1.4079999999999999E-2</v>
      </c>
      <c r="G3695" s="7">
        <v>2.4E-2</v>
      </c>
    </row>
    <row r="3696" spans="2:7" x14ac:dyDescent="0.2">
      <c r="B3696" s="60">
        <v>41135</v>
      </c>
      <c r="C3696" s="7">
        <v>1.468E-2</v>
      </c>
      <c r="D3696" s="7">
        <v>1.468E-2</v>
      </c>
      <c r="E3696" s="7">
        <v>1.468E-2</v>
      </c>
      <c r="F3696" s="7">
        <v>1.468E-2</v>
      </c>
      <c r="G3696" s="7">
        <v>4.2599999999999999E-2</v>
      </c>
    </row>
    <row r="3697" spans="2:7" x14ac:dyDescent="0.2">
      <c r="B3697" s="60">
        <v>41136</v>
      </c>
      <c r="C3697" s="7">
        <v>1.5469999999999999E-2</v>
      </c>
      <c r="D3697" s="7">
        <v>1.5469999999999999E-2</v>
      </c>
      <c r="E3697" s="7">
        <v>1.5469999999999999E-2</v>
      </c>
      <c r="F3697" s="7">
        <v>1.5469999999999999E-2</v>
      </c>
      <c r="G3697" s="7">
        <v>5.3800000000000001E-2</v>
      </c>
    </row>
    <row r="3698" spans="2:7" x14ac:dyDescent="0.2">
      <c r="B3698" s="60">
        <v>41137</v>
      </c>
      <c r="C3698" s="7">
        <v>1.528E-2</v>
      </c>
      <c r="D3698" s="7">
        <v>1.528E-2</v>
      </c>
      <c r="E3698" s="7">
        <v>1.528E-2</v>
      </c>
      <c r="F3698" s="7">
        <v>1.528E-2</v>
      </c>
      <c r="G3698" s="7">
        <v>-1.23E-2</v>
      </c>
    </row>
    <row r="3699" spans="2:7" x14ac:dyDescent="0.2">
      <c r="B3699" s="60">
        <v>41138</v>
      </c>
      <c r="C3699" s="7">
        <v>1.494E-2</v>
      </c>
      <c r="D3699" s="7">
        <v>1.494E-2</v>
      </c>
      <c r="E3699" s="7">
        <v>1.494E-2</v>
      </c>
      <c r="F3699" s="7">
        <v>1.494E-2</v>
      </c>
      <c r="G3699" s="7">
        <v>-2.23E-2</v>
      </c>
    </row>
    <row r="3700" spans="2:7" x14ac:dyDescent="0.2">
      <c r="B3700" s="60">
        <v>41141</v>
      </c>
      <c r="C3700" s="7">
        <v>1.4950000000000001E-2</v>
      </c>
      <c r="D3700" s="7">
        <v>1.4950000000000001E-2</v>
      </c>
      <c r="E3700" s="7">
        <v>1.4950000000000001E-2</v>
      </c>
      <c r="F3700" s="7">
        <v>1.4950000000000001E-2</v>
      </c>
      <c r="G3700" s="7">
        <v>6.9999999999999999E-4</v>
      </c>
    </row>
    <row r="3701" spans="2:7" x14ac:dyDescent="0.2">
      <c r="B3701" s="60">
        <v>41142</v>
      </c>
      <c r="C3701" s="7">
        <v>1.555E-2</v>
      </c>
      <c r="D3701" s="7">
        <v>1.555E-2</v>
      </c>
      <c r="E3701" s="7">
        <v>1.555E-2</v>
      </c>
      <c r="F3701" s="7">
        <v>1.555E-2</v>
      </c>
      <c r="G3701" s="7">
        <v>4.0099999999999997E-2</v>
      </c>
    </row>
    <row r="3702" spans="2:7" x14ac:dyDescent="0.2">
      <c r="B3702" s="60">
        <v>41143</v>
      </c>
      <c r="C3702" s="7">
        <v>1.464E-2</v>
      </c>
      <c r="D3702" s="7">
        <v>1.464E-2</v>
      </c>
      <c r="E3702" s="7">
        <v>1.464E-2</v>
      </c>
      <c r="F3702" s="7">
        <v>1.464E-2</v>
      </c>
      <c r="G3702" s="7">
        <v>-5.8500000000000003E-2</v>
      </c>
    </row>
    <row r="3703" spans="2:7" x14ac:dyDescent="0.2">
      <c r="B3703" s="60">
        <v>41144</v>
      </c>
      <c r="C3703" s="7">
        <v>1.366E-2</v>
      </c>
      <c r="D3703" s="7">
        <v>1.366E-2</v>
      </c>
      <c r="E3703" s="7">
        <v>1.366E-2</v>
      </c>
      <c r="F3703" s="7">
        <v>1.366E-2</v>
      </c>
      <c r="G3703" s="7">
        <v>-6.6900000000000001E-2</v>
      </c>
    </row>
    <row r="3704" spans="2:7" x14ac:dyDescent="0.2">
      <c r="B3704" s="60">
        <v>41145</v>
      </c>
      <c r="C3704" s="7">
        <v>1.333E-2</v>
      </c>
      <c r="D3704" s="7">
        <v>1.333E-2</v>
      </c>
      <c r="E3704" s="7">
        <v>1.333E-2</v>
      </c>
      <c r="F3704" s="7">
        <v>1.333E-2</v>
      </c>
      <c r="G3704" s="7">
        <v>-2.4199999999999999E-2</v>
      </c>
    </row>
    <row r="3705" spans="2:7" x14ac:dyDescent="0.2">
      <c r="B3705" s="60">
        <v>41148</v>
      </c>
      <c r="C3705" s="7">
        <v>1.357E-2</v>
      </c>
      <c r="D3705" s="7">
        <v>1.357E-2</v>
      </c>
      <c r="E3705" s="7">
        <v>1.357E-2</v>
      </c>
      <c r="F3705" s="7">
        <v>1.357E-2</v>
      </c>
      <c r="G3705" s="7">
        <v>1.7999999999999999E-2</v>
      </c>
    </row>
    <row r="3706" spans="2:7" x14ac:dyDescent="0.2">
      <c r="B3706" s="60">
        <v>41149</v>
      </c>
      <c r="C3706" s="7">
        <v>1.3429999999999999E-2</v>
      </c>
      <c r="D3706" s="7">
        <v>1.3429999999999999E-2</v>
      </c>
      <c r="E3706" s="7">
        <v>1.3429999999999999E-2</v>
      </c>
      <c r="F3706" s="7">
        <v>1.3429999999999999E-2</v>
      </c>
      <c r="G3706" s="7">
        <v>-1.03E-2</v>
      </c>
    </row>
    <row r="3707" spans="2:7" x14ac:dyDescent="0.2">
      <c r="B3707" s="60">
        <v>41150</v>
      </c>
      <c r="C3707" s="7">
        <v>1.375E-2</v>
      </c>
      <c r="D3707" s="7">
        <v>1.375E-2</v>
      </c>
      <c r="E3707" s="7">
        <v>1.375E-2</v>
      </c>
      <c r="F3707" s="7">
        <v>1.375E-2</v>
      </c>
      <c r="G3707" s="7">
        <v>2.3800000000000002E-2</v>
      </c>
    </row>
    <row r="3708" spans="2:7" x14ac:dyDescent="0.2">
      <c r="B3708" s="60">
        <v>41151</v>
      </c>
      <c r="C3708" s="7">
        <v>1.3229999999999999E-2</v>
      </c>
      <c r="D3708" s="7">
        <v>1.3229999999999999E-2</v>
      </c>
      <c r="E3708" s="7">
        <v>1.3229999999999999E-2</v>
      </c>
      <c r="F3708" s="7">
        <v>1.3229999999999999E-2</v>
      </c>
      <c r="G3708" s="7">
        <v>-3.78E-2</v>
      </c>
    </row>
    <row r="3709" spans="2:7" x14ac:dyDescent="0.2">
      <c r="B3709" s="60">
        <v>41152</v>
      </c>
      <c r="C3709" s="7">
        <v>1.3469999999999999E-2</v>
      </c>
      <c r="D3709" s="7">
        <v>1.3469999999999999E-2</v>
      </c>
      <c r="E3709" s="7">
        <v>1.3469999999999999E-2</v>
      </c>
      <c r="F3709" s="7">
        <v>1.3469999999999999E-2</v>
      </c>
      <c r="G3709" s="7">
        <v>1.8100000000000002E-2</v>
      </c>
    </row>
    <row r="3710" spans="2:7" x14ac:dyDescent="0.2">
      <c r="B3710" s="60">
        <v>41155</v>
      </c>
      <c r="C3710" s="7">
        <v>1.353E-2</v>
      </c>
      <c r="D3710" s="7">
        <v>1.353E-2</v>
      </c>
      <c r="E3710" s="7">
        <v>1.353E-2</v>
      </c>
      <c r="F3710" s="7">
        <v>1.353E-2</v>
      </c>
      <c r="G3710" s="7">
        <v>4.4999999999999997E-3</v>
      </c>
    </row>
    <row r="3711" spans="2:7" x14ac:dyDescent="0.2">
      <c r="B3711" s="60">
        <v>41156</v>
      </c>
      <c r="C3711" s="7">
        <v>1.374E-2</v>
      </c>
      <c r="D3711" s="7">
        <v>1.374E-2</v>
      </c>
      <c r="E3711" s="7">
        <v>1.374E-2</v>
      </c>
      <c r="F3711" s="7">
        <v>1.374E-2</v>
      </c>
      <c r="G3711" s="7">
        <v>1.55E-2</v>
      </c>
    </row>
    <row r="3712" spans="2:7" x14ac:dyDescent="0.2">
      <c r="B3712" s="60">
        <v>41157</v>
      </c>
      <c r="C3712" s="7">
        <v>1.4119999999999999E-2</v>
      </c>
      <c r="D3712" s="7">
        <v>1.4119999999999999E-2</v>
      </c>
      <c r="E3712" s="7">
        <v>1.4119999999999999E-2</v>
      </c>
      <c r="F3712" s="7">
        <v>1.4119999999999999E-2</v>
      </c>
      <c r="G3712" s="7">
        <v>2.7699999999999999E-2</v>
      </c>
    </row>
    <row r="3713" spans="2:7" x14ac:dyDescent="0.2">
      <c r="B3713" s="60">
        <v>41158</v>
      </c>
      <c r="C3713" s="7">
        <v>1.554E-2</v>
      </c>
      <c r="D3713" s="7">
        <v>1.554E-2</v>
      </c>
      <c r="E3713" s="7">
        <v>1.554E-2</v>
      </c>
      <c r="F3713" s="7">
        <v>1.554E-2</v>
      </c>
      <c r="G3713" s="7">
        <v>0.10059999999999999</v>
      </c>
    </row>
    <row r="3714" spans="2:7" x14ac:dyDescent="0.2">
      <c r="B3714" s="60">
        <v>41159</v>
      </c>
      <c r="C3714" s="7">
        <v>1.5269999999999999E-2</v>
      </c>
      <c r="D3714" s="7">
        <v>1.5269999999999999E-2</v>
      </c>
      <c r="E3714" s="7">
        <v>1.5269999999999999E-2</v>
      </c>
      <c r="F3714" s="7">
        <v>1.5269999999999999E-2</v>
      </c>
      <c r="G3714" s="7">
        <v>-1.7399999999999999E-2</v>
      </c>
    </row>
    <row r="3715" spans="2:7" x14ac:dyDescent="0.2">
      <c r="B3715" s="60">
        <v>41162</v>
      </c>
      <c r="C3715" s="7">
        <v>1.5480000000000001E-2</v>
      </c>
      <c r="D3715" s="7">
        <v>1.5480000000000001E-2</v>
      </c>
      <c r="E3715" s="7">
        <v>1.5480000000000001E-2</v>
      </c>
      <c r="F3715" s="7">
        <v>1.5480000000000001E-2</v>
      </c>
      <c r="G3715" s="7">
        <v>1.38E-2</v>
      </c>
    </row>
    <row r="3716" spans="2:7" x14ac:dyDescent="0.2">
      <c r="B3716" s="60">
        <v>41163</v>
      </c>
      <c r="C3716" s="7">
        <v>1.542E-2</v>
      </c>
      <c r="D3716" s="7">
        <v>1.542E-2</v>
      </c>
      <c r="E3716" s="7">
        <v>1.542E-2</v>
      </c>
      <c r="F3716" s="7">
        <v>1.542E-2</v>
      </c>
      <c r="G3716" s="7">
        <v>-3.8999999999999998E-3</v>
      </c>
    </row>
    <row r="3717" spans="2:7" x14ac:dyDescent="0.2">
      <c r="B3717" s="60">
        <v>41164</v>
      </c>
      <c r="C3717" s="7">
        <v>1.643E-2</v>
      </c>
      <c r="D3717" s="7">
        <v>1.643E-2</v>
      </c>
      <c r="E3717" s="7">
        <v>1.643E-2</v>
      </c>
      <c r="F3717" s="7">
        <v>1.643E-2</v>
      </c>
      <c r="G3717" s="7">
        <v>6.5500000000000003E-2</v>
      </c>
    </row>
    <row r="3718" spans="2:7" x14ac:dyDescent="0.2">
      <c r="B3718" s="60">
        <v>41165</v>
      </c>
      <c r="C3718" s="7">
        <v>1.5600000000000001E-2</v>
      </c>
      <c r="D3718" s="7">
        <v>1.5600000000000001E-2</v>
      </c>
      <c r="E3718" s="7">
        <v>1.5600000000000001E-2</v>
      </c>
      <c r="F3718" s="7">
        <v>1.5600000000000001E-2</v>
      </c>
      <c r="G3718" s="7">
        <v>-5.0500000000000003E-2</v>
      </c>
    </row>
    <row r="3719" spans="2:7" x14ac:dyDescent="0.2">
      <c r="B3719" s="60">
        <v>41166</v>
      </c>
      <c r="C3719" s="7">
        <v>1.7100000000000001E-2</v>
      </c>
      <c r="D3719" s="7">
        <v>1.7100000000000001E-2</v>
      </c>
      <c r="E3719" s="7">
        <v>1.7100000000000001E-2</v>
      </c>
      <c r="F3719" s="7">
        <v>1.7100000000000001E-2</v>
      </c>
      <c r="G3719" s="7">
        <v>9.6199999999999994E-2</v>
      </c>
    </row>
    <row r="3720" spans="2:7" x14ac:dyDescent="0.2">
      <c r="B3720" s="60">
        <v>41169</v>
      </c>
      <c r="C3720" s="7">
        <v>1.6879999999999999E-2</v>
      </c>
      <c r="D3720" s="7">
        <v>1.6879999999999999E-2</v>
      </c>
      <c r="E3720" s="7">
        <v>1.6879999999999999E-2</v>
      </c>
      <c r="F3720" s="7">
        <v>1.6879999999999999E-2</v>
      </c>
      <c r="G3720" s="7">
        <v>-1.29E-2</v>
      </c>
    </row>
    <row r="3721" spans="2:7" x14ac:dyDescent="0.2">
      <c r="B3721" s="60">
        <v>41170</v>
      </c>
      <c r="C3721" s="7">
        <v>1.6299999999999999E-2</v>
      </c>
      <c r="D3721" s="7">
        <v>1.6299999999999999E-2</v>
      </c>
      <c r="E3721" s="7">
        <v>1.6299999999999999E-2</v>
      </c>
      <c r="F3721" s="7">
        <v>1.6299999999999999E-2</v>
      </c>
      <c r="G3721" s="7">
        <v>-3.44E-2</v>
      </c>
    </row>
    <row r="3722" spans="2:7" x14ac:dyDescent="0.2">
      <c r="B3722" s="60">
        <v>41171</v>
      </c>
      <c r="C3722" s="7">
        <v>1.5990000000000001E-2</v>
      </c>
      <c r="D3722" s="7">
        <v>1.5990000000000001E-2</v>
      </c>
      <c r="E3722" s="7">
        <v>1.5990000000000001E-2</v>
      </c>
      <c r="F3722" s="7">
        <v>1.5990000000000001E-2</v>
      </c>
      <c r="G3722" s="7">
        <v>-1.9E-2</v>
      </c>
    </row>
    <row r="3723" spans="2:7" x14ac:dyDescent="0.2">
      <c r="B3723" s="60">
        <v>41172</v>
      </c>
      <c r="C3723" s="7">
        <v>1.5720000000000001E-2</v>
      </c>
      <c r="D3723" s="7">
        <v>1.5720000000000001E-2</v>
      </c>
      <c r="E3723" s="7">
        <v>1.5720000000000001E-2</v>
      </c>
      <c r="F3723" s="7">
        <v>1.5720000000000001E-2</v>
      </c>
      <c r="G3723" s="7">
        <v>-1.6899999999999998E-2</v>
      </c>
    </row>
    <row r="3724" spans="2:7" x14ac:dyDescent="0.2">
      <c r="B3724" s="60">
        <v>41173</v>
      </c>
      <c r="C3724" s="7">
        <v>1.6029999999999999E-2</v>
      </c>
      <c r="D3724" s="7">
        <v>1.6029999999999999E-2</v>
      </c>
      <c r="E3724" s="7">
        <v>1.6029999999999999E-2</v>
      </c>
      <c r="F3724" s="7">
        <v>1.6029999999999999E-2</v>
      </c>
      <c r="G3724" s="7">
        <v>1.9699999999999999E-2</v>
      </c>
    </row>
    <row r="3725" spans="2:7" x14ac:dyDescent="0.2">
      <c r="B3725" s="60">
        <v>41176</v>
      </c>
      <c r="C3725" s="7">
        <v>1.5650000000000001E-2</v>
      </c>
      <c r="D3725" s="7">
        <v>1.5650000000000001E-2</v>
      </c>
      <c r="E3725" s="7">
        <v>1.5650000000000001E-2</v>
      </c>
      <c r="F3725" s="7">
        <v>1.5650000000000001E-2</v>
      </c>
      <c r="G3725" s="7">
        <v>-2.3699999999999999E-2</v>
      </c>
    </row>
    <row r="3726" spans="2:7" x14ac:dyDescent="0.2">
      <c r="B3726" s="60">
        <v>41177</v>
      </c>
      <c r="C3726" s="7">
        <v>1.5640000000000001E-2</v>
      </c>
      <c r="D3726" s="7">
        <v>1.5640000000000001E-2</v>
      </c>
      <c r="E3726" s="7">
        <v>1.5640000000000001E-2</v>
      </c>
      <c r="F3726" s="7">
        <v>1.5640000000000001E-2</v>
      </c>
      <c r="G3726" s="7">
        <v>-5.9999999999999995E-4</v>
      </c>
    </row>
    <row r="3727" spans="2:7" x14ac:dyDescent="0.2">
      <c r="B3727" s="60">
        <v>41178</v>
      </c>
      <c r="C3727" s="7">
        <v>1.4630000000000001E-2</v>
      </c>
      <c r="D3727" s="7">
        <v>1.4630000000000001E-2</v>
      </c>
      <c r="E3727" s="7">
        <v>1.4630000000000001E-2</v>
      </c>
      <c r="F3727" s="7">
        <v>1.4630000000000001E-2</v>
      </c>
      <c r="G3727" s="7">
        <v>-6.4600000000000005E-2</v>
      </c>
    </row>
    <row r="3728" spans="2:7" x14ac:dyDescent="0.2">
      <c r="B3728" s="60">
        <v>41179</v>
      </c>
      <c r="C3728" s="7">
        <v>1.4539999999999999E-2</v>
      </c>
      <c r="D3728" s="7">
        <v>1.4539999999999999E-2</v>
      </c>
      <c r="E3728" s="7">
        <v>1.4539999999999999E-2</v>
      </c>
      <c r="F3728" s="7">
        <v>1.4539999999999999E-2</v>
      </c>
      <c r="G3728" s="7">
        <v>-6.1999999999999998E-3</v>
      </c>
    </row>
    <row r="3729" spans="2:7" x14ac:dyDescent="0.2">
      <c r="B3729" s="60">
        <v>41180</v>
      </c>
      <c r="C3729" s="7">
        <v>1.423E-2</v>
      </c>
      <c r="D3729" s="7">
        <v>1.423E-2</v>
      </c>
      <c r="E3729" s="7">
        <v>1.423E-2</v>
      </c>
      <c r="F3729" s="7">
        <v>1.423E-2</v>
      </c>
      <c r="G3729" s="7">
        <v>-2.1299999999999999E-2</v>
      </c>
    </row>
    <row r="3730" spans="2:7" x14ac:dyDescent="0.2">
      <c r="B3730" s="60">
        <v>41183</v>
      </c>
      <c r="C3730" s="7">
        <v>1.4790000000000001E-2</v>
      </c>
      <c r="D3730" s="7">
        <v>1.4790000000000001E-2</v>
      </c>
      <c r="E3730" s="7">
        <v>1.4790000000000001E-2</v>
      </c>
      <c r="F3730" s="7">
        <v>1.4790000000000001E-2</v>
      </c>
      <c r="G3730" s="7">
        <v>3.9399999999999998E-2</v>
      </c>
    </row>
    <row r="3731" spans="2:7" x14ac:dyDescent="0.2">
      <c r="B3731" s="60">
        <v>41184</v>
      </c>
      <c r="C3731" s="7">
        <v>1.4610000000000001E-2</v>
      </c>
      <c r="D3731" s="7">
        <v>1.4610000000000001E-2</v>
      </c>
      <c r="E3731" s="7">
        <v>1.4610000000000001E-2</v>
      </c>
      <c r="F3731" s="7">
        <v>1.4610000000000001E-2</v>
      </c>
      <c r="G3731" s="7">
        <v>-1.2200000000000001E-2</v>
      </c>
    </row>
    <row r="3732" spans="2:7" x14ac:dyDescent="0.2">
      <c r="B3732" s="60">
        <v>41185</v>
      </c>
      <c r="C3732" s="7">
        <v>1.4459999999999999E-2</v>
      </c>
      <c r="D3732" s="7">
        <v>1.4459999999999999E-2</v>
      </c>
      <c r="E3732" s="7">
        <v>1.4459999999999999E-2</v>
      </c>
      <c r="F3732" s="7">
        <v>1.4459999999999999E-2</v>
      </c>
      <c r="G3732" s="7">
        <v>-1.03E-2</v>
      </c>
    </row>
    <row r="3733" spans="2:7" x14ac:dyDescent="0.2">
      <c r="B3733" s="60">
        <v>41186</v>
      </c>
      <c r="C3733" s="7">
        <v>1.46E-2</v>
      </c>
      <c r="D3733" s="7">
        <v>1.46E-2</v>
      </c>
      <c r="E3733" s="7">
        <v>1.46E-2</v>
      </c>
      <c r="F3733" s="7">
        <v>1.46E-2</v>
      </c>
      <c r="G3733" s="7">
        <v>9.7000000000000003E-3</v>
      </c>
    </row>
    <row r="3734" spans="2:7" x14ac:dyDescent="0.2">
      <c r="B3734" s="60">
        <v>41187</v>
      </c>
      <c r="C3734" s="7">
        <v>1.524E-2</v>
      </c>
      <c r="D3734" s="7">
        <v>1.524E-2</v>
      </c>
      <c r="E3734" s="7">
        <v>1.524E-2</v>
      </c>
      <c r="F3734" s="7">
        <v>1.524E-2</v>
      </c>
      <c r="G3734" s="7">
        <v>4.3799999999999999E-2</v>
      </c>
    </row>
    <row r="3735" spans="2:7" x14ac:dyDescent="0.2">
      <c r="B3735" s="60">
        <v>41190</v>
      </c>
      <c r="C3735" s="7">
        <v>1.478E-2</v>
      </c>
      <c r="D3735" s="7">
        <v>1.478E-2</v>
      </c>
      <c r="E3735" s="7">
        <v>1.478E-2</v>
      </c>
      <c r="F3735" s="7">
        <v>1.478E-2</v>
      </c>
      <c r="G3735" s="7">
        <v>-3.0200000000000001E-2</v>
      </c>
    </row>
    <row r="3736" spans="2:7" x14ac:dyDescent="0.2">
      <c r="B3736" s="60">
        <v>41191</v>
      </c>
      <c r="C3736" s="7">
        <v>1.4959999999999999E-2</v>
      </c>
      <c r="D3736" s="7">
        <v>1.4959999999999999E-2</v>
      </c>
      <c r="E3736" s="7">
        <v>1.4959999999999999E-2</v>
      </c>
      <c r="F3736" s="7">
        <v>1.4959999999999999E-2</v>
      </c>
      <c r="G3736" s="7">
        <v>1.2200000000000001E-2</v>
      </c>
    </row>
    <row r="3737" spans="2:7" x14ac:dyDescent="0.2">
      <c r="B3737" s="60">
        <v>41192</v>
      </c>
      <c r="C3737" s="7">
        <v>1.5100000000000001E-2</v>
      </c>
      <c r="D3737" s="7">
        <v>1.5100000000000001E-2</v>
      </c>
      <c r="E3737" s="7">
        <v>1.5100000000000001E-2</v>
      </c>
      <c r="F3737" s="7">
        <v>1.5100000000000001E-2</v>
      </c>
      <c r="G3737" s="7">
        <v>9.4000000000000004E-3</v>
      </c>
    </row>
    <row r="3738" spans="2:7" x14ac:dyDescent="0.2">
      <c r="B3738" s="60">
        <v>41193</v>
      </c>
      <c r="C3738" s="7">
        <v>1.516E-2</v>
      </c>
      <c r="D3738" s="7">
        <v>1.516E-2</v>
      </c>
      <c r="E3738" s="7">
        <v>1.516E-2</v>
      </c>
      <c r="F3738" s="7">
        <v>1.516E-2</v>
      </c>
      <c r="G3738" s="7">
        <v>4.0000000000000001E-3</v>
      </c>
    </row>
    <row r="3739" spans="2:7" x14ac:dyDescent="0.2">
      <c r="B3739" s="60">
        <v>41194</v>
      </c>
      <c r="C3739" s="7">
        <v>1.46E-2</v>
      </c>
      <c r="D3739" s="7">
        <v>1.46E-2</v>
      </c>
      <c r="E3739" s="7">
        <v>1.46E-2</v>
      </c>
      <c r="F3739" s="7">
        <v>1.46E-2</v>
      </c>
      <c r="G3739" s="7">
        <v>-3.6900000000000002E-2</v>
      </c>
    </row>
    <row r="3740" spans="2:7" x14ac:dyDescent="0.2">
      <c r="B3740" s="60">
        <v>41197</v>
      </c>
      <c r="C3740" s="7">
        <v>1.4610000000000001E-2</v>
      </c>
      <c r="D3740" s="7">
        <v>1.4610000000000001E-2</v>
      </c>
      <c r="E3740" s="7">
        <v>1.4610000000000001E-2</v>
      </c>
      <c r="F3740" s="7">
        <v>1.4610000000000001E-2</v>
      </c>
      <c r="G3740" s="7">
        <v>6.9999999999999999E-4</v>
      </c>
    </row>
    <row r="3741" spans="2:7" x14ac:dyDescent="0.2">
      <c r="B3741" s="60">
        <v>41198</v>
      </c>
      <c r="C3741" s="7">
        <v>1.5429999999999999E-2</v>
      </c>
      <c r="D3741" s="7">
        <v>1.5429999999999999E-2</v>
      </c>
      <c r="E3741" s="7">
        <v>1.5429999999999999E-2</v>
      </c>
      <c r="F3741" s="7">
        <v>1.5429999999999999E-2</v>
      </c>
      <c r="G3741" s="7">
        <v>5.6099999999999997E-2</v>
      </c>
    </row>
    <row r="3742" spans="2:7" x14ac:dyDescent="0.2">
      <c r="B3742" s="60">
        <v>41199</v>
      </c>
      <c r="C3742" s="7">
        <v>1.6279999999999999E-2</v>
      </c>
      <c r="D3742" s="7">
        <v>1.6279999999999999E-2</v>
      </c>
      <c r="E3742" s="7">
        <v>1.6279999999999999E-2</v>
      </c>
      <c r="F3742" s="7">
        <v>1.6279999999999999E-2</v>
      </c>
      <c r="G3742" s="7">
        <v>5.5100000000000003E-2</v>
      </c>
    </row>
    <row r="3743" spans="2:7" x14ac:dyDescent="0.2">
      <c r="B3743" s="60">
        <v>41200</v>
      </c>
      <c r="C3743" s="7">
        <v>1.609E-2</v>
      </c>
      <c r="D3743" s="7">
        <v>1.609E-2</v>
      </c>
      <c r="E3743" s="7">
        <v>1.609E-2</v>
      </c>
      <c r="F3743" s="7">
        <v>1.609E-2</v>
      </c>
      <c r="G3743" s="7">
        <v>-1.17E-2</v>
      </c>
    </row>
    <row r="3744" spans="2:7" x14ac:dyDescent="0.2">
      <c r="B3744" s="60">
        <v>41201</v>
      </c>
      <c r="C3744" s="7">
        <v>1.6040000000000002E-2</v>
      </c>
      <c r="D3744" s="7">
        <v>1.6040000000000002E-2</v>
      </c>
      <c r="E3744" s="7">
        <v>1.6040000000000002E-2</v>
      </c>
      <c r="F3744" s="7">
        <v>1.6040000000000002E-2</v>
      </c>
      <c r="G3744" s="7">
        <v>-3.0999999999999999E-3</v>
      </c>
    </row>
    <row r="3745" spans="2:7" x14ac:dyDescent="0.2">
      <c r="B3745" s="60">
        <v>41204</v>
      </c>
      <c r="C3745" s="7">
        <v>1.6250000000000001E-2</v>
      </c>
      <c r="D3745" s="7">
        <v>1.6250000000000001E-2</v>
      </c>
      <c r="E3745" s="7">
        <v>1.6250000000000001E-2</v>
      </c>
      <c r="F3745" s="7">
        <v>1.6250000000000001E-2</v>
      </c>
      <c r="G3745" s="7">
        <v>1.3100000000000001E-2</v>
      </c>
    </row>
    <row r="3746" spans="2:7" x14ac:dyDescent="0.2">
      <c r="B3746" s="60">
        <v>41205</v>
      </c>
      <c r="C3746" s="7">
        <v>1.5689999999999999E-2</v>
      </c>
      <c r="D3746" s="7">
        <v>1.5689999999999999E-2</v>
      </c>
      <c r="E3746" s="7">
        <v>1.5689999999999999E-2</v>
      </c>
      <c r="F3746" s="7">
        <v>1.5689999999999999E-2</v>
      </c>
      <c r="G3746" s="7">
        <v>-3.4500000000000003E-2</v>
      </c>
    </row>
    <row r="3747" spans="2:7" x14ac:dyDescent="0.2">
      <c r="B3747" s="60">
        <v>41206</v>
      </c>
      <c r="C3747" s="7">
        <v>1.5700000000000002E-2</v>
      </c>
      <c r="D3747" s="7">
        <v>1.5939999999999999E-2</v>
      </c>
      <c r="E3747" s="7">
        <v>1.602E-2</v>
      </c>
      <c r="F3747" s="7">
        <v>1.554E-2</v>
      </c>
      <c r="G3747" s="7">
        <v>5.9999999999999995E-4</v>
      </c>
    </row>
    <row r="3748" spans="2:7" x14ac:dyDescent="0.2">
      <c r="B3748" s="60">
        <v>41207</v>
      </c>
      <c r="C3748" s="7">
        <v>1.5789999999999998E-2</v>
      </c>
      <c r="D3748" s="7">
        <v>1.5890000000000001E-2</v>
      </c>
      <c r="E3748" s="7">
        <v>1.627E-2</v>
      </c>
      <c r="F3748" s="7">
        <v>1.5720000000000001E-2</v>
      </c>
      <c r="G3748" s="7">
        <v>5.7000000000000002E-3</v>
      </c>
    </row>
    <row r="3749" spans="2:7" x14ac:dyDescent="0.2">
      <c r="B3749" s="60">
        <v>41208</v>
      </c>
      <c r="C3749" s="7">
        <v>1.5440000000000001E-2</v>
      </c>
      <c r="D3749" s="7">
        <v>1.5529999999999999E-2</v>
      </c>
      <c r="E3749" s="7">
        <v>1.5679999999999999E-2</v>
      </c>
      <c r="F3749" s="7">
        <v>1.5089999999999999E-2</v>
      </c>
      <c r="G3749" s="7">
        <v>-2.2200000000000001E-2</v>
      </c>
    </row>
    <row r="3750" spans="2:7" x14ac:dyDescent="0.2">
      <c r="B3750" s="60">
        <v>41211</v>
      </c>
      <c r="C3750" s="7">
        <v>1.455E-2</v>
      </c>
      <c r="D3750" s="7">
        <v>1.5109999999999998E-2</v>
      </c>
      <c r="E3750" s="7">
        <v>1.5229999999999999E-2</v>
      </c>
      <c r="F3750" s="7">
        <v>1.4499999999999999E-2</v>
      </c>
      <c r="G3750" s="7">
        <v>-5.7599999999999998E-2</v>
      </c>
    </row>
    <row r="3751" spans="2:7" x14ac:dyDescent="0.2">
      <c r="B3751" s="60">
        <v>41212</v>
      </c>
      <c r="C3751" s="7">
        <v>1.4760000000000001E-2</v>
      </c>
      <c r="D3751" s="7">
        <v>1.456E-2</v>
      </c>
      <c r="E3751" s="7">
        <v>1.4950000000000001E-2</v>
      </c>
      <c r="F3751" s="7">
        <v>1.452E-2</v>
      </c>
      <c r="G3751" s="7">
        <v>1.44E-2</v>
      </c>
    </row>
    <row r="3752" spans="2:7" x14ac:dyDescent="0.2">
      <c r="B3752" s="60">
        <v>41213</v>
      </c>
      <c r="C3752" s="7">
        <v>1.4590000000000001E-2</v>
      </c>
      <c r="D3752" s="7">
        <v>1.4800000000000001E-2</v>
      </c>
      <c r="E3752" s="7">
        <v>1.512E-2</v>
      </c>
      <c r="F3752" s="7">
        <v>1.4590000000000001E-2</v>
      </c>
      <c r="G3752" s="7">
        <v>-1.15E-2</v>
      </c>
    </row>
    <row r="3753" spans="2:7" x14ac:dyDescent="0.2">
      <c r="B3753" s="60">
        <v>41214</v>
      </c>
      <c r="C3753" s="7">
        <v>1.4619999999999999E-2</v>
      </c>
      <c r="D3753" s="7">
        <v>1.468E-2</v>
      </c>
      <c r="E3753" s="7">
        <v>1.4870000000000001E-2</v>
      </c>
      <c r="F3753" s="7">
        <v>1.4579999999999999E-2</v>
      </c>
      <c r="G3753" s="7">
        <v>2.0999999999999999E-3</v>
      </c>
    </row>
    <row r="3754" spans="2:7" x14ac:dyDescent="0.2">
      <c r="B3754" s="60">
        <v>41215</v>
      </c>
      <c r="C3754" s="7">
        <v>1.452E-2</v>
      </c>
      <c r="D3754" s="7">
        <v>1.4690000000000002E-2</v>
      </c>
      <c r="E3754" s="7">
        <v>1.494E-2</v>
      </c>
      <c r="F3754" s="7">
        <v>1.4370000000000001E-2</v>
      </c>
      <c r="G3754" s="7">
        <v>-6.7999999999999996E-3</v>
      </c>
    </row>
    <row r="3755" spans="2:7" x14ac:dyDescent="0.2">
      <c r="B3755" s="60">
        <v>41218</v>
      </c>
      <c r="C3755" s="7">
        <v>1.426E-2</v>
      </c>
      <c r="D3755" s="7">
        <v>1.4370000000000001E-2</v>
      </c>
      <c r="E3755" s="7">
        <v>1.4459999999999999E-2</v>
      </c>
      <c r="F3755" s="7">
        <v>1.4159999999999999E-2</v>
      </c>
      <c r="G3755" s="7">
        <v>-1.7899999999999999E-2</v>
      </c>
    </row>
    <row r="3756" spans="2:7" x14ac:dyDescent="0.2">
      <c r="B3756" s="60">
        <v>41219</v>
      </c>
      <c r="C3756" s="7">
        <v>1.4330000000000001E-2</v>
      </c>
      <c r="D3756" s="7">
        <v>1.4419999999999999E-2</v>
      </c>
      <c r="E3756" s="7">
        <v>1.443E-2</v>
      </c>
      <c r="F3756" s="7">
        <v>1.414E-2</v>
      </c>
      <c r="G3756" s="7">
        <v>4.8999999999999998E-3</v>
      </c>
    </row>
    <row r="3757" spans="2:7" x14ac:dyDescent="0.2">
      <c r="B3757" s="60">
        <v>41220</v>
      </c>
      <c r="C3757" s="7">
        <v>1.3779999999999999E-2</v>
      </c>
      <c r="D3757" s="7">
        <v>1.4530000000000001E-2</v>
      </c>
      <c r="E3757" s="7">
        <v>1.4670000000000001E-2</v>
      </c>
      <c r="F3757" s="7">
        <v>1.3650000000000001E-2</v>
      </c>
      <c r="G3757" s="7">
        <v>-3.8399999999999997E-2</v>
      </c>
    </row>
    <row r="3758" spans="2:7" x14ac:dyDescent="0.2">
      <c r="B3758" s="60">
        <v>41221</v>
      </c>
      <c r="C3758" s="7">
        <v>1.3650000000000001E-2</v>
      </c>
      <c r="D3758" s="7">
        <v>1.379E-2</v>
      </c>
      <c r="E3758" s="7">
        <v>1.3990000000000001E-2</v>
      </c>
      <c r="F3758" s="7">
        <v>1.3500000000000002E-2</v>
      </c>
      <c r="G3758" s="7">
        <v>-9.4000000000000004E-3</v>
      </c>
    </row>
    <row r="3759" spans="2:7" x14ac:dyDescent="0.2">
      <c r="B3759" s="60">
        <v>41222</v>
      </c>
      <c r="C3759" s="7">
        <v>1.3440000000000001E-2</v>
      </c>
      <c r="D3759" s="7">
        <v>1.3610000000000001E-2</v>
      </c>
      <c r="E3759" s="7">
        <v>1.363E-2</v>
      </c>
      <c r="F3759" s="7">
        <v>1.315E-2</v>
      </c>
      <c r="G3759" s="7">
        <v>-1.54E-2</v>
      </c>
    </row>
    <row r="3760" spans="2:7" x14ac:dyDescent="0.2">
      <c r="B3760" s="60">
        <v>41225</v>
      </c>
      <c r="C3760" s="7">
        <v>1.3460000000000001E-2</v>
      </c>
      <c r="D3760" s="7">
        <v>1.3460000000000001E-2</v>
      </c>
      <c r="E3760" s="7">
        <v>1.357E-2</v>
      </c>
      <c r="F3760" s="7">
        <v>1.3340000000000001E-2</v>
      </c>
      <c r="G3760" s="7">
        <v>1.5E-3</v>
      </c>
    </row>
    <row r="3761" spans="2:7" x14ac:dyDescent="0.2">
      <c r="B3761" s="60">
        <v>41226</v>
      </c>
      <c r="C3761" s="7">
        <v>1.3469999999999999E-2</v>
      </c>
      <c r="D3761" s="7">
        <v>1.3340000000000001E-2</v>
      </c>
      <c r="E3761" s="7">
        <v>1.3580000000000002E-2</v>
      </c>
      <c r="F3761" s="7">
        <v>1.316E-2</v>
      </c>
      <c r="G3761" s="7">
        <v>6.9999999999999999E-4</v>
      </c>
    </row>
    <row r="3762" spans="2:7" x14ac:dyDescent="0.2">
      <c r="B3762" s="60">
        <v>41227</v>
      </c>
      <c r="C3762" s="7">
        <v>1.341E-2</v>
      </c>
      <c r="D3762" s="7">
        <v>1.3440000000000001E-2</v>
      </c>
      <c r="E3762" s="7">
        <v>1.3729999999999999E-2</v>
      </c>
      <c r="F3762" s="7">
        <v>1.332E-2</v>
      </c>
      <c r="G3762" s="7">
        <v>-4.4999999999999997E-3</v>
      </c>
    </row>
    <row r="3763" spans="2:7" x14ac:dyDescent="0.2">
      <c r="B3763" s="60">
        <v>41228</v>
      </c>
      <c r="C3763" s="7">
        <v>1.341E-2</v>
      </c>
      <c r="D3763" s="7">
        <v>1.3300000000000001E-2</v>
      </c>
      <c r="E3763" s="7">
        <v>1.362E-2</v>
      </c>
      <c r="F3763" s="7">
        <v>1.325E-2</v>
      </c>
      <c r="G3763" s="7">
        <v>0</v>
      </c>
    </row>
    <row r="3764" spans="2:7" x14ac:dyDescent="0.2">
      <c r="B3764" s="60">
        <v>41229</v>
      </c>
      <c r="C3764" s="7">
        <v>1.3180000000000001E-2</v>
      </c>
      <c r="D3764" s="7">
        <v>1.336E-2</v>
      </c>
      <c r="E3764" s="7">
        <v>1.355E-2</v>
      </c>
      <c r="F3764" s="7">
        <v>1.315E-2</v>
      </c>
      <c r="G3764" s="7">
        <v>-1.72E-2</v>
      </c>
    </row>
    <row r="3765" spans="2:7" x14ac:dyDescent="0.2">
      <c r="B3765" s="60">
        <v>41232</v>
      </c>
      <c r="C3765" s="7">
        <v>1.3540000000000002E-2</v>
      </c>
      <c r="D3765" s="7">
        <v>1.3420000000000001E-2</v>
      </c>
      <c r="E3765" s="7">
        <v>1.3680000000000001E-2</v>
      </c>
      <c r="F3765" s="7">
        <v>1.34E-2</v>
      </c>
      <c r="G3765" s="7">
        <v>2.7300000000000001E-2</v>
      </c>
    </row>
    <row r="3766" spans="2:7" x14ac:dyDescent="0.2">
      <c r="B3766" s="60">
        <v>41233</v>
      </c>
      <c r="C3766" s="7">
        <v>1.4159999999999999E-2</v>
      </c>
      <c r="D3766" s="7">
        <v>1.3469999999999999E-2</v>
      </c>
      <c r="E3766" s="7">
        <v>1.4190000000000001E-2</v>
      </c>
      <c r="F3766" s="7">
        <v>1.3380000000000001E-2</v>
      </c>
      <c r="G3766" s="7">
        <v>4.58E-2</v>
      </c>
    </row>
    <row r="3767" spans="2:7" x14ac:dyDescent="0.2">
      <c r="B3767" s="60">
        <v>41234</v>
      </c>
      <c r="C3767" s="7">
        <v>1.436E-2</v>
      </c>
      <c r="D3767" s="7">
        <v>1.3979999999999999E-2</v>
      </c>
      <c r="E3767" s="7">
        <v>1.439E-2</v>
      </c>
      <c r="F3767" s="7">
        <v>1.397E-2</v>
      </c>
      <c r="G3767" s="7">
        <v>1.41E-2</v>
      </c>
    </row>
    <row r="3768" spans="2:7" x14ac:dyDescent="0.2">
      <c r="B3768" s="60">
        <v>41235</v>
      </c>
      <c r="C3768" s="7">
        <v>1.435E-2</v>
      </c>
      <c r="D3768" s="7">
        <v>1.4319999999999999E-2</v>
      </c>
      <c r="E3768" s="7">
        <v>1.4490000000000001E-2</v>
      </c>
      <c r="F3768" s="7">
        <v>1.427E-2</v>
      </c>
      <c r="G3768" s="7">
        <v>-6.9999999999999999E-4</v>
      </c>
    </row>
    <row r="3769" spans="2:7" x14ac:dyDescent="0.2">
      <c r="B3769" s="60">
        <v>41236</v>
      </c>
      <c r="C3769" s="7">
        <v>1.4379999999999999E-2</v>
      </c>
      <c r="D3769" s="7">
        <v>1.4410000000000001E-2</v>
      </c>
      <c r="E3769" s="7">
        <v>1.4499999999999999E-2</v>
      </c>
      <c r="F3769" s="7">
        <v>1.4070000000000001E-2</v>
      </c>
      <c r="G3769" s="7">
        <v>2.0999999999999999E-3</v>
      </c>
    </row>
    <row r="3770" spans="2:7" x14ac:dyDescent="0.2">
      <c r="B3770" s="60">
        <v>41239</v>
      </c>
      <c r="C3770" s="7">
        <v>1.4119999999999999E-2</v>
      </c>
      <c r="D3770" s="7">
        <v>1.436E-2</v>
      </c>
      <c r="E3770" s="7">
        <v>1.439E-2</v>
      </c>
      <c r="F3770" s="7">
        <v>1.4070000000000001E-2</v>
      </c>
      <c r="G3770" s="7">
        <v>-1.8100000000000002E-2</v>
      </c>
    </row>
    <row r="3771" spans="2:7" x14ac:dyDescent="0.2">
      <c r="B3771" s="60">
        <v>41240</v>
      </c>
      <c r="C3771" s="7">
        <v>1.436E-2</v>
      </c>
      <c r="D3771" s="7">
        <v>1.4590000000000001E-2</v>
      </c>
      <c r="E3771" s="7">
        <v>1.4619999999999999E-2</v>
      </c>
      <c r="F3771" s="7">
        <v>1.4199999999999999E-2</v>
      </c>
      <c r="G3771" s="7">
        <v>1.7000000000000001E-2</v>
      </c>
    </row>
    <row r="3772" spans="2:7" x14ac:dyDescent="0.2">
      <c r="B3772" s="60">
        <v>41241</v>
      </c>
      <c r="C3772" s="7">
        <v>1.374E-2</v>
      </c>
      <c r="D3772" s="7">
        <v>1.4279999999999999E-2</v>
      </c>
      <c r="E3772" s="7">
        <v>1.431E-2</v>
      </c>
      <c r="F3772" s="7">
        <v>1.3500000000000002E-2</v>
      </c>
      <c r="G3772" s="7">
        <v>-4.3200000000000002E-2</v>
      </c>
    </row>
    <row r="3773" spans="2:7" x14ac:dyDescent="0.2">
      <c r="B3773" s="60">
        <v>41242</v>
      </c>
      <c r="C3773" s="7">
        <v>1.376E-2</v>
      </c>
      <c r="D3773" s="7">
        <v>1.3819999999999999E-2</v>
      </c>
      <c r="E3773" s="7">
        <v>1.3999999999999999E-2</v>
      </c>
      <c r="F3773" s="7">
        <v>1.3720000000000001E-2</v>
      </c>
      <c r="G3773" s="7">
        <v>1.5E-3</v>
      </c>
    </row>
    <row r="3774" spans="2:7" x14ac:dyDescent="0.2">
      <c r="B3774" s="60">
        <v>41243</v>
      </c>
      <c r="C3774" s="7">
        <v>1.383E-2</v>
      </c>
      <c r="D3774" s="7">
        <v>1.3819999999999999E-2</v>
      </c>
      <c r="E3774" s="7">
        <v>1.389E-2</v>
      </c>
      <c r="F3774" s="7">
        <v>1.3560000000000001E-2</v>
      </c>
      <c r="G3774" s="7">
        <v>5.1000000000000004E-3</v>
      </c>
    </row>
    <row r="3775" spans="2:7" x14ac:dyDescent="0.2">
      <c r="B3775" s="60">
        <v>41246</v>
      </c>
      <c r="C3775" s="7">
        <v>1.409E-2</v>
      </c>
      <c r="D3775" s="7">
        <v>1.3690000000000001E-2</v>
      </c>
      <c r="E3775" s="7">
        <v>1.451E-2</v>
      </c>
      <c r="F3775" s="7">
        <v>1.3610000000000001E-2</v>
      </c>
      <c r="G3775" s="7">
        <v>1.8800000000000001E-2</v>
      </c>
    </row>
    <row r="3776" spans="2:7" x14ac:dyDescent="0.2">
      <c r="B3776" s="60">
        <v>41247</v>
      </c>
      <c r="C3776" s="7">
        <v>1.3919999999999998E-2</v>
      </c>
      <c r="D3776" s="7">
        <v>1.4150000000000001E-2</v>
      </c>
      <c r="E3776" s="7">
        <v>1.4279999999999999E-2</v>
      </c>
      <c r="F3776" s="7">
        <v>1.387E-2</v>
      </c>
      <c r="G3776" s="7">
        <v>-1.21E-2</v>
      </c>
    </row>
    <row r="3777" spans="2:7" x14ac:dyDescent="0.2">
      <c r="B3777" s="60">
        <v>41248</v>
      </c>
      <c r="C3777" s="7">
        <v>1.3380000000000001E-2</v>
      </c>
      <c r="D3777" s="7">
        <v>1.4070000000000001E-2</v>
      </c>
      <c r="E3777" s="7">
        <v>1.4110000000000001E-2</v>
      </c>
      <c r="F3777" s="7">
        <v>1.333E-2</v>
      </c>
      <c r="G3777" s="7">
        <v>-3.8800000000000001E-2</v>
      </c>
    </row>
    <row r="3778" spans="2:7" x14ac:dyDescent="0.2">
      <c r="B3778" s="60">
        <v>41249</v>
      </c>
      <c r="C3778" s="7">
        <v>1.2960000000000001E-2</v>
      </c>
      <c r="D3778" s="7">
        <v>1.3389999999999999E-2</v>
      </c>
      <c r="E3778" s="7">
        <v>1.357E-2</v>
      </c>
      <c r="F3778" s="7">
        <v>1.29E-2</v>
      </c>
      <c r="G3778" s="7">
        <v>-3.1399999999999997E-2</v>
      </c>
    </row>
    <row r="3779" spans="2:7" x14ac:dyDescent="0.2">
      <c r="B3779" s="60">
        <v>41250</v>
      </c>
      <c r="C3779" s="7">
        <v>1.2960000000000001E-2</v>
      </c>
      <c r="D3779" s="7">
        <v>1.299E-2</v>
      </c>
      <c r="E3779" s="7">
        <v>1.3180000000000001E-2</v>
      </c>
      <c r="F3779" s="7">
        <v>1.2809999999999998E-2</v>
      </c>
      <c r="G3779" s="7">
        <v>0</v>
      </c>
    </row>
    <row r="3780" spans="2:7" x14ac:dyDescent="0.2">
      <c r="B3780" s="60">
        <v>41253</v>
      </c>
      <c r="C3780" s="7">
        <v>1.3040000000000001E-2</v>
      </c>
      <c r="D3780" s="7">
        <v>1.2960000000000001E-2</v>
      </c>
      <c r="E3780" s="7">
        <v>1.3080000000000001E-2</v>
      </c>
      <c r="F3780" s="7">
        <v>1.2580000000000001E-2</v>
      </c>
      <c r="G3780" s="7">
        <v>6.1999999999999998E-3</v>
      </c>
    </row>
    <row r="3781" spans="2:7" x14ac:dyDescent="0.2">
      <c r="B3781" s="60">
        <v>41254</v>
      </c>
      <c r="C3781" s="7">
        <v>1.321E-2</v>
      </c>
      <c r="D3781" s="7">
        <v>1.3040000000000001E-2</v>
      </c>
      <c r="E3781" s="7">
        <v>1.3349999999999999E-2</v>
      </c>
      <c r="F3781" s="7">
        <v>1.2889999999999999E-2</v>
      </c>
      <c r="G3781" s="7">
        <v>1.2999999999999999E-2</v>
      </c>
    </row>
    <row r="3782" spans="2:7" x14ac:dyDescent="0.2">
      <c r="B3782" s="60">
        <v>41255</v>
      </c>
      <c r="C3782" s="7">
        <v>1.3380000000000001E-2</v>
      </c>
      <c r="D3782" s="7">
        <v>1.324E-2</v>
      </c>
      <c r="E3782" s="7">
        <v>1.3520000000000001E-2</v>
      </c>
      <c r="F3782" s="7">
        <v>1.3220000000000001E-2</v>
      </c>
      <c r="G3782" s="7">
        <v>1.29E-2</v>
      </c>
    </row>
    <row r="3783" spans="2:7" x14ac:dyDescent="0.2">
      <c r="B3783" s="60">
        <v>41256</v>
      </c>
      <c r="C3783" s="7">
        <v>1.3509999999999999E-2</v>
      </c>
      <c r="D3783" s="7">
        <v>1.3540000000000002E-2</v>
      </c>
      <c r="E3783" s="7">
        <v>1.37E-2</v>
      </c>
      <c r="F3783" s="7">
        <v>1.312E-2</v>
      </c>
      <c r="G3783" s="7">
        <v>9.7000000000000003E-3</v>
      </c>
    </row>
    <row r="3784" spans="2:7" x14ac:dyDescent="0.2">
      <c r="B3784" s="60">
        <v>41257</v>
      </c>
      <c r="C3784" s="7">
        <v>1.355E-2</v>
      </c>
      <c r="D3784" s="7">
        <v>1.379E-2</v>
      </c>
      <c r="E3784" s="7">
        <v>1.3809999999999999E-2</v>
      </c>
      <c r="F3784" s="7">
        <v>1.3380000000000001E-2</v>
      </c>
      <c r="G3784" s="7">
        <v>3.0000000000000001E-3</v>
      </c>
    </row>
    <row r="3785" spans="2:7" x14ac:dyDescent="0.2">
      <c r="B3785" s="60">
        <v>41260</v>
      </c>
      <c r="C3785" s="7">
        <v>1.37E-2</v>
      </c>
      <c r="D3785" s="7">
        <v>1.3809999999999999E-2</v>
      </c>
      <c r="E3785" s="7">
        <v>1.383E-2</v>
      </c>
      <c r="F3785" s="7">
        <v>1.3580000000000002E-2</v>
      </c>
      <c r="G3785" s="7">
        <v>1.11E-2</v>
      </c>
    </row>
    <row r="3786" spans="2:7" x14ac:dyDescent="0.2">
      <c r="B3786" s="60">
        <v>41261</v>
      </c>
      <c r="C3786" s="7">
        <v>1.418E-2</v>
      </c>
      <c r="D3786" s="7">
        <v>1.393E-2</v>
      </c>
      <c r="E3786" s="7">
        <v>1.423E-2</v>
      </c>
      <c r="F3786" s="7">
        <v>1.3729999999999999E-2</v>
      </c>
      <c r="G3786" s="7">
        <v>3.5000000000000003E-2</v>
      </c>
    </row>
    <row r="3787" spans="2:7" x14ac:dyDescent="0.2">
      <c r="B3787" s="60">
        <v>41262</v>
      </c>
      <c r="C3787" s="7">
        <v>1.4239999999999999E-2</v>
      </c>
      <c r="D3787" s="7">
        <v>1.421E-2</v>
      </c>
      <c r="E3787" s="7">
        <v>1.46E-2</v>
      </c>
      <c r="F3787" s="7">
        <v>1.4110000000000001E-2</v>
      </c>
      <c r="G3787" s="7">
        <v>4.1999999999999997E-3</v>
      </c>
    </row>
    <row r="3788" spans="2:7" x14ac:dyDescent="0.2">
      <c r="B3788" s="60">
        <v>41263</v>
      </c>
      <c r="C3788" s="7">
        <v>1.4199999999999999E-2</v>
      </c>
      <c r="D3788" s="7">
        <v>1.4199999999999999E-2</v>
      </c>
      <c r="E3788" s="7">
        <v>1.4319999999999999E-2</v>
      </c>
      <c r="F3788" s="7">
        <v>1.4019999999999999E-2</v>
      </c>
      <c r="G3788" s="7">
        <v>-2.8E-3</v>
      </c>
    </row>
    <row r="3789" spans="2:7" x14ac:dyDescent="0.2">
      <c r="B3789" s="60">
        <v>41264</v>
      </c>
      <c r="C3789" s="7">
        <v>1.38E-2</v>
      </c>
      <c r="D3789" s="7">
        <v>1.3939999999999999E-2</v>
      </c>
      <c r="E3789" s="7">
        <v>1.409E-2</v>
      </c>
      <c r="F3789" s="7">
        <v>1.376E-2</v>
      </c>
      <c r="G3789" s="7">
        <v>-2.8199999999999999E-2</v>
      </c>
    </row>
    <row r="3790" spans="2:7" x14ac:dyDescent="0.2">
      <c r="B3790" s="60">
        <v>41270</v>
      </c>
      <c r="C3790" s="7">
        <v>1.3269999999999999E-2</v>
      </c>
      <c r="D3790" s="7">
        <v>1.3879999999999998E-2</v>
      </c>
      <c r="E3790" s="7">
        <v>1.3950000000000001E-2</v>
      </c>
      <c r="F3790" s="7">
        <v>1.3169999999999999E-2</v>
      </c>
      <c r="G3790" s="7">
        <v>-3.8399999999999997E-2</v>
      </c>
    </row>
    <row r="3791" spans="2:7" x14ac:dyDescent="0.2">
      <c r="B3791" s="60">
        <v>41271</v>
      </c>
      <c r="C3791" s="7">
        <v>1.306E-2</v>
      </c>
      <c r="D3791" s="7">
        <v>1.324E-2</v>
      </c>
      <c r="E3791" s="7">
        <v>1.3260000000000001E-2</v>
      </c>
      <c r="F3791" s="7">
        <v>1.2920000000000001E-2</v>
      </c>
      <c r="G3791" s="7">
        <v>-1.5800000000000002E-2</v>
      </c>
    </row>
    <row r="3792" spans="2:7" x14ac:dyDescent="0.2">
      <c r="B3792" s="60">
        <v>41276</v>
      </c>
      <c r="C3792" s="7">
        <v>1.4419999999999999E-2</v>
      </c>
      <c r="D3792" s="7">
        <v>1.3720000000000001E-2</v>
      </c>
      <c r="E3792" s="7">
        <v>1.451E-2</v>
      </c>
      <c r="F3792" s="7">
        <v>1.371E-2</v>
      </c>
      <c r="G3792" s="7">
        <v>0.1041</v>
      </c>
    </row>
    <row r="3793" spans="2:7" x14ac:dyDescent="0.2">
      <c r="B3793" s="60">
        <v>41277</v>
      </c>
      <c r="C3793" s="7">
        <v>1.474E-2</v>
      </c>
      <c r="D3793" s="7">
        <v>1.4459999999999999E-2</v>
      </c>
      <c r="E3793" s="7">
        <v>1.4839999999999999E-2</v>
      </c>
      <c r="F3793" s="7">
        <v>1.4290000000000001E-2</v>
      </c>
      <c r="G3793" s="7">
        <v>2.2200000000000001E-2</v>
      </c>
    </row>
    <row r="3794" spans="2:7" x14ac:dyDescent="0.2">
      <c r="B3794" s="60">
        <v>41278</v>
      </c>
      <c r="C3794" s="7">
        <v>1.5449999999999998E-2</v>
      </c>
      <c r="D3794" s="7">
        <v>1.5049999999999999E-2</v>
      </c>
      <c r="E3794" s="7">
        <v>1.5640000000000001E-2</v>
      </c>
      <c r="F3794" s="7">
        <v>1.4879999999999999E-2</v>
      </c>
      <c r="G3794" s="7">
        <v>4.82E-2</v>
      </c>
    </row>
    <row r="3795" spans="2:7" x14ac:dyDescent="0.2">
      <c r="B3795" s="60">
        <v>41281</v>
      </c>
      <c r="C3795" s="7">
        <v>1.5169999999999999E-2</v>
      </c>
      <c r="D3795" s="7">
        <v>1.533E-2</v>
      </c>
      <c r="E3795" s="7">
        <v>1.5440000000000001E-2</v>
      </c>
      <c r="F3795" s="7">
        <v>1.508E-2</v>
      </c>
      <c r="G3795" s="7">
        <v>-1.8100000000000002E-2</v>
      </c>
    </row>
    <row r="3796" spans="2:7" x14ac:dyDescent="0.2">
      <c r="B3796" s="60">
        <v>41282</v>
      </c>
      <c r="C3796" s="7">
        <v>1.489E-2</v>
      </c>
      <c r="D3796" s="7">
        <v>1.5029999999999998E-2</v>
      </c>
      <c r="E3796" s="7">
        <v>1.5220000000000001E-2</v>
      </c>
      <c r="F3796" s="7">
        <v>1.482E-2</v>
      </c>
      <c r="G3796" s="7">
        <v>-1.8499999999999999E-2</v>
      </c>
    </row>
    <row r="3797" spans="2:7" x14ac:dyDescent="0.2">
      <c r="B3797" s="60">
        <v>41283</v>
      </c>
      <c r="C3797" s="7">
        <v>1.481E-2</v>
      </c>
      <c r="D3797" s="7">
        <v>1.5049999999999999E-2</v>
      </c>
      <c r="E3797" s="7">
        <v>1.5129999999999999E-2</v>
      </c>
      <c r="F3797" s="7">
        <v>1.4619999999999999E-2</v>
      </c>
      <c r="G3797" s="7">
        <v>-5.4000000000000003E-3</v>
      </c>
    </row>
    <row r="3798" spans="2:7" x14ac:dyDescent="0.2">
      <c r="B3798" s="60">
        <v>41284</v>
      </c>
      <c r="C3798" s="7">
        <v>1.554E-2</v>
      </c>
      <c r="D3798" s="7">
        <v>1.482E-2</v>
      </c>
      <c r="E3798" s="7">
        <v>1.5700000000000002E-2</v>
      </c>
      <c r="F3798" s="7">
        <v>1.4710000000000001E-2</v>
      </c>
      <c r="G3798" s="7">
        <v>4.9299999999999997E-2</v>
      </c>
    </row>
    <row r="3799" spans="2:7" x14ac:dyDescent="0.2">
      <c r="B3799" s="60">
        <v>41285</v>
      </c>
      <c r="C3799" s="7">
        <v>1.584E-2</v>
      </c>
      <c r="D3799" s="7">
        <v>1.5640000000000001E-2</v>
      </c>
      <c r="E3799" s="7">
        <v>1.6120000000000002E-2</v>
      </c>
      <c r="F3799" s="7">
        <v>1.5509999999999999E-2</v>
      </c>
      <c r="G3799" s="7">
        <v>1.9300000000000001E-2</v>
      </c>
    </row>
    <row r="3800" spans="2:7" x14ac:dyDescent="0.2">
      <c r="B3800" s="60">
        <v>41288</v>
      </c>
      <c r="C3800" s="7">
        <v>1.5469999999999999E-2</v>
      </c>
      <c r="D3800" s="7">
        <v>1.5720000000000001E-2</v>
      </c>
      <c r="E3800" s="7">
        <v>1.5740000000000001E-2</v>
      </c>
      <c r="F3800" s="7">
        <v>1.533E-2</v>
      </c>
      <c r="G3800" s="7">
        <v>-2.3400000000000001E-2</v>
      </c>
    </row>
    <row r="3801" spans="2:7" x14ac:dyDescent="0.2">
      <c r="B3801" s="60">
        <v>41289</v>
      </c>
      <c r="C3801" s="7">
        <v>1.502E-2</v>
      </c>
      <c r="D3801" s="7">
        <v>1.5389999999999999E-2</v>
      </c>
      <c r="E3801" s="7">
        <v>1.5489999999999999E-2</v>
      </c>
      <c r="F3801" s="7">
        <v>1.4959999999999999E-2</v>
      </c>
      <c r="G3801" s="7">
        <v>-2.9100000000000001E-2</v>
      </c>
    </row>
    <row r="3802" spans="2:7" x14ac:dyDescent="0.2">
      <c r="B3802" s="60">
        <v>41290</v>
      </c>
      <c r="C3802" s="7">
        <v>1.4999999999999999E-2</v>
      </c>
      <c r="D3802" s="7">
        <v>1.5129999999999999E-2</v>
      </c>
      <c r="E3802" s="7">
        <v>1.5180000000000001E-2</v>
      </c>
      <c r="F3802" s="7">
        <v>1.473E-2</v>
      </c>
      <c r="G3802" s="7">
        <v>-1.2999999999999999E-3</v>
      </c>
    </row>
    <row r="3803" spans="2:7" x14ac:dyDescent="0.2">
      <c r="B3803" s="60">
        <v>41291</v>
      </c>
      <c r="C3803" s="7">
        <v>1.541E-2</v>
      </c>
      <c r="D3803" s="7">
        <v>1.4790000000000001E-2</v>
      </c>
      <c r="E3803" s="7">
        <v>1.5609999999999999E-2</v>
      </c>
      <c r="F3803" s="7">
        <v>1.472E-2</v>
      </c>
      <c r="G3803" s="7">
        <v>2.7300000000000001E-2</v>
      </c>
    </row>
    <row r="3804" spans="2:7" x14ac:dyDescent="0.2">
      <c r="B3804" s="60">
        <v>41292</v>
      </c>
      <c r="C3804" s="7">
        <v>1.558E-2</v>
      </c>
      <c r="D3804" s="7">
        <v>1.627E-2</v>
      </c>
      <c r="E3804" s="7">
        <v>1.6420000000000001E-2</v>
      </c>
      <c r="F3804" s="7">
        <v>1.5569999999999999E-2</v>
      </c>
      <c r="G3804" s="7">
        <v>1.0999999999999999E-2</v>
      </c>
    </row>
    <row r="3805" spans="2:7" x14ac:dyDescent="0.2">
      <c r="B3805" s="60">
        <v>41295</v>
      </c>
      <c r="C3805" s="7">
        <v>1.5949999999999999E-2</v>
      </c>
      <c r="D3805" s="7">
        <v>1.5700000000000002E-2</v>
      </c>
      <c r="E3805" s="7">
        <v>1.6E-2</v>
      </c>
      <c r="F3805" s="7">
        <v>1.558E-2</v>
      </c>
      <c r="G3805" s="7">
        <v>2.3699999999999999E-2</v>
      </c>
    </row>
    <row r="3806" spans="2:7" x14ac:dyDescent="0.2">
      <c r="B3806" s="60">
        <v>41296</v>
      </c>
      <c r="C3806" s="7">
        <v>1.576E-2</v>
      </c>
      <c r="D3806" s="7">
        <v>1.5939999999999999E-2</v>
      </c>
      <c r="E3806" s="7">
        <v>1.627E-2</v>
      </c>
      <c r="F3806" s="7">
        <v>1.5689999999999999E-2</v>
      </c>
      <c r="G3806" s="7">
        <v>-1.1900000000000001E-2</v>
      </c>
    </row>
    <row r="3807" spans="2:7" x14ac:dyDescent="0.2">
      <c r="B3807" s="60">
        <v>41297</v>
      </c>
      <c r="C3807" s="7">
        <v>1.5449999999999998E-2</v>
      </c>
      <c r="D3807" s="7">
        <v>1.5629999999999998E-2</v>
      </c>
      <c r="E3807" s="7">
        <v>1.585E-2</v>
      </c>
      <c r="F3807" s="7">
        <v>1.536E-2</v>
      </c>
      <c r="G3807" s="7">
        <v>-1.9699999999999999E-2</v>
      </c>
    </row>
    <row r="3808" spans="2:7" x14ac:dyDescent="0.2">
      <c r="B3808" s="60">
        <v>41298</v>
      </c>
      <c r="C3808" s="7">
        <v>1.5740000000000001E-2</v>
      </c>
      <c r="D3808" s="7">
        <v>1.5489999999999999E-2</v>
      </c>
      <c r="E3808" s="7">
        <v>1.5820000000000001E-2</v>
      </c>
      <c r="F3808" s="7">
        <v>1.5049999999999999E-2</v>
      </c>
      <c r="G3808" s="7">
        <v>1.8800000000000001E-2</v>
      </c>
    </row>
    <row r="3809" spans="2:7" x14ac:dyDescent="0.2">
      <c r="B3809" s="60">
        <v>41299</v>
      </c>
      <c r="C3809" s="7">
        <v>1.6379999999999999E-2</v>
      </c>
      <c r="D3809" s="7">
        <v>1.5769999999999999E-2</v>
      </c>
      <c r="E3809" s="7">
        <v>1.653E-2</v>
      </c>
      <c r="F3809" s="7">
        <v>1.5560000000000001E-2</v>
      </c>
      <c r="G3809" s="7">
        <v>4.07E-2</v>
      </c>
    </row>
    <row r="3810" spans="2:7" x14ac:dyDescent="0.2">
      <c r="B3810" s="60">
        <v>41302</v>
      </c>
      <c r="C3810" s="7">
        <v>1.6959999999999999E-2</v>
      </c>
      <c r="D3810" s="7">
        <v>1.6579999999999998E-2</v>
      </c>
      <c r="E3810" s="7">
        <v>1.712E-2</v>
      </c>
      <c r="F3810" s="7">
        <v>1.636E-2</v>
      </c>
      <c r="G3810" s="7">
        <v>3.5400000000000001E-2</v>
      </c>
    </row>
    <row r="3811" spans="2:7" x14ac:dyDescent="0.2">
      <c r="B3811" s="60">
        <v>41303</v>
      </c>
      <c r="C3811" s="7">
        <v>1.6920000000000001E-2</v>
      </c>
      <c r="D3811" s="7">
        <v>1.6890000000000002E-2</v>
      </c>
      <c r="E3811" s="7">
        <v>1.6990000000000002E-2</v>
      </c>
      <c r="F3811" s="7">
        <v>1.6539999999999999E-2</v>
      </c>
      <c r="G3811" s="7">
        <v>-2.3999999999999998E-3</v>
      </c>
    </row>
    <row r="3812" spans="2:7" x14ac:dyDescent="0.2">
      <c r="B3812" s="60">
        <v>41304</v>
      </c>
      <c r="C3812" s="7">
        <v>1.7170000000000001E-2</v>
      </c>
      <c r="D3812" s="7">
        <v>1.703E-2</v>
      </c>
      <c r="E3812" s="7">
        <v>1.7340000000000001E-2</v>
      </c>
      <c r="F3812" s="7">
        <v>1.677E-2</v>
      </c>
      <c r="G3812" s="7">
        <v>1.4800000000000001E-2</v>
      </c>
    </row>
    <row r="3813" spans="2:7" x14ac:dyDescent="0.2">
      <c r="B3813" s="60">
        <v>41305</v>
      </c>
      <c r="C3813" s="7">
        <v>1.677E-2</v>
      </c>
      <c r="D3813" s="7">
        <v>1.6789999999999999E-2</v>
      </c>
      <c r="E3813" s="7">
        <v>1.7090000000000001E-2</v>
      </c>
      <c r="F3813" s="7">
        <v>1.6559999999999998E-2</v>
      </c>
      <c r="G3813" s="7">
        <v>-2.3300000000000001E-2</v>
      </c>
    </row>
    <row r="3814" spans="2:7" x14ac:dyDescent="0.2">
      <c r="B3814" s="60">
        <v>41306</v>
      </c>
      <c r="C3814" s="7">
        <v>1.6650000000000002E-2</v>
      </c>
      <c r="D3814" s="7">
        <v>1.702E-2</v>
      </c>
      <c r="E3814" s="7">
        <v>1.7070000000000002E-2</v>
      </c>
      <c r="F3814" s="7">
        <v>1.634E-2</v>
      </c>
      <c r="G3814" s="7">
        <v>-7.1999999999999998E-3</v>
      </c>
    </row>
    <row r="3815" spans="2:7" x14ac:dyDescent="0.2">
      <c r="B3815" s="60">
        <v>41309</v>
      </c>
      <c r="C3815" s="7">
        <v>1.6200000000000003E-2</v>
      </c>
      <c r="D3815" s="7">
        <v>1.7139999999999999E-2</v>
      </c>
      <c r="E3815" s="7">
        <v>1.7150000000000002E-2</v>
      </c>
      <c r="F3815" s="7">
        <v>1.6150000000000001E-2</v>
      </c>
      <c r="G3815" s="7">
        <v>-2.7E-2</v>
      </c>
    </row>
    <row r="3816" spans="2:7" x14ac:dyDescent="0.2">
      <c r="B3816" s="60">
        <v>41310</v>
      </c>
      <c r="C3816" s="7">
        <v>1.661E-2</v>
      </c>
      <c r="D3816" s="7">
        <v>1.617E-2</v>
      </c>
      <c r="E3816" s="7">
        <v>1.6810000000000002E-2</v>
      </c>
      <c r="F3816" s="7">
        <v>1.5969999999999998E-2</v>
      </c>
      <c r="G3816" s="7">
        <v>2.53E-2</v>
      </c>
    </row>
    <row r="3817" spans="2:7" x14ac:dyDescent="0.2">
      <c r="B3817" s="60">
        <v>41311</v>
      </c>
      <c r="C3817" s="7">
        <v>1.634E-2</v>
      </c>
      <c r="D3817" s="7">
        <v>1.6570000000000001E-2</v>
      </c>
      <c r="E3817" s="7">
        <v>1.661E-2</v>
      </c>
      <c r="F3817" s="7">
        <v>1.6120000000000002E-2</v>
      </c>
      <c r="G3817" s="7">
        <v>-1.6299999999999999E-2</v>
      </c>
    </row>
    <row r="3818" spans="2:7" x14ac:dyDescent="0.2">
      <c r="B3818" s="60">
        <v>41312</v>
      </c>
      <c r="C3818" s="7">
        <v>1.6049999999999998E-2</v>
      </c>
      <c r="D3818" s="7">
        <v>1.635E-2</v>
      </c>
      <c r="E3818" s="7">
        <v>1.6650000000000002E-2</v>
      </c>
      <c r="F3818" s="7">
        <v>1.593E-2</v>
      </c>
      <c r="G3818" s="7">
        <v>-1.77E-2</v>
      </c>
    </row>
    <row r="3819" spans="2:7" x14ac:dyDescent="0.2">
      <c r="B3819" s="60">
        <v>41313</v>
      </c>
      <c r="C3819" s="7">
        <v>1.61E-2</v>
      </c>
      <c r="D3819" s="7">
        <v>1.6160000000000001E-2</v>
      </c>
      <c r="E3819" s="7">
        <v>1.6310000000000002E-2</v>
      </c>
      <c r="F3819" s="7">
        <v>1.585E-2</v>
      </c>
      <c r="G3819" s="7">
        <v>3.0999999999999999E-3</v>
      </c>
    </row>
    <row r="3820" spans="2:7" x14ac:dyDescent="0.2">
      <c r="B3820" s="60">
        <v>41316</v>
      </c>
      <c r="C3820" s="7">
        <v>1.6109999999999999E-2</v>
      </c>
      <c r="D3820" s="7">
        <v>1.5890000000000001E-2</v>
      </c>
      <c r="E3820" s="7">
        <v>1.6319999999999998E-2</v>
      </c>
      <c r="F3820" s="7">
        <v>1.5880000000000002E-2</v>
      </c>
      <c r="G3820" s="7">
        <v>5.9999999999999995E-4</v>
      </c>
    </row>
    <row r="3821" spans="2:7" x14ac:dyDescent="0.2">
      <c r="B3821" s="60">
        <v>41317</v>
      </c>
      <c r="C3821" s="7">
        <v>1.6410000000000001E-2</v>
      </c>
      <c r="D3821" s="7">
        <v>1.6049999999999998E-2</v>
      </c>
      <c r="E3821" s="7">
        <v>1.653E-2</v>
      </c>
      <c r="F3821" s="7">
        <v>1.5960000000000002E-2</v>
      </c>
      <c r="G3821" s="7">
        <v>1.8599999999999998E-2</v>
      </c>
    </row>
    <row r="3822" spans="2:7" x14ac:dyDescent="0.2">
      <c r="B3822" s="60">
        <v>41318</v>
      </c>
      <c r="C3822" s="7">
        <v>1.678E-2</v>
      </c>
      <c r="D3822" s="7">
        <v>1.635E-2</v>
      </c>
      <c r="E3822" s="7">
        <v>1.6990000000000002E-2</v>
      </c>
      <c r="F3822" s="7">
        <v>1.6330000000000001E-2</v>
      </c>
      <c r="G3822" s="7">
        <v>2.2499999999999999E-2</v>
      </c>
    </row>
    <row r="3823" spans="2:7" x14ac:dyDescent="0.2">
      <c r="B3823" s="60">
        <v>41319</v>
      </c>
      <c r="C3823" s="7">
        <v>1.636E-2</v>
      </c>
      <c r="D3823" s="7">
        <v>1.677E-2</v>
      </c>
      <c r="E3823" s="7">
        <v>1.6969999999999999E-2</v>
      </c>
      <c r="F3823" s="7">
        <v>1.6299999999999999E-2</v>
      </c>
      <c r="G3823" s="7">
        <v>-2.5000000000000001E-2</v>
      </c>
    </row>
    <row r="3824" spans="2:7" x14ac:dyDescent="0.2">
      <c r="B3824" s="60">
        <v>41320</v>
      </c>
      <c r="C3824" s="7">
        <v>1.6590000000000001E-2</v>
      </c>
      <c r="D3824" s="7">
        <v>1.6279999999999999E-2</v>
      </c>
      <c r="E3824" s="7">
        <v>1.6659999999999998E-2</v>
      </c>
      <c r="F3824" s="7">
        <v>1.5990000000000001E-2</v>
      </c>
      <c r="G3824" s="7">
        <v>1.41E-2</v>
      </c>
    </row>
    <row r="3825" spans="2:7" x14ac:dyDescent="0.2">
      <c r="B3825" s="60">
        <v>41323</v>
      </c>
      <c r="C3825" s="7">
        <v>1.6310000000000002E-2</v>
      </c>
      <c r="D3825" s="7">
        <v>1.6479999999999998E-2</v>
      </c>
      <c r="E3825" s="7">
        <v>1.6479999999999998E-2</v>
      </c>
      <c r="F3825" s="7">
        <v>1.6129999999999999E-2</v>
      </c>
      <c r="G3825" s="7">
        <v>-1.6899999999999998E-2</v>
      </c>
    </row>
    <row r="3826" spans="2:7" x14ac:dyDescent="0.2">
      <c r="B3826" s="60">
        <v>41324</v>
      </c>
      <c r="C3826" s="7">
        <v>1.6200000000000003E-2</v>
      </c>
      <c r="D3826" s="7">
        <v>1.627E-2</v>
      </c>
      <c r="E3826" s="7">
        <v>1.6420000000000001E-2</v>
      </c>
      <c r="F3826" s="7">
        <v>1.6070000000000001E-2</v>
      </c>
      <c r="G3826" s="7">
        <v>-6.7000000000000002E-3</v>
      </c>
    </row>
    <row r="3827" spans="2:7" x14ac:dyDescent="0.2">
      <c r="B3827" s="60">
        <v>41325</v>
      </c>
      <c r="C3827" s="7">
        <v>1.6619999999999999E-2</v>
      </c>
      <c r="D3827" s="7">
        <v>1.6420000000000001E-2</v>
      </c>
      <c r="E3827" s="7">
        <v>1.6799999999999999E-2</v>
      </c>
      <c r="F3827" s="7">
        <v>1.6369999999999999E-2</v>
      </c>
      <c r="G3827" s="7">
        <v>2.5899999999999999E-2</v>
      </c>
    </row>
    <row r="3828" spans="2:7" x14ac:dyDescent="0.2">
      <c r="B3828" s="60">
        <v>41326</v>
      </c>
      <c r="C3828" s="7">
        <v>1.5800000000000002E-2</v>
      </c>
      <c r="D3828" s="7">
        <v>1.6289999999999999E-2</v>
      </c>
      <c r="E3828" s="7">
        <v>1.6369999999999999E-2</v>
      </c>
      <c r="F3828" s="7">
        <v>1.5740000000000001E-2</v>
      </c>
      <c r="G3828" s="7">
        <v>-4.9299999999999997E-2</v>
      </c>
    </row>
    <row r="3829" spans="2:7" x14ac:dyDescent="0.2">
      <c r="B3829" s="60">
        <v>41327</v>
      </c>
      <c r="C3829" s="7">
        <v>1.5679999999999999E-2</v>
      </c>
      <c r="D3829" s="7">
        <v>1.584E-2</v>
      </c>
      <c r="E3829" s="7">
        <v>1.6049999999999998E-2</v>
      </c>
      <c r="F3829" s="7">
        <v>1.558E-2</v>
      </c>
      <c r="G3829" s="7">
        <v>-7.6E-3</v>
      </c>
    </row>
    <row r="3830" spans="2:7" x14ac:dyDescent="0.2">
      <c r="B3830" s="60">
        <v>41330</v>
      </c>
      <c r="C3830" s="7">
        <v>1.5769999999999999E-2</v>
      </c>
      <c r="D3830" s="7">
        <v>1.5720000000000001E-2</v>
      </c>
      <c r="E3830" s="7">
        <v>1.635E-2</v>
      </c>
      <c r="F3830" s="7">
        <v>1.562E-2</v>
      </c>
      <c r="G3830" s="7">
        <v>5.7000000000000002E-3</v>
      </c>
    </row>
    <row r="3831" spans="2:7" x14ac:dyDescent="0.2">
      <c r="B3831" s="60">
        <v>41331</v>
      </c>
      <c r="C3831" s="7">
        <v>1.4570000000000001E-2</v>
      </c>
      <c r="D3831" s="7">
        <v>1.473E-2</v>
      </c>
      <c r="E3831" s="7">
        <v>1.4990000000000002E-2</v>
      </c>
      <c r="F3831" s="7">
        <v>1.448E-2</v>
      </c>
      <c r="G3831" s="7">
        <v>-7.6100000000000001E-2</v>
      </c>
    </row>
    <row r="3832" spans="2:7" x14ac:dyDescent="0.2">
      <c r="B3832" s="60">
        <v>41332</v>
      </c>
      <c r="C3832" s="7">
        <v>1.4499999999999999E-2</v>
      </c>
      <c r="D3832" s="7">
        <v>1.448E-2</v>
      </c>
      <c r="E3832" s="7">
        <v>1.4690000000000002E-2</v>
      </c>
      <c r="F3832" s="7">
        <v>1.4190000000000001E-2</v>
      </c>
      <c r="G3832" s="7">
        <v>-4.7999999999999996E-3</v>
      </c>
    </row>
    <row r="3833" spans="2:7" x14ac:dyDescent="0.2">
      <c r="B3833" s="60">
        <v>41333</v>
      </c>
      <c r="C3833" s="7">
        <v>1.4579999999999999E-2</v>
      </c>
      <c r="D3833" s="7">
        <v>1.455E-2</v>
      </c>
      <c r="E3833" s="7">
        <v>1.4710000000000001E-2</v>
      </c>
      <c r="F3833" s="7">
        <v>1.436E-2</v>
      </c>
      <c r="G3833" s="7">
        <v>5.4999999999999997E-3</v>
      </c>
    </row>
    <row r="3834" spans="2:7" x14ac:dyDescent="0.2">
      <c r="B3834" s="60">
        <v>41334</v>
      </c>
      <c r="C3834" s="7">
        <v>1.413E-2</v>
      </c>
      <c r="D3834" s="7">
        <v>1.4419999999999999E-2</v>
      </c>
      <c r="E3834" s="7">
        <v>1.468E-2</v>
      </c>
      <c r="F3834" s="7">
        <v>1.4039999999999999E-2</v>
      </c>
      <c r="G3834" s="7">
        <v>-3.09E-2</v>
      </c>
    </row>
    <row r="3835" spans="2:7" x14ac:dyDescent="0.2">
      <c r="B3835" s="60">
        <v>41337</v>
      </c>
      <c r="C3835" s="7">
        <v>1.4190000000000001E-2</v>
      </c>
      <c r="D3835" s="7">
        <v>1.397E-2</v>
      </c>
      <c r="E3835" s="7">
        <v>1.431E-2</v>
      </c>
      <c r="F3835" s="7">
        <v>1.391E-2</v>
      </c>
      <c r="G3835" s="7">
        <v>4.1999999999999997E-3</v>
      </c>
    </row>
    <row r="3836" spans="2:7" x14ac:dyDescent="0.2">
      <c r="B3836" s="60">
        <v>41338</v>
      </c>
      <c r="C3836" s="7">
        <v>1.4499999999999999E-2</v>
      </c>
      <c r="D3836" s="7">
        <v>1.4319999999999999E-2</v>
      </c>
      <c r="E3836" s="7">
        <v>1.4590000000000001E-2</v>
      </c>
      <c r="F3836" s="7">
        <v>1.4239999999999999E-2</v>
      </c>
      <c r="G3836" s="7">
        <v>2.18E-2</v>
      </c>
    </row>
    <row r="3837" spans="2:7" x14ac:dyDescent="0.2">
      <c r="B3837" s="60">
        <v>41339</v>
      </c>
      <c r="C3837" s="7">
        <v>1.4539999999999999E-2</v>
      </c>
      <c r="D3837" s="7">
        <v>1.4590000000000001E-2</v>
      </c>
      <c r="E3837" s="7">
        <v>1.477E-2</v>
      </c>
      <c r="F3837" s="7">
        <v>1.4459999999999999E-2</v>
      </c>
      <c r="G3837" s="7">
        <v>2.8E-3</v>
      </c>
    </row>
    <row r="3838" spans="2:7" x14ac:dyDescent="0.2">
      <c r="B3838" s="60">
        <v>41340</v>
      </c>
      <c r="C3838" s="7">
        <v>1.494E-2</v>
      </c>
      <c r="D3838" s="7">
        <v>1.456E-2</v>
      </c>
      <c r="E3838" s="7">
        <v>1.5100000000000001E-2</v>
      </c>
      <c r="F3838" s="7">
        <v>1.439E-2</v>
      </c>
      <c r="G3838" s="7">
        <v>2.75E-2</v>
      </c>
    </row>
    <row r="3839" spans="2:7" x14ac:dyDescent="0.2">
      <c r="B3839" s="60">
        <v>41341</v>
      </c>
      <c r="C3839" s="7">
        <v>1.5260000000000001E-2</v>
      </c>
      <c r="D3839" s="7">
        <v>1.502E-2</v>
      </c>
      <c r="E3839" s="7">
        <v>1.542E-2</v>
      </c>
      <c r="F3839" s="7">
        <v>1.4830000000000001E-2</v>
      </c>
      <c r="G3839" s="7">
        <v>2.1399999999999999E-2</v>
      </c>
    </row>
    <row r="3840" spans="2:7" x14ac:dyDescent="0.2">
      <c r="B3840" s="60">
        <v>41344</v>
      </c>
      <c r="C3840" s="7">
        <v>1.5100000000000001E-2</v>
      </c>
      <c r="D3840" s="7">
        <v>1.4999999999999999E-2</v>
      </c>
      <c r="E3840" s="7">
        <v>1.512E-2</v>
      </c>
      <c r="F3840" s="7">
        <v>1.4910000000000001E-2</v>
      </c>
      <c r="G3840" s="7">
        <v>-1.0500000000000001E-2</v>
      </c>
    </row>
    <row r="3841" spans="2:7" x14ac:dyDescent="0.2">
      <c r="B3841" s="60">
        <v>41345</v>
      </c>
      <c r="C3841" s="7">
        <v>1.481E-2</v>
      </c>
      <c r="D3841" s="7">
        <v>1.5129999999999999E-2</v>
      </c>
      <c r="E3841" s="7">
        <v>1.524E-2</v>
      </c>
      <c r="F3841" s="7">
        <v>1.464E-2</v>
      </c>
      <c r="G3841" s="7">
        <v>-1.9199999999999998E-2</v>
      </c>
    </row>
    <row r="3842" spans="2:7" x14ac:dyDescent="0.2">
      <c r="B3842" s="60">
        <v>41346</v>
      </c>
      <c r="C3842" s="7">
        <v>1.4760000000000001E-2</v>
      </c>
      <c r="D3842" s="7">
        <v>1.4910000000000001E-2</v>
      </c>
      <c r="E3842" s="7">
        <v>1.4959999999999999E-2</v>
      </c>
      <c r="F3842" s="7">
        <v>1.456E-2</v>
      </c>
      <c r="G3842" s="7">
        <v>-3.3999999999999998E-3</v>
      </c>
    </row>
    <row r="3843" spans="2:7" x14ac:dyDescent="0.2">
      <c r="B3843" s="60">
        <v>41347</v>
      </c>
      <c r="C3843" s="7">
        <v>1.4750000000000001E-2</v>
      </c>
      <c r="D3843" s="7">
        <v>1.478E-2</v>
      </c>
      <c r="E3843" s="7">
        <v>1.502E-2</v>
      </c>
      <c r="F3843" s="7">
        <v>1.4670000000000001E-2</v>
      </c>
      <c r="G3843" s="7">
        <v>-6.9999999999999999E-4</v>
      </c>
    </row>
    <row r="3844" spans="2:7" x14ac:dyDescent="0.2">
      <c r="B3844" s="60">
        <v>41348</v>
      </c>
      <c r="C3844" s="7">
        <v>1.452E-2</v>
      </c>
      <c r="D3844" s="7">
        <v>1.4750000000000001E-2</v>
      </c>
      <c r="E3844" s="7">
        <v>1.4870000000000001E-2</v>
      </c>
      <c r="F3844" s="7">
        <v>1.4450000000000001E-2</v>
      </c>
      <c r="G3844" s="7">
        <v>-1.5599999999999999E-2</v>
      </c>
    </row>
    <row r="3845" spans="2:7" x14ac:dyDescent="0.2">
      <c r="B3845" s="60">
        <v>41351</v>
      </c>
      <c r="C3845" s="7">
        <v>1.4039999999999999E-2</v>
      </c>
      <c r="D3845" s="7">
        <v>1.363E-2</v>
      </c>
      <c r="E3845" s="7">
        <v>1.4110000000000001E-2</v>
      </c>
      <c r="F3845" s="7">
        <v>1.3600000000000001E-2</v>
      </c>
      <c r="G3845" s="7">
        <v>-3.3099999999999997E-2</v>
      </c>
    </row>
    <row r="3846" spans="2:7" x14ac:dyDescent="0.2">
      <c r="B3846" s="60">
        <v>41352</v>
      </c>
      <c r="C3846" s="7">
        <v>1.3500000000000002E-2</v>
      </c>
      <c r="D3846" s="7">
        <v>1.397E-2</v>
      </c>
      <c r="E3846" s="7">
        <v>1.4070000000000001E-2</v>
      </c>
      <c r="F3846" s="7">
        <v>1.3420000000000001E-2</v>
      </c>
      <c r="G3846" s="7">
        <v>-3.85E-2</v>
      </c>
    </row>
    <row r="3847" spans="2:7" x14ac:dyDescent="0.2">
      <c r="B3847" s="60">
        <v>41353</v>
      </c>
      <c r="C3847" s="7">
        <v>1.387E-2</v>
      </c>
      <c r="D3847" s="7">
        <v>1.3520000000000001E-2</v>
      </c>
      <c r="E3847" s="7">
        <v>1.4070000000000001E-2</v>
      </c>
      <c r="F3847" s="7">
        <v>1.3520000000000001E-2</v>
      </c>
      <c r="G3847" s="7">
        <v>2.7400000000000001E-2</v>
      </c>
    </row>
    <row r="3848" spans="2:7" x14ac:dyDescent="0.2">
      <c r="B3848" s="60">
        <v>41354</v>
      </c>
      <c r="C3848" s="7">
        <v>1.3640000000000001E-2</v>
      </c>
      <c r="D3848" s="7">
        <v>1.3859999999999999E-2</v>
      </c>
      <c r="E3848" s="7">
        <v>1.3999999999999999E-2</v>
      </c>
      <c r="F3848" s="7">
        <v>1.349E-2</v>
      </c>
      <c r="G3848" s="7">
        <v>-1.66E-2</v>
      </c>
    </row>
    <row r="3849" spans="2:7" x14ac:dyDescent="0.2">
      <c r="B3849" s="60">
        <v>41355</v>
      </c>
      <c r="C3849" s="7">
        <v>1.3779999999999999E-2</v>
      </c>
      <c r="D3849" s="7">
        <v>1.3420000000000001E-2</v>
      </c>
      <c r="E3849" s="7">
        <v>1.389E-2</v>
      </c>
      <c r="F3849" s="7">
        <v>1.3349999999999999E-2</v>
      </c>
      <c r="G3849" s="7">
        <v>1.03E-2</v>
      </c>
    </row>
    <row r="3850" spans="2:7" x14ac:dyDescent="0.2">
      <c r="B3850" s="60">
        <v>41358</v>
      </c>
      <c r="C3850" s="7">
        <v>1.3440000000000001E-2</v>
      </c>
      <c r="D3850" s="7">
        <v>1.406E-2</v>
      </c>
      <c r="E3850" s="7">
        <v>1.4150000000000001E-2</v>
      </c>
      <c r="F3850" s="7">
        <v>1.3260000000000001E-2</v>
      </c>
      <c r="G3850" s="7">
        <v>-2.47E-2</v>
      </c>
    </row>
    <row r="3851" spans="2:7" x14ac:dyDescent="0.2">
      <c r="B3851" s="60">
        <v>41359</v>
      </c>
      <c r="C3851" s="7">
        <v>1.341E-2</v>
      </c>
      <c r="D3851" s="7">
        <v>1.3500000000000002E-2</v>
      </c>
      <c r="E3851" s="7">
        <v>1.3680000000000001E-2</v>
      </c>
      <c r="F3851" s="7">
        <v>1.332E-2</v>
      </c>
      <c r="G3851" s="7">
        <v>-2.2000000000000001E-3</v>
      </c>
    </row>
    <row r="3852" spans="2:7" x14ac:dyDescent="0.2">
      <c r="B3852" s="60">
        <v>41360</v>
      </c>
      <c r="C3852" s="7">
        <v>1.278E-2</v>
      </c>
      <c r="D3852" s="7">
        <v>1.332E-2</v>
      </c>
      <c r="E3852" s="7">
        <v>1.3380000000000001E-2</v>
      </c>
      <c r="F3852" s="7">
        <v>1.2669999999999999E-2</v>
      </c>
      <c r="G3852" s="7">
        <v>-4.7E-2</v>
      </c>
    </row>
    <row r="3853" spans="2:7" x14ac:dyDescent="0.2">
      <c r="B3853" s="60">
        <v>41361</v>
      </c>
      <c r="C3853" s="7">
        <v>1.282E-2</v>
      </c>
      <c r="D3853" s="7">
        <v>1.269E-2</v>
      </c>
      <c r="E3853" s="7">
        <v>1.295E-2</v>
      </c>
      <c r="F3853" s="7">
        <v>1.2490000000000001E-2</v>
      </c>
      <c r="G3853" s="7">
        <v>3.0999999999999999E-3</v>
      </c>
    </row>
    <row r="3854" spans="2:7" x14ac:dyDescent="0.2">
      <c r="B3854" s="60">
        <v>41366</v>
      </c>
      <c r="C3854" s="7">
        <v>1.3049999999999999E-2</v>
      </c>
      <c r="D3854" s="7">
        <v>1.2760000000000001E-2</v>
      </c>
      <c r="E3854" s="7">
        <v>1.319E-2</v>
      </c>
      <c r="F3854" s="7">
        <v>1.2699999999999999E-2</v>
      </c>
      <c r="G3854" s="7">
        <v>1.7899999999999999E-2</v>
      </c>
    </row>
    <row r="3855" spans="2:7" x14ac:dyDescent="0.2">
      <c r="B3855" s="60">
        <v>41367</v>
      </c>
      <c r="C3855" s="7">
        <v>1.29E-2</v>
      </c>
      <c r="D3855" s="7">
        <v>1.3080000000000001E-2</v>
      </c>
      <c r="E3855" s="7">
        <v>1.3169999999999999E-2</v>
      </c>
      <c r="F3855" s="7">
        <v>1.278E-2</v>
      </c>
      <c r="G3855" s="7">
        <v>-1.15E-2</v>
      </c>
    </row>
    <row r="3856" spans="2:7" x14ac:dyDescent="0.2">
      <c r="B3856" s="60">
        <v>41368</v>
      </c>
      <c r="C3856" s="7">
        <v>1.2500000000000001E-2</v>
      </c>
      <c r="D3856" s="7">
        <v>1.278E-2</v>
      </c>
      <c r="E3856" s="7">
        <v>1.29E-2</v>
      </c>
      <c r="F3856" s="7">
        <v>1.2370000000000001E-2</v>
      </c>
      <c r="G3856" s="7">
        <v>-3.1E-2</v>
      </c>
    </row>
    <row r="3857" spans="2:7" x14ac:dyDescent="0.2">
      <c r="B3857" s="60">
        <v>41369</v>
      </c>
      <c r="C3857" s="7">
        <v>1.21E-2</v>
      </c>
      <c r="D3857" s="7">
        <v>1.2490000000000001E-2</v>
      </c>
      <c r="E3857" s="7">
        <v>1.261E-2</v>
      </c>
      <c r="F3857" s="7">
        <v>1.1990000000000001E-2</v>
      </c>
      <c r="G3857" s="7">
        <v>-3.2000000000000001E-2</v>
      </c>
    </row>
    <row r="3858" spans="2:7" x14ac:dyDescent="0.2">
      <c r="B3858" s="60">
        <v>41372</v>
      </c>
      <c r="C3858" s="7">
        <v>1.2370000000000001E-2</v>
      </c>
      <c r="D3858" s="7">
        <v>1.217E-2</v>
      </c>
      <c r="E3858" s="7">
        <v>1.2500000000000001E-2</v>
      </c>
      <c r="F3858" s="7">
        <v>1.2150000000000001E-2</v>
      </c>
      <c r="G3858" s="7">
        <v>2.23E-2</v>
      </c>
    </row>
    <row r="3859" spans="2:7" x14ac:dyDescent="0.2">
      <c r="B3859" s="60">
        <v>41373</v>
      </c>
      <c r="C3859" s="7">
        <v>1.2619999999999999E-2</v>
      </c>
      <c r="D3859" s="7">
        <v>1.2470000000000002E-2</v>
      </c>
      <c r="E3859" s="7">
        <v>1.286E-2</v>
      </c>
      <c r="F3859" s="7">
        <v>1.2370000000000001E-2</v>
      </c>
      <c r="G3859" s="7">
        <v>2.0199999999999999E-2</v>
      </c>
    </row>
    <row r="3860" spans="2:7" x14ac:dyDescent="0.2">
      <c r="B3860" s="60">
        <v>41374</v>
      </c>
      <c r="C3860" s="7">
        <v>1.3040000000000001E-2</v>
      </c>
      <c r="D3860" s="7">
        <v>1.2760000000000001E-2</v>
      </c>
      <c r="E3860" s="7">
        <v>1.307E-2</v>
      </c>
      <c r="F3860" s="7">
        <v>1.2729999999999998E-2</v>
      </c>
      <c r="G3860" s="7">
        <v>3.3300000000000003E-2</v>
      </c>
    </row>
    <row r="3861" spans="2:7" x14ac:dyDescent="0.2">
      <c r="B3861" s="60">
        <v>41375</v>
      </c>
      <c r="C3861" s="7">
        <v>1.3080000000000001E-2</v>
      </c>
      <c r="D3861" s="7">
        <v>1.3040000000000001E-2</v>
      </c>
      <c r="E3861" s="7">
        <v>1.336E-2</v>
      </c>
      <c r="F3861" s="7">
        <v>1.286E-2</v>
      </c>
      <c r="G3861" s="7">
        <v>3.0999999999999999E-3</v>
      </c>
    </row>
    <row r="3862" spans="2:7" x14ac:dyDescent="0.2">
      <c r="B3862" s="60">
        <v>41376</v>
      </c>
      <c r="C3862" s="7">
        <v>1.2589999999999999E-2</v>
      </c>
      <c r="D3862" s="7">
        <v>1.303E-2</v>
      </c>
      <c r="E3862" s="7">
        <v>1.3080000000000001E-2</v>
      </c>
      <c r="F3862" s="7">
        <v>1.248E-2</v>
      </c>
      <c r="G3862" s="7">
        <v>-3.7499999999999999E-2</v>
      </c>
    </row>
    <row r="3863" spans="2:7" x14ac:dyDescent="0.2">
      <c r="B3863" s="60">
        <v>41379</v>
      </c>
      <c r="C3863" s="7">
        <v>1.248E-2</v>
      </c>
      <c r="D3863" s="7">
        <v>1.257E-2</v>
      </c>
      <c r="E3863" s="7">
        <v>1.2800000000000001E-2</v>
      </c>
      <c r="F3863" s="7">
        <v>1.238E-2</v>
      </c>
      <c r="G3863" s="7">
        <v>-8.6999999999999994E-3</v>
      </c>
    </row>
    <row r="3864" spans="2:7" x14ac:dyDescent="0.2">
      <c r="B3864" s="60">
        <v>41380</v>
      </c>
      <c r="C3864" s="7">
        <v>1.274E-2</v>
      </c>
      <c r="D3864" s="7">
        <v>1.2450000000000001E-2</v>
      </c>
      <c r="E3864" s="7">
        <v>1.2789999999999999E-2</v>
      </c>
      <c r="F3864" s="7">
        <v>1.24E-2</v>
      </c>
      <c r="G3864" s="7">
        <v>2.0799999999999999E-2</v>
      </c>
    </row>
    <row r="3865" spans="2:7" x14ac:dyDescent="0.2">
      <c r="B3865" s="60">
        <v>41381</v>
      </c>
      <c r="C3865" s="7">
        <v>1.23E-2</v>
      </c>
      <c r="D3865" s="7">
        <v>1.2729999999999998E-2</v>
      </c>
      <c r="E3865" s="7">
        <v>1.306E-2</v>
      </c>
      <c r="F3865" s="7">
        <v>1.2239999999999999E-2</v>
      </c>
      <c r="G3865" s="7">
        <v>-3.4500000000000003E-2</v>
      </c>
    </row>
    <row r="3866" spans="2:7" x14ac:dyDescent="0.2">
      <c r="B3866" s="60">
        <v>41382</v>
      </c>
      <c r="C3866" s="7">
        <v>1.234E-2</v>
      </c>
      <c r="D3866" s="7">
        <v>1.23E-2</v>
      </c>
      <c r="E3866" s="7">
        <v>1.265E-2</v>
      </c>
      <c r="F3866" s="7">
        <v>1.2190000000000001E-2</v>
      </c>
      <c r="G3866" s="7">
        <v>3.3E-3</v>
      </c>
    </row>
    <row r="3867" spans="2:7" x14ac:dyDescent="0.2">
      <c r="B3867" s="60">
        <v>41383</v>
      </c>
      <c r="C3867" s="7">
        <v>1.252E-2</v>
      </c>
      <c r="D3867" s="7">
        <v>1.24E-2</v>
      </c>
      <c r="E3867" s="7">
        <v>1.268E-2</v>
      </c>
      <c r="F3867" s="7">
        <v>1.2310000000000001E-2</v>
      </c>
      <c r="G3867" s="7">
        <v>1.46E-2</v>
      </c>
    </row>
    <row r="3868" spans="2:7" x14ac:dyDescent="0.2">
      <c r="B3868" s="60">
        <v>41386</v>
      </c>
      <c r="C3868" s="7">
        <v>1.2290000000000001E-2</v>
      </c>
      <c r="D3868" s="7">
        <v>1.2619999999999999E-2</v>
      </c>
      <c r="E3868" s="7">
        <v>1.2809999999999998E-2</v>
      </c>
      <c r="F3868" s="7">
        <v>1.221E-2</v>
      </c>
      <c r="G3868" s="7">
        <v>-1.84E-2</v>
      </c>
    </row>
    <row r="3869" spans="2:7" x14ac:dyDescent="0.2">
      <c r="B3869" s="60">
        <v>41387</v>
      </c>
      <c r="C3869" s="7">
        <v>1.252E-2</v>
      </c>
      <c r="D3869" s="7">
        <v>1.2310000000000001E-2</v>
      </c>
      <c r="E3869" s="7">
        <v>1.264E-2</v>
      </c>
      <c r="F3869" s="7">
        <v>1.1939999999999999E-2</v>
      </c>
      <c r="G3869" s="7">
        <v>1.8700000000000001E-2</v>
      </c>
    </row>
    <row r="3870" spans="2:7" x14ac:dyDescent="0.2">
      <c r="B3870" s="60">
        <v>41388</v>
      </c>
      <c r="C3870" s="7">
        <v>1.2390000000000002E-2</v>
      </c>
      <c r="D3870" s="7">
        <v>1.2669999999999999E-2</v>
      </c>
      <c r="E3870" s="7">
        <v>1.29E-2</v>
      </c>
      <c r="F3870" s="7">
        <v>1.2319999999999999E-2</v>
      </c>
      <c r="G3870" s="7">
        <v>-1.04E-2</v>
      </c>
    </row>
    <row r="3871" spans="2:7" x14ac:dyDescent="0.2">
      <c r="B3871" s="60">
        <v>41389</v>
      </c>
      <c r="C3871" s="7">
        <v>1.242E-2</v>
      </c>
      <c r="D3871" s="7">
        <v>1.2450000000000001E-2</v>
      </c>
      <c r="E3871" s="7">
        <v>1.2529999999999999E-2</v>
      </c>
      <c r="F3871" s="7">
        <v>1.2239999999999999E-2</v>
      </c>
      <c r="G3871" s="7">
        <v>2.3999999999999998E-3</v>
      </c>
    </row>
    <row r="3872" spans="2:7" x14ac:dyDescent="0.2">
      <c r="B3872" s="60">
        <v>41390</v>
      </c>
      <c r="C3872" s="7">
        <v>1.209E-2</v>
      </c>
      <c r="D3872" s="7">
        <v>1.2239999999999999E-2</v>
      </c>
      <c r="E3872" s="7">
        <v>1.2310000000000001E-2</v>
      </c>
      <c r="F3872" s="7">
        <v>1.204E-2</v>
      </c>
      <c r="G3872" s="7">
        <v>-2.6599999999999999E-2</v>
      </c>
    </row>
    <row r="3873" spans="2:7" x14ac:dyDescent="0.2">
      <c r="B3873" s="60">
        <v>41393</v>
      </c>
      <c r="C3873" s="7">
        <v>1.1990000000000001E-2</v>
      </c>
      <c r="D3873" s="7">
        <v>1.209E-2</v>
      </c>
      <c r="E3873" s="7">
        <v>1.2310000000000001E-2</v>
      </c>
      <c r="F3873" s="7">
        <v>1.192E-2</v>
      </c>
      <c r="G3873" s="7">
        <v>-8.3000000000000001E-3</v>
      </c>
    </row>
    <row r="3874" spans="2:7" x14ac:dyDescent="0.2">
      <c r="B3874" s="60">
        <v>41394</v>
      </c>
      <c r="C3874" s="7">
        <v>1.2110000000000001E-2</v>
      </c>
      <c r="D3874" s="7">
        <v>1.2119999999999999E-2</v>
      </c>
      <c r="E3874" s="7">
        <v>1.213E-2</v>
      </c>
      <c r="F3874" s="7">
        <v>1.1819999999999999E-2</v>
      </c>
      <c r="G3874" s="7">
        <v>0.01</v>
      </c>
    </row>
    <row r="3875" spans="2:7" x14ac:dyDescent="0.2">
      <c r="B3875" s="60">
        <v>41396</v>
      </c>
      <c r="C3875" s="7">
        <v>1.1679999999999999E-2</v>
      </c>
      <c r="D3875" s="7">
        <v>1.1939999999999999E-2</v>
      </c>
      <c r="E3875" s="7">
        <v>1.2410000000000001E-2</v>
      </c>
      <c r="F3875" s="7">
        <v>1.153E-2</v>
      </c>
      <c r="G3875" s="7">
        <v>-3.5499999999999997E-2</v>
      </c>
    </row>
    <row r="3876" spans="2:7" x14ac:dyDescent="0.2">
      <c r="B3876" s="60">
        <v>41397</v>
      </c>
      <c r="C3876" s="7">
        <v>1.2450000000000001E-2</v>
      </c>
      <c r="D3876" s="7">
        <v>1.1690000000000001E-2</v>
      </c>
      <c r="E3876" s="7">
        <v>1.257E-2</v>
      </c>
      <c r="F3876" s="7">
        <v>1.1610000000000001E-2</v>
      </c>
      <c r="G3876" s="7">
        <v>6.59E-2</v>
      </c>
    </row>
    <row r="3877" spans="2:7" x14ac:dyDescent="0.2">
      <c r="B3877" s="60">
        <v>41400</v>
      </c>
      <c r="C3877" s="7">
        <v>1.2430000000000002E-2</v>
      </c>
      <c r="D3877" s="7">
        <v>1.2450000000000001E-2</v>
      </c>
      <c r="E3877" s="7">
        <v>1.26E-2</v>
      </c>
      <c r="F3877" s="7">
        <v>1.226E-2</v>
      </c>
      <c r="G3877" s="7">
        <v>-1.6000000000000001E-3</v>
      </c>
    </row>
    <row r="3878" spans="2:7" x14ac:dyDescent="0.2">
      <c r="B3878" s="60">
        <v>41401</v>
      </c>
      <c r="C3878" s="7">
        <v>1.2969999999999999E-2</v>
      </c>
      <c r="D3878" s="7">
        <v>1.2460000000000001E-2</v>
      </c>
      <c r="E3878" s="7">
        <v>1.3100000000000001E-2</v>
      </c>
      <c r="F3878" s="7">
        <v>1.2330000000000001E-2</v>
      </c>
      <c r="G3878" s="7">
        <v>4.3400000000000001E-2</v>
      </c>
    </row>
    <row r="3879" spans="2:7" x14ac:dyDescent="0.2">
      <c r="B3879" s="60">
        <v>41402</v>
      </c>
      <c r="C3879" s="7">
        <v>1.2699999999999999E-2</v>
      </c>
      <c r="D3879" s="7">
        <v>1.3009999999999999E-2</v>
      </c>
      <c r="E3879" s="7">
        <v>1.306E-2</v>
      </c>
      <c r="F3879" s="7">
        <v>1.265E-2</v>
      </c>
      <c r="G3879" s="7">
        <v>-2.0799999999999999E-2</v>
      </c>
    </row>
    <row r="3880" spans="2:7" x14ac:dyDescent="0.2">
      <c r="B3880" s="60">
        <v>41403</v>
      </c>
      <c r="C3880" s="7">
        <v>1.269E-2</v>
      </c>
      <c r="D3880" s="7">
        <v>1.272E-2</v>
      </c>
      <c r="E3880" s="7">
        <v>1.2769999999999998E-2</v>
      </c>
      <c r="F3880" s="7">
        <v>1.2359999999999999E-2</v>
      </c>
      <c r="G3880" s="7">
        <v>-8.0000000000000004E-4</v>
      </c>
    </row>
    <row r="3881" spans="2:7" x14ac:dyDescent="0.2">
      <c r="B3881" s="60">
        <v>41404</v>
      </c>
      <c r="C3881" s="7">
        <v>1.3859999999999999E-2</v>
      </c>
      <c r="D3881" s="7">
        <v>1.2920000000000001E-2</v>
      </c>
      <c r="E3881" s="7">
        <v>1.3859999999999999E-2</v>
      </c>
      <c r="F3881" s="7">
        <v>1.2920000000000001E-2</v>
      </c>
      <c r="G3881" s="7">
        <v>9.2200000000000004E-2</v>
      </c>
    </row>
    <row r="3882" spans="2:7" x14ac:dyDescent="0.2">
      <c r="B3882" s="60">
        <v>41407</v>
      </c>
      <c r="C3882" s="7">
        <v>1.357E-2</v>
      </c>
      <c r="D3882" s="7">
        <v>1.389E-2</v>
      </c>
      <c r="E3882" s="7">
        <v>1.391E-2</v>
      </c>
      <c r="F3882" s="7">
        <v>1.341E-2</v>
      </c>
      <c r="G3882" s="7">
        <v>-2.0899999999999998E-2</v>
      </c>
    </row>
    <row r="3883" spans="2:7" x14ac:dyDescent="0.2">
      <c r="B3883" s="60">
        <v>41408</v>
      </c>
      <c r="C3883" s="7">
        <v>1.374E-2</v>
      </c>
      <c r="D3883" s="7">
        <v>1.3680000000000001E-2</v>
      </c>
      <c r="E3883" s="7">
        <v>1.38E-2</v>
      </c>
      <c r="F3883" s="7">
        <v>1.3469999999999999E-2</v>
      </c>
      <c r="G3883" s="7">
        <v>1.2500000000000001E-2</v>
      </c>
    </row>
    <row r="3884" spans="2:7" x14ac:dyDescent="0.2">
      <c r="B3884" s="60">
        <v>41409</v>
      </c>
      <c r="C3884" s="7">
        <v>1.379E-2</v>
      </c>
      <c r="D3884" s="7">
        <v>1.3899999999999999E-2</v>
      </c>
      <c r="E3884" s="7">
        <v>1.4079999999999999E-2</v>
      </c>
      <c r="F3884" s="7">
        <v>1.3500000000000002E-2</v>
      </c>
      <c r="G3884" s="7">
        <v>3.5999999999999999E-3</v>
      </c>
    </row>
    <row r="3885" spans="2:7" x14ac:dyDescent="0.2">
      <c r="B3885" s="60">
        <v>41410</v>
      </c>
      <c r="C3885" s="7">
        <v>1.3300000000000001E-2</v>
      </c>
      <c r="D3885" s="7">
        <v>1.3680000000000001E-2</v>
      </c>
      <c r="E3885" s="7">
        <v>1.3939999999999999E-2</v>
      </c>
      <c r="F3885" s="7">
        <v>1.3220000000000001E-2</v>
      </c>
      <c r="G3885" s="7">
        <v>-3.5499999999999997E-2</v>
      </c>
    </row>
    <row r="3886" spans="2:7" x14ac:dyDescent="0.2">
      <c r="B3886" s="60">
        <v>41411</v>
      </c>
      <c r="C3886" s="7">
        <v>1.316E-2</v>
      </c>
      <c r="D3886" s="7">
        <v>1.336E-2</v>
      </c>
      <c r="E3886" s="7">
        <v>1.337E-2</v>
      </c>
      <c r="F3886" s="7">
        <v>1.2889999999999999E-2</v>
      </c>
      <c r="G3886" s="7">
        <v>-1.0500000000000001E-2</v>
      </c>
    </row>
    <row r="3887" spans="2:7" x14ac:dyDescent="0.2">
      <c r="B3887" s="60">
        <v>41414</v>
      </c>
      <c r="C3887" s="7">
        <v>1.3729999999999999E-2</v>
      </c>
      <c r="D3887" s="7">
        <v>1.357E-2</v>
      </c>
      <c r="E3887" s="7">
        <v>1.376E-2</v>
      </c>
      <c r="F3887" s="7">
        <v>1.325E-2</v>
      </c>
      <c r="G3887" s="7">
        <v>4.3299999999999998E-2</v>
      </c>
    </row>
    <row r="3888" spans="2:7" x14ac:dyDescent="0.2">
      <c r="B3888" s="60">
        <v>41415</v>
      </c>
      <c r="C3888" s="7">
        <v>1.405E-2</v>
      </c>
      <c r="D3888" s="7">
        <v>1.363E-2</v>
      </c>
      <c r="E3888" s="7">
        <v>1.418E-2</v>
      </c>
      <c r="F3888" s="7">
        <v>1.359E-2</v>
      </c>
      <c r="G3888" s="7">
        <v>2.3300000000000001E-2</v>
      </c>
    </row>
    <row r="3889" spans="2:7" x14ac:dyDescent="0.2">
      <c r="B3889" s="60">
        <v>41416</v>
      </c>
      <c r="C3889" s="7">
        <v>1.3729999999999999E-2</v>
      </c>
      <c r="D3889" s="7">
        <v>1.3819999999999999E-2</v>
      </c>
      <c r="E3889" s="7">
        <v>1.405E-2</v>
      </c>
      <c r="F3889" s="7">
        <v>1.3349999999999999E-2</v>
      </c>
      <c r="G3889" s="7">
        <v>-2.2800000000000001E-2</v>
      </c>
    </row>
    <row r="3890" spans="2:7" x14ac:dyDescent="0.2">
      <c r="B3890" s="60">
        <v>41417</v>
      </c>
      <c r="C3890" s="7">
        <v>1.405E-2</v>
      </c>
      <c r="D3890" s="7">
        <v>1.387E-2</v>
      </c>
      <c r="E3890" s="7">
        <v>1.4150000000000001E-2</v>
      </c>
      <c r="F3890" s="7">
        <v>1.34E-2</v>
      </c>
      <c r="G3890" s="7">
        <v>2.3300000000000001E-2</v>
      </c>
    </row>
    <row r="3891" spans="2:7" x14ac:dyDescent="0.2">
      <c r="B3891" s="60">
        <v>41418</v>
      </c>
      <c r="C3891" s="7">
        <v>1.431E-2</v>
      </c>
      <c r="D3891" s="7">
        <v>1.439E-2</v>
      </c>
      <c r="E3891" s="7">
        <v>1.474E-2</v>
      </c>
      <c r="F3891" s="7">
        <v>1.4110000000000001E-2</v>
      </c>
      <c r="G3891" s="7">
        <v>1.8499999999999999E-2</v>
      </c>
    </row>
    <row r="3892" spans="2:7" x14ac:dyDescent="0.2">
      <c r="B3892" s="60">
        <v>41419</v>
      </c>
      <c r="C3892" s="7">
        <v>1.4339999999999999E-2</v>
      </c>
      <c r="D3892" s="7">
        <v>1.4339999999999999E-2</v>
      </c>
      <c r="E3892" s="7">
        <v>1.4339999999999999E-2</v>
      </c>
      <c r="F3892" s="7">
        <v>1.4339999999999999E-2</v>
      </c>
      <c r="G3892" s="7">
        <v>2.0999999999999999E-3</v>
      </c>
    </row>
    <row r="3893" spans="2:7" x14ac:dyDescent="0.2">
      <c r="B3893" s="60">
        <v>41421</v>
      </c>
      <c r="C3893" s="7">
        <v>1.4579999999999999E-2</v>
      </c>
      <c r="D3893" s="7">
        <v>1.436E-2</v>
      </c>
      <c r="E3893" s="7">
        <v>1.4610000000000001E-2</v>
      </c>
      <c r="F3893" s="7">
        <v>1.4239999999999999E-2</v>
      </c>
      <c r="G3893" s="7">
        <v>1.67E-2</v>
      </c>
    </row>
    <row r="3894" spans="2:7" x14ac:dyDescent="0.2">
      <c r="B3894" s="60">
        <v>41422</v>
      </c>
      <c r="C3894" s="7">
        <v>1.5089999999999999E-2</v>
      </c>
      <c r="D3894" s="7">
        <v>1.478E-2</v>
      </c>
      <c r="E3894" s="7">
        <v>1.5129999999999999E-2</v>
      </c>
      <c r="F3894" s="7">
        <v>1.451E-2</v>
      </c>
      <c r="G3894" s="7">
        <v>3.5000000000000003E-2</v>
      </c>
    </row>
    <row r="3895" spans="2:7" x14ac:dyDescent="0.2">
      <c r="B3895" s="60">
        <v>41423</v>
      </c>
      <c r="C3895" s="7">
        <v>1.541E-2</v>
      </c>
      <c r="D3895" s="7">
        <v>1.5229999999999999E-2</v>
      </c>
      <c r="E3895" s="7">
        <v>1.5520000000000001E-2</v>
      </c>
      <c r="F3895" s="7">
        <v>1.506E-2</v>
      </c>
      <c r="G3895" s="7">
        <v>2.12E-2</v>
      </c>
    </row>
    <row r="3896" spans="2:7" x14ac:dyDescent="0.2">
      <c r="B3896" s="60">
        <v>41424</v>
      </c>
      <c r="C3896" s="7">
        <v>1.5169999999999999E-2</v>
      </c>
      <c r="D3896" s="7">
        <v>1.5169999999999999E-2</v>
      </c>
      <c r="E3896" s="7">
        <v>1.533E-2</v>
      </c>
      <c r="F3896" s="7">
        <v>1.5009999999999999E-2</v>
      </c>
      <c r="G3896" s="7">
        <v>-1.5599999999999999E-2</v>
      </c>
    </row>
    <row r="3897" spans="2:7" x14ac:dyDescent="0.2">
      <c r="B3897" s="60">
        <v>41425</v>
      </c>
      <c r="C3897" s="7">
        <v>1.5109999999999998E-2</v>
      </c>
      <c r="D3897" s="7">
        <v>1.502E-2</v>
      </c>
      <c r="E3897" s="7">
        <v>1.537E-2</v>
      </c>
      <c r="F3897" s="7">
        <v>1.4539999999999999E-2</v>
      </c>
      <c r="G3897" s="7">
        <v>-4.0000000000000001E-3</v>
      </c>
    </row>
    <row r="3898" spans="2:7" x14ac:dyDescent="0.2">
      <c r="B3898" s="60">
        <v>41428</v>
      </c>
      <c r="C3898" s="7">
        <v>1.521E-2</v>
      </c>
      <c r="D3898" s="7">
        <v>1.5029999999999998E-2</v>
      </c>
      <c r="E3898" s="7">
        <v>1.5769999999999999E-2</v>
      </c>
      <c r="F3898" s="7">
        <v>1.4999999999999999E-2</v>
      </c>
      <c r="G3898" s="7">
        <v>6.6E-3</v>
      </c>
    </row>
    <row r="3899" spans="2:7" x14ac:dyDescent="0.2">
      <c r="B3899" s="60">
        <v>41429</v>
      </c>
      <c r="C3899" s="7">
        <v>1.5509999999999999E-2</v>
      </c>
      <c r="D3899" s="7">
        <v>1.5489999999999999E-2</v>
      </c>
      <c r="E3899" s="7">
        <v>1.5700000000000002E-2</v>
      </c>
      <c r="F3899" s="7">
        <v>1.538E-2</v>
      </c>
      <c r="G3899" s="7">
        <v>1.9699999999999999E-2</v>
      </c>
    </row>
    <row r="3900" spans="2:7" x14ac:dyDescent="0.2">
      <c r="B3900" s="60">
        <v>41430</v>
      </c>
      <c r="C3900" s="7">
        <v>1.5149999999999999E-2</v>
      </c>
      <c r="D3900" s="7">
        <v>1.54E-2</v>
      </c>
      <c r="E3900" s="7">
        <v>1.5569999999999999E-2</v>
      </c>
      <c r="F3900" s="7">
        <v>1.512E-2</v>
      </c>
      <c r="G3900" s="7">
        <v>-2.3199999999999998E-2</v>
      </c>
    </row>
    <row r="3901" spans="2:7" x14ac:dyDescent="0.2">
      <c r="B3901" s="60">
        <v>41431</v>
      </c>
      <c r="C3901" s="7">
        <v>1.536E-2</v>
      </c>
      <c r="D3901" s="7">
        <v>1.5169999999999999E-2</v>
      </c>
      <c r="E3901" s="7">
        <v>1.5689999999999999E-2</v>
      </c>
      <c r="F3901" s="7">
        <v>1.494E-2</v>
      </c>
      <c r="G3901" s="7">
        <v>1.3899999999999999E-2</v>
      </c>
    </row>
    <row r="3902" spans="2:7" x14ac:dyDescent="0.2">
      <c r="B3902" s="60">
        <v>41432</v>
      </c>
      <c r="C3902" s="7">
        <v>1.546E-2</v>
      </c>
      <c r="D3902" s="7">
        <v>1.52E-2</v>
      </c>
      <c r="E3902" s="7">
        <v>1.5560000000000001E-2</v>
      </c>
      <c r="F3902" s="7">
        <v>1.485E-2</v>
      </c>
      <c r="G3902" s="7">
        <v>6.4999999999999997E-3</v>
      </c>
    </row>
    <row r="3903" spans="2:7" x14ac:dyDescent="0.2">
      <c r="B3903" s="60">
        <v>41433</v>
      </c>
      <c r="C3903" s="7">
        <v>1.5449999999999998E-2</v>
      </c>
      <c r="D3903" s="7">
        <v>1.5449999999999998E-2</v>
      </c>
      <c r="E3903" s="7">
        <v>1.5449999999999998E-2</v>
      </c>
      <c r="F3903" s="7">
        <v>1.5449999999999998E-2</v>
      </c>
      <c r="G3903" s="7">
        <v>-5.9999999999999995E-4</v>
      </c>
    </row>
    <row r="3904" spans="2:7" x14ac:dyDescent="0.2">
      <c r="B3904" s="60">
        <v>41435</v>
      </c>
      <c r="C3904" s="7">
        <v>1.5880000000000002E-2</v>
      </c>
      <c r="D3904" s="7">
        <v>1.555E-2</v>
      </c>
      <c r="E3904" s="7">
        <v>1.5960000000000002E-2</v>
      </c>
      <c r="F3904" s="7">
        <v>1.5229999999999999E-2</v>
      </c>
      <c r="G3904" s="7">
        <v>2.7799999999999998E-2</v>
      </c>
    </row>
    <row r="3905" spans="2:7" x14ac:dyDescent="0.2">
      <c r="B3905" s="60">
        <v>41436</v>
      </c>
      <c r="C3905" s="7">
        <v>1.6060000000000001E-2</v>
      </c>
      <c r="D3905" s="7">
        <v>1.602E-2</v>
      </c>
      <c r="E3905" s="7">
        <v>1.6570000000000001E-2</v>
      </c>
      <c r="F3905" s="7">
        <v>1.5900000000000001E-2</v>
      </c>
      <c r="G3905" s="7">
        <v>1.1299999999999999E-2</v>
      </c>
    </row>
    <row r="3906" spans="2:7" x14ac:dyDescent="0.2">
      <c r="B3906" s="60">
        <v>41437</v>
      </c>
      <c r="C3906" s="7">
        <v>1.5939999999999999E-2</v>
      </c>
      <c r="D3906" s="7">
        <v>1.6070000000000001E-2</v>
      </c>
      <c r="E3906" s="7">
        <v>1.6209999999999999E-2</v>
      </c>
      <c r="F3906" s="7">
        <v>1.584E-2</v>
      </c>
      <c r="G3906" s="7">
        <v>-7.4999999999999997E-3</v>
      </c>
    </row>
    <row r="3907" spans="2:7" x14ac:dyDescent="0.2">
      <c r="B3907" s="60">
        <v>41438</v>
      </c>
      <c r="C3907" s="7">
        <v>1.566E-2</v>
      </c>
      <c r="D3907" s="7">
        <v>1.5720000000000001E-2</v>
      </c>
      <c r="E3907" s="7">
        <v>1.5859999999999999E-2</v>
      </c>
      <c r="F3907" s="7">
        <v>1.5509999999999999E-2</v>
      </c>
      <c r="G3907" s="7">
        <v>-1.7600000000000001E-2</v>
      </c>
    </row>
    <row r="3908" spans="2:7" x14ac:dyDescent="0.2">
      <c r="B3908" s="60">
        <v>41439</v>
      </c>
      <c r="C3908" s="7">
        <v>1.5129999999999999E-2</v>
      </c>
      <c r="D3908" s="7">
        <v>1.542E-2</v>
      </c>
      <c r="E3908" s="7">
        <v>1.5429999999999999E-2</v>
      </c>
      <c r="F3908" s="7">
        <v>1.5089999999999999E-2</v>
      </c>
      <c r="G3908" s="7">
        <v>-3.3799999999999997E-2</v>
      </c>
    </row>
    <row r="3909" spans="2:7" x14ac:dyDescent="0.2">
      <c r="B3909" s="60">
        <v>41441</v>
      </c>
      <c r="C3909" s="7">
        <v>1.5149999999999999E-2</v>
      </c>
      <c r="D3909" s="7">
        <v>1.5149999999999999E-2</v>
      </c>
      <c r="E3909" s="7">
        <v>1.5149999999999999E-2</v>
      </c>
      <c r="F3909" s="7">
        <v>1.5149999999999999E-2</v>
      </c>
      <c r="G3909" s="7">
        <v>1.2999999999999999E-3</v>
      </c>
    </row>
    <row r="3910" spans="2:7" x14ac:dyDescent="0.2">
      <c r="B3910" s="60">
        <v>41442</v>
      </c>
      <c r="C3910" s="7">
        <v>1.5229999999999999E-2</v>
      </c>
      <c r="D3910" s="7">
        <v>1.541E-2</v>
      </c>
      <c r="E3910" s="7">
        <v>1.5469999999999999E-2</v>
      </c>
      <c r="F3910" s="7">
        <v>1.506E-2</v>
      </c>
      <c r="G3910" s="7">
        <v>5.3E-3</v>
      </c>
    </row>
    <row r="3911" spans="2:7" x14ac:dyDescent="0.2">
      <c r="B3911" s="60">
        <v>41443</v>
      </c>
      <c r="C3911" s="7">
        <v>1.5709999999999998E-2</v>
      </c>
      <c r="D3911" s="7">
        <v>1.541E-2</v>
      </c>
      <c r="E3911" s="7">
        <v>1.5810000000000001E-2</v>
      </c>
      <c r="F3911" s="7">
        <v>1.532E-2</v>
      </c>
      <c r="G3911" s="7">
        <v>3.15E-2</v>
      </c>
    </row>
    <row r="3912" spans="2:7" x14ac:dyDescent="0.2">
      <c r="B3912" s="60">
        <v>41444</v>
      </c>
      <c r="C3912" s="7">
        <v>1.562E-2</v>
      </c>
      <c r="D3912" s="7">
        <v>1.5640000000000001E-2</v>
      </c>
      <c r="E3912" s="7">
        <v>1.5709999999999998E-2</v>
      </c>
      <c r="F3912" s="7">
        <v>1.533E-2</v>
      </c>
      <c r="G3912" s="7">
        <v>-5.7000000000000002E-3</v>
      </c>
    </row>
    <row r="3913" spans="2:7" x14ac:dyDescent="0.2">
      <c r="B3913" s="60">
        <v>41445</v>
      </c>
      <c r="C3913" s="7">
        <v>1.6639999999999999E-2</v>
      </c>
      <c r="D3913" s="7">
        <v>1.668E-2</v>
      </c>
      <c r="E3913" s="7">
        <v>1.6789999999999999E-2</v>
      </c>
      <c r="F3913" s="7">
        <v>1.627E-2</v>
      </c>
      <c r="G3913" s="7">
        <v>6.5299999999999997E-2</v>
      </c>
    </row>
    <row r="3914" spans="2:7" x14ac:dyDescent="0.2">
      <c r="B3914" s="60">
        <v>41446</v>
      </c>
      <c r="C3914" s="7">
        <v>1.7399999999999999E-2</v>
      </c>
      <c r="D3914" s="7">
        <v>1.6730000000000002E-2</v>
      </c>
      <c r="E3914" s="7">
        <v>1.7420000000000001E-2</v>
      </c>
      <c r="F3914" s="7">
        <v>1.668E-2</v>
      </c>
      <c r="G3914" s="7">
        <v>4.5699999999999998E-2</v>
      </c>
    </row>
    <row r="3915" spans="2:7" x14ac:dyDescent="0.2">
      <c r="B3915" s="60">
        <v>41448</v>
      </c>
      <c r="C3915" s="7">
        <v>1.7310000000000002E-2</v>
      </c>
      <c r="D3915" s="7">
        <v>1.7310000000000002E-2</v>
      </c>
      <c r="E3915" s="7">
        <v>1.7310000000000002E-2</v>
      </c>
      <c r="F3915" s="7">
        <v>1.7310000000000002E-2</v>
      </c>
      <c r="G3915" s="7">
        <v>-5.1999999999999998E-3</v>
      </c>
    </row>
    <row r="3916" spans="2:7" x14ac:dyDescent="0.2">
      <c r="B3916" s="60">
        <v>41449</v>
      </c>
      <c r="C3916" s="7">
        <v>1.823E-2</v>
      </c>
      <c r="D3916" s="7">
        <v>1.7749999999999998E-2</v>
      </c>
      <c r="E3916" s="7">
        <v>1.8550000000000001E-2</v>
      </c>
      <c r="F3916" s="7">
        <v>1.7610000000000001E-2</v>
      </c>
      <c r="G3916" s="7">
        <v>5.3100000000000001E-2</v>
      </c>
    </row>
    <row r="3917" spans="2:7" x14ac:dyDescent="0.2">
      <c r="B3917" s="60">
        <v>41450</v>
      </c>
      <c r="C3917" s="7">
        <v>1.8009999999999998E-2</v>
      </c>
      <c r="D3917" s="7">
        <v>1.7909999999999999E-2</v>
      </c>
      <c r="E3917" s="7">
        <v>1.8319999999999999E-2</v>
      </c>
      <c r="F3917" s="7">
        <v>1.7600000000000001E-2</v>
      </c>
      <c r="G3917" s="7">
        <v>-1.21E-2</v>
      </c>
    </row>
    <row r="3918" spans="2:7" x14ac:dyDescent="0.2">
      <c r="B3918" s="60">
        <v>41451</v>
      </c>
      <c r="C3918" s="7">
        <v>1.7659999999999999E-2</v>
      </c>
      <c r="D3918" s="7">
        <v>1.8030000000000001E-2</v>
      </c>
      <c r="E3918" s="7">
        <v>1.8100000000000002E-2</v>
      </c>
      <c r="F3918" s="7">
        <v>1.7350000000000001E-2</v>
      </c>
      <c r="G3918" s="7">
        <v>-1.9400000000000001E-2</v>
      </c>
    </row>
    <row r="3919" spans="2:7" x14ac:dyDescent="0.2">
      <c r="B3919" s="60">
        <v>41452</v>
      </c>
      <c r="C3919" s="7">
        <v>1.728E-2</v>
      </c>
      <c r="D3919" s="7">
        <v>1.7689999999999997E-2</v>
      </c>
      <c r="E3919" s="7">
        <v>1.78E-2</v>
      </c>
      <c r="F3919" s="7">
        <v>1.6959999999999999E-2</v>
      </c>
      <c r="G3919" s="7">
        <v>-2.1499999999999998E-2</v>
      </c>
    </row>
    <row r="3920" spans="2:7" x14ac:dyDescent="0.2">
      <c r="B3920" s="60">
        <v>41453</v>
      </c>
      <c r="C3920" s="7">
        <v>1.7299999999999999E-2</v>
      </c>
      <c r="D3920" s="7">
        <v>1.7150000000000002E-2</v>
      </c>
      <c r="E3920" s="7">
        <v>1.77E-2</v>
      </c>
      <c r="F3920" s="7">
        <v>1.6959999999999999E-2</v>
      </c>
      <c r="G3920" s="7">
        <v>1.1999999999999999E-3</v>
      </c>
    </row>
    <row r="3921" spans="2:7" x14ac:dyDescent="0.2">
      <c r="B3921" s="60">
        <v>41456</v>
      </c>
      <c r="C3921" s="7">
        <v>1.721E-2</v>
      </c>
      <c r="D3921" s="7">
        <v>1.7399999999999999E-2</v>
      </c>
      <c r="E3921" s="7">
        <v>1.7680000000000001E-2</v>
      </c>
      <c r="F3921" s="7">
        <v>1.711E-2</v>
      </c>
      <c r="G3921" s="7">
        <v>-5.1999999999999998E-3</v>
      </c>
    </row>
    <row r="3922" spans="2:7" x14ac:dyDescent="0.2">
      <c r="B3922" s="60">
        <v>41457</v>
      </c>
      <c r="C3922" s="7">
        <v>1.7100000000000001E-2</v>
      </c>
      <c r="D3922" s="7">
        <v>1.72E-2</v>
      </c>
      <c r="E3922" s="7">
        <v>1.7310000000000002E-2</v>
      </c>
      <c r="F3922" s="7">
        <v>1.6899999999999998E-2</v>
      </c>
      <c r="G3922" s="7">
        <v>-6.4000000000000003E-3</v>
      </c>
    </row>
    <row r="3923" spans="2:7" x14ac:dyDescent="0.2">
      <c r="B3923" s="60">
        <v>41458</v>
      </c>
      <c r="C3923" s="7">
        <v>1.6709999999999999E-2</v>
      </c>
      <c r="D3923" s="7">
        <v>1.6750000000000001E-2</v>
      </c>
      <c r="E3923" s="7">
        <v>1.6760000000000001E-2</v>
      </c>
      <c r="F3923" s="7">
        <v>1.6289999999999999E-2</v>
      </c>
      <c r="G3923" s="7">
        <v>-2.2800000000000001E-2</v>
      </c>
    </row>
    <row r="3924" spans="2:7" x14ac:dyDescent="0.2">
      <c r="B3924" s="60">
        <v>41459</v>
      </c>
      <c r="C3924" s="7">
        <v>1.6500000000000001E-2</v>
      </c>
      <c r="D3924" s="7">
        <v>1.6799999999999999E-2</v>
      </c>
      <c r="E3924" s="7">
        <v>1.6830000000000001E-2</v>
      </c>
      <c r="F3924" s="7">
        <v>1.5980000000000001E-2</v>
      </c>
      <c r="G3924" s="7">
        <v>-1.26E-2</v>
      </c>
    </row>
    <row r="3925" spans="2:7" x14ac:dyDescent="0.2">
      <c r="B3925" s="60">
        <v>41460</v>
      </c>
      <c r="C3925" s="7">
        <v>1.7230000000000002E-2</v>
      </c>
      <c r="D3925" s="7">
        <v>1.6579999999999998E-2</v>
      </c>
      <c r="E3925" s="7">
        <v>1.738E-2</v>
      </c>
      <c r="F3925" s="7">
        <v>1.651E-2</v>
      </c>
      <c r="G3925" s="7">
        <v>4.4200000000000003E-2</v>
      </c>
    </row>
    <row r="3926" spans="2:7" x14ac:dyDescent="0.2">
      <c r="B3926" s="60">
        <v>41463</v>
      </c>
      <c r="C3926" s="7">
        <v>1.704E-2</v>
      </c>
      <c r="D3926" s="7">
        <v>1.7070000000000002E-2</v>
      </c>
      <c r="E3926" s="7">
        <v>1.7310000000000002E-2</v>
      </c>
      <c r="F3926" s="7">
        <v>1.694E-2</v>
      </c>
      <c r="G3926" s="7">
        <v>-1.0999999999999999E-2</v>
      </c>
    </row>
    <row r="3927" spans="2:7" x14ac:dyDescent="0.2">
      <c r="B3927" s="60">
        <v>41464</v>
      </c>
      <c r="C3927" s="7">
        <v>1.651E-2</v>
      </c>
      <c r="D3927" s="7">
        <v>1.6990000000000002E-2</v>
      </c>
      <c r="E3927" s="7">
        <v>1.7070000000000002E-2</v>
      </c>
      <c r="F3927" s="7">
        <v>1.6459999999999999E-2</v>
      </c>
      <c r="G3927" s="7">
        <v>-3.1099999999999999E-2</v>
      </c>
    </row>
    <row r="3928" spans="2:7" x14ac:dyDescent="0.2">
      <c r="B3928" s="60">
        <v>41465</v>
      </c>
      <c r="C3928" s="7">
        <v>1.653E-2</v>
      </c>
      <c r="D3928" s="7">
        <v>1.6369999999999999E-2</v>
      </c>
      <c r="E3928" s="7">
        <v>1.6650000000000002E-2</v>
      </c>
      <c r="F3928" s="7">
        <v>1.6250000000000001E-2</v>
      </c>
      <c r="G3928" s="7">
        <v>1.1999999999999999E-3</v>
      </c>
    </row>
    <row r="3929" spans="2:7" x14ac:dyDescent="0.2">
      <c r="B3929" s="60">
        <v>41466</v>
      </c>
      <c r="C3929" s="7">
        <v>1.6240000000000001E-2</v>
      </c>
      <c r="D3929" s="7">
        <v>1.609E-2</v>
      </c>
      <c r="E3929" s="7">
        <v>1.6399999999999998E-2</v>
      </c>
      <c r="F3929" s="7">
        <v>1.602E-2</v>
      </c>
      <c r="G3929" s="7">
        <v>-1.7500000000000002E-2</v>
      </c>
    </row>
    <row r="3930" spans="2:7" x14ac:dyDescent="0.2">
      <c r="B3930" s="60">
        <v>41467</v>
      </c>
      <c r="C3930" s="7">
        <v>1.554E-2</v>
      </c>
      <c r="D3930" s="7">
        <v>1.6E-2</v>
      </c>
      <c r="E3930" s="7">
        <v>1.6049999999999998E-2</v>
      </c>
      <c r="F3930" s="7">
        <v>1.537E-2</v>
      </c>
      <c r="G3930" s="7">
        <v>-4.3099999999999999E-2</v>
      </c>
    </row>
    <row r="3931" spans="2:7" x14ac:dyDescent="0.2">
      <c r="B3931" s="60">
        <v>41470</v>
      </c>
      <c r="C3931" s="7">
        <v>1.576E-2</v>
      </c>
      <c r="D3931" s="7">
        <v>1.5480000000000001E-2</v>
      </c>
      <c r="E3931" s="7">
        <v>1.5869999999999999E-2</v>
      </c>
      <c r="F3931" s="7">
        <v>1.5480000000000001E-2</v>
      </c>
      <c r="G3931" s="7">
        <v>1.4200000000000001E-2</v>
      </c>
    </row>
    <row r="3932" spans="2:7" x14ac:dyDescent="0.2">
      <c r="B3932" s="60">
        <v>41471</v>
      </c>
      <c r="C3932" s="7">
        <v>1.5480000000000001E-2</v>
      </c>
      <c r="D3932" s="7">
        <v>1.5720000000000001E-2</v>
      </c>
      <c r="E3932" s="7">
        <v>1.5890000000000001E-2</v>
      </c>
      <c r="F3932" s="7">
        <v>1.546E-2</v>
      </c>
      <c r="G3932" s="7">
        <v>-1.78E-2</v>
      </c>
    </row>
    <row r="3933" spans="2:7" x14ac:dyDescent="0.2">
      <c r="B3933" s="60">
        <v>41472</v>
      </c>
      <c r="C3933" s="7">
        <v>1.541E-2</v>
      </c>
      <c r="D3933" s="7">
        <v>1.5480000000000001E-2</v>
      </c>
      <c r="E3933" s="7">
        <v>1.593E-2</v>
      </c>
      <c r="F3933" s="7">
        <v>1.5349999999999999E-2</v>
      </c>
      <c r="G3933" s="7">
        <v>-4.4999999999999997E-3</v>
      </c>
    </row>
    <row r="3934" spans="2:7" x14ac:dyDescent="0.2">
      <c r="B3934" s="60">
        <v>41473</v>
      </c>
      <c r="C3934" s="7">
        <v>1.5169999999999999E-2</v>
      </c>
      <c r="D3934" s="7">
        <v>1.541E-2</v>
      </c>
      <c r="E3934" s="7">
        <v>1.541E-2</v>
      </c>
      <c r="F3934" s="7">
        <v>1.5049999999999999E-2</v>
      </c>
      <c r="G3934" s="7">
        <v>-1.5599999999999999E-2</v>
      </c>
    </row>
    <row r="3935" spans="2:7" x14ac:dyDescent="0.2">
      <c r="B3935" s="60">
        <v>41474</v>
      </c>
      <c r="C3935" s="7">
        <v>1.525E-2</v>
      </c>
      <c r="D3935" s="7">
        <v>1.5149999999999999E-2</v>
      </c>
      <c r="E3935" s="7">
        <v>1.538E-2</v>
      </c>
      <c r="F3935" s="7">
        <v>1.504E-2</v>
      </c>
      <c r="G3935" s="7">
        <v>5.3E-3</v>
      </c>
    </row>
    <row r="3936" spans="2:7" x14ac:dyDescent="0.2">
      <c r="B3936" s="60">
        <v>41477</v>
      </c>
      <c r="C3936" s="7">
        <v>1.5189999999999999E-2</v>
      </c>
      <c r="D3936" s="7">
        <v>1.516E-2</v>
      </c>
      <c r="E3936" s="7">
        <v>1.533E-2</v>
      </c>
      <c r="F3936" s="7">
        <v>1.508E-2</v>
      </c>
      <c r="G3936" s="7">
        <v>-3.8999999999999998E-3</v>
      </c>
    </row>
    <row r="3937" spans="2:7" x14ac:dyDescent="0.2">
      <c r="B3937" s="60">
        <v>41478</v>
      </c>
      <c r="C3937" s="7">
        <v>1.5529999999999999E-2</v>
      </c>
      <c r="D3937" s="7">
        <v>1.5169999999999999E-2</v>
      </c>
      <c r="E3937" s="7">
        <v>1.5730000000000001E-2</v>
      </c>
      <c r="F3937" s="7">
        <v>1.512E-2</v>
      </c>
      <c r="G3937" s="7">
        <v>2.24E-2</v>
      </c>
    </row>
    <row r="3938" spans="2:7" x14ac:dyDescent="0.2">
      <c r="B3938" s="60">
        <v>41479</v>
      </c>
      <c r="C3938" s="7">
        <v>1.6469999999999999E-2</v>
      </c>
      <c r="D3938" s="7">
        <v>1.5449999999999998E-2</v>
      </c>
      <c r="E3938" s="7">
        <v>1.651E-2</v>
      </c>
      <c r="F3938" s="7">
        <v>1.5389999999999999E-2</v>
      </c>
      <c r="G3938" s="7">
        <v>6.0499999999999998E-2</v>
      </c>
    </row>
    <row r="3939" spans="2:7" x14ac:dyDescent="0.2">
      <c r="B3939" s="60">
        <v>41480</v>
      </c>
      <c r="C3939" s="7">
        <v>1.6810000000000002E-2</v>
      </c>
      <c r="D3939" s="7">
        <v>1.6570000000000001E-2</v>
      </c>
      <c r="E3939" s="7">
        <v>1.6959999999999999E-2</v>
      </c>
      <c r="F3939" s="7">
        <v>1.6410000000000001E-2</v>
      </c>
      <c r="G3939" s="7">
        <v>2.06E-2</v>
      </c>
    </row>
    <row r="3940" spans="2:7" x14ac:dyDescent="0.2">
      <c r="B3940" s="60">
        <v>41481</v>
      </c>
      <c r="C3940" s="7">
        <v>1.6659999999999998E-2</v>
      </c>
      <c r="D3940" s="7">
        <v>1.6639999999999999E-2</v>
      </c>
      <c r="E3940" s="7">
        <v>1.6930000000000001E-2</v>
      </c>
      <c r="F3940" s="7">
        <v>1.6459999999999999E-2</v>
      </c>
      <c r="G3940" s="7">
        <v>-8.8999999999999999E-3</v>
      </c>
    </row>
    <row r="3941" spans="2:7" x14ac:dyDescent="0.2">
      <c r="B3941" s="60">
        <v>41484</v>
      </c>
      <c r="C3941" s="7">
        <v>1.6650000000000002E-2</v>
      </c>
      <c r="D3941" s="7">
        <v>1.6579999999999998E-2</v>
      </c>
      <c r="E3941" s="7">
        <v>1.6890000000000002E-2</v>
      </c>
      <c r="F3941" s="7">
        <v>1.6459999999999999E-2</v>
      </c>
      <c r="G3941" s="7">
        <v>-5.9999999999999995E-4</v>
      </c>
    </row>
    <row r="3942" spans="2:7" x14ac:dyDescent="0.2">
      <c r="B3942" s="60">
        <v>41485</v>
      </c>
      <c r="C3942" s="7">
        <v>1.6659999999999998E-2</v>
      </c>
      <c r="D3942" s="7">
        <v>1.669E-2</v>
      </c>
      <c r="E3942" s="7">
        <v>1.6819999999999998E-2</v>
      </c>
      <c r="F3942" s="7">
        <v>1.6549999999999999E-2</v>
      </c>
      <c r="G3942" s="7">
        <v>5.9999999999999995E-4</v>
      </c>
    </row>
    <row r="3943" spans="2:7" x14ac:dyDescent="0.2">
      <c r="B3943" s="60">
        <v>41486</v>
      </c>
      <c r="C3943" s="7">
        <v>1.6760000000000001E-2</v>
      </c>
      <c r="D3943" s="7">
        <v>1.6629999999999999E-2</v>
      </c>
      <c r="E3943" s="7">
        <v>1.7129999999999999E-2</v>
      </c>
      <c r="F3943" s="7">
        <v>1.635E-2</v>
      </c>
      <c r="G3943" s="7">
        <v>6.0000000000000001E-3</v>
      </c>
    </row>
    <row r="3944" spans="2:7" x14ac:dyDescent="0.2">
      <c r="B3944" s="60">
        <v>41487</v>
      </c>
      <c r="C3944" s="7">
        <v>1.6719999999999999E-2</v>
      </c>
      <c r="D3944" s="7">
        <v>1.6250000000000001E-2</v>
      </c>
      <c r="E3944" s="7">
        <v>1.6840000000000001E-2</v>
      </c>
      <c r="F3944" s="7">
        <v>1.5949999999999999E-2</v>
      </c>
      <c r="G3944" s="7">
        <v>-2.3999999999999998E-3</v>
      </c>
    </row>
    <row r="3945" spans="2:7" x14ac:dyDescent="0.2">
      <c r="B3945" s="60">
        <v>41488</v>
      </c>
      <c r="C3945" s="7">
        <v>1.6579999999999998E-2</v>
      </c>
      <c r="D3945" s="7">
        <v>1.678E-2</v>
      </c>
      <c r="E3945" s="7">
        <v>1.7340000000000001E-2</v>
      </c>
      <c r="F3945" s="7">
        <v>1.6420000000000001E-2</v>
      </c>
      <c r="G3945" s="7">
        <v>-8.3999999999999995E-3</v>
      </c>
    </row>
    <row r="3946" spans="2:7" x14ac:dyDescent="0.2">
      <c r="B3946" s="60">
        <v>41491</v>
      </c>
      <c r="C3946" s="7">
        <v>1.6910000000000001E-2</v>
      </c>
      <c r="D3946" s="7">
        <v>1.6490000000000001E-2</v>
      </c>
      <c r="E3946" s="7">
        <v>1.6959999999999999E-2</v>
      </c>
      <c r="F3946" s="7">
        <v>1.6250000000000001E-2</v>
      </c>
      <c r="G3946" s="7">
        <v>1.9900000000000001E-2</v>
      </c>
    </row>
    <row r="3947" spans="2:7" x14ac:dyDescent="0.2">
      <c r="B3947" s="60">
        <v>41492</v>
      </c>
      <c r="C3947" s="7">
        <v>1.704E-2</v>
      </c>
      <c r="D3947" s="7">
        <v>1.6920000000000001E-2</v>
      </c>
      <c r="E3947" s="7">
        <v>1.72E-2</v>
      </c>
      <c r="F3947" s="7">
        <v>1.6840000000000001E-2</v>
      </c>
      <c r="G3947" s="7">
        <v>7.7000000000000002E-3</v>
      </c>
    </row>
    <row r="3948" spans="2:7" x14ac:dyDescent="0.2">
      <c r="B3948" s="60">
        <v>41493</v>
      </c>
      <c r="C3948" s="7">
        <v>1.694E-2</v>
      </c>
      <c r="D3948" s="7">
        <v>1.6979999999999999E-2</v>
      </c>
      <c r="E3948" s="7">
        <v>1.7239999999999998E-2</v>
      </c>
      <c r="F3948" s="7">
        <v>1.6629999999999999E-2</v>
      </c>
      <c r="G3948" s="7">
        <v>-5.8999999999999999E-3</v>
      </c>
    </row>
    <row r="3949" spans="2:7" x14ac:dyDescent="0.2">
      <c r="B3949" s="60">
        <v>41494</v>
      </c>
      <c r="C3949" s="7">
        <v>1.6799999999999999E-2</v>
      </c>
      <c r="D3949" s="7">
        <v>1.6730000000000002E-2</v>
      </c>
      <c r="E3949" s="7">
        <v>1.7059999999999999E-2</v>
      </c>
      <c r="F3949" s="7">
        <v>1.6479999999999998E-2</v>
      </c>
      <c r="G3949" s="7">
        <v>-8.3000000000000001E-3</v>
      </c>
    </row>
    <row r="3950" spans="2:7" x14ac:dyDescent="0.2">
      <c r="B3950" s="60">
        <v>41495</v>
      </c>
      <c r="C3950" s="7">
        <v>1.6819999999999998E-2</v>
      </c>
      <c r="D3950" s="7">
        <v>1.704E-2</v>
      </c>
      <c r="E3950" s="7">
        <v>1.7049999999999999E-2</v>
      </c>
      <c r="F3950" s="7">
        <v>1.6639999999999999E-2</v>
      </c>
      <c r="G3950" s="7">
        <v>1.1999999999999999E-3</v>
      </c>
    </row>
    <row r="3951" spans="2:7" x14ac:dyDescent="0.2">
      <c r="B3951" s="60">
        <v>41496</v>
      </c>
      <c r="C3951" s="7">
        <v>1.6739999999999998E-2</v>
      </c>
      <c r="D3951" s="7">
        <v>1.6739999999999998E-2</v>
      </c>
      <c r="E3951" s="7">
        <v>1.6739999999999998E-2</v>
      </c>
      <c r="F3951" s="7">
        <v>1.6739999999999998E-2</v>
      </c>
      <c r="G3951" s="7">
        <v>-4.7999999999999996E-3</v>
      </c>
    </row>
    <row r="3952" spans="2:7" x14ac:dyDescent="0.2">
      <c r="B3952" s="60">
        <v>41497</v>
      </c>
      <c r="C3952" s="7">
        <v>1.6739999999999998E-2</v>
      </c>
      <c r="D3952" s="7">
        <v>1.6739999999999998E-2</v>
      </c>
      <c r="E3952" s="7">
        <v>1.6739999999999998E-2</v>
      </c>
      <c r="F3952" s="7">
        <v>1.6739999999999998E-2</v>
      </c>
      <c r="G3952" s="7">
        <v>0</v>
      </c>
    </row>
    <row r="3953" spans="2:7" x14ac:dyDescent="0.2">
      <c r="B3953" s="60">
        <v>41498</v>
      </c>
      <c r="C3953" s="7">
        <v>1.7010000000000001E-2</v>
      </c>
      <c r="D3953" s="7">
        <v>1.6760000000000001E-2</v>
      </c>
      <c r="E3953" s="7">
        <v>1.72E-2</v>
      </c>
      <c r="F3953" s="7">
        <v>1.6760000000000001E-2</v>
      </c>
      <c r="G3953" s="7">
        <v>1.61E-2</v>
      </c>
    </row>
    <row r="3954" spans="2:7" x14ac:dyDescent="0.2">
      <c r="B3954" s="60">
        <v>41499</v>
      </c>
      <c r="C3954" s="7">
        <v>1.813E-2</v>
      </c>
      <c r="D3954" s="7">
        <v>1.7260000000000001E-2</v>
      </c>
      <c r="E3954" s="7">
        <v>1.8189999999999998E-2</v>
      </c>
      <c r="F3954" s="7">
        <v>1.721E-2</v>
      </c>
      <c r="G3954" s="7">
        <v>6.5799999999999997E-2</v>
      </c>
    </row>
    <row r="3955" spans="2:7" x14ac:dyDescent="0.2">
      <c r="B3955" s="60">
        <v>41500</v>
      </c>
      <c r="C3955" s="7">
        <v>1.8100000000000002E-2</v>
      </c>
      <c r="D3955" s="7">
        <v>1.8239999999999999E-2</v>
      </c>
      <c r="E3955" s="7">
        <v>1.8420000000000002E-2</v>
      </c>
      <c r="F3955" s="7">
        <v>1.7940000000000001E-2</v>
      </c>
      <c r="G3955" s="7">
        <v>-1.6999999999999999E-3</v>
      </c>
    </row>
    <row r="3956" spans="2:7" x14ac:dyDescent="0.2">
      <c r="B3956" s="60">
        <v>41501</v>
      </c>
      <c r="C3956" s="7">
        <v>1.8849999999999999E-2</v>
      </c>
      <c r="D3956" s="7">
        <v>1.814E-2</v>
      </c>
      <c r="E3956" s="7">
        <v>1.907E-2</v>
      </c>
      <c r="F3956" s="7">
        <v>1.8009999999999998E-2</v>
      </c>
      <c r="G3956" s="7">
        <v>4.1399999999999999E-2</v>
      </c>
    </row>
    <row r="3957" spans="2:7" x14ac:dyDescent="0.2">
      <c r="B3957" s="60">
        <v>41502</v>
      </c>
      <c r="C3957" s="7">
        <v>1.8769999999999998E-2</v>
      </c>
      <c r="D3957" s="7">
        <v>1.8849999999999999E-2</v>
      </c>
      <c r="E3957" s="7">
        <v>1.8859999999999998E-2</v>
      </c>
      <c r="F3957" s="7">
        <v>1.8610000000000002E-2</v>
      </c>
      <c r="G3957" s="7">
        <v>-4.1999999999999997E-3</v>
      </c>
    </row>
    <row r="3958" spans="2:7" x14ac:dyDescent="0.2">
      <c r="B3958" s="60">
        <v>41505</v>
      </c>
      <c r="C3958" s="7">
        <v>1.8959999999999998E-2</v>
      </c>
      <c r="D3958" s="7">
        <v>1.9089999999999999E-2</v>
      </c>
      <c r="E3958" s="7">
        <v>1.9210000000000001E-2</v>
      </c>
      <c r="F3958" s="7">
        <v>1.873E-2</v>
      </c>
      <c r="G3958" s="7">
        <v>1.01E-2</v>
      </c>
    </row>
    <row r="3959" spans="2:7" x14ac:dyDescent="0.2">
      <c r="B3959" s="60">
        <v>41506</v>
      </c>
      <c r="C3959" s="7">
        <v>1.839E-2</v>
      </c>
      <c r="D3959" s="7">
        <v>1.873E-2</v>
      </c>
      <c r="E3959" s="7">
        <v>1.883E-2</v>
      </c>
      <c r="F3959" s="7">
        <v>1.8360000000000001E-2</v>
      </c>
      <c r="G3959" s="7">
        <v>-3.0099999999999998E-2</v>
      </c>
    </row>
    <row r="3960" spans="2:7" x14ac:dyDescent="0.2">
      <c r="B3960" s="60">
        <v>41507</v>
      </c>
      <c r="C3960" s="7">
        <v>1.874E-2</v>
      </c>
      <c r="D3960" s="7">
        <v>1.8540000000000001E-2</v>
      </c>
      <c r="E3960" s="7">
        <v>1.8929999999999999E-2</v>
      </c>
      <c r="F3960" s="7">
        <v>1.8360000000000001E-2</v>
      </c>
      <c r="G3960" s="7">
        <v>1.9E-2</v>
      </c>
    </row>
    <row r="3961" spans="2:7" x14ac:dyDescent="0.2">
      <c r="B3961" s="60">
        <v>41508</v>
      </c>
      <c r="C3961" s="7">
        <v>1.9220000000000001E-2</v>
      </c>
      <c r="D3961" s="7">
        <v>1.917E-2</v>
      </c>
      <c r="E3961" s="7">
        <v>1.9450000000000002E-2</v>
      </c>
      <c r="F3961" s="7">
        <v>1.899E-2</v>
      </c>
      <c r="G3961" s="7">
        <v>2.5600000000000001E-2</v>
      </c>
    </row>
    <row r="3962" spans="2:7" x14ac:dyDescent="0.2">
      <c r="B3962" s="60">
        <v>41509</v>
      </c>
      <c r="C3962" s="7">
        <v>1.932E-2</v>
      </c>
      <c r="D3962" s="7">
        <v>1.916E-2</v>
      </c>
      <c r="E3962" s="7">
        <v>1.9810000000000001E-2</v>
      </c>
      <c r="F3962" s="7">
        <v>1.9119999999999998E-2</v>
      </c>
      <c r="G3962" s="7">
        <v>5.1999999999999998E-3</v>
      </c>
    </row>
    <row r="3963" spans="2:7" x14ac:dyDescent="0.2">
      <c r="B3963" s="60">
        <v>41512</v>
      </c>
      <c r="C3963" s="7">
        <v>1.8950000000000002E-2</v>
      </c>
      <c r="D3963" s="7">
        <v>1.9299999999999998E-2</v>
      </c>
      <c r="E3963" s="7">
        <v>1.934E-2</v>
      </c>
      <c r="F3963" s="7">
        <v>1.8849999999999999E-2</v>
      </c>
      <c r="G3963" s="7">
        <v>-1.9199999999999998E-2</v>
      </c>
    </row>
    <row r="3964" spans="2:7" x14ac:dyDescent="0.2">
      <c r="B3964" s="60">
        <v>41513</v>
      </c>
      <c r="C3964" s="7">
        <v>1.8489999999999999E-2</v>
      </c>
      <c r="D3964" s="7">
        <v>1.9039999999999998E-2</v>
      </c>
      <c r="E3964" s="7">
        <v>1.907E-2</v>
      </c>
      <c r="F3964" s="7">
        <v>1.84E-2</v>
      </c>
      <c r="G3964" s="7">
        <v>-2.4299999999999999E-2</v>
      </c>
    </row>
    <row r="3965" spans="2:7" x14ac:dyDescent="0.2">
      <c r="B3965" s="60">
        <v>41514</v>
      </c>
      <c r="C3965" s="7">
        <v>1.8779999999999998E-2</v>
      </c>
      <c r="D3965" s="7">
        <v>1.8319999999999999E-2</v>
      </c>
      <c r="E3965" s="7">
        <v>1.8879999999999997E-2</v>
      </c>
      <c r="F3965" s="7">
        <v>1.822E-2</v>
      </c>
      <c r="G3965" s="7">
        <v>1.5699999999999999E-2</v>
      </c>
    </row>
    <row r="3966" spans="2:7" x14ac:dyDescent="0.2">
      <c r="B3966" s="60">
        <v>41515</v>
      </c>
      <c r="C3966" s="7">
        <v>1.8579999999999999E-2</v>
      </c>
      <c r="D3966" s="7">
        <v>1.8879999999999997E-2</v>
      </c>
      <c r="E3966" s="7">
        <v>1.9030000000000002E-2</v>
      </c>
      <c r="F3966" s="7">
        <v>1.847E-2</v>
      </c>
      <c r="G3966" s="7">
        <v>-1.06E-2</v>
      </c>
    </row>
    <row r="3967" spans="2:7" x14ac:dyDescent="0.2">
      <c r="B3967" s="60">
        <v>41516</v>
      </c>
      <c r="C3967" s="7">
        <v>1.8550000000000001E-2</v>
      </c>
      <c r="D3967" s="7">
        <v>1.8589999999999999E-2</v>
      </c>
      <c r="E3967" s="7">
        <v>1.8720000000000001E-2</v>
      </c>
      <c r="F3967" s="7">
        <v>1.8290000000000001E-2</v>
      </c>
      <c r="G3967" s="7">
        <v>-1.6000000000000001E-3</v>
      </c>
    </row>
    <row r="3968" spans="2:7" x14ac:dyDescent="0.2">
      <c r="B3968" s="60">
        <v>41518</v>
      </c>
      <c r="C3968" s="7">
        <v>1.857E-2</v>
      </c>
      <c r="D3968" s="7">
        <v>1.857E-2</v>
      </c>
      <c r="E3968" s="7">
        <v>1.857E-2</v>
      </c>
      <c r="F3968" s="7">
        <v>1.857E-2</v>
      </c>
      <c r="G3968" s="7">
        <v>1.1000000000000001E-3</v>
      </c>
    </row>
    <row r="3969" spans="2:7" x14ac:dyDescent="0.2">
      <c r="B3969" s="60">
        <v>41519</v>
      </c>
      <c r="C3969" s="7">
        <v>1.9039999999999998E-2</v>
      </c>
      <c r="D3969" s="7">
        <v>1.9019999999999999E-2</v>
      </c>
      <c r="E3969" s="7">
        <v>1.932E-2</v>
      </c>
      <c r="F3969" s="7">
        <v>1.891E-2</v>
      </c>
      <c r="G3969" s="7">
        <v>2.53E-2</v>
      </c>
    </row>
    <row r="3970" spans="2:7" x14ac:dyDescent="0.2">
      <c r="B3970" s="60">
        <v>41520</v>
      </c>
      <c r="C3970" s="7">
        <v>1.9470000000000001E-2</v>
      </c>
      <c r="D3970" s="7">
        <v>1.9030000000000002E-2</v>
      </c>
      <c r="E3970" s="7">
        <v>1.9550000000000001E-2</v>
      </c>
      <c r="F3970" s="7">
        <v>1.891E-2</v>
      </c>
      <c r="G3970" s="7">
        <v>2.2599999999999999E-2</v>
      </c>
    </row>
    <row r="3971" spans="2:7" x14ac:dyDescent="0.2">
      <c r="B3971" s="60">
        <v>41521</v>
      </c>
      <c r="C3971" s="7">
        <v>1.9349999999999999E-2</v>
      </c>
      <c r="D3971" s="7">
        <v>1.934E-2</v>
      </c>
      <c r="E3971" s="7">
        <v>1.9550000000000001E-2</v>
      </c>
      <c r="F3971" s="7">
        <v>1.9179999999999999E-2</v>
      </c>
      <c r="G3971" s="7">
        <v>-6.1999999999999998E-3</v>
      </c>
    </row>
    <row r="3972" spans="2:7" x14ac:dyDescent="0.2">
      <c r="B3972" s="60">
        <v>41522</v>
      </c>
      <c r="C3972" s="7">
        <v>2.0409999999999998E-2</v>
      </c>
      <c r="D3972" s="7">
        <v>1.9710000000000002E-2</v>
      </c>
      <c r="E3972" s="7">
        <v>2.0480000000000002E-2</v>
      </c>
      <c r="F3972" s="7">
        <v>1.9640000000000001E-2</v>
      </c>
      <c r="G3972" s="7">
        <v>5.4800000000000001E-2</v>
      </c>
    </row>
    <row r="3973" spans="2:7" x14ac:dyDescent="0.2">
      <c r="B3973" s="60">
        <v>41523</v>
      </c>
      <c r="C3973" s="7">
        <v>1.9470000000000001E-2</v>
      </c>
      <c r="D3973" s="7">
        <v>2.0480000000000002E-2</v>
      </c>
      <c r="E3973" s="7">
        <v>2.0499999999999997E-2</v>
      </c>
      <c r="F3973" s="7">
        <v>1.934E-2</v>
      </c>
      <c r="G3973" s="7">
        <v>-4.6100000000000002E-2</v>
      </c>
    </row>
    <row r="3974" spans="2:7" x14ac:dyDescent="0.2">
      <c r="B3974" s="60">
        <v>41524</v>
      </c>
      <c r="C3974" s="7">
        <v>1.949E-2</v>
      </c>
      <c r="D3974" s="7">
        <v>1.949E-2</v>
      </c>
      <c r="E3974" s="7">
        <v>1.949E-2</v>
      </c>
      <c r="F3974" s="7">
        <v>1.949E-2</v>
      </c>
      <c r="G3974" s="7">
        <v>1E-3</v>
      </c>
    </row>
    <row r="3975" spans="2:7" x14ac:dyDescent="0.2">
      <c r="B3975" s="60">
        <v>41525</v>
      </c>
      <c r="C3975" s="7">
        <v>1.949E-2</v>
      </c>
      <c r="D3975" s="7">
        <v>1.949E-2</v>
      </c>
      <c r="E3975" s="7">
        <v>1.949E-2</v>
      </c>
      <c r="F3975" s="7">
        <v>1.949E-2</v>
      </c>
      <c r="G3975" s="7">
        <v>0</v>
      </c>
    </row>
    <row r="3976" spans="2:7" x14ac:dyDescent="0.2">
      <c r="B3976" s="60">
        <v>41526</v>
      </c>
      <c r="C3976" s="7">
        <v>1.9539999999999998E-2</v>
      </c>
      <c r="D3976" s="7">
        <v>1.9599999999999999E-2</v>
      </c>
      <c r="E3976" s="7">
        <v>1.9769999999999999E-2</v>
      </c>
      <c r="F3976" s="7">
        <v>1.942E-2</v>
      </c>
      <c r="G3976" s="7">
        <v>2.5999999999999999E-3</v>
      </c>
    </row>
    <row r="3977" spans="2:7" x14ac:dyDescent="0.2">
      <c r="B3977" s="60">
        <v>41527</v>
      </c>
      <c r="C3977" s="7">
        <v>2.027E-2</v>
      </c>
      <c r="D3977" s="7">
        <v>1.992E-2</v>
      </c>
      <c r="E3977" s="7">
        <v>2.0470000000000002E-2</v>
      </c>
      <c r="F3977" s="7">
        <v>1.9820000000000001E-2</v>
      </c>
      <c r="G3977" s="7">
        <v>3.7400000000000003E-2</v>
      </c>
    </row>
    <row r="3978" spans="2:7" x14ac:dyDescent="0.2">
      <c r="B3978" s="60">
        <v>41528</v>
      </c>
      <c r="C3978" s="7">
        <v>2.0030000000000003E-2</v>
      </c>
      <c r="D3978" s="7">
        <v>2.035E-2</v>
      </c>
      <c r="E3978" s="7">
        <v>2.0369999999999999E-2</v>
      </c>
      <c r="F3978" s="7">
        <v>1.992E-2</v>
      </c>
      <c r="G3978" s="7">
        <v>-1.18E-2</v>
      </c>
    </row>
    <row r="3979" spans="2:7" x14ac:dyDescent="0.2">
      <c r="B3979" s="60">
        <v>41529</v>
      </c>
      <c r="C3979" s="7">
        <v>1.949E-2</v>
      </c>
      <c r="D3979" s="7">
        <v>1.9619999999999999E-2</v>
      </c>
      <c r="E3979" s="7">
        <v>1.9779999999999999E-2</v>
      </c>
      <c r="F3979" s="7">
        <v>1.9279999999999999E-2</v>
      </c>
      <c r="G3979" s="7">
        <v>-2.7E-2</v>
      </c>
    </row>
    <row r="3980" spans="2:7" x14ac:dyDescent="0.2">
      <c r="B3980" s="60">
        <v>41530</v>
      </c>
      <c r="C3980" s="7">
        <v>1.975E-2</v>
      </c>
      <c r="D3980" s="7">
        <v>2.0330000000000001E-2</v>
      </c>
      <c r="E3980" s="7">
        <v>2.0480000000000002E-2</v>
      </c>
      <c r="F3980" s="7">
        <v>1.9619999999999999E-2</v>
      </c>
      <c r="G3980" s="7">
        <v>1.3299999999999999E-2</v>
      </c>
    </row>
    <row r="3981" spans="2:7" x14ac:dyDescent="0.2">
      <c r="B3981" s="60">
        <v>41532</v>
      </c>
      <c r="C3981" s="7">
        <v>1.9740000000000001E-2</v>
      </c>
      <c r="D3981" s="7">
        <v>1.9740000000000001E-2</v>
      </c>
      <c r="E3981" s="7">
        <v>1.9740000000000001E-2</v>
      </c>
      <c r="F3981" s="7">
        <v>1.9740000000000001E-2</v>
      </c>
      <c r="G3981" s="7">
        <v>-5.0000000000000001E-4</v>
      </c>
    </row>
    <row r="3982" spans="2:7" x14ac:dyDescent="0.2">
      <c r="B3982" s="60">
        <v>41533</v>
      </c>
      <c r="C3982" s="7">
        <v>1.9299999999999998E-2</v>
      </c>
      <c r="D3982" s="7">
        <v>1.934E-2</v>
      </c>
      <c r="E3982" s="7">
        <v>1.949E-2</v>
      </c>
      <c r="F3982" s="7">
        <v>1.915E-2</v>
      </c>
      <c r="G3982" s="7">
        <v>-2.23E-2</v>
      </c>
    </row>
    <row r="3983" spans="2:7" x14ac:dyDescent="0.2">
      <c r="B3983" s="60">
        <v>41534</v>
      </c>
      <c r="C3983" s="7">
        <v>1.9730000000000001E-2</v>
      </c>
      <c r="D3983" s="7">
        <v>1.951E-2</v>
      </c>
      <c r="E3983" s="7">
        <v>1.9769999999999999E-2</v>
      </c>
      <c r="F3983" s="7">
        <v>1.934E-2</v>
      </c>
      <c r="G3983" s="7">
        <v>2.23E-2</v>
      </c>
    </row>
    <row r="3984" spans="2:7" x14ac:dyDescent="0.2">
      <c r="B3984" s="60">
        <v>41535</v>
      </c>
      <c r="C3984" s="7">
        <v>2.0039999999999999E-2</v>
      </c>
      <c r="D3984" s="7">
        <v>1.967E-2</v>
      </c>
      <c r="E3984" s="7">
        <v>2.0160000000000001E-2</v>
      </c>
      <c r="F3984" s="7">
        <v>1.9539999999999998E-2</v>
      </c>
      <c r="G3984" s="7">
        <v>1.5699999999999999E-2</v>
      </c>
    </row>
    <row r="3985" spans="2:7" x14ac:dyDescent="0.2">
      <c r="B3985" s="60">
        <v>41536</v>
      </c>
      <c r="C3985" s="7">
        <v>1.9259999999999999E-2</v>
      </c>
      <c r="D3985" s="7">
        <v>1.8680000000000002E-2</v>
      </c>
      <c r="E3985" s="7">
        <v>1.9349999999999999E-2</v>
      </c>
      <c r="F3985" s="7">
        <v>1.864E-2</v>
      </c>
      <c r="G3985" s="7">
        <v>-3.8899999999999997E-2</v>
      </c>
    </row>
    <row r="3986" spans="2:7" x14ac:dyDescent="0.2">
      <c r="B3986" s="60">
        <v>41537</v>
      </c>
      <c r="C3986" s="7">
        <v>1.9530000000000002E-2</v>
      </c>
      <c r="D3986" s="7">
        <v>1.9269999999999999E-2</v>
      </c>
      <c r="E3986" s="7">
        <v>1.9710000000000002E-2</v>
      </c>
      <c r="F3986" s="7">
        <v>1.9050000000000001E-2</v>
      </c>
      <c r="G3986" s="7">
        <v>1.4E-2</v>
      </c>
    </row>
    <row r="3987" spans="2:7" x14ac:dyDescent="0.2">
      <c r="B3987" s="60">
        <v>41539</v>
      </c>
      <c r="C3987" s="7">
        <v>1.9470000000000001E-2</v>
      </c>
      <c r="D3987" s="7">
        <v>1.9470000000000001E-2</v>
      </c>
      <c r="E3987" s="7">
        <v>1.9470000000000001E-2</v>
      </c>
      <c r="F3987" s="7">
        <v>1.9470000000000001E-2</v>
      </c>
      <c r="G3987" s="7">
        <v>-3.0999999999999999E-3</v>
      </c>
    </row>
    <row r="3988" spans="2:7" x14ac:dyDescent="0.2">
      <c r="B3988" s="60">
        <v>41540</v>
      </c>
      <c r="C3988" s="7">
        <v>1.9179999999999999E-2</v>
      </c>
      <c r="D3988" s="7">
        <v>1.9439999999999999E-2</v>
      </c>
      <c r="E3988" s="7">
        <v>1.9810000000000001E-2</v>
      </c>
      <c r="F3988" s="7">
        <v>1.9140000000000001E-2</v>
      </c>
      <c r="G3988" s="7">
        <v>-1.49E-2</v>
      </c>
    </row>
    <row r="3989" spans="2:7" x14ac:dyDescent="0.2">
      <c r="B3989" s="60">
        <v>41541</v>
      </c>
      <c r="C3989" s="7">
        <v>1.8520000000000002E-2</v>
      </c>
      <c r="D3989" s="7">
        <v>1.9189999999999999E-2</v>
      </c>
      <c r="E3989" s="7">
        <v>1.9220000000000001E-2</v>
      </c>
      <c r="F3989" s="7">
        <v>1.8489999999999999E-2</v>
      </c>
      <c r="G3989" s="7">
        <v>-3.44E-2</v>
      </c>
    </row>
    <row r="3990" spans="2:7" x14ac:dyDescent="0.2">
      <c r="B3990" s="60">
        <v>41542</v>
      </c>
      <c r="C3990" s="7">
        <v>1.822E-2</v>
      </c>
      <c r="D3990" s="7">
        <v>1.8429999999999998E-2</v>
      </c>
      <c r="E3990" s="7">
        <v>1.8630000000000001E-2</v>
      </c>
      <c r="F3990" s="7">
        <v>1.8200000000000001E-2</v>
      </c>
      <c r="G3990" s="7">
        <v>-1.6199999999999999E-2</v>
      </c>
    </row>
    <row r="3991" spans="2:7" x14ac:dyDescent="0.2">
      <c r="B3991" s="60">
        <v>41543</v>
      </c>
      <c r="C3991" s="7">
        <v>1.8280000000000001E-2</v>
      </c>
      <c r="D3991" s="7">
        <v>1.83E-2</v>
      </c>
      <c r="E3991" s="7">
        <v>1.8429999999999998E-2</v>
      </c>
      <c r="F3991" s="7">
        <v>1.8089999999999998E-2</v>
      </c>
      <c r="G3991" s="7">
        <v>3.3E-3</v>
      </c>
    </row>
    <row r="3992" spans="2:7" x14ac:dyDescent="0.2">
      <c r="B3992" s="60">
        <v>41544</v>
      </c>
      <c r="C3992" s="7">
        <v>1.78E-2</v>
      </c>
      <c r="D3992" s="7">
        <v>1.8329999999999999E-2</v>
      </c>
      <c r="E3992" s="7">
        <v>1.839E-2</v>
      </c>
      <c r="F3992" s="7">
        <v>1.772E-2</v>
      </c>
      <c r="G3992" s="7">
        <v>-2.63E-2</v>
      </c>
    </row>
    <row r="3993" spans="2:7" x14ac:dyDescent="0.2">
      <c r="B3993" s="60">
        <v>41546</v>
      </c>
      <c r="C3993" s="7">
        <v>1.78E-2</v>
      </c>
      <c r="D3993" s="7">
        <v>1.78E-2</v>
      </c>
      <c r="E3993" s="7">
        <v>1.78E-2</v>
      </c>
      <c r="F3993" s="7">
        <v>1.78E-2</v>
      </c>
      <c r="G3993" s="7">
        <v>0</v>
      </c>
    </row>
    <row r="3994" spans="2:7" x14ac:dyDescent="0.2">
      <c r="B3994" s="60">
        <v>41547</v>
      </c>
      <c r="C3994" s="7">
        <v>1.78E-2</v>
      </c>
      <c r="D3994" s="7">
        <v>1.7600000000000001E-2</v>
      </c>
      <c r="E3994" s="7">
        <v>1.805E-2</v>
      </c>
      <c r="F3994" s="7">
        <v>1.7430000000000001E-2</v>
      </c>
      <c r="G3994" s="7">
        <v>0</v>
      </c>
    </row>
    <row r="3995" spans="2:7" x14ac:dyDescent="0.2">
      <c r="B3995" s="60">
        <v>41548</v>
      </c>
      <c r="C3995" s="7">
        <v>1.806E-2</v>
      </c>
      <c r="D3995" s="7">
        <v>1.7829999999999999E-2</v>
      </c>
      <c r="E3995" s="7">
        <v>1.8159999999999999E-2</v>
      </c>
      <c r="F3995" s="7">
        <v>1.77E-2</v>
      </c>
      <c r="G3995" s="7">
        <v>1.46E-2</v>
      </c>
    </row>
    <row r="3996" spans="2:7" x14ac:dyDescent="0.2">
      <c r="B3996" s="60">
        <v>41549</v>
      </c>
      <c r="C3996" s="7">
        <v>1.8069999999999999E-2</v>
      </c>
      <c r="D3996" s="7">
        <v>1.804E-2</v>
      </c>
      <c r="E3996" s="7">
        <v>1.8370000000000001E-2</v>
      </c>
      <c r="F3996" s="7">
        <v>1.7860000000000001E-2</v>
      </c>
      <c r="G3996" s="7">
        <v>5.9999999999999995E-4</v>
      </c>
    </row>
    <row r="3997" spans="2:7" x14ac:dyDescent="0.2">
      <c r="B3997" s="60">
        <v>41550</v>
      </c>
      <c r="C3997" s="7">
        <v>1.8089999999999998E-2</v>
      </c>
      <c r="D3997" s="7">
        <v>1.814E-2</v>
      </c>
      <c r="E3997" s="7">
        <v>1.8520000000000002E-2</v>
      </c>
      <c r="F3997" s="7">
        <v>1.806E-2</v>
      </c>
      <c r="G3997" s="7">
        <v>1.1000000000000001E-3</v>
      </c>
    </row>
    <row r="3998" spans="2:7" x14ac:dyDescent="0.2">
      <c r="B3998" s="60">
        <v>41551</v>
      </c>
      <c r="C3998" s="7">
        <v>1.8329999999999999E-2</v>
      </c>
      <c r="D3998" s="7">
        <v>1.814E-2</v>
      </c>
      <c r="E3998" s="7">
        <v>1.8450000000000001E-2</v>
      </c>
      <c r="F3998" s="7">
        <v>1.7989999999999999E-2</v>
      </c>
      <c r="G3998" s="7">
        <v>1.3299999999999999E-2</v>
      </c>
    </row>
    <row r="3999" spans="2:7" x14ac:dyDescent="0.2">
      <c r="B3999" s="60">
        <v>41553</v>
      </c>
      <c r="C3999" s="7">
        <v>1.8319999999999999E-2</v>
      </c>
      <c r="D3999" s="7">
        <v>1.8319999999999999E-2</v>
      </c>
      <c r="E3999" s="7">
        <v>1.8319999999999999E-2</v>
      </c>
      <c r="F3999" s="7">
        <v>1.8319999999999999E-2</v>
      </c>
      <c r="G3999" s="7">
        <v>-5.0000000000000001E-4</v>
      </c>
    </row>
    <row r="4000" spans="2:7" x14ac:dyDescent="0.2">
      <c r="B4000" s="60">
        <v>41554</v>
      </c>
      <c r="C4000" s="7">
        <v>1.8020000000000001E-2</v>
      </c>
      <c r="D4000" s="7">
        <v>1.8169999999999999E-2</v>
      </c>
      <c r="E4000" s="7">
        <v>1.821E-2</v>
      </c>
      <c r="F4000" s="7">
        <v>1.7899999999999999E-2</v>
      </c>
      <c r="G4000" s="7">
        <v>-1.6400000000000001E-2</v>
      </c>
    </row>
    <row r="4001" spans="2:7" x14ac:dyDescent="0.2">
      <c r="B4001" s="60">
        <v>41555</v>
      </c>
      <c r="C4001" s="7">
        <v>1.8110000000000001E-2</v>
      </c>
      <c r="D4001" s="7">
        <v>1.8110000000000001E-2</v>
      </c>
      <c r="E4001" s="7">
        <v>1.8349999999999998E-2</v>
      </c>
      <c r="F4001" s="7">
        <v>1.8089999999999998E-2</v>
      </c>
      <c r="G4001" s="7">
        <v>5.0000000000000001E-3</v>
      </c>
    </row>
    <row r="4002" spans="2:7" x14ac:dyDescent="0.2">
      <c r="B4002" s="60">
        <v>41556</v>
      </c>
      <c r="C4002" s="7">
        <v>1.813E-2</v>
      </c>
      <c r="D4002" s="7">
        <v>1.814E-2</v>
      </c>
      <c r="E4002" s="7">
        <v>1.8239999999999999E-2</v>
      </c>
      <c r="F4002" s="7">
        <v>1.7780000000000001E-2</v>
      </c>
      <c r="G4002" s="7">
        <v>1.1000000000000001E-3</v>
      </c>
    </row>
    <row r="4003" spans="2:7" x14ac:dyDescent="0.2">
      <c r="B4003" s="60">
        <v>41557</v>
      </c>
      <c r="C4003" s="7">
        <v>1.8680000000000002E-2</v>
      </c>
      <c r="D4003" s="7">
        <v>1.847E-2</v>
      </c>
      <c r="E4003" s="7">
        <v>1.8799999999999997E-2</v>
      </c>
      <c r="F4003" s="7">
        <v>1.8249999999999999E-2</v>
      </c>
      <c r="G4003" s="7">
        <v>3.0300000000000001E-2</v>
      </c>
    </row>
    <row r="4004" spans="2:7" x14ac:dyDescent="0.2">
      <c r="B4004" s="60">
        <v>41558</v>
      </c>
      <c r="C4004" s="7">
        <v>1.8620000000000001E-2</v>
      </c>
      <c r="D4004" s="7">
        <v>1.8500000000000003E-2</v>
      </c>
      <c r="E4004" s="7">
        <v>1.883E-2</v>
      </c>
      <c r="F4004" s="7">
        <v>1.848E-2</v>
      </c>
      <c r="G4004" s="7">
        <v>-3.2000000000000002E-3</v>
      </c>
    </row>
    <row r="4005" spans="2:7" x14ac:dyDescent="0.2">
      <c r="B4005" s="60">
        <v>41561</v>
      </c>
      <c r="C4005" s="7">
        <v>1.8589999999999999E-2</v>
      </c>
      <c r="D4005" s="7">
        <v>1.857E-2</v>
      </c>
      <c r="E4005" s="7">
        <v>1.8720000000000001E-2</v>
      </c>
      <c r="F4005" s="7">
        <v>1.8450000000000001E-2</v>
      </c>
      <c r="G4005" s="7">
        <v>-1.6000000000000001E-3</v>
      </c>
    </row>
    <row r="4006" spans="2:7" x14ac:dyDescent="0.2">
      <c r="B4006" s="60">
        <v>41562</v>
      </c>
      <c r="C4006" s="7">
        <v>1.9110000000000002E-2</v>
      </c>
      <c r="D4006" s="7">
        <v>1.9019999999999999E-2</v>
      </c>
      <c r="E4006" s="7">
        <v>1.9130000000000001E-2</v>
      </c>
      <c r="F4006" s="7">
        <v>1.8759999999999999E-2</v>
      </c>
      <c r="G4006" s="7">
        <v>2.8000000000000001E-2</v>
      </c>
    </row>
    <row r="4007" spans="2:7" x14ac:dyDescent="0.2">
      <c r="B4007" s="60">
        <v>41563</v>
      </c>
      <c r="C4007" s="7">
        <v>1.9310000000000001E-2</v>
      </c>
      <c r="D4007" s="7">
        <v>1.917E-2</v>
      </c>
      <c r="E4007" s="7">
        <v>1.9459999999999998E-2</v>
      </c>
      <c r="F4007" s="7">
        <v>1.9060000000000001E-2</v>
      </c>
      <c r="G4007" s="7">
        <v>1.0500000000000001E-2</v>
      </c>
    </row>
    <row r="4008" spans="2:7" x14ac:dyDescent="0.2">
      <c r="B4008" s="60">
        <v>41564</v>
      </c>
      <c r="C4008" s="7">
        <v>1.8680000000000002E-2</v>
      </c>
      <c r="D4008" s="7">
        <v>1.891E-2</v>
      </c>
      <c r="E4008" s="7">
        <v>1.9060000000000001E-2</v>
      </c>
      <c r="F4008" s="7">
        <v>1.8620000000000001E-2</v>
      </c>
      <c r="G4008" s="7">
        <v>-3.2599999999999997E-2</v>
      </c>
    </row>
    <row r="4009" spans="2:7" x14ac:dyDescent="0.2">
      <c r="B4009" s="60">
        <v>41565</v>
      </c>
      <c r="C4009" s="7">
        <v>1.8360000000000001E-2</v>
      </c>
      <c r="D4009" s="7">
        <v>1.8669999999999999E-2</v>
      </c>
      <c r="E4009" s="7">
        <v>1.8779999999999998E-2</v>
      </c>
      <c r="F4009" s="7">
        <v>1.8180000000000002E-2</v>
      </c>
      <c r="G4009" s="7">
        <v>-1.7100000000000001E-2</v>
      </c>
    </row>
    <row r="4010" spans="2:7" x14ac:dyDescent="0.2">
      <c r="B4010" s="60">
        <v>41567</v>
      </c>
      <c r="C4010" s="7">
        <v>1.8360000000000001E-2</v>
      </c>
      <c r="D4010" s="7">
        <v>1.831E-2</v>
      </c>
      <c r="E4010" s="7">
        <v>1.8360000000000001E-2</v>
      </c>
      <c r="F4010" s="7">
        <v>1.831E-2</v>
      </c>
      <c r="G4010" s="7">
        <v>0</v>
      </c>
    </row>
    <row r="4011" spans="2:7" x14ac:dyDescent="0.2">
      <c r="B4011" s="60">
        <v>41568</v>
      </c>
      <c r="C4011" s="7">
        <v>1.847E-2</v>
      </c>
      <c r="D4011" s="7">
        <v>1.8360000000000001E-2</v>
      </c>
      <c r="E4011" s="7">
        <v>1.8550000000000001E-2</v>
      </c>
      <c r="F4011" s="7">
        <v>1.83E-2</v>
      </c>
      <c r="G4011" s="7">
        <v>6.0000000000000001E-3</v>
      </c>
    </row>
    <row r="4012" spans="2:7" x14ac:dyDescent="0.2">
      <c r="B4012" s="60">
        <v>41569</v>
      </c>
      <c r="C4012" s="7">
        <v>1.796E-2</v>
      </c>
      <c r="D4012" s="7">
        <v>1.8489999999999999E-2</v>
      </c>
      <c r="E4012" s="7">
        <v>1.857E-2</v>
      </c>
      <c r="F4012" s="7">
        <v>1.7899999999999999E-2</v>
      </c>
      <c r="G4012" s="7">
        <v>-2.76E-2</v>
      </c>
    </row>
    <row r="4013" spans="2:7" x14ac:dyDescent="0.2">
      <c r="B4013" s="60">
        <v>41570</v>
      </c>
      <c r="C4013" s="7">
        <v>1.7659999999999999E-2</v>
      </c>
      <c r="D4013" s="7">
        <v>1.7860000000000001E-2</v>
      </c>
      <c r="E4013" s="7">
        <v>1.7950000000000001E-2</v>
      </c>
      <c r="F4013" s="7">
        <v>1.762E-2</v>
      </c>
      <c r="G4013" s="7">
        <v>-1.67E-2</v>
      </c>
    </row>
    <row r="4014" spans="2:7" x14ac:dyDescent="0.2">
      <c r="B4014" s="60">
        <v>41571</v>
      </c>
      <c r="C4014" s="7">
        <v>1.7680000000000001E-2</v>
      </c>
      <c r="D4014" s="7">
        <v>1.779E-2</v>
      </c>
      <c r="E4014" s="7">
        <v>1.7809999999999999E-2</v>
      </c>
      <c r="F4014" s="7">
        <v>1.737E-2</v>
      </c>
      <c r="G4014" s="7">
        <v>1.1000000000000001E-3</v>
      </c>
    </row>
    <row r="4015" spans="2:7" x14ac:dyDescent="0.2">
      <c r="B4015" s="60">
        <v>41572</v>
      </c>
      <c r="C4015" s="7">
        <v>1.754E-2</v>
      </c>
      <c r="D4015" s="7">
        <v>1.7680000000000001E-2</v>
      </c>
      <c r="E4015" s="7">
        <v>1.7729999999999999E-2</v>
      </c>
      <c r="F4015" s="7">
        <v>1.7490000000000002E-2</v>
      </c>
      <c r="G4015" s="7">
        <v>-7.9000000000000008E-3</v>
      </c>
    </row>
    <row r="4016" spans="2:7" x14ac:dyDescent="0.2">
      <c r="B4016" s="60">
        <v>41574</v>
      </c>
      <c r="C4016" s="7">
        <v>1.753E-2</v>
      </c>
      <c r="D4016" s="7">
        <v>1.753E-2</v>
      </c>
      <c r="E4016" s="7">
        <v>1.753E-2</v>
      </c>
      <c r="F4016" s="7">
        <v>1.753E-2</v>
      </c>
      <c r="G4016" s="7">
        <v>-5.9999999999999995E-4</v>
      </c>
    </row>
    <row r="4017" spans="2:7" x14ac:dyDescent="0.2">
      <c r="B4017" s="60">
        <v>41575</v>
      </c>
      <c r="C4017" s="7">
        <v>1.7520000000000001E-2</v>
      </c>
      <c r="D4017" s="7">
        <v>1.763E-2</v>
      </c>
      <c r="E4017" s="7">
        <v>1.7659999999999999E-2</v>
      </c>
      <c r="F4017" s="7">
        <v>1.7399999999999999E-2</v>
      </c>
      <c r="G4017" s="7">
        <v>-5.9999999999999995E-4</v>
      </c>
    </row>
    <row r="4018" spans="2:7" x14ac:dyDescent="0.2">
      <c r="B4018" s="60">
        <v>41576</v>
      </c>
      <c r="C4018" s="7">
        <v>1.7420000000000001E-2</v>
      </c>
      <c r="D4018" s="7">
        <v>1.7520000000000001E-2</v>
      </c>
      <c r="E4018" s="7">
        <v>1.7669999999999998E-2</v>
      </c>
      <c r="F4018" s="7">
        <v>1.7340000000000001E-2</v>
      </c>
      <c r="G4018" s="7">
        <v>-5.7000000000000002E-3</v>
      </c>
    </row>
    <row r="4019" spans="2:7" x14ac:dyDescent="0.2">
      <c r="B4019" s="60">
        <v>41577</v>
      </c>
      <c r="C4019" s="7">
        <v>1.6899999999999998E-2</v>
      </c>
      <c r="D4019" s="7">
        <v>1.7170000000000001E-2</v>
      </c>
      <c r="E4019" s="7">
        <v>1.7239999999999998E-2</v>
      </c>
      <c r="F4019" s="7">
        <v>1.6879999999999999E-2</v>
      </c>
      <c r="G4019" s="7">
        <v>-2.9899999999999999E-2</v>
      </c>
    </row>
    <row r="4020" spans="2:7" x14ac:dyDescent="0.2">
      <c r="B4020" s="60">
        <v>41578</v>
      </c>
      <c r="C4020" s="7">
        <v>1.6789999999999999E-2</v>
      </c>
      <c r="D4020" s="7">
        <v>1.7100000000000001E-2</v>
      </c>
      <c r="E4020" s="7">
        <v>1.712E-2</v>
      </c>
      <c r="F4020" s="7">
        <v>1.651E-2</v>
      </c>
      <c r="G4020" s="7">
        <v>-6.4999999999999997E-3</v>
      </c>
    </row>
    <row r="4021" spans="2:7" x14ac:dyDescent="0.2">
      <c r="B4021" s="60">
        <v>41579</v>
      </c>
      <c r="C4021" s="7">
        <v>1.6930000000000001E-2</v>
      </c>
      <c r="D4021" s="7">
        <v>1.6739999999999998E-2</v>
      </c>
      <c r="E4021" s="7">
        <v>1.703E-2</v>
      </c>
      <c r="F4021" s="7">
        <v>1.6629999999999999E-2</v>
      </c>
      <c r="G4021" s="7">
        <v>8.3000000000000001E-3</v>
      </c>
    </row>
    <row r="4022" spans="2:7" x14ac:dyDescent="0.2">
      <c r="B4022" s="60">
        <v>41581</v>
      </c>
      <c r="C4022" s="7">
        <v>1.6920000000000001E-2</v>
      </c>
      <c r="D4022" s="7">
        <v>1.6920000000000001E-2</v>
      </c>
      <c r="E4022" s="7">
        <v>1.6920000000000001E-2</v>
      </c>
      <c r="F4022" s="7">
        <v>1.6920000000000001E-2</v>
      </c>
      <c r="G4022" s="7">
        <v>-5.9999999999999995E-4</v>
      </c>
    </row>
    <row r="4023" spans="2:7" x14ac:dyDescent="0.2">
      <c r="B4023" s="60">
        <v>41582</v>
      </c>
      <c r="C4023" s="7">
        <v>1.685E-2</v>
      </c>
      <c r="D4023" s="7">
        <v>1.6930000000000001E-2</v>
      </c>
      <c r="E4023" s="7">
        <v>1.6930000000000001E-2</v>
      </c>
      <c r="F4023" s="7">
        <v>1.6709999999999999E-2</v>
      </c>
      <c r="G4023" s="7">
        <v>-4.1000000000000003E-3</v>
      </c>
    </row>
    <row r="4024" spans="2:7" x14ac:dyDescent="0.2">
      <c r="B4024" s="60">
        <v>41583</v>
      </c>
      <c r="C4024" s="7">
        <v>1.745E-2</v>
      </c>
      <c r="D4024" s="7">
        <v>1.686E-2</v>
      </c>
      <c r="E4024" s="7">
        <v>1.7500000000000002E-2</v>
      </c>
      <c r="F4024" s="7">
        <v>1.6810000000000002E-2</v>
      </c>
      <c r="G4024" s="7">
        <v>3.56E-2</v>
      </c>
    </row>
    <row r="4025" spans="2:7" x14ac:dyDescent="0.2">
      <c r="B4025" s="60">
        <v>41584</v>
      </c>
      <c r="C4025" s="7">
        <v>1.7469999999999999E-2</v>
      </c>
      <c r="D4025" s="7">
        <v>1.728E-2</v>
      </c>
      <c r="E4025" s="7">
        <v>1.7559999999999999E-2</v>
      </c>
      <c r="F4025" s="7">
        <v>1.7219999999999999E-2</v>
      </c>
      <c r="G4025" s="7">
        <v>1.1000000000000001E-3</v>
      </c>
    </row>
    <row r="4026" spans="2:7" x14ac:dyDescent="0.2">
      <c r="B4026" s="60">
        <v>41585</v>
      </c>
      <c r="C4026" s="7">
        <v>1.6890000000000002E-2</v>
      </c>
      <c r="D4026" s="7">
        <v>1.7420000000000001E-2</v>
      </c>
      <c r="E4026" s="7">
        <v>1.7579999999999998E-2</v>
      </c>
      <c r="F4026" s="7">
        <v>1.678E-2</v>
      </c>
      <c r="G4026" s="7">
        <v>-3.32E-2</v>
      </c>
    </row>
    <row r="4027" spans="2:7" x14ac:dyDescent="0.2">
      <c r="B4027" s="60">
        <v>41586</v>
      </c>
      <c r="C4027" s="7">
        <v>1.763E-2</v>
      </c>
      <c r="D4027" s="7">
        <v>1.6899999999999998E-2</v>
      </c>
      <c r="E4027" s="7">
        <v>1.771E-2</v>
      </c>
      <c r="F4027" s="7">
        <v>1.6789999999999999E-2</v>
      </c>
      <c r="G4027" s="7">
        <v>4.3799999999999999E-2</v>
      </c>
    </row>
    <row r="4028" spans="2:7" x14ac:dyDescent="0.2">
      <c r="B4028" s="60">
        <v>41589</v>
      </c>
      <c r="C4028" s="7">
        <v>1.753E-2</v>
      </c>
      <c r="D4028" s="7">
        <v>1.7569999999999999E-2</v>
      </c>
      <c r="E4028" s="7">
        <v>1.7600000000000001E-2</v>
      </c>
      <c r="F4028" s="7">
        <v>1.7319999999999999E-2</v>
      </c>
      <c r="G4028" s="7">
        <v>-5.7000000000000002E-3</v>
      </c>
    </row>
    <row r="4029" spans="2:7" x14ac:dyDescent="0.2">
      <c r="B4029" s="60">
        <v>41590</v>
      </c>
      <c r="C4029" s="7">
        <v>1.788E-2</v>
      </c>
      <c r="D4029" s="7">
        <v>1.7589999999999998E-2</v>
      </c>
      <c r="E4029" s="7">
        <v>1.796E-2</v>
      </c>
      <c r="F4029" s="7">
        <v>1.7569999999999999E-2</v>
      </c>
      <c r="G4029" s="7">
        <v>0.02</v>
      </c>
    </row>
    <row r="4030" spans="2:7" x14ac:dyDescent="0.2">
      <c r="B4030" s="60">
        <v>41591</v>
      </c>
      <c r="C4030" s="7">
        <v>1.737E-2</v>
      </c>
      <c r="D4030" s="7">
        <v>1.78E-2</v>
      </c>
      <c r="E4030" s="7">
        <v>1.7929999999999998E-2</v>
      </c>
      <c r="F4030" s="7">
        <v>1.7299999999999999E-2</v>
      </c>
      <c r="G4030" s="7">
        <v>-2.8500000000000001E-2</v>
      </c>
    </row>
    <row r="4031" spans="2:7" x14ac:dyDescent="0.2">
      <c r="B4031" s="60">
        <v>41592</v>
      </c>
      <c r="C4031" s="7">
        <v>1.702E-2</v>
      </c>
      <c r="D4031" s="7">
        <v>1.7219999999999999E-2</v>
      </c>
      <c r="E4031" s="7">
        <v>1.7310000000000002E-2</v>
      </c>
      <c r="F4031" s="7">
        <v>1.695E-2</v>
      </c>
      <c r="G4031" s="7">
        <v>-2.01E-2</v>
      </c>
    </row>
    <row r="4032" spans="2:7" x14ac:dyDescent="0.2">
      <c r="B4032" s="60">
        <v>41593</v>
      </c>
      <c r="C4032" s="7">
        <v>1.7090000000000001E-2</v>
      </c>
      <c r="D4032" s="7">
        <v>1.712E-2</v>
      </c>
      <c r="E4032" s="7">
        <v>1.7340000000000001E-2</v>
      </c>
      <c r="F4032" s="7">
        <v>1.7000000000000001E-2</v>
      </c>
      <c r="G4032" s="7">
        <v>4.1000000000000003E-3</v>
      </c>
    </row>
    <row r="4033" spans="2:7" x14ac:dyDescent="0.2">
      <c r="B4033" s="60">
        <v>41595</v>
      </c>
      <c r="C4033" s="7">
        <v>1.7090000000000001E-2</v>
      </c>
      <c r="D4033" s="7">
        <v>1.7090000000000001E-2</v>
      </c>
      <c r="E4033" s="7">
        <v>1.7090000000000001E-2</v>
      </c>
      <c r="F4033" s="7">
        <v>1.7090000000000001E-2</v>
      </c>
      <c r="G4033" s="7">
        <v>0</v>
      </c>
    </row>
    <row r="4034" spans="2:7" x14ac:dyDescent="0.2">
      <c r="B4034" s="60">
        <v>41596</v>
      </c>
      <c r="C4034" s="7">
        <v>1.6840000000000001E-2</v>
      </c>
      <c r="D4034" s="7">
        <v>1.7070000000000002E-2</v>
      </c>
      <c r="E4034" s="7">
        <v>1.7219999999999999E-2</v>
      </c>
      <c r="F4034" s="7">
        <v>1.6799999999999999E-2</v>
      </c>
      <c r="G4034" s="7">
        <v>-1.46E-2</v>
      </c>
    </row>
    <row r="4035" spans="2:7" x14ac:dyDescent="0.2">
      <c r="B4035" s="60">
        <v>41597</v>
      </c>
      <c r="C4035" s="7">
        <v>1.72E-2</v>
      </c>
      <c r="D4035" s="7">
        <v>1.6830000000000001E-2</v>
      </c>
      <c r="E4035" s="7">
        <v>1.7250000000000001E-2</v>
      </c>
      <c r="F4035" s="7">
        <v>1.6789999999999999E-2</v>
      </c>
      <c r="G4035" s="7">
        <v>2.1399999999999999E-2</v>
      </c>
    </row>
    <row r="4036" spans="2:7" x14ac:dyDescent="0.2">
      <c r="B4036" s="60">
        <v>41598</v>
      </c>
      <c r="C4036" s="7">
        <v>1.7219999999999999E-2</v>
      </c>
      <c r="D4036" s="7">
        <v>1.7340000000000001E-2</v>
      </c>
      <c r="E4036" s="7">
        <v>1.762E-2</v>
      </c>
      <c r="F4036" s="7">
        <v>1.702E-2</v>
      </c>
      <c r="G4036" s="7">
        <v>1.1999999999999999E-3</v>
      </c>
    </row>
    <row r="4037" spans="2:7" x14ac:dyDescent="0.2">
      <c r="B4037" s="60">
        <v>41599</v>
      </c>
      <c r="C4037" s="7">
        <v>1.7410000000000002E-2</v>
      </c>
      <c r="D4037" s="7">
        <v>1.7749999999999998E-2</v>
      </c>
      <c r="E4037" s="7">
        <v>1.7840000000000002E-2</v>
      </c>
      <c r="F4037" s="7">
        <v>1.7399999999999999E-2</v>
      </c>
      <c r="G4037" s="7">
        <v>1.0999999999999999E-2</v>
      </c>
    </row>
    <row r="4038" spans="2:7" x14ac:dyDescent="0.2">
      <c r="B4038" s="60">
        <v>41600</v>
      </c>
      <c r="C4038" s="7">
        <v>1.7490000000000002E-2</v>
      </c>
      <c r="D4038" s="7">
        <v>1.7399999999999999E-2</v>
      </c>
      <c r="E4038" s="7">
        <v>1.7769999999999998E-2</v>
      </c>
      <c r="F4038" s="7">
        <v>1.7340000000000001E-2</v>
      </c>
      <c r="G4038" s="7">
        <v>4.5999999999999999E-3</v>
      </c>
    </row>
    <row r="4039" spans="2:7" x14ac:dyDescent="0.2">
      <c r="B4039" s="60">
        <v>41603</v>
      </c>
      <c r="C4039" s="7">
        <v>1.7270000000000001E-2</v>
      </c>
      <c r="D4039" s="7">
        <v>1.7589999999999998E-2</v>
      </c>
      <c r="E4039" s="7">
        <v>1.7600000000000001E-2</v>
      </c>
      <c r="F4039" s="7">
        <v>1.719E-2</v>
      </c>
      <c r="G4039" s="7">
        <v>-1.26E-2</v>
      </c>
    </row>
    <row r="4040" spans="2:7" x14ac:dyDescent="0.2">
      <c r="B4040" s="60">
        <v>41604</v>
      </c>
      <c r="C4040" s="7">
        <v>1.6910000000000001E-2</v>
      </c>
      <c r="D4040" s="7">
        <v>1.7219999999999999E-2</v>
      </c>
      <c r="E4040" s="7">
        <v>1.7319999999999999E-2</v>
      </c>
      <c r="F4040" s="7">
        <v>1.6879999999999999E-2</v>
      </c>
      <c r="G4040" s="7">
        <v>-2.0799999999999999E-2</v>
      </c>
    </row>
    <row r="4041" spans="2:7" x14ac:dyDescent="0.2">
      <c r="B4041" s="60">
        <v>41605</v>
      </c>
      <c r="C4041" s="7">
        <v>1.7049999999999999E-2</v>
      </c>
      <c r="D4041" s="7">
        <v>1.703E-2</v>
      </c>
      <c r="E4041" s="7">
        <v>1.7139999999999999E-2</v>
      </c>
      <c r="F4041" s="7">
        <v>1.6890000000000002E-2</v>
      </c>
      <c r="G4041" s="7">
        <v>8.3000000000000001E-3</v>
      </c>
    </row>
    <row r="4042" spans="2:7" x14ac:dyDescent="0.2">
      <c r="B4042" s="60">
        <v>41606</v>
      </c>
      <c r="C4042" s="7">
        <v>1.7000000000000001E-2</v>
      </c>
      <c r="D4042" s="7">
        <v>1.7129999999999999E-2</v>
      </c>
      <c r="E4042" s="7">
        <v>1.746E-2</v>
      </c>
      <c r="F4042" s="7">
        <v>1.695E-2</v>
      </c>
      <c r="G4042" s="7">
        <v>-2.8999999999999998E-3</v>
      </c>
    </row>
    <row r="4043" spans="2:7" x14ac:dyDescent="0.2">
      <c r="B4043" s="60">
        <v>41607</v>
      </c>
      <c r="C4043" s="7">
        <v>1.6899999999999998E-2</v>
      </c>
      <c r="D4043" s="7">
        <v>1.6910000000000001E-2</v>
      </c>
      <c r="E4043" s="7">
        <v>1.7139999999999999E-2</v>
      </c>
      <c r="F4043" s="7">
        <v>1.6830000000000001E-2</v>
      </c>
      <c r="G4043" s="7">
        <v>-5.8999999999999999E-3</v>
      </c>
    </row>
    <row r="4044" spans="2:7" x14ac:dyDescent="0.2">
      <c r="B4044" s="60">
        <v>41610</v>
      </c>
      <c r="C4044" s="7">
        <v>1.7390000000000003E-2</v>
      </c>
      <c r="D4044" s="7">
        <v>1.702E-2</v>
      </c>
      <c r="E4044" s="7">
        <v>1.753E-2</v>
      </c>
      <c r="F4044" s="7">
        <v>1.6969999999999999E-2</v>
      </c>
      <c r="G4044" s="7">
        <v>2.9000000000000001E-2</v>
      </c>
    </row>
    <row r="4045" spans="2:7" x14ac:dyDescent="0.2">
      <c r="B4045" s="60">
        <v>41611</v>
      </c>
      <c r="C4045" s="7">
        <v>1.7250000000000001E-2</v>
      </c>
      <c r="D4045" s="7">
        <v>1.738E-2</v>
      </c>
      <c r="E4045" s="7">
        <v>1.7600000000000001E-2</v>
      </c>
      <c r="F4045" s="7">
        <v>1.7150000000000002E-2</v>
      </c>
      <c r="G4045" s="7">
        <v>-8.0999999999999996E-3</v>
      </c>
    </row>
    <row r="4046" spans="2:7" x14ac:dyDescent="0.2">
      <c r="B4046" s="60">
        <v>41612</v>
      </c>
      <c r="C4046" s="7">
        <v>1.8189999999999998E-2</v>
      </c>
      <c r="D4046" s="7">
        <v>1.7399999999999999E-2</v>
      </c>
      <c r="E4046" s="7">
        <v>1.8200000000000001E-2</v>
      </c>
      <c r="F4046" s="7">
        <v>1.7350000000000001E-2</v>
      </c>
      <c r="G4046" s="7">
        <v>5.45E-2</v>
      </c>
    </row>
    <row r="4047" spans="2:7" x14ac:dyDescent="0.2">
      <c r="B4047" s="60">
        <v>41613</v>
      </c>
      <c r="C4047" s="7">
        <v>1.8610000000000002E-2</v>
      </c>
      <c r="D4047" s="7">
        <v>1.813E-2</v>
      </c>
      <c r="E4047" s="7">
        <v>1.8689999999999998E-2</v>
      </c>
      <c r="F4047" s="7">
        <v>1.8000000000000002E-2</v>
      </c>
      <c r="G4047" s="7">
        <v>2.3099999999999999E-2</v>
      </c>
    </row>
    <row r="4048" spans="2:7" x14ac:dyDescent="0.2">
      <c r="B4048" s="60">
        <v>41614</v>
      </c>
      <c r="C4048" s="7">
        <v>1.8370000000000001E-2</v>
      </c>
      <c r="D4048" s="7">
        <v>1.8749999999999999E-2</v>
      </c>
      <c r="E4048" s="7">
        <v>1.891E-2</v>
      </c>
      <c r="F4048" s="7">
        <v>1.8349999999999998E-2</v>
      </c>
      <c r="G4048" s="7">
        <v>-1.29E-2</v>
      </c>
    </row>
    <row r="4049" spans="2:7" x14ac:dyDescent="0.2">
      <c r="B4049" s="60">
        <v>41617</v>
      </c>
      <c r="C4049" s="7">
        <v>1.8420000000000002E-2</v>
      </c>
      <c r="D4049" s="7">
        <v>1.847E-2</v>
      </c>
      <c r="E4049" s="7">
        <v>1.8550000000000001E-2</v>
      </c>
      <c r="F4049" s="7">
        <v>1.8290000000000001E-2</v>
      </c>
      <c r="G4049" s="7">
        <v>2.7000000000000001E-3</v>
      </c>
    </row>
    <row r="4050" spans="2:7" x14ac:dyDescent="0.2">
      <c r="B4050" s="60">
        <v>41618</v>
      </c>
      <c r="C4050" s="7">
        <v>1.8360000000000001E-2</v>
      </c>
      <c r="D4050" s="7">
        <v>1.8450000000000001E-2</v>
      </c>
      <c r="E4050" s="7">
        <v>1.8450000000000001E-2</v>
      </c>
      <c r="F4050" s="7">
        <v>1.8149999999999999E-2</v>
      </c>
      <c r="G4050" s="7">
        <v>-3.3E-3</v>
      </c>
    </row>
    <row r="4051" spans="2:7" x14ac:dyDescent="0.2">
      <c r="B4051" s="60">
        <v>41619</v>
      </c>
      <c r="C4051" s="7">
        <v>1.8249999999999999E-2</v>
      </c>
      <c r="D4051" s="7">
        <v>1.8370000000000001E-2</v>
      </c>
      <c r="E4051" s="7">
        <v>1.8450000000000001E-2</v>
      </c>
      <c r="F4051" s="7">
        <v>1.822E-2</v>
      </c>
      <c r="G4051" s="7">
        <v>-6.0000000000000001E-3</v>
      </c>
    </row>
    <row r="4052" spans="2:7" x14ac:dyDescent="0.2">
      <c r="B4052" s="60">
        <v>41620</v>
      </c>
      <c r="C4052" s="7">
        <v>1.8420000000000002E-2</v>
      </c>
      <c r="D4052" s="7">
        <v>1.84E-2</v>
      </c>
      <c r="E4052" s="7">
        <v>1.8550000000000001E-2</v>
      </c>
      <c r="F4052" s="7">
        <v>1.8159999999999999E-2</v>
      </c>
      <c r="G4052" s="7">
        <v>9.2999999999999992E-3</v>
      </c>
    </row>
    <row r="4053" spans="2:7" x14ac:dyDescent="0.2">
      <c r="B4053" s="60">
        <v>41621</v>
      </c>
      <c r="C4053" s="7">
        <v>1.8280000000000001E-2</v>
      </c>
      <c r="D4053" s="7">
        <v>1.8370000000000001E-2</v>
      </c>
      <c r="E4053" s="7">
        <v>1.8520000000000002E-2</v>
      </c>
      <c r="F4053" s="7">
        <v>1.8269999999999998E-2</v>
      </c>
      <c r="G4053" s="7">
        <v>-7.6E-3</v>
      </c>
    </row>
    <row r="4054" spans="2:7" x14ac:dyDescent="0.2">
      <c r="B4054" s="60">
        <v>41624</v>
      </c>
      <c r="C4054" s="7">
        <v>1.8340000000000002E-2</v>
      </c>
      <c r="D4054" s="7">
        <v>1.8169999999999999E-2</v>
      </c>
      <c r="E4054" s="7">
        <v>1.8420000000000002E-2</v>
      </c>
      <c r="F4054" s="7">
        <v>1.8120000000000001E-2</v>
      </c>
      <c r="G4054" s="7">
        <v>3.3E-3</v>
      </c>
    </row>
    <row r="4055" spans="2:7" x14ac:dyDescent="0.2">
      <c r="B4055" s="60">
        <v>41625</v>
      </c>
      <c r="C4055" s="7">
        <v>1.8280000000000001E-2</v>
      </c>
      <c r="D4055" s="7">
        <v>1.8380000000000001E-2</v>
      </c>
      <c r="E4055" s="7">
        <v>1.8460000000000001E-2</v>
      </c>
      <c r="F4055" s="7">
        <v>1.8200000000000001E-2</v>
      </c>
      <c r="G4055" s="7">
        <v>-3.3E-3</v>
      </c>
    </row>
    <row r="4056" spans="2:7" x14ac:dyDescent="0.2">
      <c r="B4056" s="60">
        <v>41626</v>
      </c>
      <c r="C4056" s="7">
        <v>1.8409999999999999E-2</v>
      </c>
      <c r="D4056" s="7">
        <v>1.83E-2</v>
      </c>
      <c r="E4056" s="7">
        <v>1.848E-2</v>
      </c>
      <c r="F4056" s="7">
        <v>1.8169999999999999E-2</v>
      </c>
      <c r="G4056" s="7">
        <v>7.1000000000000004E-3</v>
      </c>
    </row>
    <row r="4057" spans="2:7" x14ac:dyDescent="0.2">
      <c r="B4057" s="60">
        <v>41627</v>
      </c>
      <c r="C4057" s="7">
        <v>1.8759999999999999E-2</v>
      </c>
      <c r="D4057" s="7">
        <v>1.8540000000000001E-2</v>
      </c>
      <c r="E4057" s="7">
        <v>1.89E-2</v>
      </c>
      <c r="F4057" s="7">
        <v>1.84E-2</v>
      </c>
      <c r="G4057" s="7">
        <v>1.9E-2</v>
      </c>
    </row>
    <row r="4058" spans="2:7" x14ac:dyDescent="0.2">
      <c r="B4058" s="60">
        <v>41628</v>
      </c>
      <c r="C4058" s="7">
        <v>1.866E-2</v>
      </c>
      <c r="D4058" s="7">
        <v>1.8790000000000001E-2</v>
      </c>
      <c r="E4058" s="7">
        <v>1.9060000000000001E-2</v>
      </c>
      <c r="F4058" s="7">
        <v>1.8620000000000001E-2</v>
      </c>
      <c r="G4058" s="7">
        <v>-5.3E-3</v>
      </c>
    </row>
    <row r="4059" spans="2:7" x14ac:dyDescent="0.2">
      <c r="B4059" s="60">
        <v>41631</v>
      </c>
      <c r="C4059" s="7">
        <v>1.882E-2</v>
      </c>
      <c r="D4059" s="7">
        <v>1.8769999999999998E-2</v>
      </c>
      <c r="E4059" s="7">
        <v>1.8939999999999999E-2</v>
      </c>
      <c r="F4059" s="7">
        <v>1.8689999999999998E-2</v>
      </c>
      <c r="G4059" s="7">
        <v>8.6E-3</v>
      </c>
    </row>
    <row r="4060" spans="2:7" x14ac:dyDescent="0.2">
      <c r="B4060" s="60">
        <v>41632</v>
      </c>
      <c r="C4060" s="7">
        <v>1.882E-2</v>
      </c>
      <c r="D4060" s="7">
        <v>1.882E-2</v>
      </c>
      <c r="E4060" s="7">
        <v>1.882E-2</v>
      </c>
      <c r="F4060" s="7">
        <v>1.882E-2</v>
      </c>
      <c r="G4060" s="7">
        <v>0</v>
      </c>
    </row>
    <row r="4061" spans="2:7" x14ac:dyDescent="0.2">
      <c r="B4061" s="60">
        <v>41633</v>
      </c>
      <c r="C4061" s="7">
        <v>1.882E-2</v>
      </c>
      <c r="D4061" s="7">
        <v>1.882E-2</v>
      </c>
      <c r="E4061" s="7">
        <v>1.882E-2</v>
      </c>
      <c r="F4061" s="7">
        <v>1.882E-2</v>
      </c>
      <c r="G4061" s="7">
        <v>0</v>
      </c>
    </row>
    <row r="4062" spans="2:7" x14ac:dyDescent="0.2">
      <c r="B4062" s="60">
        <v>41635</v>
      </c>
      <c r="C4062" s="7">
        <v>1.951E-2</v>
      </c>
      <c r="D4062" s="7">
        <v>1.9019999999999999E-2</v>
      </c>
      <c r="E4062" s="7">
        <v>1.9539999999999998E-2</v>
      </c>
      <c r="F4062" s="7">
        <v>1.9019999999999999E-2</v>
      </c>
      <c r="G4062" s="7">
        <v>3.6700000000000003E-2</v>
      </c>
    </row>
    <row r="4063" spans="2:7" x14ac:dyDescent="0.2">
      <c r="B4063" s="60">
        <v>41638</v>
      </c>
      <c r="C4063" s="7">
        <v>1.941E-2</v>
      </c>
      <c r="D4063" s="7">
        <v>1.9610000000000002E-2</v>
      </c>
      <c r="E4063" s="7">
        <v>1.9640000000000001E-2</v>
      </c>
      <c r="F4063" s="7">
        <v>1.9370000000000002E-2</v>
      </c>
      <c r="G4063" s="7">
        <v>-5.1000000000000004E-3</v>
      </c>
    </row>
    <row r="4064" spans="2:7" x14ac:dyDescent="0.2">
      <c r="B4064" s="60">
        <v>41639</v>
      </c>
      <c r="C4064" s="7">
        <v>1.941E-2</v>
      </c>
      <c r="D4064" s="7">
        <v>1.941E-2</v>
      </c>
      <c r="E4064" s="7">
        <v>1.941E-2</v>
      </c>
      <c r="F4064" s="7">
        <v>1.941E-2</v>
      </c>
      <c r="G4064" s="7">
        <v>0</v>
      </c>
    </row>
    <row r="4065" spans="2:7" x14ac:dyDescent="0.2">
      <c r="B4065" s="60">
        <v>41641</v>
      </c>
      <c r="C4065" s="7">
        <v>1.9459999999999998E-2</v>
      </c>
      <c r="D4065" s="7">
        <v>1.9630000000000002E-2</v>
      </c>
      <c r="E4065" s="7">
        <v>1.9710000000000002E-2</v>
      </c>
      <c r="F4065" s="7">
        <v>1.933E-2</v>
      </c>
      <c r="G4065" s="7">
        <v>2.5999999999999999E-3</v>
      </c>
    </row>
    <row r="4066" spans="2:7" x14ac:dyDescent="0.2">
      <c r="B4066" s="60">
        <v>41642</v>
      </c>
      <c r="C4066" s="7">
        <v>1.9439999999999999E-2</v>
      </c>
      <c r="D4066" s="7">
        <v>1.941E-2</v>
      </c>
      <c r="E4066" s="7">
        <v>1.958E-2</v>
      </c>
      <c r="F4066" s="7">
        <v>1.9290000000000002E-2</v>
      </c>
      <c r="G4066" s="7">
        <v>-1E-3</v>
      </c>
    </row>
    <row r="4067" spans="2:7" x14ac:dyDescent="0.2">
      <c r="B4067" s="60">
        <v>41645</v>
      </c>
      <c r="C4067" s="7">
        <v>1.908E-2</v>
      </c>
      <c r="D4067" s="7">
        <v>1.9269999999999999E-2</v>
      </c>
      <c r="E4067" s="7">
        <v>1.9279999999999999E-2</v>
      </c>
      <c r="F4067" s="7">
        <v>1.9050000000000001E-2</v>
      </c>
      <c r="G4067" s="7">
        <v>-1.8499999999999999E-2</v>
      </c>
    </row>
    <row r="4068" spans="2:7" x14ac:dyDescent="0.2">
      <c r="B4068" s="60">
        <v>41646</v>
      </c>
      <c r="C4068" s="7">
        <v>1.8890000000000001E-2</v>
      </c>
      <c r="D4068" s="7">
        <v>1.907E-2</v>
      </c>
      <c r="E4068" s="7">
        <v>1.9119999999999998E-2</v>
      </c>
      <c r="F4068" s="7">
        <v>1.881E-2</v>
      </c>
      <c r="G4068" s="7">
        <v>-0.01</v>
      </c>
    </row>
    <row r="4069" spans="2:7" x14ac:dyDescent="0.2">
      <c r="B4069" s="60">
        <v>41647</v>
      </c>
      <c r="C4069" s="7">
        <v>1.9050000000000001E-2</v>
      </c>
      <c r="D4069" s="7">
        <v>1.8929999999999999E-2</v>
      </c>
      <c r="E4069" s="7">
        <v>1.9099999999999999E-2</v>
      </c>
      <c r="F4069" s="7">
        <v>1.873E-2</v>
      </c>
      <c r="G4069" s="7">
        <v>8.5000000000000006E-3</v>
      </c>
    </row>
    <row r="4070" spans="2:7" x14ac:dyDescent="0.2">
      <c r="B4070" s="60">
        <v>41648</v>
      </c>
      <c r="C4070" s="7">
        <v>1.9099999999999999E-2</v>
      </c>
      <c r="D4070" s="7">
        <v>1.907E-2</v>
      </c>
      <c r="E4070" s="7">
        <v>1.9299999999999998E-2</v>
      </c>
      <c r="F4070" s="7">
        <v>1.883E-2</v>
      </c>
      <c r="G4070" s="7">
        <v>2.5999999999999999E-3</v>
      </c>
    </row>
    <row r="4071" spans="2:7" x14ac:dyDescent="0.2">
      <c r="B4071" s="60">
        <v>41649</v>
      </c>
      <c r="C4071" s="7">
        <v>1.8460000000000001E-2</v>
      </c>
      <c r="D4071" s="7">
        <v>1.9030000000000002E-2</v>
      </c>
      <c r="E4071" s="7">
        <v>1.9039999999999998E-2</v>
      </c>
      <c r="F4071" s="7">
        <v>1.839E-2</v>
      </c>
      <c r="G4071" s="7">
        <v>-3.3500000000000002E-2</v>
      </c>
    </row>
    <row r="4072" spans="2:7" x14ac:dyDescent="0.2">
      <c r="B4072" s="60">
        <v>41652</v>
      </c>
      <c r="C4072" s="7">
        <v>1.8169999999999999E-2</v>
      </c>
      <c r="D4072" s="7">
        <v>1.8409999999999999E-2</v>
      </c>
      <c r="E4072" s="7">
        <v>1.8540000000000001E-2</v>
      </c>
      <c r="F4072" s="7">
        <v>1.8149999999999999E-2</v>
      </c>
      <c r="G4072" s="7">
        <v>-1.5699999999999999E-2</v>
      </c>
    </row>
    <row r="4073" spans="2:7" x14ac:dyDescent="0.2">
      <c r="B4073" s="60">
        <v>41653</v>
      </c>
      <c r="C4073" s="7">
        <v>1.8159999999999999E-2</v>
      </c>
      <c r="D4073" s="7">
        <v>1.806E-2</v>
      </c>
      <c r="E4073" s="7">
        <v>1.822E-2</v>
      </c>
      <c r="F4073" s="7">
        <v>1.8020000000000001E-2</v>
      </c>
      <c r="G4073" s="7">
        <v>-5.9999999999999995E-4</v>
      </c>
    </row>
    <row r="4074" spans="2:7" x14ac:dyDescent="0.2">
      <c r="B4074" s="60">
        <v>41654</v>
      </c>
      <c r="C4074" s="7">
        <v>1.8269999999999998E-2</v>
      </c>
      <c r="D4074" s="7">
        <v>1.8280000000000001E-2</v>
      </c>
      <c r="E4074" s="7">
        <v>1.8429999999999998E-2</v>
      </c>
      <c r="F4074" s="7">
        <v>1.8069999999999999E-2</v>
      </c>
      <c r="G4074" s="7">
        <v>6.1000000000000004E-3</v>
      </c>
    </row>
    <row r="4075" spans="2:7" x14ac:dyDescent="0.2">
      <c r="B4075" s="60">
        <v>41655</v>
      </c>
      <c r="C4075" s="7">
        <v>1.7769999999999998E-2</v>
      </c>
      <c r="D4075" s="7">
        <v>1.8249999999999999E-2</v>
      </c>
      <c r="E4075" s="7">
        <v>1.8269999999999998E-2</v>
      </c>
      <c r="F4075" s="7">
        <v>1.7739999999999999E-2</v>
      </c>
      <c r="G4075" s="7">
        <v>-2.7400000000000001E-2</v>
      </c>
    </row>
    <row r="4076" spans="2:7" x14ac:dyDescent="0.2">
      <c r="B4076" s="60">
        <v>41656</v>
      </c>
      <c r="C4076" s="7">
        <v>1.755E-2</v>
      </c>
      <c r="D4076" s="7">
        <v>1.7780000000000001E-2</v>
      </c>
      <c r="E4076" s="7">
        <v>1.78E-2</v>
      </c>
      <c r="F4076" s="7">
        <v>1.7509999999999998E-2</v>
      </c>
      <c r="G4076" s="7">
        <v>-1.24E-2</v>
      </c>
    </row>
    <row r="4077" spans="2:7" x14ac:dyDescent="0.2">
      <c r="B4077" s="60">
        <v>41659</v>
      </c>
      <c r="C4077" s="7">
        <v>1.7399999999999999E-2</v>
      </c>
      <c r="D4077" s="7">
        <v>1.7520000000000001E-2</v>
      </c>
      <c r="E4077" s="7">
        <v>1.7600000000000001E-2</v>
      </c>
      <c r="F4077" s="7">
        <v>1.729E-2</v>
      </c>
      <c r="G4077" s="7">
        <v>-8.5000000000000006E-3</v>
      </c>
    </row>
    <row r="4078" spans="2:7" x14ac:dyDescent="0.2">
      <c r="B4078" s="60">
        <v>41660</v>
      </c>
      <c r="C4078" s="7">
        <v>1.7430000000000001E-2</v>
      </c>
      <c r="D4078" s="7">
        <v>1.7500000000000002E-2</v>
      </c>
      <c r="E4078" s="7">
        <v>1.7729999999999999E-2</v>
      </c>
      <c r="F4078" s="7">
        <v>1.7390000000000003E-2</v>
      </c>
      <c r="G4078" s="7">
        <v>1.6999999999999999E-3</v>
      </c>
    </row>
    <row r="4079" spans="2:7" x14ac:dyDescent="0.2">
      <c r="B4079" s="60">
        <v>41661</v>
      </c>
      <c r="C4079" s="7">
        <v>1.755E-2</v>
      </c>
      <c r="D4079" s="7">
        <v>1.7500000000000002E-2</v>
      </c>
      <c r="E4079" s="7">
        <v>1.7680000000000001E-2</v>
      </c>
      <c r="F4079" s="7">
        <v>1.738E-2</v>
      </c>
      <c r="G4079" s="7">
        <v>6.8999999999999999E-3</v>
      </c>
    </row>
    <row r="4080" spans="2:7" x14ac:dyDescent="0.2">
      <c r="B4080" s="60">
        <v>41662</v>
      </c>
      <c r="C4080" s="7">
        <v>1.7139999999999999E-2</v>
      </c>
      <c r="D4080" s="7">
        <v>1.7500000000000002E-2</v>
      </c>
      <c r="E4080" s="7">
        <v>1.7649999999999999E-2</v>
      </c>
      <c r="F4080" s="7">
        <v>1.704E-2</v>
      </c>
      <c r="G4080" s="7">
        <v>-2.3400000000000001E-2</v>
      </c>
    </row>
    <row r="4081" spans="2:7" x14ac:dyDescent="0.2">
      <c r="B4081" s="60">
        <v>41663</v>
      </c>
      <c r="C4081" s="7">
        <v>1.6549999999999999E-2</v>
      </c>
      <c r="D4081" s="7">
        <v>1.6830000000000001E-2</v>
      </c>
      <c r="E4081" s="7">
        <v>1.695E-2</v>
      </c>
      <c r="F4081" s="7">
        <v>1.6379999999999999E-2</v>
      </c>
      <c r="G4081" s="7">
        <v>-3.44E-2</v>
      </c>
    </row>
    <row r="4082" spans="2:7" x14ac:dyDescent="0.2">
      <c r="B4082" s="60">
        <v>41666</v>
      </c>
      <c r="C4082" s="7">
        <v>1.6709999999999999E-2</v>
      </c>
      <c r="D4082" s="7">
        <v>1.6619999999999999E-2</v>
      </c>
      <c r="E4082" s="7">
        <v>1.6830000000000001E-2</v>
      </c>
      <c r="F4082" s="7">
        <v>1.6570000000000001E-2</v>
      </c>
      <c r="G4082" s="7">
        <v>9.7000000000000003E-3</v>
      </c>
    </row>
    <row r="4083" spans="2:7" x14ac:dyDescent="0.2">
      <c r="B4083" s="60">
        <v>41667</v>
      </c>
      <c r="C4083" s="7">
        <v>1.677E-2</v>
      </c>
      <c r="D4083" s="7">
        <v>1.678E-2</v>
      </c>
      <c r="E4083" s="7">
        <v>1.6959999999999999E-2</v>
      </c>
      <c r="F4083" s="7">
        <v>1.67E-2</v>
      </c>
      <c r="G4083" s="7">
        <v>3.5999999999999999E-3</v>
      </c>
    </row>
    <row r="4084" spans="2:7" x14ac:dyDescent="0.2">
      <c r="B4084" s="60">
        <v>41668</v>
      </c>
      <c r="C4084" s="7">
        <v>1.644E-2</v>
      </c>
      <c r="D4084" s="7">
        <v>1.6890000000000002E-2</v>
      </c>
      <c r="E4084" s="7">
        <v>1.6990000000000002E-2</v>
      </c>
      <c r="F4084" s="7">
        <v>1.6369999999999999E-2</v>
      </c>
      <c r="G4084" s="7">
        <v>-1.9699999999999999E-2</v>
      </c>
    </row>
    <row r="4085" spans="2:7" x14ac:dyDescent="0.2">
      <c r="B4085" s="60">
        <v>41669</v>
      </c>
      <c r="C4085" s="7">
        <v>1.619E-2</v>
      </c>
      <c r="D4085" s="7">
        <v>1.6299999999999999E-2</v>
      </c>
      <c r="E4085" s="7">
        <v>1.644E-2</v>
      </c>
      <c r="F4085" s="7">
        <v>1.6029999999999999E-2</v>
      </c>
      <c r="G4085" s="7">
        <v>-1.52E-2</v>
      </c>
    </row>
    <row r="4086" spans="2:7" x14ac:dyDescent="0.2">
      <c r="B4086" s="60">
        <v>41670</v>
      </c>
      <c r="C4086" s="7">
        <v>1.6590000000000001E-2</v>
      </c>
      <c r="D4086" s="7">
        <v>1.6990000000000002E-2</v>
      </c>
      <c r="E4086" s="7">
        <v>1.702E-2</v>
      </c>
      <c r="F4086" s="7">
        <v>1.6449999999999999E-2</v>
      </c>
      <c r="G4086" s="7">
        <v>2.47E-2</v>
      </c>
    </row>
    <row r="4087" spans="2:7" x14ac:dyDescent="0.2">
      <c r="B4087" s="60">
        <v>41673</v>
      </c>
      <c r="C4087" s="7">
        <v>1.6490000000000001E-2</v>
      </c>
      <c r="D4087" s="7">
        <v>1.6590000000000001E-2</v>
      </c>
      <c r="E4087" s="7">
        <v>1.6810000000000002E-2</v>
      </c>
      <c r="F4087" s="7">
        <v>1.644E-2</v>
      </c>
      <c r="G4087" s="7">
        <v>-6.0000000000000001E-3</v>
      </c>
    </row>
    <row r="4088" spans="2:7" x14ac:dyDescent="0.2">
      <c r="B4088" s="60">
        <v>41674</v>
      </c>
      <c r="C4088" s="7">
        <v>1.651E-2</v>
      </c>
      <c r="D4088" s="7">
        <v>1.6330000000000001E-2</v>
      </c>
      <c r="E4088" s="7">
        <v>1.6590000000000001E-2</v>
      </c>
      <c r="F4088" s="7">
        <v>1.6299999999999999E-2</v>
      </c>
      <c r="G4088" s="7">
        <v>1.1999999999999999E-3</v>
      </c>
    </row>
    <row r="4089" spans="2:7" x14ac:dyDescent="0.2">
      <c r="B4089" s="60">
        <v>41675</v>
      </c>
      <c r="C4089" s="7">
        <v>1.6410000000000001E-2</v>
      </c>
      <c r="D4089" s="7">
        <v>1.6469999999999999E-2</v>
      </c>
      <c r="E4089" s="7">
        <v>1.652E-2</v>
      </c>
      <c r="F4089" s="7">
        <v>1.5990000000000001E-2</v>
      </c>
      <c r="G4089" s="7">
        <v>-6.1000000000000004E-3</v>
      </c>
    </row>
    <row r="4090" spans="2:7" x14ac:dyDescent="0.2">
      <c r="B4090" s="60">
        <v>41676</v>
      </c>
      <c r="C4090" s="7">
        <v>1.695E-2</v>
      </c>
      <c r="D4090" s="7">
        <v>1.6490000000000001E-2</v>
      </c>
      <c r="E4090" s="7">
        <v>1.7049999999999999E-2</v>
      </c>
      <c r="F4090" s="7">
        <v>1.6379999999999999E-2</v>
      </c>
      <c r="G4090" s="7">
        <v>3.2899999999999999E-2</v>
      </c>
    </row>
    <row r="4091" spans="2:7" x14ac:dyDescent="0.2">
      <c r="B4091" s="60">
        <v>41677</v>
      </c>
      <c r="C4091" s="7">
        <v>1.661E-2</v>
      </c>
      <c r="D4091" s="7">
        <v>1.6910000000000001E-2</v>
      </c>
      <c r="E4091" s="7">
        <v>1.6930000000000001E-2</v>
      </c>
      <c r="F4091" s="7">
        <v>1.6490000000000001E-2</v>
      </c>
      <c r="G4091" s="7">
        <v>-2.01E-2</v>
      </c>
    </row>
    <row r="4092" spans="2:7" x14ac:dyDescent="0.2">
      <c r="B4092" s="60">
        <v>41680</v>
      </c>
      <c r="C4092" s="7">
        <v>1.6819999999999998E-2</v>
      </c>
      <c r="D4092" s="7">
        <v>1.6670000000000001E-2</v>
      </c>
      <c r="E4092" s="7">
        <v>1.686E-2</v>
      </c>
      <c r="F4092" s="7">
        <v>1.6549999999999999E-2</v>
      </c>
      <c r="G4092" s="7">
        <v>1.26E-2</v>
      </c>
    </row>
    <row r="4093" spans="2:7" x14ac:dyDescent="0.2">
      <c r="B4093" s="60">
        <v>41681</v>
      </c>
      <c r="C4093" s="7">
        <v>1.687E-2</v>
      </c>
      <c r="D4093" s="7">
        <v>1.694E-2</v>
      </c>
      <c r="E4093" s="7">
        <v>1.702E-2</v>
      </c>
      <c r="F4093" s="7">
        <v>1.677E-2</v>
      </c>
      <c r="G4093" s="7">
        <v>3.0000000000000001E-3</v>
      </c>
    </row>
    <row r="4094" spans="2:7" x14ac:dyDescent="0.2">
      <c r="B4094" s="60">
        <v>41682</v>
      </c>
      <c r="C4094" s="7">
        <v>1.7239999999999998E-2</v>
      </c>
      <c r="D4094" s="7">
        <v>1.6920000000000001E-2</v>
      </c>
      <c r="E4094" s="7">
        <v>1.7260000000000001E-2</v>
      </c>
      <c r="F4094" s="7">
        <v>1.6799999999999999E-2</v>
      </c>
      <c r="G4094" s="7">
        <v>2.1899999999999999E-2</v>
      </c>
    </row>
    <row r="4095" spans="2:7" x14ac:dyDescent="0.2">
      <c r="B4095" s="60">
        <v>41683</v>
      </c>
      <c r="C4095" s="7">
        <v>1.6709999999999999E-2</v>
      </c>
      <c r="D4095" s="7">
        <v>1.6959999999999999E-2</v>
      </c>
      <c r="E4095" s="7">
        <v>1.702E-2</v>
      </c>
      <c r="F4095" s="7">
        <v>1.6539999999999999E-2</v>
      </c>
      <c r="G4095" s="7">
        <v>-3.0700000000000002E-2</v>
      </c>
    </row>
    <row r="4096" spans="2:7" x14ac:dyDescent="0.2">
      <c r="B4096" s="60">
        <v>41684</v>
      </c>
      <c r="C4096" s="7">
        <v>1.687E-2</v>
      </c>
      <c r="D4096" s="7">
        <v>1.67E-2</v>
      </c>
      <c r="E4096" s="7">
        <v>1.694E-2</v>
      </c>
      <c r="F4096" s="7">
        <v>1.6659999999999998E-2</v>
      </c>
      <c r="G4096" s="7">
        <v>9.5999999999999992E-3</v>
      </c>
    </row>
    <row r="4097" spans="2:7" x14ac:dyDescent="0.2">
      <c r="B4097" s="60">
        <v>41687</v>
      </c>
      <c r="C4097" s="7">
        <v>1.686E-2</v>
      </c>
      <c r="D4097" s="7">
        <v>1.6819999999999998E-2</v>
      </c>
      <c r="E4097" s="7">
        <v>1.704E-2</v>
      </c>
      <c r="F4097" s="7">
        <v>1.6819999999999998E-2</v>
      </c>
      <c r="G4097" s="7">
        <v>-5.9999999999999995E-4</v>
      </c>
    </row>
    <row r="4098" spans="2:7" x14ac:dyDescent="0.2">
      <c r="B4098" s="60">
        <v>41688</v>
      </c>
      <c r="C4098" s="7">
        <v>1.6730000000000002E-2</v>
      </c>
      <c r="D4098" s="7">
        <v>1.6959999999999999E-2</v>
      </c>
      <c r="E4098" s="7">
        <v>1.6979999999999999E-2</v>
      </c>
      <c r="F4098" s="7">
        <v>1.6559999999999998E-2</v>
      </c>
      <c r="G4098" s="7">
        <v>-7.7000000000000002E-3</v>
      </c>
    </row>
    <row r="4099" spans="2:7" x14ac:dyDescent="0.2">
      <c r="B4099" s="60">
        <v>41689</v>
      </c>
      <c r="C4099" s="7">
        <v>1.6639999999999999E-2</v>
      </c>
      <c r="D4099" s="7">
        <v>1.668E-2</v>
      </c>
      <c r="E4099" s="7">
        <v>1.6760000000000001E-2</v>
      </c>
      <c r="F4099" s="7">
        <v>1.6330000000000001E-2</v>
      </c>
      <c r="G4099" s="7">
        <v>-5.4000000000000003E-3</v>
      </c>
    </row>
    <row r="4100" spans="2:7" x14ac:dyDescent="0.2">
      <c r="B4100" s="60">
        <v>41690</v>
      </c>
      <c r="C4100" s="7">
        <v>1.695E-2</v>
      </c>
      <c r="D4100" s="7">
        <v>1.6639999999999999E-2</v>
      </c>
      <c r="E4100" s="7">
        <v>1.702E-2</v>
      </c>
      <c r="F4100" s="7">
        <v>1.635E-2</v>
      </c>
      <c r="G4100" s="7">
        <v>1.8599999999999998E-2</v>
      </c>
    </row>
    <row r="4101" spans="2:7" x14ac:dyDescent="0.2">
      <c r="B4101" s="60">
        <v>41691</v>
      </c>
      <c r="C4101" s="7">
        <v>1.6670000000000001E-2</v>
      </c>
      <c r="D4101" s="7">
        <v>1.6899999999999998E-2</v>
      </c>
      <c r="E4101" s="7">
        <v>1.694E-2</v>
      </c>
      <c r="F4101" s="7">
        <v>1.6579999999999998E-2</v>
      </c>
      <c r="G4101" s="7">
        <v>-1.6500000000000001E-2</v>
      </c>
    </row>
    <row r="4102" spans="2:7" x14ac:dyDescent="0.2">
      <c r="B4102" s="60">
        <v>41694</v>
      </c>
      <c r="C4102" s="7">
        <v>1.6789999999999999E-2</v>
      </c>
      <c r="D4102" s="7">
        <v>1.6619999999999999E-2</v>
      </c>
      <c r="E4102" s="7">
        <v>1.686E-2</v>
      </c>
      <c r="F4102" s="7">
        <v>1.6570000000000001E-2</v>
      </c>
      <c r="G4102" s="7">
        <v>7.1999999999999998E-3</v>
      </c>
    </row>
    <row r="4103" spans="2:7" x14ac:dyDescent="0.2">
      <c r="B4103" s="60">
        <v>41695</v>
      </c>
      <c r="C4103" s="7">
        <v>1.651E-2</v>
      </c>
      <c r="D4103" s="7">
        <v>1.678E-2</v>
      </c>
      <c r="E4103" s="7">
        <v>1.695E-2</v>
      </c>
      <c r="F4103" s="7">
        <v>1.6490000000000001E-2</v>
      </c>
      <c r="G4103" s="7">
        <v>-1.67E-2</v>
      </c>
    </row>
    <row r="4104" spans="2:7" x14ac:dyDescent="0.2">
      <c r="B4104" s="60">
        <v>41696</v>
      </c>
      <c r="C4104" s="7">
        <v>1.6160000000000001E-2</v>
      </c>
      <c r="D4104" s="7">
        <v>1.6559999999999998E-2</v>
      </c>
      <c r="E4104" s="7">
        <v>1.6629999999999999E-2</v>
      </c>
      <c r="F4104" s="7">
        <v>1.609E-2</v>
      </c>
      <c r="G4104" s="7">
        <v>-2.12E-2</v>
      </c>
    </row>
    <row r="4105" spans="2:7" x14ac:dyDescent="0.2">
      <c r="B4105" s="60">
        <v>41697</v>
      </c>
      <c r="C4105" s="7">
        <v>1.5679999999999999E-2</v>
      </c>
      <c r="D4105" s="7">
        <v>1.6029999999999999E-2</v>
      </c>
      <c r="E4105" s="7">
        <v>1.6060000000000001E-2</v>
      </c>
      <c r="F4105" s="7">
        <v>1.5469999999999999E-2</v>
      </c>
      <c r="G4105" s="7">
        <v>-2.9700000000000001E-2</v>
      </c>
    </row>
    <row r="4106" spans="2:7" x14ac:dyDescent="0.2">
      <c r="B4106" s="60">
        <v>41698</v>
      </c>
      <c r="C4106" s="7">
        <v>1.627E-2</v>
      </c>
      <c r="D4106" s="7">
        <v>1.5679999999999999E-2</v>
      </c>
      <c r="E4106" s="7">
        <v>1.6399999999999998E-2</v>
      </c>
      <c r="F4106" s="7">
        <v>1.5569999999999999E-2</v>
      </c>
      <c r="G4106" s="7">
        <v>3.7600000000000001E-2</v>
      </c>
    </row>
    <row r="4107" spans="2:7" x14ac:dyDescent="0.2">
      <c r="B4107" s="60">
        <v>41701</v>
      </c>
      <c r="C4107" s="7">
        <v>1.5609999999999999E-2</v>
      </c>
      <c r="D4107" s="7">
        <v>1.5800000000000002E-2</v>
      </c>
      <c r="E4107" s="7">
        <v>1.5880000000000002E-2</v>
      </c>
      <c r="F4107" s="7">
        <v>1.555E-2</v>
      </c>
      <c r="G4107" s="7">
        <v>-4.0599999999999997E-2</v>
      </c>
    </row>
    <row r="4108" spans="2:7" x14ac:dyDescent="0.2">
      <c r="B4108" s="60">
        <v>41702</v>
      </c>
      <c r="C4108" s="7">
        <v>1.6E-2</v>
      </c>
      <c r="D4108" s="7">
        <v>1.584E-2</v>
      </c>
      <c r="E4108" s="7">
        <v>1.6070000000000001E-2</v>
      </c>
      <c r="F4108" s="7">
        <v>1.576E-2</v>
      </c>
      <c r="G4108" s="7">
        <v>2.5000000000000001E-2</v>
      </c>
    </row>
    <row r="4109" spans="2:7" x14ac:dyDescent="0.2">
      <c r="B4109" s="60">
        <v>41703</v>
      </c>
      <c r="C4109" s="7">
        <v>1.602E-2</v>
      </c>
      <c r="D4109" s="7">
        <v>1.6049999999999998E-2</v>
      </c>
      <c r="E4109" s="7">
        <v>1.6299999999999999E-2</v>
      </c>
      <c r="F4109" s="7">
        <v>1.6E-2</v>
      </c>
      <c r="G4109" s="7">
        <v>1.1999999999999999E-3</v>
      </c>
    </row>
    <row r="4110" spans="2:7" x14ac:dyDescent="0.2">
      <c r="B4110" s="60">
        <v>41704</v>
      </c>
      <c r="C4110" s="7">
        <v>1.651E-2</v>
      </c>
      <c r="D4110" s="7">
        <v>1.6150000000000001E-2</v>
      </c>
      <c r="E4110" s="7">
        <v>1.6719999999999999E-2</v>
      </c>
      <c r="F4110" s="7">
        <v>1.6129999999999999E-2</v>
      </c>
      <c r="G4110" s="7">
        <v>3.0599999999999999E-2</v>
      </c>
    </row>
    <row r="4111" spans="2:7" x14ac:dyDescent="0.2">
      <c r="B4111" s="60">
        <v>41705</v>
      </c>
      <c r="C4111" s="7">
        <v>1.653E-2</v>
      </c>
      <c r="D4111" s="7">
        <v>1.6479999999999998E-2</v>
      </c>
      <c r="E4111" s="7">
        <v>1.6830000000000001E-2</v>
      </c>
      <c r="F4111" s="7">
        <v>1.6319999999999998E-2</v>
      </c>
      <c r="G4111" s="7">
        <v>1.1999999999999999E-3</v>
      </c>
    </row>
    <row r="4112" spans="2:7" x14ac:dyDescent="0.2">
      <c r="B4112" s="60">
        <v>41707</v>
      </c>
      <c r="C4112" s="7">
        <v>1.6549999999999999E-2</v>
      </c>
      <c r="D4112" s="7">
        <v>1.6549999999999999E-2</v>
      </c>
      <c r="E4112" s="7">
        <v>1.6549999999999999E-2</v>
      </c>
      <c r="F4112" s="7">
        <v>1.6549999999999999E-2</v>
      </c>
      <c r="G4112" s="7">
        <v>1.1999999999999999E-3</v>
      </c>
    </row>
    <row r="4113" spans="2:7" x14ac:dyDescent="0.2">
      <c r="B4113" s="60">
        <v>41708</v>
      </c>
      <c r="C4113" s="7">
        <v>1.6279999999999999E-2</v>
      </c>
      <c r="D4113" s="7">
        <v>1.634E-2</v>
      </c>
      <c r="E4113" s="7">
        <v>1.6570000000000001E-2</v>
      </c>
      <c r="F4113" s="7">
        <v>1.618E-2</v>
      </c>
      <c r="G4113" s="7">
        <v>-1.6299999999999999E-2</v>
      </c>
    </row>
    <row r="4114" spans="2:7" x14ac:dyDescent="0.2">
      <c r="B4114" s="60">
        <v>41709</v>
      </c>
      <c r="C4114" s="7">
        <v>1.6390000000000002E-2</v>
      </c>
      <c r="D4114" s="7">
        <v>1.6390000000000002E-2</v>
      </c>
      <c r="E4114" s="7">
        <v>1.661E-2</v>
      </c>
      <c r="F4114" s="7">
        <v>1.6109999999999999E-2</v>
      </c>
      <c r="G4114" s="7">
        <v>6.7999999999999996E-3</v>
      </c>
    </row>
    <row r="4115" spans="2:7" x14ac:dyDescent="0.2">
      <c r="B4115" s="60">
        <v>41710</v>
      </c>
      <c r="C4115" s="7">
        <v>1.5969999999999998E-2</v>
      </c>
      <c r="D4115" s="7">
        <v>1.6230000000000001E-2</v>
      </c>
      <c r="E4115" s="7">
        <v>1.6240000000000001E-2</v>
      </c>
      <c r="F4115" s="7">
        <v>1.5769999999999999E-2</v>
      </c>
      <c r="G4115" s="7">
        <v>-2.5600000000000001E-2</v>
      </c>
    </row>
    <row r="4116" spans="2:7" x14ac:dyDescent="0.2">
      <c r="B4116" s="60">
        <v>41711</v>
      </c>
      <c r="C4116" s="7">
        <v>1.5480000000000001E-2</v>
      </c>
      <c r="D4116" s="7">
        <v>1.5949999999999999E-2</v>
      </c>
      <c r="E4116" s="7">
        <v>1.602E-2</v>
      </c>
      <c r="F4116" s="7">
        <v>1.5469999999999999E-2</v>
      </c>
      <c r="G4116" s="7">
        <v>-3.0700000000000002E-2</v>
      </c>
    </row>
    <row r="4117" spans="2:7" x14ac:dyDescent="0.2">
      <c r="B4117" s="60">
        <v>41712</v>
      </c>
      <c r="C4117" s="7">
        <v>1.5469999999999999E-2</v>
      </c>
      <c r="D4117" s="7">
        <v>1.5269999999999999E-2</v>
      </c>
      <c r="E4117" s="7">
        <v>1.554E-2</v>
      </c>
      <c r="F4117" s="7">
        <v>1.506E-2</v>
      </c>
      <c r="G4117" s="7">
        <v>-5.9999999999999995E-4</v>
      </c>
    </row>
    <row r="4118" spans="2:7" x14ac:dyDescent="0.2">
      <c r="B4118" s="60">
        <v>41715</v>
      </c>
      <c r="C4118" s="7">
        <v>1.567E-2</v>
      </c>
      <c r="D4118" s="7">
        <v>1.5469999999999999E-2</v>
      </c>
      <c r="E4118" s="7">
        <v>1.5720000000000001E-2</v>
      </c>
      <c r="F4118" s="7">
        <v>1.541E-2</v>
      </c>
      <c r="G4118" s="7">
        <v>1.29E-2</v>
      </c>
    </row>
    <row r="4119" spans="2:7" x14ac:dyDescent="0.2">
      <c r="B4119" s="60">
        <v>41716</v>
      </c>
      <c r="C4119" s="7">
        <v>1.5709999999999998E-2</v>
      </c>
      <c r="D4119" s="7">
        <v>1.567E-2</v>
      </c>
      <c r="E4119" s="7">
        <v>1.584E-2</v>
      </c>
      <c r="F4119" s="7">
        <v>1.5509999999999999E-2</v>
      </c>
      <c r="G4119" s="7">
        <v>2.5999999999999999E-3</v>
      </c>
    </row>
    <row r="4120" spans="2:7" x14ac:dyDescent="0.2">
      <c r="B4120" s="60">
        <v>41717</v>
      </c>
      <c r="C4120" s="7">
        <v>1.5990000000000001E-2</v>
      </c>
      <c r="D4120" s="7">
        <v>1.5689999999999999E-2</v>
      </c>
      <c r="E4120" s="7">
        <v>1.6049999999999998E-2</v>
      </c>
      <c r="F4120" s="7">
        <v>1.5689999999999999E-2</v>
      </c>
      <c r="G4120" s="7">
        <v>1.78E-2</v>
      </c>
    </row>
    <row r="4121" spans="2:7" x14ac:dyDescent="0.2">
      <c r="B4121" s="60">
        <v>41718</v>
      </c>
      <c r="C4121" s="7">
        <v>1.651E-2</v>
      </c>
      <c r="D4121" s="7">
        <v>1.6369999999999999E-2</v>
      </c>
      <c r="E4121" s="7">
        <v>1.67E-2</v>
      </c>
      <c r="F4121" s="7">
        <v>1.626E-2</v>
      </c>
      <c r="G4121" s="7">
        <v>3.2500000000000001E-2</v>
      </c>
    </row>
    <row r="4122" spans="2:7" x14ac:dyDescent="0.2">
      <c r="B4122" s="60">
        <v>41719</v>
      </c>
      <c r="C4122" s="7">
        <v>1.6330000000000001E-2</v>
      </c>
      <c r="D4122" s="7">
        <v>1.644E-2</v>
      </c>
      <c r="E4122" s="7">
        <v>1.6500000000000001E-2</v>
      </c>
      <c r="F4122" s="7">
        <v>1.6310000000000002E-2</v>
      </c>
      <c r="G4122" s="7">
        <v>-1.09E-2</v>
      </c>
    </row>
    <row r="4123" spans="2:7" x14ac:dyDescent="0.2">
      <c r="B4123" s="60">
        <v>41722</v>
      </c>
      <c r="C4123" s="7">
        <v>1.5820000000000001E-2</v>
      </c>
      <c r="D4123" s="7">
        <v>1.6420000000000001E-2</v>
      </c>
      <c r="E4123" s="7">
        <v>1.6559999999999998E-2</v>
      </c>
      <c r="F4123" s="7">
        <v>1.5810000000000001E-2</v>
      </c>
      <c r="G4123" s="7">
        <v>-3.1199999999999999E-2</v>
      </c>
    </row>
    <row r="4124" spans="2:7" x14ac:dyDescent="0.2">
      <c r="B4124" s="60">
        <v>41723</v>
      </c>
      <c r="C4124" s="7">
        <v>1.5740000000000001E-2</v>
      </c>
      <c r="D4124" s="7">
        <v>1.5800000000000002E-2</v>
      </c>
      <c r="E4124" s="7">
        <v>1.5910000000000001E-2</v>
      </c>
      <c r="F4124" s="7">
        <v>1.5679999999999999E-2</v>
      </c>
      <c r="G4124" s="7">
        <v>-5.1000000000000004E-3</v>
      </c>
    </row>
    <row r="4125" spans="2:7" x14ac:dyDescent="0.2">
      <c r="B4125" s="60">
        <v>41724</v>
      </c>
      <c r="C4125" s="7">
        <v>1.5700000000000002E-2</v>
      </c>
      <c r="D4125" s="7">
        <v>1.5800000000000002E-2</v>
      </c>
      <c r="E4125" s="7">
        <v>1.583E-2</v>
      </c>
      <c r="F4125" s="7">
        <v>1.5529999999999999E-2</v>
      </c>
      <c r="G4125" s="7">
        <v>-2.5000000000000001E-3</v>
      </c>
    </row>
    <row r="4126" spans="2:7" x14ac:dyDescent="0.2">
      <c r="B4126" s="60">
        <v>41725</v>
      </c>
      <c r="C4126" s="7">
        <v>1.5349999999999999E-2</v>
      </c>
      <c r="D4126" s="7">
        <v>1.559E-2</v>
      </c>
      <c r="E4126" s="7">
        <v>1.5640000000000001E-2</v>
      </c>
      <c r="F4126" s="7">
        <v>1.5269999999999999E-2</v>
      </c>
      <c r="G4126" s="7">
        <v>-2.23E-2</v>
      </c>
    </row>
    <row r="4127" spans="2:7" x14ac:dyDescent="0.2">
      <c r="B4127" s="60">
        <v>41726</v>
      </c>
      <c r="C4127" s="7">
        <v>1.5509999999999999E-2</v>
      </c>
      <c r="D4127" s="7">
        <v>1.5389999999999999E-2</v>
      </c>
      <c r="E4127" s="7">
        <v>1.566E-2</v>
      </c>
      <c r="F4127" s="7">
        <v>1.5129999999999999E-2</v>
      </c>
      <c r="G4127" s="7">
        <v>1.04E-2</v>
      </c>
    </row>
    <row r="4128" spans="2:7" x14ac:dyDescent="0.2">
      <c r="B4128" s="60">
        <v>41729</v>
      </c>
      <c r="C4128" s="7">
        <v>1.5700000000000002E-2</v>
      </c>
      <c r="D4128" s="7">
        <v>1.5609999999999999E-2</v>
      </c>
      <c r="E4128" s="7">
        <v>1.5969999999999998E-2</v>
      </c>
      <c r="F4128" s="7">
        <v>1.55E-2</v>
      </c>
      <c r="G4128" s="7">
        <v>1.23E-2</v>
      </c>
    </row>
    <row r="4129" spans="2:7" x14ac:dyDescent="0.2">
      <c r="B4129" s="60">
        <v>41730</v>
      </c>
      <c r="C4129" s="7">
        <v>1.5810000000000001E-2</v>
      </c>
      <c r="D4129" s="7">
        <v>1.5730000000000001E-2</v>
      </c>
      <c r="E4129" s="7">
        <v>1.5880000000000002E-2</v>
      </c>
      <c r="F4129" s="7">
        <v>1.567E-2</v>
      </c>
      <c r="G4129" s="7">
        <v>7.0000000000000001E-3</v>
      </c>
    </row>
    <row r="4130" spans="2:7" x14ac:dyDescent="0.2">
      <c r="B4130" s="60">
        <v>41731</v>
      </c>
      <c r="C4130" s="7">
        <v>1.6160000000000001E-2</v>
      </c>
      <c r="D4130" s="7">
        <v>1.5820000000000001E-2</v>
      </c>
      <c r="E4130" s="7">
        <v>1.6209999999999999E-2</v>
      </c>
      <c r="F4130" s="7">
        <v>1.5810000000000001E-2</v>
      </c>
      <c r="G4130" s="7">
        <v>2.2100000000000002E-2</v>
      </c>
    </row>
    <row r="4131" spans="2:7" x14ac:dyDescent="0.2">
      <c r="B4131" s="60">
        <v>41732</v>
      </c>
      <c r="C4131" s="7">
        <v>1.6040000000000002E-2</v>
      </c>
      <c r="D4131" s="7">
        <v>1.6140000000000002E-2</v>
      </c>
      <c r="E4131" s="7">
        <v>1.6399999999999998E-2</v>
      </c>
      <c r="F4131" s="7">
        <v>1.6E-2</v>
      </c>
      <c r="G4131" s="7">
        <v>-7.4000000000000003E-3</v>
      </c>
    </row>
    <row r="4132" spans="2:7" x14ac:dyDescent="0.2">
      <c r="B4132" s="60">
        <v>41733</v>
      </c>
      <c r="C4132" s="7">
        <v>1.5569999999999999E-2</v>
      </c>
      <c r="D4132" s="7">
        <v>1.6080000000000001E-2</v>
      </c>
      <c r="E4132" s="7">
        <v>1.6279999999999999E-2</v>
      </c>
      <c r="F4132" s="7">
        <v>1.5520000000000001E-2</v>
      </c>
      <c r="G4132" s="7">
        <v>-2.93E-2</v>
      </c>
    </row>
    <row r="4133" spans="2:7" x14ac:dyDescent="0.2">
      <c r="B4133" s="60">
        <v>41736</v>
      </c>
      <c r="C4133" s="7">
        <v>1.5440000000000001E-2</v>
      </c>
      <c r="D4133" s="7">
        <v>1.5480000000000001E-2</v>
      </c>
      <c r="E4133" s="7">
        <v>1.5709999999999998E-2</v>
      </c>
      <c r="F4133" s="7">
        <v>1.5349999999999999E-2</v>
      </c>
      <c r="G4133" s="7">
        <v>-8.3000000000000001E-3</v>
      </c>
    </row>
    <row r="4134" spans="2:7" x14ac:dyDescent="0.2">
      <c r="B4134" s="60">
        <v>41737</v>
      </c>
      <c r="C4134" s="7">
        <v>1.5609999999999999E-2</v>
      </c>
      <c r="D4134" s="7">
        <v>1.554E-2</v>
      </c>
      <c r="E4134" s="7">
        <v>1.5709999999999998E-2</v>
      </c>
      <c r="F4134" s="7">
        <v>1.542E-2</v>
      </c>
      <c r="G4134" s="7">
        <v>1.0999999999999999E-2</v>
      </c>
    </row>
    <row r="4135" spans="2:7" x14ac:dyDescent="0.2">
      <c r="B4135" s="60">
        <v>41738</v>
      </c>
      <c r="C4135" s="7">
        <v>1.5789999999999998E-2</v>
      </c>
      <c r="D4135" s="7">
        <v>1.559E-2</v>
      </c>
      <c r="E4135" s="7">
        <v>1.5890000000000001E-2</v>
      </c>
      <c r="F4135" s="7">
        <v>1.555E-2</v>
      </c>
      <c r="G4135" s="7">
        <v>1.15E-2</v>
      </c>
    </row>
    <row r="4136" spans="2:7" x14ac:dyDescent="0.2">
      <c r="B4136" s="60">
        <v>41739</v>
      </c>
      <c r="C4136" s="7">
        <v>1.525E-2</v>
      </c>
      <c r="D4136" s="7">
        <v>1.5529999999999999E-2</v>
      </c>
      <c r="E4136" s="7">
        <v>1.5569999999999999E-2</v>
      </c>
      <c r="F4136" s="7">
        <v>1.516E-2</v>
      </c>
      <c r="G4136" s="7">
        <v>-3.4200000000000001E-2</v>
      </c>
    </row>
    <row r="4137" spans="2:7" x14ac:dyDescent="0.2">
      <c r="B4137" s="60">
        <v>41740</v>
      </c>
      <c r="C4137" s="7">
        <v>1.506E-2</v>
      </c>
      <c r="D4137" s="7">
        <v>1.541E-2</v>
      </c>
      <c r="E4137" s="7">
        <v>1.541E-2</v>
      </c>
      <c r="F4137" s="7">
        <v>1.49E-2</v>
      </c>
      <c r="G4137" s="7">
        <v>-1.2500000000000001E-2</v>
      </c>
    </row>
    <row r="4138" spans="2:7" x14ac:dyDescent="0.2">
      <c r="B4138" s="60">
        <v>41743</v>
      </c>
      <c r="C4138" s="7">
        <v>1.528E-2</v>
      </c>
      <c r="D4138" s="7">
        <v>1.4930000000000001E-2</v>
      </c>
      <c r="E4138" s="7">
        <v>1.533E-2</v>
      </c>
      <c r="F4138" s="7">
        <v>1.4930000000000001E-2</v>
      </c>
      <c r="G4138" s="7">
        <v>1.46E-2</v>
      </c>
    </row>
    <row r="4139" spans="2:7" x14ac:dyDescent="0.2">
      <c r="B4139" s="60">
        <v>41744</v>
      </c>
      <c r="C4139" s="7">
        <v>1.4750000000000001E-2</v>
      </c>
      <c r="D4139" s="7">
        <v>1.528E-2</v>
      </c>
      <c r="E4139" s="7">
        <v>1.532E-2</v>
      </c>
      <c r="F4139" s="7">
        <v>1.472E-2</v>
      </c>
      <c r="G4139" s="7">
        <v>-3.4700000000000002E-2</v>
      </c>
    </row>
    <row r="4140" spans="2:7" x14ac:dyDescent="0.2">
      <c r="B4140" s="60">
        <v>41745</v>
      </c>
      <c r="C4140" s="7">
        <v>1.486E-2</v>
      </c>
      <c r="D4140" s="7">
        <v>1.49E-2</v>
      </c>
      <c r="E4140" s="7">
        <v>1.5029999999999998E-2</v>
      </c>
      <c r="F4140" s="7">
        <v>1.482E-2</v>
      </c>
      <c r="G4140" s="7">
        <v>7.4999999999999997E-3</v>
      </c>
    </row>
    <row r="4141" spans="2:7" x14ac:dyDescent="0.2">
      <c r="B4141" s="60">
        <v>41746</v>
      </c>
      <c r="C4141" s="7">
        <v>1.5149999999999999E-2</v>
      </c>
      <c r="D4141" s="7">
        <v>1.4870000000000001E-2</v>
      </c>
      <c r="E4141" s="7">
        <v>1.5149999999999999E-2</v>
      </c>
      <c r="F4141" s="7">
        <v>1.481E-2</v>
      </c>
      <c r="G4141" s="7">
        <v>1.95E-2</v>
      </c>
    </row>
    <row r="4142" spans="2:7" x14ac:dyDescent="0.2">
      <c r="B4142" s="60">
        <v>41751</v>
      </c>
      <c r="C4142" s="7">
        <v>1.5429999999999999E-2</v>
      </c>
      <c r="D4142" s="7">
        <v>1.528E-2</v>
      </c>
      <c r="E4142" s="7">
        <v>1.5509999999999999E-2</v>
      </c>
      <c r="F4142" s="7">
        <v>1.5220000000000001E-2</v>
      </c>
      <c r="G4142" s="7">
        <v>1.8499999999999999E-2</v>
      </c>
    </row>
    <row r="4143" spans="2:7" x14ac:dyDescent="0.2">
      <c r="B4143" s="60">
        <v>41752</v>
      </c>
      <c r="C4143" s="7">
        <v>1.5189999999999999E-2</v>
      </c>
      <c r="D4143" s="7">
        <v>1.5309999999999999E-2</v>
      </c>
      <c r="E4143" s="7">
        <v>1.5489999999999999E-2</v>
      </c>
      <c r="F4143" s="7">
        <v>1.5129999999999999E-2</v>
      </c>
      <c r="G4143" s="7">
        <v>-1.5599999999999999E-2</v>
      </c>
    </row>
    <row r="4144" spans="2:7" x14ac:dyDescent="0.2">
      <c r="B4144" s="60">
        <v>41753</v>
      </c>
      <c r="C4144" s="7">
        <v>1.533E-2</v>
      </c>
      <c r="D4144" s="7">
        <v>1.533E-2</v>
      </c>
      <c r="E4144" s="7">
        <v>1.558E-2</v>
      </c>
      <c r="F4144" s="7">
        <v>1.5089999999999999E-2</v>
      </c>
      <c r="G4144" s="7">
        <v>9.1999999999999998E-3</v>
      </c>
    </row>
    <row r="4145" spans="2:7" x14ac:dyDescent="0.2">
      <c r="B4145" s="60">
        <v>41754</v>
      </c>
      <c r="C4145" s="7">
        <v>1.4830000000000001E-2</v>
      </c>
      <c r="D4145" s="7">
        <v>1.5140000000000001E-2</v>
      </c>
      <c r="E4145" s="7">
        <v>1.5169999999999999E-2</v>
      </c>
      <c r="F4145" s="7">
        <v>1.477E-2</v>
      </c>
      <c r="G4145" s="7">
        <v>-3.2599999999999997E-2</v>
      </c>
    </row>
    <row r="4146" spans="2:7" x14ac:dyDescent="0.2">
      <c r="B4146" s="60">
        <v>41757</v>
      </c>
      <c r="C4146" s="7">
        <v>1.4999999999999999E-2</v>
      </c>
      <c r="D4146" s="7">
        <v>1.494E-2</v>
      </c>
      <c r="E4146" s="7">
        <v>1.5129999999999999E-2</v>
      </c>
      <c r="F4146" s="7">
        <v>1.485E-2</v>
      </c>
      <c r="G4146" s="7">
        <v>1.15E-2</v>
      </c>
    </row>
    <row r="4147" spans="2:7" x14ac:dyDescent="0.2">
      <c r="B4147" s="60">
        <v>41758</v>
      </c>
      <c r="C4147" s="7">
        <v>1.506E-2</v>
      </c>
      <c r="D4147" s="7">
        <v>1.5049999999999999E-2</v>
      </c>
      <c r="E4147" s="7">
        <v>1.538E-2</v>
      </c>
      <c r="F4147" s="7">
        <v>1.5009999999999999E-2</v>
      </c>
      <c r="G4147" s="7">
        <v>4.0000000000000001E-3</v>
      </c>
    </row>
    <row r="4148" spans="2:7" x14ac:dyDescent="0.2">
      <c r="B4148" s="60">
        <v>41759</v>
      </c>
      <c r="C4148" s="7">
        <v>1.47E-2</v>
      </c>
      <c r="D4148" s="7">
        <v>1.4970000000000001E-2</v>
      </c>
      <c r="E4148" s="7">
        <v>1.5220000000000001E-2</v>
      </c>
      <c r="F4148" s="7">
        <v>1.468E-2</v>
      </c>
      <c r="G4148" s="7">
        <v>-2.3900000000000001E-2</v>
      </c>
    </row>
    <row r="4149" spans="2:7" x14ac:dyDescent="0.2">
      <c r="B4149" s="60">
        <v>41761</v>
      </c>
      <c r="C4149" s="7">
        <v>1.452E-2</v>
      </c>
      <c r="D4149" s="7">
        <v>1.4570000000000001E-2</v>
      </c>
      <c r="E4149" s="7">
        <v>1.506E-2</v>
      </c>
      <c r="F4149" s="7">
        <v>1.448E-2</v>
      </c>
      <c r="G4149" s="7">
        <v>-1.2200000000000001E-2</v>
      </c>
    </row>
    <row r="4150" spans="2:7" x14ac:dyDescent="0.2">
      <c r="B4150" s="60">
        <v>41764</v>
      </c>
      <c r="C4150" s="7">
        <v>1.46E-2</v>
      </c>
      <c r="D4150" s="7">
        <v>1.447E-2</v>
      </c>
      <c r="E4150" s="7">
        <v>1.4630000000000001E-2</v>
      </c>
      <c r="F4150" s="7">
        <v>1.439E-2</v>
      </c>
      <c r="G4150" s="7">
        <v>5.4999999999999997E-3</v>
      </c>
    </row>
    <row r="4151" spans="2:7" x14ac:dyDescent="0.2">
      <c r="B4151" s="60">
        <v>41765</v>
      </c>
      <c r="C4151" s="7">
        <v>1.464E-2</v>
      </c>
      <c r="D4151" s="7">
        <v>1.46E-2</v>
      </c>
      <c r="E4151" s="7">
        <v>1.482E-2</v>
      </c>
      <c r="F4151" s="7">
        <v>1.451E-2</v>
      </c>
      <c r="G4151" s="7">
        <v>2.7000000000000001E-3</v>
      </c>
    </row>
    <row r="4152" spans="2:7" x14ac:dyDescent="0.2">
      <c r="B4152" s="60">
        <v>41766</v>
      </c>
      <c r="C4152" s="7">
        <v>1.472E-2</v>
      </c>
      <c r="D4152" s="7">
        <v>1.4539999999999999E-2</v>
      </c>
      <c r="E4152" s="7">
        <v>1.4950000000000001E-2</v>
      </c>
      <c r="F4152" s="7">
        <v>1.444E-2</v>
      </c>
      <c r="G4152" s="7">
        <v>5.4999999999999997E-3</v>
      </c>
    </row>
    <row r="4153" spans="2:7" x14ac:dyDescent="0.2">
      <c r="B4153" s="60">
        <v>41767</v>
      </c>
      <c r="C4153" s="7">
        <v>1.4459999999999999E-2</v>
      </c>
      <c r="D4153" s="7">
        <v>1.4760000000000001E-2</v>
      </c>
      <c r="E4153" s="7">
        <v>1.4919999999999999E-2</v>
      </c>
      <c r="F4153" s="7">
        <v>1.443E-2</v>
      </c>
      <c r="G4153" s="7">
        <v>-1.77E-2</v>
      </c>
    </row>
    <row r="4154" spans="2:7" x14ac:dyDescent="0.2">
      <c r="B4154" s="60">
        <v>41768</v>
      </c>
      <c r="C4154" s="7">
        <v>1.4590000000000001E-2</v>
      </c>
      <c r="D4154" s="7">
        <v>1.448E-2</v>
      </c>
      <c r="E4154" s="7">
        <v>1.4659999999999999E-2</v>
      </c>
      <c r="F4154" s="7">
        <v>1.439E-2</v>
      </c>
      <c r="G4154" s="7">
        <v>8.9999999999999993E-3</v>
      </c>
    </row>
    <row r="4155" spans="2:7" x14ac:dyDescent="0.2">
      <c r="B4155" s="60">
        <v>41771</v>
      </c>
      <c r="C4155" s="7">
        <v>1.4659999999999999E-2</v>
      </c>
      <c r="D4155" s="7">
        <v>1.4659999999999999E-2</v>
      </c>
      <c r="E4155" s="7">
        <v>1.4750000000000001E-2</v>
      </c>
      <c r="F4155" s="7">
        <v>1.456E-2</v>
      </c>
      <c r="G4155" s="7">
        <v>4.7999999999999996E-3</v>
      </c>
    </row>
    <row r="4156" spans="2:7" x14ac:dyDescent="0.2">
      <c r="B4156" s="60">
        <v>41772</v>
      </c>
      <c r="C4156" s="7">
        <v>1.422E-2</v>
      </c>
      <c r="D4156" s="7">
        <v>1.47E-2</v>
      </c>
      <c r="E4156" s="7">
        <v>1.474E-2</v>
      </c>
      <c r="F4156" s="7">
        <v>1.417E-2</v>
      </c>
      <c r="G4156" s="7">
        <v>-0.03</v>
      </c>
    </row>
    <row r="4157" spans="2:7" x14ac:dyDescent="0.2">
      <c r="B4157" s="60">
        <v>41773</v>
      </c>
      <c r="C4157" s="7">
        <v>1.3769999999999999E-2</v>
      </c>
      <c r="D4157" s="7">
        <v>1.426E-2</v>
      </c>
      <c r="E4157" s="7">
        <v>1.426E-2</v>
      </c>
      <c r="F4157" s="7">
        <v>1.371E-2</v>
      </c>
      <c r="G4157" s="7">
        <v>-3.1600000000000003E-2</v>
      </c>
    </row>
    <row r="4158" spans="2:7" x14ac:dyDescent="0.2">
      <c r="B4158" s="60">
        <v>41774</v>
      </c>
      <c r="C4158" s="7">
        <v>1.306E-2</v>
      </c>
      <c r="D4158" s="7">
        <v>1.383E-2</v>
      </c>
      <c r="E4158" s="7">
        <v>1.3859999999999999E-2</v>
      </c>
      <c r="F4158" s="7">
        <v>1.302E-2</v>
      </c>
      <c r="G4158" s="7">
        <v>-5.16E-2</v>
      </c>
    </row>
    <row r="4159" spans="2:7" x14ac:dyDescent="0.2">
      <c r="B4159" s="60">
        <v>41775</v>
      </c>
      <c r="C4159" s="7">
        <v>1.336E-2</v>
      </c>
      <c r="D4159" s="7">
        <v>1.312E-2</v>
      </c>
      <c r="E4159" s="7">
        <v>1.34E-2</v>
      </c>
      <c r="F4159" s="7">
        <v>1.298E-2</v>
      </c>
      <c r="G4159" s="7">
        <v>2.3E-2</v>
      </c>
    </row>
    <row r="4160" spans="2:7" x14ac:dyDescent="0.2">
      <c r="B4160" s="60">
        <v>41776</v>
      </c>
      <c r="C4160" s="7">
        <v>1.337E-2</v>
      </c>
      <c r="D4160" s="7">
        <v>1.337E-2</v>
      </c>
      <c r="E4160" s="7">
        <v>1.337E-2</v>
      </c>
      <c r="F4160" s="7">
        <v>1.337E-2</v>
      </c>
      <c r="G4160" s="7">
        <v>6.9999999999999999E-4</v>
      </c>
    </row>
    <row r="4161" spans="2:7" x14ac:dyDescent="0.2">
      <c r="B4161" s="60">
        <v>41778</v>
      </c>
      <c r="C4161" s="7">
        <v>1.341E-2</v>
      </c>
      <c r="D4161" s="7">
        <v>1.3300000000000001E-2</v>
      </c>
      <c r="E4161" s="7">
        <v>1.355E-2</v>
      </c>
      <c r="F4161" s="7">
        <v>1.312E-2</v>
      </c>
      <c r="G4161" s="7">
        <v>3.0000000000000001E-3</v>
      </c>
    </row>
    <row r="4162" spans="2:7" x14ac:dyDescent="0.2">
      <c r="B4162" s="60">
        <v>41779</v>
      </c>
      <c r="C4162" s="7">
        <v>1.355E-2</v>
      </c>
      <c r="D4162" s="7">
        <v>1.3520000000000001E-2</v>
      </c>
      <c r="E4162" s="7">
        <v>1.367E-2</v>
      </c>
      <c r="F4162" s="7">
        <v>1.34E-2</v>
      </c>
      <c r="G4162" s="7">
        <v>1.04E-2</v>
      </c>
    </row>
    <row r="4163" spans="2:7" x14ac:dyDescent="0.2">
      <c r="B4163" s="60">
        <v>41780</v>
      </c>
      <c r="C4163" s="7">
        <v>1.374E-2</v>
      </c>
      <c r="D4163" s="7">
        <v>1.3429999999999999E-2</v>
      </c>
      <c r="E4163" s="7">
        <v>1.3839999999999998E-2</v>
      </c>
      <c r="F4163" s="7">
        <v>1.3389999999999999E-2</v>
      </c>
      <c r="G4163" s="7">
        <v>1.4E-2</v>
      </c>
    </row>
    <row r="4164" spans="2:7" x14ac:dyDescent="0.2">
      <c r="B4164" s="60">
        <v>41781</v>
      </c>
      <c r="C4164" s="7">
        <v>1.3600000000000001E-2</v>
      </c>
      <c r="D4164" s="7">
        <v>1.383E-2</v>
      </c>
      <c r="E4164" s="7">
        <v>1.3879999999999998E-2</v>
      </c>
      <c r="F4164" s="7">
        <v>1.3480000000000001E-2</v>
      </c>
      <c r="G4164" s="7">
        <v>-1.0200000000000001E-2</v>
      </c>
    </row>
    <row r="4165" spans="2:7" x14ac:dyDescent="0.2">
      <c r="B4165" s="60">
        <v>41782</v>
      </c>
      <c r="C4165" s="7">
        <v>1.4119999999999999E-2</v>
      </c>
      <c r="D4165" s="7">
        <v>1.417E-2</v>
      </c>
      <c r="E4165" s="7">
        <v>1.422E-2</v>
      </c>
      <c r="F4165" s="7">
        <v>1.4019999999999999E-2</v>
      </c>
      <c r="G4165" s="7">
        <v>3.8199999999999998E-2</v>
      </c>
    </row>
    <row r="4166" spans="2:7" x14ac:dyDescent="0.2">
      <c r="B4166" s="60">
        <v>41783</v>
      </c>
      <c r="C4166" s="7">
        <v>1.4119999999999999E-2</v>
      </c>
      <c r="D4166" s="7">
        <v>1.4190000000000001E-2</v>
      </c>
      <c r="E4166" s="7">
        <v>1.4190000000000001E-2</v>
      </c>
      <c r="F4166" s="7">
        <v>1.4119999999999999E-2</v>
      </c>
      <c r="G4166" s="7">
        <v>0</v>
      </c>
    </row>
    <row r="4167" spans="2:7" x14ac:dyDescent="0.2">
      <c r="B4167" s="60">
        <v>41784</v>
      </c>
      <c r="C4167" s="7">
        <v>1.4119999999999999E-2</v>
      </c>
      <c r="D4167" s="7">
        <v>1.4119999999999999E-2</v>
      </c>
      <c r="E4167" s="7">
        <v>1.4119999999999999E-2</v>
      </c>
      <c r="F4167" s="7">
        <v>1.4119999999999999E-2</v>
      </c>
      <c r="G4167" s="7">
        <v>0</v>
      </c>
    </row>
    <row r="4168" spans="2:7" x14ac:dyDescent="0.2">
      <c r="B4168" s="60">
        <v>41785</v>
      </c>
      <c r="C4168" s="7">
        <v>1.4150000000000001E-2</v>
      </c>
      <c r="D4168" s="7">
        <v>1.413E-2</v>
      </c>
      <c r="E4168" s="7">
        <v>1.4330000000000001E-2</v>
      </c>
      <c r="F4168" s="7">
        <v>1.401E-2</v>
      </c>
      <c r="G4168" s="7">
        <v>2.0999999999999999E-3</v>
      </c>
    </row>
    <row r="4169" spans="2:7" x14ac:dyDescent="0.2">
      <c r="B4169" s="60">
        <v>41786</v>
      </c>
      <c r="C4169" s="7">
        <v>1.3839999999999998E-2</v>
      </c>
      <c r="D4169" s="7">
        <v>1.4190000000000001E-2</v>
      </c>
      <c r="E4169" s="7">
        <v>1.4279999999999999E-2</v>
      </c>
      <c r="F4169" s="7">
        <v>1.376E-2</v>
      </c>
      <c r="G4169" s="7">
        <v>-2.1899999999999999E-2</v>
      </c>
    </row>
    <row r="4170" spans="2:7" x14ac:dyDescent="0.2">
      <c r="B4170" s="60">
        <v>41787</v>
      </c>
      <c r="C4170" s="7">
        <v>1.337E-2</v>
      </c>
      <c r="D4170" s="7">
        <v>1.3809999999999999E-2</v>
      </c>
      <c r="E4170" s="7">
        <v>1.3879999999999998E-2</v>
      </c>
      <c r="F4170" s="7">
        <v>1.3340000000000001E-2</v>
      </c>
      <c r="G4170" s="7">
        <v>-3.4000000000000002E-2</v>
      </c>
    </row>
    <row r="4171" spans="2:7" x14ac:dyDescent="0.2">
      <c r="B4171" s="60">
        <v>41788</v>
      </c>
      <c r="C4171" s="7">
        <v>1.3520000000000001E-2</v>
      </c>
      <c r="D4171" s="7">
        <v>1.3340000000000001E-2</v>
      </c>
      <c r="E4171" s="7">
        <v>1.3560000000000001E-2</v>
      </c>
      <c r="F4171" s="7">
        <v>1.3309999999999999E-2</v>
      </c>
      <c r="G4171" s="7">
        <v>1.12E-2</v>
      </c>
    </row>
    <row r="4172" spans="2:7" x14ac:dyDescent="0.2">
      <c r="B4172" s="60">
        <v>41789</v>
      </c>
      <c r="C4172" s="7">
        <v>1.357E-2</v>
      </c>
      <c r="D4172" s="7">
        <v>1.3720000000000001E-2</v>
      </c>
      <c r="E4172" s="7">
        <v>1.3809999999999999E-2</v>
      </c>
      <c r="F4172" s="7">
        <v>1.3520000000000001E-2</v>
      </c>
      <c r="G4172" s="7">
        <v>3.7000000000000002E-3</v>
      </c>
    </row>
    <row r="4173" spans="2:7" x14ac:dyDescent="0.2">
      <c r="B4173" s="60">
        <v>41792</v>
      </c>
      <c r="C4173" s="7">
        <v>1.367E-2</v>
      </c>
      <c r="D4173" s="7">
        <v>1.3600000000000001E-2</v>
      </c>
      <c r="E4173" s="7">
        <v>1.3690000000000001E-2</v>
      </c>
      <c r="F4173" s="7">
        <v>1.3340000000000001E-2</v>
      </c>
      <c r="G4173" s="7">
        <v>7.4000000000000003E-3</v>
      </c>
    </row>
    <row r="4174" spans="2:7" x14ac:dyDescent="0.2">
      <c r="B4174" s="60">
        <v>41793</v>
      </c>
      <c r="C4174" s="7">
        <v>1.4110000000000001E-2</v>
      </c>
      <c r="D4174" s="7">
        <v>1.3610000000000001E-2</v>
      </c>
      <c r="E4174" s="7">
        <v>1.421E-2</v>
      </c>
      <c r="F4174" s="7">
        <v>1.3600000000000001E-2</v>
      </c>
      <c r="G4174" s="7">
        <v>3.2199999999999999E-2</v>
      </c>
    </row>
    <row r="4175" spans="2:7" x14ac:dyDescent="0.2">
      <c r="B4175" s="60">
        <v>41794</v>
      </c>
      <c r="C4175" s="7">
        <v>1.4370000000000001E-2</v>
      </c>
      <c r="D4175" s="7">
        <v>1.4110000000000001E-2</v>
      </c>
      <c r="E4175" s="7">
        <v>1.444E-2</v>
      </c>
      <c r="F4175" s="7">
        <v>1.401E-2</v>
      </c>
      <c r="G4175" s="7">
        <v>1.84E-2</v>
      </c>
    </row>
    <row r="4176" spans="2:7" x14ac:dyDescent="0.2">
      <c r="B4176" s="60">
        <v>41795</v>
      </c>
      <c r="C4176" s="7">
        <v>1.417E-2</v>
      </c>
      <c r="D4176" s="7">
        <v>1.435E-2</v>
      </c>
      <c r="E4176" s="7">
        <v>1.4919999999999999E-2</v>
      </c>
      <c r="F4176" s="7">
        <v>1.3979999999999999E-2</v>
      </c>
      <c r="G4176" s="7">
        <v>-1.3899999999999999E-2</v>
      </c>
    </row>
    <row r="4177" spans="2:7" x14ac:dyDescent="0.2">
      <c r="B4177" s="60">
        <v>41796</v>
      </c>
      <c r="C4177" s="7">
        <v>1.357E-2</v>
      </c>
      <c r="D4177" s="7">
        <v>1.3899999999999999E-2</v>
      </c>
      <c r="E4177" s="7">
        <v>1.3990000000000001E-2</v>
      </c>
      <c r="F4177" s="7">
        <v>1.332E-2</v>
      </c>
      <c r="G4177" s="7">
        <v>-4.2299999999999997E-2</v>
      </c>
    </row>
    <row r="4178" spans="2:7" x14ac:dyDescent="0.2">
      <c r="B4178" s="60">
        <v>41799</v>
      </c>
      <c r="C4178" s="7">
        <v>1.38E-2</v>
      </c>
      <c r="D4178" s="7">
        <v>1.371E-2</v>
      </c>
      <c r="E4178" s="7">
        <v>1.3859999999999999E-2</v>
      </c>
      <c r="F4178" s="7">
        <v>1.3509999999999999E-2</v>
      </c>
      <c r="G4178" s="7">
        <v>1.6899999999999998E-2</v>
      </c>
    </row>
    <row r="4179" spans="2:7" x14ac:dyDescent="0.2">
      <c r="B4179" s="60">
        <v>41800</v>
      </c>
      <c r="C4179" s="7">
        <v>1.4110000000000001E-2</v>
      </c>
      <c r="D4179" s="7">
        <v>1.37E-2</v>
      </c>
      <c r="E4179" s="7">
        <v>1.4150000000000001E-2</v>
      </c>
      <c r="F4179" s="7">
        <v>1.367E-2</v>
      </c>
      <c r="G4179" s="7">
        <v>2.2499999999999999E-2</v>
      </c>
    </row>
    <row r="4180" spans="2:7" x14ac:dyDescent="0.2">
      <c r="B4180" s="60">
        <v>41801</v>
      </c>
      <c r="C4180" s="7">
        <v>1.3959999999999998E-2</v>
      </c>
      <c r="D4180" s="7">
        <v>1.4190000000000001E-2</v>
      </c>
      <c r="E4180" s="7">
        <v>1.4450000000000001E-2</v>
      </c>
      <c r="F4180" s="7">
        <v>1.387E-2</v>
      </c>
      <c r="G4180" s="7">
        <v>-1.06E-2</v>
      </c>
    </row>
    <row r="4181" spans="2:7" x14ac:dyDescent="0.2">
      <c r="B4181" s="60">
        <v>41802</v>
      </c>
      <c r="C4181" s="7">
        <v>1.3879999999999998E-2</v>
      </c>
      <c r="D4181" s="7">
        <v>1.4119999999999999E-2</v>
      </c>
      <c r="E4181" s="7">
        <v>1.418E-2</v>
      </c>
      <c r="F4181" s="7">
        <v>1.379E-2</v>
      </c>
      <c r="G4181" s="7">
        <v>-5.7000000000000002E-3</v>
      </c>
    </row>
    <row r="4182" spans="2:7" x14ac:dyDescent="0.2">
      <c r="B4182" s="60">
        <v>41803</v>
      </c>
      <c r="C4182" s="7">
        <v>1.371E-2</v>
      </c>
      <c r="D4182" s="7">
        <v>1.3809999999999999E-2</v>
      </c>
      <c r="E4182" s="7">
        <v>1.4150000000000001E-2</v>
      </c>
      <c r="F4182" s="7">
        <v>1.357E-2</v>
      </c>
      <c r="G4182" s="7">
        <v>-1.2200000000000001E-2</v>
      </c>
    </row>
    <row r="4183" spans="2:7" x14ac:dyDescent="0.2">
      <c r="B4183" s="60">
        <v>41806</v>
      </c>
      <c r="C4183" s="7">
        <v>1.3540000000000002E-2</v>
      </c>
      <c r="D4183" s="7">
        <v>1.362E-2</v>
      </c>
      <c r="E4183" s="7">
        <v>1.3650000000000001E-2</v>
      </c>
      <c r="F4183" s="7">
        <v>1.3429999999999999E-2</v>
      </c>
      <c r="G4183" s="7">
        <v>-1.24E-2</v>
      </c>
    </row>
    <row r="4184" spans="2:7" x14ac:dyDescent="0.2">
      <c r="B4184" s="60">
        <v>41807</v>
      </c>
      <c r="C4184" s="7">
        <v>1.4039999999999999E-2</v>
      </c>
      <c r="D4184" s="7">
        <v>1.3560000000000001E-2</v>
      </c>
      <c r="E4184" s="7">
        <v>1.409E-2</v>
      </c>
      <c r="F4184" s="7">
        <v>1.3520000000000001E-2</v>
      </c>
      <c r="G4184" s="7">
        <v>3.6900000000000002E-2</v>
      </c>
    </row>
    <row r="4185" spans="2:7" x14ac:dyDescent="0.2">
      <c r="B4185" s="60">
        <v>41808</v>
      </c>
      <c r="C4185" s="7">
        <v>1.3779999999999999E-2</v>
      </c>
      <c r="D4185" s="7">
        <v>1.4039999999999999E-2</v>
      </c>
      <c r="E4185" s="7">
        <v>1.4190000000000001E-2</v>
      </c>
      <c r="F4185" s="7">
        <v>1.37E-2</v>
      </c>
      <c r="G4185" s="7">
        <v>-1.8499999999999999E-2</v>
      </c>
    </row>
    <row r="4186" spans="2:7" x14ac:dyDescent="0.2">
      <c r="B4186" s="60">
        <v>41809</v>
      </c>
      <c r="C4186" s="7">
        <v>1.3300000000000001E-2</v>
      </c>
      <c r="D4186" s="7">
        <v>1.349E-2</v>
      </c>
      <c r="E4186" s="7">
        <v>1.3540000000000002E-2</v>
      </c>
      <c r="F4186" s="7">
        <v>1.306E-2</v>
      </c>
      <c r="G4186" s="7">
        <v>-3.4799999999999998E-2</v>
      </c>
    </row>
    <row r="4187" spans="2:7" x14ac:dyDescent="0.2">
      <c r="B4187" s="60">
        <v>41810</v>
      </c>
      <c r="C4187" s="7">
        <v>1.349E-2</v>
      </c>
      <c r="D4187" s="7">
        <v>1.329E-2</v>
      </c>
      <c r="E4187" s="7">
        <v>1.362E-2</v>
      </c>
      <c r="F4187" s="7">
        <v>1.3269999999999999E-2</v>
      </c>
      <c r="G4187" s="7">
        <v>1.43E-2</v>
      </c>
    </row>
    <row r="4188" spans="2:7" x14ac:dyDescent="0.2">
      <c r="B4188" s="60">
        <v>41813</v>
      </c>
      <c r="C4188" s="7">
        <v>1.325E-2</v>
      </c>
      <c r="D4188" s="7">
        <v>1.3469999999999999E-2</v>
      </c>
      <c r="E4188" s="7">
        <v>1.357E-2</v>
      </c>
      <c r="F4188" s="7">
        <v>1.311E-2</v>
      </c>
      <c r="G4188" s="7">
        <v>-1.78E-2</v>
      </c>
    </row>
    <row r="4189" spans="2:7" x14ac:dyDescent="0.2">
      <c r="B4189" s="60">
        <v>41814</v>
      </c>
      <c r="C4189" s="7">
        <v>1.321E-2</v>
      </c>
      <c r="D4189" s="7">
        <v>1.3300000000000001E-2</v>
      </c>
      <c r="E4189" s="7">
        <v>1.3340000000000001E-2</v>
      </c>
      <c r="F4189" s="7">
        <v>1.312E-2</v>
      </c>
      <c r="G4189" s="7">
        <v>-3.0000000000000001E-3</v>
      </c>
    </row>
    <row r="4190" spans="2:7" x14ac:dyDescent="0.2">
      <c r="B4190" s="60">
        <v>41815</v>
      </c>
      <c r="C4190" s="7">
        <v>1.2659999999999999E-2</v>
      </c>
      <c r="D4190" s="7">
        <v>1.3080000000000001E-2</v>
      </c>
      <c r="E4190" s="7">
        <v>1.3169999999999999E-2</v>
      </c>
      <c r="F4190" s="7">
        <v>1.26E-2</v>
      </c>
      <c r="G4190" s="7">
        <v>-4.1599999999999998E-2</v>
      </c>
    </row>
    <row r="4191" spans="2:7" x14ac:dyDescent="0.2">
      <c r="B4191" s="60">
        <v>41816</v>
      </c>
      <c r="C4191" s="7">
        <v>1.242E-2</v>
      </c>
      <c r="D4191" s="7">
        <v>1.269E-2</v>
      </c>
      <c r="E4191" s="7">
        <v>1.2760000000000001E-2</v>
      </c>
      <c r="F4191" s="7">
        <v>1.238E-2</v>
      </c>
      <c r="G4191" s="7">
        <v>-1.9E-2</v>
      </c>
    </row>
    <row r="4192" spans="2:7" x14ac:dyDescent="0.2">
      <c r="B4192" s="60">
        <v>41817</v>
      </c>
      <c r="C4192" s="7">
        <v>1.2629999999999999E-2</v>
      </c>
      <c r="D4192" s="7">
        <v>1.2430000000000002E-2</v>
      </c>
      <c r="E4192" s="7">
        <v>1.2659999999999999E-2</v>
      </c>
      <c r="F4192" s="7">
        <v>1.2410000000000001E-2</v>
      </c>
      <c r="G4192" s="7">
        <v>1.6899999999999998E-2</v>
      </c>
    </row>
    <row r="4193" spans="2:7" x14ac:dyDescent="0.2">
      <c r="B4193" s="60">
        <v>41820</v>
      </c>
      <c r="C4193" s="7">
        <v>1.2509999999999999E-2</v>
      </c>
      <c r="D4193" s="7">
        <v>1.2629999999999999E-2</v>
      </c>
      <c r="E4193" s="7">
        <v>1.2709999999999999E-2</v>
      </c>
      <c r="F4193" s="7">
        <v>1.242E-2</v>
      </c>
      <c r="G4193" s="7">
        <v>-9.4999999999999998E-3</v>
      </c>
    </row>
    <row r="4194" spans="2:7" x14ac:dyDescent="0.2">
      <c r="B4194" s="60">
        <v>41821</v>
      </c>
      <c r="C4194" s="7">
        <v>1.248E-2</v>
      </c>
      <c r="D4194" s="7">
        <v>1.256E-2</v>
      </c>
      <c r="E4194" s="7">
        <v>1.265E-2</v>
      </c>
      <c r="F4194" s="7">
        <v>1.2390000000000002E-2</v>
      </c>
      <c r="G4194" s="7">
        <v>-2.3999999999999998E-3</v>
      </c>
    </row>
    <row r="4195" spans="2:7" x14ac:dyDescent="0.2">
      <c r="B4195" s="60">
        <v>41822</v>
      </c>
      <c r="C4195" s="7">
        <v>1.2840000000000001E-2</v>
      </c>
      <c r="D4195" s="7">
        <v>1.2540000000000001E-2</v>
      </c>
      <c r="E4195" s="7">
        <v>1.2869999999999999E-2</v>
      </c>
      <c r="F4195" s="7">
        <v>1.2359999999999999E-2</v>
      </c>
      <c r="G4195" s="7">
        <v>2.8799999999999999E-2</v>
      </c>
    </row>
    <row r="4196" spans="2:7" x14ac:dyDescent="0.2">
      <c r="B4196" s="60">
        <v>41823</v>
      </c>
      <c r="C4196" s="7">
        <v>1.2960000000000001E-2</v>
      </c>
      <c r="D4196" s="7">
        <v>1.2889999999999999E-2</v>
      </c>
      <c r="E4196" s="7">
        <v>1.3340000000000001E-2</v>
      </c>
      <c r="F4196" s="7">
        <v>1.2880000000000001E-2</v>
      </c>
      <c r="G4196" s="7">
        <v>9.2999999999999992E-3</v>
      </c>
    </row>
    <row r="4197" spans="2:7" x14ac:dyDescent="0.2">
      <c r="B4197" s="60">
        <v>41824</v>
      </c>
      <c r="C4197" s="7">
        <v>1.2659999999999999E-2</v>
      </c>
      <c r="D4197" s="7">
        <v>1.2920000000000001E-2</v>
      </c>
      <c r="E4197" s="7">
        <v>1.2929999999999999E-2</v>
      </c>
      <c r="F4197" s="7">
        <v>1.252E-2</v>
      </c>
      <c r="G4197" s="7">
        <v>-2.3099999999999999E-2</v>
      </c>
    </row>
    <row r="4198" spans="2:7" x14ac:dyDescent="0.2">
      <c r="B4198" s="60">
        <v>41827</v>
      </c>
      <c r="C4198" s="7">
        <v>1.2580000000000001E-2</v>
      </c>
      <c r="D4198" s="7">
        <v>1.2669999999999999E-2</v>
      </c>
      <c r="E4198" s="7">
        <v>1.2769999999999998E-2</v>
      </c>
      <c r="F4198" s="7">
        <v>1.2540000000000001E-2</v>
      </c>
      <c r="G4198" s="7">
        <v>-6.3E-3</v>
      </c>
    </row>
    <row r="4199" spans="2:7" x14ac:dyDescent="0.2">
      <c r="B4199" s="60">
        <v>41828</v>
      </c>
      <c r="C4199" s="7">
        <v>1.2239999999999999E-2</v>
      </c>
      <c r="D4199" s="7">
        <v>1.265E-2</v>
      </c>
      <c r="E4199" s="7">
        <v>1.268E-2</v>
      </c>
      <c r="F4199" s="7">
        <v>1.221E-2</v>
      </c>
      <c r="G4199" s="7">
        <v>-2.7E-2</v>
      </c>
    </row>
    <row r="4200" spans="2:7" x14ac:dyDescent="0.2">
      <c r="B4200" s="60">
        <v>41829</v>
      </c>
      <c r="C4200" s="7">
        <v>1.2310000000000001E-2</v>
      </c>
      <c r="D4200" s="7">
        <v>1.222E-2</v>
      </c>
      <c r="E4200" s="7">
        <v>1.234E-2</v>
      </c>
      <c r="F4200" s="7">
        <v>1.2110000000000001E-2</v>
      </c>
      <c r="G4200" s="7">
        <v>5.7000000000000002E-3</v>
      </c>
    </row>
    <row r="4201" spans="2:7" x14ac:dyDescent="0.2">
      <c r="B4201" s="60">
        <v>41830</v>
      </c>
      <c r="C4201" s="7">
        <v>1.201E-2</v>
      </c>
      <c r="D4201" s="7">
        <v>1.2159999999999999E-2</v>
      </c>
      <c r="E4201" s="7">
        <v>1.2159999999999999E-2</v>
      </c>
      <c r="F4201" s="7">
        <v>1.1679999999999999E-2</v>
      </c>
      <c r="G4201" s="7">
        <v>-2.4400000000000002E-2</v>
      </c>
    </row>
    <row r="4202" spans="2:7" x14ac:dyDescent="0.2">
      <c r="B4202" s="60">
        <v>41831</v>
      </c>
      <c r="C4202" s="7">
        <v>1.204E-2</v>
      </c>
      <c r="D4202" s="7">
        <v>1.2030000000000001E-2</v>
      </c>
      <c r="E4202" s="7">
        <v>1.2230000000000001E-2</v>
      </c>
      <c r="F4202" s="7">
        <v>1.196E-2</v>
      </c>
      <c r="G4202" s="7">
        <v>2.5000000000000001E-3</v>
      </c>
    </row>
    <row r="4203" spans="2:7" x14ac:dyDescent="0.2">
      <c r="B4203" s="60">
        <v>41832</v>
      </c>
      <c r="C4203" s="7">
        <v>1.205E-2</v>
      </c>
      <c r="D4203" s="7">
        <v>1.205E-2</v>
      </c>
      <c r="E4203" s="7">
        <v>1.205E-2</v>
      </c>
      <c r="F4203" s="7">
        <v>1.205E-2</v>
      </c>
      <c r="G4203" s="7">
        <v>8.0000000000000004E-4</v>
      </c>
    </row>
    <row r="4204" spans="2:7" x14ac:dyDescent="0.2">
      <c r="B4204" s="60">
        <v>41834</v>
      </c>
      <c r="C4204" s="7">
        <v>1.2110000000000001E-2</v>
      </c>
      <c r="D4204" s="7">
        <v>1.217E-2</v>
      </c>
      <c r="E4204" s="7">
        <v>1.218E-2</v>
      </c>
      <c r="F4204" s="7">
        <v>1.2019999999999999E-2</v>
      </c>
      <c r="G4204" s="7">
        <v>5.0000000000000001E-3</v>
      </c>
    </row>
    <row r="4205" spans="2:7" x14ac:dyDescent="0.2">
      <c r="B4205" s="60">
        <v>41835</v>
      </c>
      <c r="C4205" s="7">
        <v>1.21E-2</v>
      </c>
      <c r="D4205" s="7">
        <v>1.2070000000000001E-2</v>
      </c>
      <c r="E4205" s="7">
        <v>1.221E-2</v>
      </c>
      <c r="F4205" s="7">
        <v>1.184E-2</v>
      </c>
      <c r="G4205" s="7">
        <v>-8.0000000000000004E-4</v>
      </c>
    </row>
    <row r="4206" spans="2:7" x14ac:dyDescent="0.2">
      <c r="B4206" s="60">
        <v>41836</v>
      </c>
      <c r="C4206" s="7">
        <v>1.196E-2</v>
      </c>
      <c r="D4206" s="7">
        <v>1.2159999999999999E-2</v>
      </c>
      <c r="E4206" s="7">
        <v>1.2159999999999999E-2</v>
      </c>
      <c r="F4206" s="7">
        <v>1.1899999999999999E-2</v>
      </c>
      <c r="G4206" s="7">
        <v>-1.1599999999999999E-2</v>
      </c>
    </row>
    <row r="4207" spans="2:7" x14ac:dyDescent="0.2">
      <c r="B4207" s="60">
        <v>41837</v>
      </c>
      <c r="C4207" s="7">
        <v>1.158E-2</v>
      </c>
      <c r="D4207" s="7">
        <v>1.1810000000000001E-2</v>
      </c>
      <c r="E4207" s="7">
        <v>1.188E-2</v>
      </c>
      <c r="F4207" s="7">
        <v>1.1519999999999999E-2</v>
      </c>
      <c r="G4207" s="7">
        <v>-3.1800000000000002E-2</v>
      </c>
    </row>
    <row r="4208" spans="2:7" x14ac:dyDescent="0.2">
      <c r="B4208" s="60">
        <v>41838</v>
      </c>
      <c r="C4208" s="7">
        <v>1.1599999999999999E-2</v>
      </c>
      <c r="D4208" s="7">
        <v>1.1509999999999999E-2</v>
      </c>
      <c r="E4208" s="7">
        <v>1.1650000000000001E-2</v>
      </c>
      <c r="F4208" s="7">
        <v>1.1359999999999999E-2</v>
      </c>
      <c r="G4208" s="7">
        <v>1.6999999999999999E-3</v>
      </c>
    </row>
    <row r="4209" spans="2:7" x14ac:dyDescent="0.2">
      <c r="B4209" s="60">
        <v>41840</v>
      </c>
      <c r="C4209" s="7">
        <v>1.1650000000000001E-2</v>
      </c>
      <c r="D4209" s="7">
        <v>1.1650000000000001E-2</v>
      </c>
      <c r="E4209" s="7">
        <v>1.1650000000000001E-2</v>
      </c>
      <c r="F4209" s="7">
        <v>1.1650000000000001E-2</v>
      </c>
      <c r="G4209" s="7">
        <v>4.3E-3</v>
      </c>
    </row>
    <row r="4210" spans="2:7" x14ac:dyDescent="0.2">
      <c r="B4210" s="60">
        <v>41841</v>
      </c>
      <c r="C4210" s="7">
        <v>1.1479999999999999E-2</v>
      </c>
      <c r="D4210" s="7">
        <v>1.153E-2</v>
      </c>
      <c r="E4210" s="7">
        <v>1.1610000000000001E-2</v>
      </c>
      <c r="F4210" s="7">
        <v>1.1390000000000001E-2</v>
      </c>
      <c r="G4210" s="7">
        <v>-1.46E-2</v>
      </c>
    </row>
    <row r="4211" spans="2:7" x14ac:dyDescent="0.2">
      <c r="B4211" s="60">
        <v>41842</v>
      </c>
      <c r="C4211" s="7">
        <v>1.175E-2</v>
      </c>
      <c r="D4211" s="7">
        <v>1.153E-2</v>
      </c>
      <c r="E4211" s="7">
        <v>1.183E-2</v>
      </c>
      <c r="F4211" s="7">
        <v>1.15E-2</v>
      </c>
      <c r="G4211" s="7">
        <v>2.35E-2</v>
      </c>
    </row>
    <row r="4212" spans="2:7" x14ac:dyDescent="0.2">
      <c r="B4212" s="60">
        <v>41843</v>
      </c>
      <c r="C4212" s="7">
        <v>1.1479999999999999E-2</v>
      </c>
      <c r="D4212" s="7">
        <v>1.163E-2</v>
      </c>
      <c r="E4212" s="7">
        <v>1.175E-2</v>
      </c>
      <c r="F4212" s="7">
        <v>1.1390000000000001E-2</v>
      </c>
      <c r="G4212" s="7">
        <v>-2.3E-2</v>
      </c>
    </row>
    <row r="4213" spans="2:7" x14ac:dyDescent="0.2">
      <c r="B4213" s="60">
        <v>41844</v>
      </c>
      <c r="C4213" s="7">
        <v>1.179E-2</v>
      </c>
      <c r="D4213" s="7">
        <v>1.15E-2</v>
      </c>
      <c r="E4213" s="7">
        <v>1.188E-2</v>
      </c>
      <c r="F4213" s="7">
        <v>1.141E-2</v>
      </c>
      <c r="G4213" s="7">
        <v>2.7E-2</v>
      </c>
    </row>
    <row r="4214" spans="2:7" x14ac:dyDescent="0.2">
      <c r="B4214" s="60">
        <v>41845</v>
      </c>
      <c r="C4214" s="7">
        <v>1.146E-2</v>
      </c>
      <c r="D4214" s="7">
        <v>1.172E-2</v>
      </c>
      <c r="E4214" s="7">
        <v>1.1859999999999999E-2</v>
      </c>
      <c r="F4214" s="7">
        <v>1.1430000000000001E-2</v>
      </c>
      <c r="G4214" s="7">
        <v>-2.8000000000000001E-2</v>
      </c>
    </row>
    <row r="4215" spans="2:7" x14ac:dyDescent="0.2">
      <c r="B4215" s="60">
        <v>41847</v>
      </c>
      <c r="C4215" s="7">
        <v>1.1479999999999999E-2</v>
      </c>
      <c r="D4215" s="7">
        <v>1.1479999999999999E-2</v>
      </c>
      <c r="E4215" s="7">
        <v>1.1479999999999999E-2</v>
      </c>
      <c r="F4215" s="7">
        <v>1.1479999999999999E-2</v>
      </c>
      <c r="G4215" s="7">
        <v>1.6999999999999999E-3</v>
      </c>
    </row>
    <row r="4216" spans="2:7" x14ac:dyDescent="0.2">
      <c r="B4216" s="60">
        <v>41848</v>
      </c>
      <c r="C4216" s="7">
        <v>1.1509999999999999E-2</v>
      </c>
      <c r="D4216" s="7">
        <v>1.149E-2</v>
      </c>
      <c r="E4216" s="7">
        <v>1.167E-2</v>
      </c>
      <c r="F4216" s="7">
        <v>1.1350000000000001E-2</v>
      </c>
      <c r="G4216" s="7">
        <v>2.5999999999999999E-3</v>
      </c>
    </row>
    <row r="4217" spans="2:7" x14ac:dyDescent="0.2">
      <c r="B4217" s="60">
        <v>41849</v>
      </c>
      <c r="C4217" s="7">
        <v>1.1200000000000002E-2</v>
      </c>
      <c r="D4217" s="7">
        <v>1.154E-2</v>
      </c>
      <c r="E4217" s="7">
        <v>1.157E-2</v>
      </c>
      <c r="F4217" s="7">
        <v>1.111E-2</v>
      </c>
      <c r="G4217" s="7">
        <v>-2.69E-2</v>
      </c>
    </row>
    <row r="4218" spans="2:7" x14ac:dyDescent="0.2">
      <c r="B4218" s="60">
        <v>41850</v>
      </c>
      <c r="C4218" s="7">
        <v>1.167E-2</v>
      </c>
      <c r="D4218" s="7">
        <v>1.1220000000000001E-2</v>
      </c>
      <c r="E4218" s="7">
        <v>1.1690000000000001E-2</v>
      </c>
      <c r="F4218" s="7">
        <v>1.1160000000000002E-2</v>
      </c>
      <c r="G4218" s="7">
        <v>4.2000000000000003E-2</v>
      </c>
    </row>
    <row r="4219" spans="2:7" x14ac:dyDescent="0.2">
      <c r="B4219" s="60">
        <v>41851</v>
      </c>
      <c r="C4219" s="7">
        <v>1.1699999999999999E-2</v>
      </c>
      <c r="D4219" s="7">
        <v>1.1690000000000001E-2</v>
      </c>
      <c r="E4219" s="7">
        <v>1.2E-2</v>
      </c>
      <c r="F4219" s="7">
        <v>1.149E-2</v>
      </c>
      <c r="G4219" s="7">
        <v>2.5999999999999999E-3</v>
      </c>
    </row>
    <row r="4220" spans="2:7" x14ac:dyDescent="0.2">
      <c r="B4220" s="60">
        <v>41852</v>
      </c>
      <c r="C4220" s="7">
        <v>1.1399999999999999E-2</v>
      </c>
      <c r="D4220" s="7">
        <v>1.172E-2</v>
      </c>
      <c r="E4220" s="7">
        <v>1.1950000000000001E-2</v>
      </c>
      <c r="F4220" s="7">
        <v>1.1339999999999999E-2</v>
      </c>
      <c r="G4220" s="7">
        <v>-2.5600000000000001E-2</v>
      </c>
    </row>
    <row r="4221" spans="2:7" x14ac:dyDescent="0.2">
      <c r="B4221" s="60">
        <v>41853</v>
      </c>
      <c r="C4221" s="7">
        <v>1.1279999999999998E-2</v>
      </c>
      <c r="D4221" s="7">
        <v>1.1279999999999998E-2</v>
      </c>
      <c r="E4221" s="7">
        <v>1.1279999999999998E-2</v>
      </c>
      <c r="F4221" s="7">
        <v>1.1279999999999998E-2</v>
      </c>
      <c r="G4221" s="7">
        <v>-1.0500000000000001E-2</v>
      </c>
    </row>
    <row r="4222" spans="2:7" x14ac:dyDescent="0.2">
      <c r="B4222" s="60">
        <v>41855</v>
      </c>
      <c r="C4222" s="7">
        <v>1.1359999999999999E-2</v>
      </c>
      <c r="D4222" s="7">
        <v>1.1379999999999999E-2</v>
      </c>
      <c r="E4222" s="7">
        <v>1.1470000000000001E-2</v>
      </c>
      <c r="F4222" s="7">
        <v>1.1270000000000001E-2</v>
      </c>
      <c r="G4222" s="7">
        <v>7.1000000000000004E-3</v>
      </c>
    </row>
    <row r="4223" spans="2:7" x14ac:dyDescent="0.2">
      <c r="B4223" s="60">
        <v>41856</v>
      </c>
      <c r="C4223" s="7">
        <v>1.176E-2</v>
      </c>
      <c r="D4223" s="7">
        <v>1.1390000000000001E-2</v>
      </c>
      <c r="E4223" s="7">
        <v>1.1859999999999999E-2</v>
      </c>
      <c r="F4223" s="7">
        <v>1.1339999999999999E-2</v>
      </c>
      <c r="G4223" s="7">
        <v>3.5200000000000002E-2</v>
      </c>
    </row>
    <row r="4224" spans="2:7" x14ac:dyDescent="0.2">
      <c r="B4224" s="60">
        <v>41857</v>
      </c>
      <c r="C4224" s="7">
        <v>1.1040000000000001E-2</v>
      </c>
      <c r="D4224" s="7">
        <v>1.155E-2</v>
      </c>
      <c r="E4224" s="7">
        <v>1.159E-2</v>
      </c>
      <c r="F4224" s="7">
        <v>1.0960000000000001E-2</v>
      </c>
      <c r="G4224" s="7">
        <v>-6.1199999999999997E-2</v>
      </c>
    </row>
    <row r="4225" spans="2:7" x14ac:dyDescent="0.2">
      <c r="B4225" s="60">
        <v>41858</v>
      </c>
      <c r="C4225" s="7">
        <v>1.0700000000000001E-2</v>
      </c>
      <c r="D4225" s="7">
        <v>1.1009999999999999E-2</v>
      </c>
      <c r="E4225" s="7">
        <v>1.1040000000000001E-2</v>
      </c>
      <c r="F4225" s="7">
        <v>1.069E-2</v>
      </c>
      <c r="G4225" s="7">
        <v>-3.0800000000000001E-2</v>
      </c>
    </row>
    <row r="4226" spans="2:7" x14ac:dyDescent="0.2">
      <c r="B4226" s="60">
        <v>41859</v>
      </c>
      <c r="C4226" s="7">
        <v>1.0529999999999999E-2</v>
      </c>
      <c r="D4226" s="7">
        <v>1.04E-2</v>
      </c>
      <c r="E4226" s="7">
        <v>1.0660000000000001E-2</v>
      </c>
      <c r="F4226" s="7">
        <v>1.023E-2</v>
      </c>
      <c r="G4226" s="7">
        <v>-1.5900000000000001E-2</v>
      </c>
    </row>
    <row r="4227" spans="2:7" x14ac:dyDescent="0.2">
      <c r="B4227" s="60">
        <v>41861</v>
      </c>
      <c r="C4227" s="7">
        <v>1.052E-2</v>
      </c>
      <c r="D4227" s="7">
        <v>1.052E-2</v>
      </c>
      <c r="E4227" s="7">
        <v>1.052E-2</v>
      </c>
      <c r="F4227" s="7">
        <v>1.052E-2</v>
      </c>
      <c r="G4227" s="7">
        <v>-8.9999999999999998E-4</v>
      </c>
    </row>
    <row r="4228" spans="2:7" x14ac:dyDescent="0.2">
      <c r="B4228" s="60">
        <v>41862</v>
      </c>
      <c r="C4228" s="7">
        <v>1.065E-2</v>
      </c>
      <c r="D4228" s="7">
        <v>1.0740000000000001E-2</v>
      </c>
      <c r="E4228" s="7">
        <v>1.077E-2</v>
      </c>
      <c r="F4228" s="7">
        <v>1.0489999999999999E-2</v>
      </c>
      <c r="G4228" s="7">
        <v>1.24E-2</v>
      </c>
    </row>
    <row r="4229" spans="2:7" x14ac:dyDescent="0.2">
      <c r="B4229" s="60">
        <v>41863</v>
      </c>
      <c r="C4229" s="7">
        <v>1.0620000000000001E-2</v>
      </c>
      <c r="D4229" s="7">
        <v>1.069E-2</v>
      </c>
      <c r="E4229" s="7">
        <v>1.072E-2</v>
      </c>
      <c r="F4229" s="7">
        <v>1.048E-2</v>
      </c>
      <c r="G4229" s="7">
        <v>-2.8E-3</v>
      </c>
    </row>
    <row r="4230" spans="2:7" x14ac:dyDescent="0.2">
      <c r="B4230" s="60">
        <v>41864</v>
      </c>
      <c r="C4230" s="7">
        <v>1.0289999999999999E-2</v>
      </c>
      <c r="D4230" s="7">
        <v>1.073E-2</v>
      </c>
      <c r="E4230" s="7">
        <v>1.0869999999999999E-2</v>
      </c>
      <c r="F4230" s="7">
        <v>1.027E-2</v>
      </c>
      <c r="G4230" s="7">
        <v>-3.1099999999999999E-2</v>
      </c>
    </row>
    <row r="4231" spans="2:7" x14ac:dyDescent="0.2">
      <c r="B4231" s="60">
        <v>41865</v>
      </c>
      <c r="C4231" s="7">
        <v>1.0160000000000001E-2</v>
      </c>
      <c r="D4231" s="7">
        <v>1.022E-2</v>
      </c>
      <c r="E4231" s="7">
        <v>1.0249999999999999E-2</v>
      </c>
      <c r="F4231" s="7">
        <v>0.01</v>
      </c>
      <c r="G4231" s="7">
        <v>-1.26E-2</v>
      </c>
    </row>
    <row r="4232" spans="2:7" x14ac:dyDescent="0.2">
      <c r="B4232" s="60">
        <v>41866</v>
      </c>
      <c r="C4232" s="7">
        <v>9.6799999999999994E-3</v>
      </c>
      <c r="D4232" s="7">
        <v>1.018E-2</v>
      </c>
      <c r="E4232" s="7">
        <v>1.0209999999999999E-2</v>
      </c>
      <c r="F4232" s="7">
        <v>9.5999999999999992E-3</v>
      </c>
      <c r="G4232" s="7">
        <v>-4.7199999999999999E-2</v>
      </c>
    </row>
    <row r="4233" spans="2:7" x14ac:dyDescent="0.2">
      <c r="B4233" s="60">
        <v>41869</v>
      </c>
      <c r="C4233" s="7">
        <v>1.0129999999999998E-2</v>
      </c>
      <c r="D4233" s="7">
        <v>9.8999999999999991E-3</v>
      </c>
      <c r="E4233" s="7">
        <v>1.018E-2</v>
      </c>
      <c r="F4233" s="7">
        <v>9.8600000000000007E-3</v>
      </c>
      <c r="G4233" s="7">
        <v>4.65E-2</v>
      </c>
    </row>
    <row r="4234" spans="2:7" x14ac:dyDescent="0.2">
      <c r="B4234" s="60">
        <v>41870</v>
      </c>
      <c r="C4234" s="7">
        <v>1.004E-2</v>
      </c>
      <c r="D4234" s="7">
        <v>1.0209999999999999E-2</v>
      </c>
      <c r="E4234" s="7">
        <v>1.022E-2</v>
      </c>
      <c r="F4234" s="7">
        <v>9.8799999999999999E-3</v>
      </c>
      <c r="G4234" s="7">
        <v>-8.8999999999999999E-3</v>
      </c>
    </row>
    <row r="4235" spans="2:7" x14ac:dyDescent="0.2">
      <c r="B4235" s="60">
        <v>41871</v>
      </c>
      <c r="C4235" s="7">
        <v>9.8600000000000007E-3</v>
      </c>
      <c r="D4235" s="7">
        <v>1.0029999999999999E-2</v>
      </c>
      <c r="E4235" s="7">
        <v>1.014E-2</v>
      </c>
      <c r="F4235" s="7">
        <v>9.7999999999999997E-3</v>
      </c>
      <c r="G4235" s="7">
        <v>-1.7899999999999999E-2</v>
      </c>
    </row>
    <row r="4236" spans="2:7" x14ac:dyDescent="0.2">
      <c r="B4236" s="60">
        <v>41872</v>
      </c>
      <c r="C4236" s="7">
        <v>9.9600000000000001E-3</v>
      </c>
      <c r="D4236" s="7">
        <v>0.01</v>
      </c>
      <c r="E4236" s="7">
        <v>1.0129999999999998E-2</v>
      </c>
      <c r="F4236" s="7">
        <v>9.7999999999999997E-3</v>
      </c>
      <c r="G4236" s="7">
        <v>1.01E-2</v>
      </c>
    </row>
    <row r="4237" spans="2:7" x14ac:dyDescent="0.2">
      <c r="B4237" s="60">
        <v>41873</v>
      </c>
      <c r="C4237" s="7">
        <v>9.8700000000000003E-3</v>
      </c>
      <c r="D4237" s="7">
        <v>9.9100000000000004E-3</v>
      </c>
      <c r="E4237" s="7">
        <v>1.0049999999999998E-2</v>
      </c>
      <c r="F4237" s="7">
        <v>9.6399999999999993E-3</v>
      </c>
      <c r="G4237" s="7">
        <v>-8.9999999999999993E-3</v>
      </c>
    </row>
    <row r="4238" spans="2:7" x14ac:dyDescent="0.2">
      <c r="B4238" s="60">
        <v>41876</v>
      </c>
      <c r="C4238" s="7">
        <v>9.5399999999999999E-3</v>
      </c>
      <c r="D4238" s="7">
        <v>9.92E-3</v>
      </c>
      <c r="E4238" s="7">
        <v>9.92E-3</v>
      </c>
      <c r="F4238" s="7">
        <v>9.2600000000000009E-3</v>
      </c>
      <c r="G4238" s="7">
        <v>-3.3399999999999999E-2</v>
      </c>
    </row>
    <row r="4239" spans="2:7" x14ac:dyDescent="0.2">
      <c r="B4239" s="60">
        <v>41877</v>
      </c>
      <c r="C4239" s="7">
        <v>9.4399999999999987E-3</v>
      </c>
      <c r="D4239" s="7">
        <v>9.4199999999999996E-3</v>
      </c>
      <c r="E4239" s="7">
        <v>9.5300000000000003E-3</v>
      </c>
      <c r="F4239" s="7">
        <v>9.3200000000000002E-3</v>
      </c>
      <c r="G4239" s="7">
        <v>-1.0500000000000001E-2</v>
      </c>
    </row>
    <row r="4240" spans="2:7" x14ac:dyDescent="0.2">
      <c r="B4240" s="60">
        <v>41878</v>
      </c>
      <c r="C4240" s="7">
        <v>9.0799999999999995E-3</v>
      </c>
      <c r="D4240" s="7">
        <v>9.3600000000000003E-3</v>
      </c>
      <c r="E4240" s="7">
        <v>9.3999999999999986E-3</v>
      </c>
      <c r="F4240" s="7">
        <v>8.9600000000000009E-3</v>
      </c>
      <c r="G4240" s="7">
        <v>-3.8100000000000002E-2</v>
      </c>
    </row>
    <row r="4241" spans="2:7" x14ac:dyDescent="0.2">
      <c r="B4241" s="60">
        <v>41879</v>
      </c>
      <c r="C4241" s="7">
        <v>8.8299999999999993E-3</v>
      </c>
      <c r="D4241" s="7">
        <v>9.0100000000000006E-3</v>
      </c>
      <c r="E4241" s="7">
        <v>9.1500000000000001E-3</v>
      </c>
      <c r="F4241" s="7">
        <v>8.6800000000000002E-3</v>
      </c>
      <c r="G4241" s="7">
        <v>-2.75E-2</v>
      </c>
    </row>
    <row r="4242" spans="2:7" x14ac:dyDescent="0.2">
      <c r="B4242" s="60">
        <v>41880</v>
      </c>
      <c r="C4242" s="7">
        <v>8.8800000000000007E-3</v>
      </c>
      <c r="D4242" s="7">
        <v>8.7600000000000004E-3</v>
      </c>
      <c r="E4242" s="7">
        <v>9.1000000000000004E-3</v>
      </c>
      <c r="F4242" s="7">
        <v>8.7299999999999999E-3</v>
      </c>
      <c r="G4242" s="7">
        <v>5.7000000000000002E-3</v>
      </c>
    </row>
    <row r="4243" spans="2:7" x14ac:dyDescent="0.2">
      <c r="B4243" s="60">
        <v>41882</v>
      </c>
      <c r="C4243" s="7">
        <v>8.8500000000000002E-3</v>
      </c>
      <c r="D4243" s="7">
        <v>8.8500000000000002E-3</v>
      </c>
      <c r="E4243" s="7">
        <v>8.8500000000000002E-3</v>
      </c>
      <c r="F4243" s="7">
        <v>8.8500000000000002E-3</v>
      </c>
      <c r="G4243" s="7">
        <v>-3.3999999999999998E-3</v>
      </c>
    </row>
    <row r="4244" spans="2:7" x14ac:dyDescent="0.2">
      <c r="B4244" s="60">
        <v>41883</v>
      </c>
      <c r="C4244" s="7">
        <v>8.8400000000000006E-3</v>
      </c>
      <c r="D4244" s="7">
        <v>8.9200000000000008E-3</v>
      </c>
      <c r="E4244" s="7">
        <v>8.9700000000000005E-3</v>
      </c>
      <c r="F4244" s="7">
        <v>8.8000000000000005E-3</v>
      </c>
      <c r="G4244" s="7">
        <v>-1.1000000000000001E-3</v>
      </c>
    </row>
    <row r="4245" spans="2:7" x14ac:dyDescent="0.2">
      <c r="B4245" s="60">
        <v>41884</v>
      </c>
      <c r="C4245" s="7">
        <v>9.300000000000001E-3</v>
      </c>
      <c r="D4245" s="7">
        <v>8.8999999999999999E-3</v>
      </c>
      <c r="E4245" s="7">
        <v>9.4500000000000001E-3</v>
      </c>
      <c r="F4245" s="7">
        <v>8.8699999999999994E-3</v>
      </c>
      <c r="G4245" s="7">
        <v>5.1999999999999998E-2</v>
      </c>
    </row>
    <row r="4246" spans="2:7" x14ac:dyDescent="0.2">
      <c r="B4246" s="60">
        <v>41885</v>
      </c>
      <c r="C4246" s="7">
        <v>9.5700000000000004E-3</v>
      </c>
      <c r="D4246" s="7">
        <v>9.3500000000000007E-3</v>
      </c>
      <c r="E4246" s="7">
        <v>9.7099999999999999E-3</v>
      </c>
      <c r="F4246" s="7">
        <v>9.2700000000000005E-3</v>
      </c>
      <c r="G4246" s="7">
        <v>2.9000000000000001E-2</v>
      </c>
    </row>
    <row r="4247" spans="2:7" x14ac:dyDescent="0.2">
      <c r="B4247" s="60">
        <v>41886</v>
      </c>
      <c r="C4247" s="7">
        <v>9.6499999999999989E-3</v>
      </c>
      <c r="D4247" s="7">
        <v>9.4599999999999997E-3</v>
      </c>
      <c r="E4247" s="7">
        <v>9.8300000000000002E-3</v>
      </c>
      <c r="F4247" s="7">
        <v>9.0299999999999998E-3</v>
      </c>
      <c r="G4247" s="7">
        <v>8.3999999999999995E-3</v>
      </c>
    </row>
    <row r="4248" spans="2:7" x14ac:dyDescent="0.2">
      <c r="B4248" s="60">
        <v>41887</v>
      </c>
      <c r="C4248" s="7">
        <v>9.3400000000000011E-3</v>
      </c>
      <c r="D4248" s="7">
        <v>9.7299999999999991E-3</v>
      </c>
      <c r="E4248" s="7">
        <v>9.7999999999999997E-3</v>
      </c>
      <c r="F4248" s="7">
        <v>9.3100000000000006E-3</v>
      </c>
      <c r="G4248" s="7">
        <v>-3.2099999999999997E-2</v>
      </c>
    </row>
    <row r="4249" spans="2:7" x14ac:dyDescent="0.2">
      <c r="B4249" s="60">
        <v>41890</v>
      </c>
      <c r="C4249" s="7">
        <v>9.4399999999999987E-3</v>
      </c>
      <c r="D4249" s="7">
        <v>9.4199999999999996E-3</v>
      </c>
      <c r="E4249" s="7">
        <v>9.4699999999999993E-3</v>
      </c>
      <c r="F4249" s="7">
        <v>9.1800000000000007E-3</v>
      </c>
      <c r="G4249" s="7">
        <v>1.0699999999999999E-2</v>
      </c>
    </row>
    <row r="4250" spans="2:7" x14ac:dyDescent="0.2">
      <c r="B4250" s="60">
        <v>41891</v>
      </c>
      <c r="C4250" s="7">
        <v>1.0019999999999999E-2</v>
      </c>
      <c r="D4250" s="7">
        <v>9.8200000000000006E-3</v>
      </c>
      <c r="E4250" s="7">
        <v>1.0189999999999999E-2</v>
      </c>
      <c r="F4250" s="7">
        <v>9.7599999999999996E-3</v>
      </c>
      <c r="G4250" s="7">
        <v>6.1400000000000003E-2</v>
      </c>
    </row>
    <row r="4251" spans="2:7" x14ac:dyDescent="0.2">
      <c r="B4251" s="60">
        <v>41892</v>
      </c>
      <c r="C4251" s="7">
        <v>0.01</v>
      </c>
      <c r="D4251" s="7">
        <v>1.0029999999999999E-2</v>
      </c>
      <c r="E4251" s="7">
        <v>1.0320000000000001E-2</v>
      </c>
      <c r="F4251" s="7">
        <v>9.9600000000000001E-3</v>
      </c>
      <c r="G4251" s="7">
        <v>-2E-3</v>
      </c>
    </row>
    <row r="4252" spans="2:7" x14ac:dyDescent="0.2">
      <c r="B4252" s="60">
        <v>41893</v>
      </c>
      <c r="C4252" s="7">
        <v>1.004E-2</v>
      </c>
      <c r="D4252" s="7">
        <v>1.0029999999999999E-2</v>
      </c>
      <c r="E4252" s="7">
        <v>1.01E-2</v>
      </c>
      <c r="F4252" s="7">
        <v>9.7299999999999991E-3</v>
      </c>
      <c r="G4252" s="7">
        <v>4.0000000000000001E-3</v>
      </c>
    </row>
    <row r="4253" spans="2:7" x14ac:dyDescent="0.2">
      <c r="B4253" s="60">
        <v>41894</v>
      </c>
      <c r="C4253" s="7">
        <v>1.0860000000000002E-2</v>
      </c>
      <c r="D4253" s="7">
        <v>1.0540000000000001E-2</v>
      </c>
      <c r="E4253" s="7">
        <v>1.099E-2</v>
      </c>
      <c r="F4253" s="7">
        <v>1.0540000000000001E-2</v>
      </c>
      <c r="G4253" s="7">
        <v>8.1699999999999995E-2</v>
      </c>
    </row>
    <row r="4254" spans="2:7" x14ac:dyDescent="0.2">
      <c r="B4254" s="60">
        <v>41895</v>
      </c>
      <c r="C4254" s="7">
        <v>1.089E-2</v>
      </c>
      <c r="D4254" s="7">
        <v>1.089E-2</v>
      </c>
      <c r="E4254" s="7">
        <v>1.089E-2</v>
      </c>
      <c r="F4254" s="7">
        <v>1.089E-2</v>
      </c>
      <c r="G4254" s="7">
        <v>2.8E-3</v>
      </c>
    </row>
    <row r="4255" spans="2:7" x14ac:dyDescent="0.2">
      <c r="B4255" s="60">
        <v>41897</v>
      </c>
      <c r="C4255" s="7">
        <v>1.069E-2</v>
      </c>
      <c r="D4255" s="7">
        <v>1.0860000000000002E-2</v>
      </c>
      <c r="E4255" s="7">
        <v>1.0970000000000001E-2</v>
      </c>
      <c r="F4255" s="7">
        <v>1.0509999999999999E-2</v>
      </c>
      <c r="G4255" s="7">
        <v>-1.84E-2</v>
      </c>
    </row>
    <row r="4256" spans="2:7" x14ac:dyDescent="0.2">
      <c r="B4256" s="60">
        <v>41898</v>
      </c>
      <c r="C4256" s="7">
        <v>1.065E-2</v>
      </c>
      <c r="D4256" s="7">
        <v>1.0580000000000001E-2</v>
      </c>
      <c r="E4256" s="7">
        <v>1.069E-2</v>
      </c>
      <c r="F4256" s="7">
        <v>1.031E-2</v>
      </c>
      <c r="G4256" s="7">
        <v>-3.7000000000000002E-3</v>
      </c>
    </row>
    <row r="4257" spans="2:7" x14ac:dyDescent="0.2">
      <c r="B4257" s="60">
        <v>41899</v>
      </c>
      <c r="C4257" s="7">
        <v>1.0549999999999999E-2</v>
      </c>
      <c r="D4257" s="7">
        <v>1.068E-2</v>
      </c>
      <c r="E4257" s="7">
        <v>1.0789999999999999E-2</v>
      </c>
      <c r="F4257" s="7">
        <v>1.0449999999999999E-2</v>
      </c>
      <c r="G4257" s="7">
        <v>-9.4000000000000004E-3</v>
      </c>
    </row>
    <row r="4258" spans="2:7" x14ac:dyDescent="0.2">
      <c r="B4258" s="60">
        <v>41900</v>
      </c>
      <c r="C4258" s="7">
        <v>1.085E-2</v>
      </c>
      <c r="D4258" s="7">
        <v>1.0740000000000001E-2</v>
      </c>
      <c r="E4258" s="7">
        <v>1.1040000000000001E-2</v>
      </c>
      <c r="F4258" s="7">
        <v>1.0449999999999999E-2</v>
      </c>
      <c r="G4258" s="7">
        <v>2.8400000000000002E-2</v>
      </c>
    </row>
    <row r="4259" spans="2:7" x14ac:dyDescent="0.2">
      <c r="B4259" s="60">
        <v>41901</v>
      </c>
      <c r="C4259" s="7">
        <v>1.044E-2</v>
      </c>
      <c r="D4259" s="7">
        <v>1.0970000000000001E-2</v>
      </c>
      <c r="E4259" s="7">
        <v>1.1129999999999999E-2</v>
      </c>
      <c r="F4259" s="7">
        <v>1.04E-2</v>
      </c>
      <c r="G4259" s="7">
        <v>-3.78E-2</v>
      </c>
    </row>
    <row r="4260" spans="2:7" x14ac:dyDescent="0.2">
      <c r="B4260" s="60">
        <v>41904</v>
      </c>
      <c r="C4260" s="7">
        <v>1.0189999999999999E-2</v>
      </c>
      <c r="D4260" s="7">
        <v>1.0200000000000001E-2</v>
      </c>
      <c r="E4260" s="7">
        <v>1.039E-2</v>
      </c>
      <c r="F4260" s="7">
        <v>1.0169999999999998E-2</v>
      </c>
      <c r="G4260" s="7">
        <v>-2.3900000000000001E-2</v>
      </c>
    </row>
    <row r="4261" spans="2:7" x14ac:dyDescent="0.2">
      <c r="B4261" s="60">
        <v>41905</v>
      </c>
      <c r="C4261" s="7">
        <v>1.0120000000000001E-2</v>
      </c>
      <c r="D4261" s="7">
        <v>1.0129999999999998E-2</v>
      </c>
      <c r="E4261" s="7">
        <v>1.022E-2</v>
      </c>
      <c r="F4261" s="7">
        <v>1.01E-2</v>
      </c>
      <c r="G4261" s="7">
        <v>-6.8999999999999999E-3</v>
      </c>
    </row>
    <row r="4262" spans="2:7" x14ac:dyDescent="0.2">
      <c r="B4262" s="60">
        <v>41906</v>
      </c>
      <c r="C4262" s="7">
        <v>1.01E-2</v>
      </c>
      <c r="D4262" s="7">
        <v>1.0120000000000001E-2</v>
      </c>
      <c r="E4262" s="7">
        <v>1.0249999999999999E-2</v>
      </c>
      <c r="F4262" s="7">
        <v>9.9299999999999996E-3</v>
      </c>
      <c r="G4262" s="7">
        <v>-2E-3</v>
      </c>
    </row>
    <row r="4263" spans="2:7" x14ac:dyDescent="0.2">
      <c r="B4263" s="60">
        <v>41907</v>
      </c>
      <c r="C4263" s="7">
        <v>9.7900000000000001E-3</v>
      </c>
      <c r="D4263" s="7">
        <v>1.0129999999999998E-2</v>
      </c>
      <c r="E4263" s="7">
        <v>1.0149999999999999E-2</v>
      </c>
      <c r="F4263" s="7">
        <v>9.6799999999999994E-3</v>
      </c>
      <c r="G4263" s="7">
        <v>-3.0700000000000002E-2</v>
      </c>
    </row>
    <row r="4264" spans="2:7" x14ac:dyDescent="0.2">
      <c r="B4264" s="60">
        <v>41908</v>
      </c>
      <c r="C4264" s="7">
        <v>9.6799999999999994E-3</v>
      </c>
      <c r="D4264" s="7">
        <v>9.6100000000000005E-3</v>
      </c>
      <c r="E4264" s="7">
        <v>9.8499999999999994E-3</v>
      </c>
      <c r="F4264" s="7">
        <v>9.4999999999999998E-3</v>
      </c>
      <c r="G4264" s="7">
        <v>-1.12E-2</v>
      </c>
    </row>
    <row r="4265" spans="2:7" x14ac:dyDescent="0.2">
      <c r="B4265" s="60">
        <v>41909</v>
      </c>
      <c r="C4265" s="7">
        <v>9.7199999999999995E-3</v>
      </c>
      <c r="D4265" s="7">
        <v>9.7199999999999995E-3</v>
      </c>
      <c r="E4265" s="7">
        <v>9.7199999999999995E-3</v>
      </c>
      <c r="F4265" s="7">
        <v>9.7199999999999995E-3</v>
      </c>
      <c r="G4265" s="7">
        <v>4.1000000000000003E-3</v>
      </c>
    </row>
    <row r="4266" spans="2:7" x14ac:dyDescent="0.2">
      <c r="B4266" s="60">
        <v>41911</v>
      </c>
      <c r="C4266" s="7">
        <v>9.6499999999999989E-3</v>
      </c>
      <c r="D4266" s="7">
        <v>9.6799999999999994E-3</v>
      </c>
      <c r="E4266" s="7">
        <v>9.8899999999999995E-3</v>
      </c>
      <c r="F4266" s="7">
        <v>9.5099999999999994E-3</v>
      </c>
      <c r="G4266" s="7">
        <v>-7.1999999999999998E-3</v>
      </c>
    </row>
    <row r="4267" spans="2:7" x14ac:dyDescent="0.2">
      <c r="B4267" s="60">
        <v>41912</v>
      </c>
      <c r="C4267" s="7">
        <v>9.4599999999999997E-3</v>
      </c>
      <c r="D4267" s="7">
        <v>9.6699999999999998E-3</v>
      </c>
      <c r="E4267" s="7">
        <v>9.8200000000000006E-3</v>
      </c>
      <c r="F4267" s="7">
        <v>9.4299999999999991E-3</v>
      </c>
      <c r="G4267" s="7">
        <v>-1.9699999999999999E-2</v>
      </c>
    </row>
    <row r="4268" spans="2:7" x14ac:dyDescent="0.2">
      <c r="B4268" s="60">
        <v>41913</v>
      </c>
      <c r="C4268" s="7">
        <v>9.0600000000000003E-3</v>
      </c>
      <c r="D4268" s="7">
        <v>9.4900000000000002E-3</v>
      </c>
      <c r="E4268" s="7">
        <v>9.5499999999999995E-3</v>
      </c>
      <c r="F4268" s="7">
        <v>8.9700000000000005E-3</v>
      </c>
      <c r="G4268" s="7">
        <v>-4.2299999999999997E-2</v>
      </c>
    </row>
    <row r="4269" spans="2:7" x14ac:dyDescent="0.2">
      <c r="B4269" s="60">
        <v>41914</v>
      </c>
      <c r="C4269" s="7">
        <v>9.1400000000000006E-3</v>
      </c>
      <c r="D4269" s="7">
        <v>8.9899999999999997E-3</v>
      </c>
      <c r="E4269" s="7">
        <v>9.3600000000000003E-3</v>
      </c>
      <c r="F4269" s="7">
        <v>8.9700000000000005E-3</v>
      </c>
      <c r="G4269" s="7">
        <v>8.8000000000000005E-3</v>
      </c>
    </row>
    <row r="4270" spans="2:7" x14ac:dyDescent="0.2">
      <c r="B4270" s="60">
        <v>41915</v>
      </c>
      <c r="C4270" s="7">
        <v>9.3200000000000002E-3</v>
      </c>
      <c r="D4270" s="7">
        <v>9.2500000000000013E-3</v>
      </c>
      <c r="E4270" s="7">
        <v>9.4999999999999998E-3</v>
      </c>
      <c r="F4270" s="7">
        <v>9.1900000000000003E-3</v>
      </c>
      <c r="G4270" s="7">
        <v>1.9699999999999999E-2</v>
      </c>
    </row>
    <row r="4271" spans="2:7" x14ac:dyDescent="0.2">
      <c r="B4271" s="60">
        <v>41918</v>
      </c>
      <c r="C4271" s="7">
        <v>9.0900000000000009E-3</v>
      </c>
      <c r="D4271" s="7">
        <v>9.2200000000000008E-3</v>
      </c>
      <c r="E4271" s="7">
        <v>9.2200000000000008E-3</v>
      </c>
      <c r="F4271" s="7">
        <v>9.0200000000000002E-3</v>
      </c>
      <c r="G4271" s="7">
        <v>-2.47E-2</v>
      </c>
    </row>
    <row r="4272" spans="2:7" x14ac:dyDescent="0.2">
      <c r="B4272" s="60">
        <v>41919</v>
      </c>
      <c r="C4272" s="7">
        <v>9.0699999999999999E-3</v>
      </c>
      <c r="D4272" s="7">
        <v>9.0000000000000011E-3</v>
      </c>
      <c r="E4272" s="7">
        <v>9.2899999999999996E-3</v>
      </c>
      <c r="F4272" s="7">
        <v>8.9200000000000008E-3</v>
      </c>
      <c r="G4272" s="7">
        <v>-2.2000000000000001E-3</v>
      </c>
    </row>
    <row r="4273" spans="2:7" x14ac:dyDescent="0.2">
      <c r="B4273" s="60">
        <v>41920</v>
      </c>
      <c r="C4273" s="7">
        <v>9.0399999999999994E-3</v>
      </c>
      <c r="D4273" s="7">
        <v>9.0399999999999994E-3</v>
      </c>
      <c r="E4273" s="7">
        <v>9.0799999999999995E-3</v>
      </c>
      <c r="F4273" s="7">
        <v>8.8500000000000002E-3</v>
      </c>
      <c r="G4273" s="7">
        <v>-3.3E-3</v>
      </c>
    </row>
    <row r="4274" spans="2:7" x14ac:dyDescent="0.2">
      <c r="B4274" s="60">
        <v>41921</v>
      </c>
      <c r="C4274" s="7">
        <v>9.0200000000000002E-3</v>
      </c>
      <c r="D4274" s="7">
        <v>8.9300000000000004E-3</v>
      </c>
      <c r="E4274" s="7">
        <v>9.0600000000000003E-3</v>
      </c>
      <c r="F4274" s="7">
        <v>8.5900000000000004E-3</v>
      </c>
      <c r="G4274" s="7">
        <v>-2.2000000000000001E-3</v>
      </c>
    </row>
    <row r="4275" spans="2:7" x14ac:dyDescent="0.2">
      <c r="B4275" s="60">
        <v>41922</v>
      </c>
      <c r="C4275" s="7">
        <v>8.9300000000000004E-3</v>
      </c>
      <c r="D4275" s="7">
        <v>8.9700000000000005E-3</v>
      </c>
      <c r="E4275" s="7">
        <v>9.1999999999999998E-3</v>
      </c>
      <c r="F4275" s="7">
        <v>8.7799999999999996E-3</v>
      </c>
      <c r="G4275" s="7">
        <v>-0.01</v>
      </c>
    </row>
    <row r="4276" spans="2:7" x14ac:dyDescent="0.2">
      <c r="B4276" s="60">
        <v>41925</v>
      </c>
      <c r="C4276" s="7">
        <v>8.94E-3</v>
      </c>
      <c r="D4276" s="7">
        <v>8.6499999999999997E-3</v>
      </c>
      <c r="E4276" s="7">
        <v>9.0399999999999994E-3</v>
      </c>
      <c r="F4276" s="7">
        <v>8.6499999999999997E-3</v>
      </c>
      <c r="G4276" s="7">
        <v>1.1000000000000001E-3</v>
      </c>
    </row>
    <row r="4277" spans="2:7" x14ac:dyDescent="0.2">
      <c r="B4277" s="60">
        <v>41926</v>
      </c>
      <c r="C4277" s="7">
        <v>8.3999999999999995E-3</v>
      </c>
      <c r="D4277" s="7">
        <v>8.9099999999999995E-3</v>
      </c>
      <c r="E4277" s="7">
        <v>9.0200000000000002E-3</v>
      </c>
      <c r="F4277" s="7">
        <v>8.369999999999999E-3</v>
      </c>
      <c r="G4277" s="7">
        <v>-6.0400000000000002E-2</v>
      </c>
    </row>
    <row r="4278" spans="2:7" x14ac:dyDescent="0.2">
      <c r="B4278" s="60">
        <v>41927</v>
      </c>
      <c r="C4278" s="7">
        <v>7.6699999999999997E-3</v>
      </c>
      <c r="D4278" s="7">
        <v>8.4200000000000004E-3</v>
      </c>
      <c r="E4278" s="7">
        <v>8.4499999999999992E-3</v>
      </c>
      <c r="F4278" s="7">
        <v>7.2399999999999999E-3</v>
      </c>
      <c r="G4278" s="7">
        <v>-8.6900000000000005E-2</v>
      </c>
    </row>
    <row r="4279" spans="2:7" x14ac:dyDescent="0.2">
      <c r="B4279" s="60">
        <v>41928</v>
      </c>
      <c r="C4279" s="7">
        <v>8.2500000000000004E-3</v>
      </c>
      <c r="D4279" s="7">
        <v>7.7800000000000005E-3</v>
      </c>
      <c r="E4279" s="7">
        <v>8.3800000000000003E-3</v>
      </c>
      <c r="F4279" s="7">
        <v>7.1599999999999997E-3</v>
      </c>
      <c r="G4279" s="7">
        <v>7.5600000000000001E-2</v>
      </c>
    </row>
    <row r="4280" spans="2:7" x14ac:dyDescent="0.2">
      <c r="B4280" s="60">
        <v>41929</v>
      </c>
      <c r="C4280" s="7">
        <v>8.6499999999999997E-3</v>
      </c>
      <c r="D4280" s="7">
        <v>8.1599999999999989E-3</v>
      </c>
      <c r="E4280" s="7">
        <v>8.7299999999999999E-3</v>
      </c>
      <c r="F4280" s="7">
        <v>8.1100000000000009E-3</v>
      </c>
      <c r="G4280" s="7">
        <v>4.8500000000000001E-2</v>
      </c>
    </row>
    <row r="4281" spans="2:7" x14ac:dyDescent="0.2">
      <c r="B4281" s="60">
        <v>41932</v>
      </c>
      <c r="C4281" s="7">
        <v>8.539999999999999E-3</v>
      </c>
      <c r="D4281" s="7">
        <v>8.5799999999999991E-3</v>
      </c>
      <c r="E4281" s="7">
        <v>8.6199999999999992E-3</v>
      </c>
      <c r="F4281" s="7">
        <v>8.2299999999999995E-3</v>
      </c>
      <c r="G4281" s="7">
        <v>-1.2699999999999999E-2</v>
      </c>
    </row>
    <row r="4282" spans="2:7" x14ac:dyDescent="0.2">
      <c r="B4282" s="60">
        <v>41933</v>
      </c>
      <c r="C4282" s="7">
        <v>8.7500000000000008E-3</v>
      </c>
      <c r="D4282" s="7">
        <v>8.3599999999999994E-3</v>
      </c>
      <c r="E4282" s="7">
        <v>8.9200000000000008E-3</v>
      </c>
      <c r="F4282" s="7">
        <v>8.2399999999999991E-3</v>
      </c>
      <c r="G4282" s="7">
        <v>2.46E-2</v>
      </c>
    </row>
    <row r="4283" spans="2:7" x14ac:dyDescent="0.2">
      <c r="B4283" s="60">
        <v>41934</v>
      </c>
      <c r="C4283" s="7">
        <v>8.6800000000000002E-3</v>
      </c>
      <c r="D4283" s="7">
        <v>8.6599999999999993E-3</v>
      </c>
      <c r="E4283" s="7">
        <v>8.9300000000000004E-3</v>
      </c>
      <c r="F4283" s="7">
        <v>8.4799999999999997E-3</v>
      </c>
      <c r="G4283" s="7">
        <v>-8.0000000000000002E-3</v>
      </c>
    </row>
    <row r="4284" spans="2:7" x14ac:dyDescent="0.2">
      <c r="B4284" s="60">
        <v>41935</v>
      </c>
      <c r="C4284" s="7">
        <v>8.94E-3</v>
      </c>
      <c r="D4284" s="7">
        <v>8.5199999999999998E-3</v>
      </c>
      <c r="E4284" s="7">
        <v>9.0000000000000011E-3</v>
      </c>
      <c r="F4284" s="7">
        <v>8.4099999999999991E-3</v>
      </c>
      <c r="G4284" s="7">
        <v>0.03</v>
      </c>
    </row>
    <row r="4285" spans="2:7" x14ac:dyDescent="0.2">
      <c r="B4285" s="60">
        <v>41936</v>
      </c>
      <c r="C4285" s="7">
        <v>8.8800000000000007E-3</v>
      </c>
      <c r="D4285" s="7">
        <v>8.8800000000000007E-3</v>
      </c>
      <c r="E4285" s="7">
        <v>8.94E-3</v>
      </c>
      <c r="F4285" s="7">
        <v>8.5900000000000004E-3</v>
      </c>
      <c r="G4285" s="7">
        <v>-6.7000000000000002E-3</v>
      </c>
    </row>
    <row r="4286" spans="2:7" x14ac:dyDescent="0.2">
      <c r="B4286" s="60">
        <v>41939</v>
      </c>
      <c r="C4286" s="7">
        <v>8.6800000000000002E-3</v>
      </c>
      <c r="D4286" s="7">
        <v>8.9700000000000005E-3</v>
      </c>
      <c r="E4286" s="7">
        <v>9.130000000000001E-3</v>
      </c>
      <c r="F4286" s="7">
        <v>8.6099999999999996E-3</v>
      </c>
      <c r="G4286" s="7">
        <v>-2.2499999999999999E-2</v>
      </c>
    </row>
    <row r="4287" spans="2:7" x14ac:dyDescent="0.2">
      <c r="B4287" s="60">
        <v>41940</v>
      </c>
      <c r="C4287" s="7">
        <v>8.7600000000000004E-3</v>
      </c>
      <c r="D4287" s="7">
        <v>8.7500000000000008E-3</v>
      </c>
      <c r="E4287" s="7">
        <v>9.0200000000000002E-3</v>
      </c>
      <c r="F4287" s="7">
        <v>8.6099999999999996E-3</v>
      </c>
      <c r="G4287" s="7">
        <v>9.1999999999999998E-3</v>
      </c>
    </row>
    <row r="4288" spans="2:7" x14ac:dyDescent="0.2">
      <c r="B4288" s="60">
        <v>41941</v>
      </c>
      <c r="C4288" s="7">
        <v>8.9600000000000009E-3</v>
      </c>
      <c r="D4288" s="7">
        <v>8.7500000000000008E-3</v>
      </c>
      <c r="E4288" s="7">
        <v>8.9700000000000005E-3</v>
      </c>
      <c r="F4288" s="7">
        <v>8.6700000000000006E-3</v>
      </c>
      <c r="G4288" s="7">
        <v>2.2800000000000001E-2</v>
      </c>
    </row>
    <row r="4289" spans="2:7" x14ac:dyDescent="0.2">
      <c r="B4289" s="60">
        <v>41942</v>
      </c>
      <c r="C4289" s="7">
        <v>8.4600000000000005E-3</v>
      </c>
      <c r="D4289" s="7">
        <v>8.9700000000000005E-3</v>
      </c>
      <c r="E4289" s="7">
        <v>9.0299999999999998E-3</v>
      </c>
      <c r="F4289" s="7">
        <v>8.3199999999999993E-3</v>
      </c>
      <c r="G4289" s="7">
        <v>-5.5800000000000002E-2</v>
      </c>
    </row>
    <row r="4290" spans="2:7" x14ac:dyDescent="0.2">
      <c r="B4290" s="60">
        <v>41943</v>
      </c>
      <c r="C4290" s="7">
        <v>8.4099999999999991E-3</v>
      </c>
      <c r="D4290" s="7">
        <v>8.5699999999999995E-3</v>
      </c>
      <c r="E4290" s="7">
        <v>8.7500000000000008E-3</v>
      </c>
      <c r="F4290" s="7">
        <v>8.3299999999999989E-3</v>
      </c>
      <c r="G4290" s="7">
        <v>-5.8999999999999999E-3</v>
      </c>
    </row>
    <row r="4291" spans="2:7" x14ac:dyDescent="0.2">
      <c r="B4291" s="60">
        <v>41946</v>
      </c>
      <c r="C4291" s="7">
        <v>8.6E-3</v>
      </c>
      <c r="D4291" s="7">
        <v>8.3000000000000001E-3</v>
      </c>
      <c r="E4291" s="7">
        <v>8.6499999999999997E-3</v>
      </c>
      <c r="F4291" s="7">
        <v>8.1100000000000009E-3</v>
      </c>
      <c r="G4291" s="7">
        <v>2.2599999999999999E-2</v>
      </c>
    </row>
    <row r="4292" spans="2:7" x14ac:dyDescent="0.2">
      <c r="B4292" s="60">
        <v>41947</v>
      </c>
      <c r="C4292" s="7">
        <v>8.1100000000000009E-3</v>
      </c>
      <c r="D4292" s="7">
        <v>8.3999999999999995E-3</v>
      </c>
      <c r="E4292" s="7">
        <v>8.5100000000000002E-3</v>
      </c>
      <c r="F4292" s="7">
        <v>8.0200000000000011E-3</v>
      </c>
      <c r="G4292" s="7">
        <v>-5.7000000000000002E-2</v>
      </c>
    </row>
    <row r="4293" spans="2:7" x14ac:dyDescent="0.2">
      <c r="B4293" s="60">
        <v>41948</v>
      </c>
      <c r="C4293" s="7">
        <v>8.26E-3</v>
      </c>
      <c r="D4293" s="7">
        <v>8.1899999999999994E-3</v>
      </c>
      <c r="E4293" s="7">
        <v>8.3400000000000002E-3</v>
      </c>
      <c r="F4293" s="7">
        <v>8.1399999999999997E-3</v>
      </c>
      <c r="G4293" s="7">
        <v>1.8499999999999999E-2</v>
      </c>
    </row>
    <row r="4294" spans="2:7" x14ac:dyDescent="0.2">
      <c r="B4294" s="60">
        <v>41949</v>
      </c>
      <c r="C4294" s="7">
        <v>8.3000000000000001E-3</v>
      </c>
      <c r="D4294" s="7">
        <v>8.1899999999999994E-3</v>
      </c>
      <c r="E4294" s="7">
        <v>8.5799999999999991E-3</v>
      </c>
      <c r="F4294" s="7">
        <v>8.1700000000000002E-3</v>
      </c>
      <c r="G4294" s="7">
        <v>4.7999999999999996E-3</v>
      </c>
    </row>
    <row r="4295" spans="2:7" x14ac:dyDescent="0.2">
      <c r="B4295" s="60">
        <v>41950</v>
      </c>
      <c r="C4295" s="7">
        <v>8.2500000000000004E-3</v>
      </c>
      <c r="D4295" s="7">
        <v>8.3499999999999998E-3</v>
      </c>
      <c r="E4295" s="7">
        <v>8.6499999999999997E-3</v>
      </c>
      <c r="F4295" s="7">
        <v>8.2299999999999995E-3</v>
      </c>
      <c r="G4295" s="7">
        <v>-6.0000000000000001E-3</v>
      </c>
    </row>
    <row r="4296" spans="2:7" x14ac:dyDescent="0.2">
      <c r="B4296" s="60">
        <v>41953</v>
      </c>
      <c r="C4296" s="7">
        <v>8.2699999999999996E-3</v>
      </c>
      <c r="D4296" s="7">
        <v>8.2100000000000003E-3</v>
      </c>
      <c r="E4296" s="7">
        <v>8.2799999999999992E-3</v>
      </c>
      <c r="F4296" s="7">
        <v>8.0099999999999998E-3</v>
      </c>
      <c r="G4296" s="7">
        <v>2.3999999999999998E-3</v>
      </c>
    </row>
    <row r="4297" spans="2:7" x14ac:dyDescent="0.2">
      <c r="B4297" s="60">
        <v>41954</v>
      </c>
      <c r="C4297" s="7">
        <v>8.3099999999999997E-3</v>
      </c>
      <c r="D4297" s="7">
        <v>8.43E-3</v>
      </c>
      <c r="E4297" s="7">
        <v>8.5299999999999994E-3</v>
      </c>
      <c r="F4297" s="7">
        <v>8.2199999999999999E-3</v>
      </c>
      <c r="G4297" s="7">
        <v>4.7999999999999996E-3</v>
      </c>
    </row>
    <row r="4298" spans="2:7" x14ac:dyDescent="0.2">
      <c r="B4298" s="60">
        <v>41955</v>
      </c>
      <c r="C4298" s="7">
        <v>8.1100000000000009E-3</v>
      </c>
      <c r="D4298" s="7">
        <v>8.2299999999999995E-3</v>
      </c>
      <c r="E4298" s="7">
        <v>8.2399999999999991E-3</v>
      </c>
      <c r="F4298" s="7">
        <v>7.9299999999999995E-3</v>
      </c>
      <c r="G4298" s="7">
        <v>-2.41E-2</v>
      </c>
    </row>
    <row r="4299" spans="2:7" x14ac:dyDescent="0.2">
      <c r="B4299" s="60">
        <v>41956</v>
      </c>
      <c r="C4299" s="7">
        <v>8.0099999999999998E-3</v>
      </c>
      <c r="D4299" s="7">
        <v>8.2299999999999995E-3</v>
      </c>
      <c r="E4299" s="7">
        <v>8.2799999999999992E-3</v>
      </c>
      <c r="F4299" s="7">
        <v>7.8799999999999999E-3</v>
      </c>
      <c r="G4299" s="7">
        <v>-1.23E-2</v>
      </c>
    </row>
    <row r="4300" spans="2:7" x14ac:dyDescent="0.2">
      <c r="B4300" s="60">
        <v>41957</v>
      </c>
      <c r="C4300" s="7">
        <v>7.9100000000000004E-3</v>
      </c>
      <c r="D4300" s="7">
        <v>7.980000000000001E-3</v>
      </c>
      <c r="E4300" s="7">
        <v>8.0200000000000011E-3</v>
      </c>
      <c r="F4300" s="7">
        <v>7.8300000000000002E-3</v>
      </c>
      <c r="G4300" s="7">
        <v>-1.2500000000000001E-2</v>
      </c>
    </row>
    <row r="4301" spans="2:7" x14ac:dyDescent="0.2">
      <c r="B4301" s="60">
        <v>41959</v>
      </c>
      <c r="C4301" s="7">
        <v>7.8500000000000011E-3</v>
      </c>
      <c r="D4301" s="7">
        <v>7.8500000000000011E-3</v>
      </c>
      <c r="E4301" s="7">
        <v>7.8500000000000011E-3</v>
      </c>
      <c r="F4301" s="7">
        <v>7.8500000000000011E-3</v>
      </c>
      <c r="G4301" s="7">
        <v>-7.6E-3</v>
      </c>
    </row>
    <row r="4302" spans="2:7" x14ac:dyDescent="0.2">
      <c r="B4302" s="60">
        <v>41960</v>
      </c>
      <c r="C4302" s="7">
        <v>7.980000000000001E-3</v>
      </c>
      <c r="D4302" s="7">
        <v>7.7400000000000004E-3</v>
      </c>
      <c r="E4302" s="7">
        <v>8.1000000000000013E-3</v>
      </c>
      <c r="F4302" s="7">
        <v>7.6699999999999997E-3</v>
      </c>
      <c r="G4302" s="7">
        <v>1.66E-2</v>
      </c>
    </row>
    <row r="4303" spans="2:7" x14ac:dyDescent="0.2">
      <c r="B4303" s="60">
        <v>41961</v>
      </c>
      <c r="C4303" s="7">
        <v>8.0200000000000011E-3</v>
      </c>
      <c r="D4303" s="7">
        <v>7.9900000000000006E-3</v>
      </c>
      <c r="E4303" s="7">
        <v>8.0499999999999999E-3</v>
      </c>
      <c r="F4303" s="7">
        <v>7.8100000000000001E-3</v>
      </c>
      <c r="G4303" s="7">
        <v>5.0000000000000001E-3</v>
      </c>
    </row>
    <row r="4304" spans="2:7" x14ac:dyDescent="0.2">
      <c r="B4304" s="60">
        <v>41962</v>
      </c>
      <c r="C4304" s="7">
        <v>8.4600000000000005E-3</v>
      </c>
      <c r="D4304" s="7">
        <v>7.9600000000000001E-3</v>
      </c>
      <c r="E4304" s="7">
        <v>8.5500000000000003E-3</v>
      </c>
      <c r="F4304" s="7">
        <v>7.8900000000000012E-3</v>
      </c>
      <c r="G4304" s="7">
        <v>5.4899999999999997E-2</v>
      </c>
    </row>
    <row r="4305" spans="2:7" x14ac:dyDescent="0.2">
      <c r="B4305" s="60">
        <v>41963</v>
      </c>
      <c r="C4305" s="7">
        <v>8.0099999999999998E-3</v>
      </c>
      <c r="D4305" s="7">
        <v>8.3899999999999999E-3</v>
      </c>
      <c r="E4305" s="7">
        <v>8.4499999999999992E-3</v>
      </c>
      <c r="F4305" s="7">
        <v>7.9000000000000008E-3</v>
      </c>
      <c r="G4305" s="7">
        <v>-5.3199999999999997E-2</v>
      </c>
    </row>
    <row r="4306" spans="2:7" x14ac:dyDescent="0.2">
      <c r="B4306" s="60">
        <v>41964</v>
      </c>
      <c r="C4306" s="7">
        <v>7.7099999999999998E-3</v>
      </c>
      <c r="D4306" s="7">
        <v>8.0000000000000002E-3</v>
      </c>
      <c r="E4306" s="7">
        <v>8.0700000000000008E-3</v>
      </c>
      <c r="F4306" s="7">
        <v>7.6600000000000001E-3</v>
      </c>
      <c r="G4306" s="7">
        <v>-3.7499999999999999E-2</v>
      </c>
    </row>
    <row r="4307" spans="2:7" x14ac:dyDescent="0.2">
      <c r="B4307" s="60">
        <v>41967</v>
      </c>
      <c r="C4307" s="7">
        <v>7.8300000000000002E-3</v>
      </c>
      <c r="D4307" s="7">
        <v>7.7299999999999999E-3</v>
      </c>
      <c r="E4307" s="7">
        <v>7.9000000000000008E-3</v>
      </c>
      <c r="F4307" s="7">
        <v>7.6500000000000005E-3</v>
      </c>
      <c r="G4307" s="7">
        <v>1.5599999999999999E-2</v>
      </c>
    </row>
    <row r="4308" spans="2:7" x14ac:dyDescent="0.2">
      <c r="B4308" s="60">
        <v>41968</v>
      </c>
      <c r="C4308" s="7">
        <v>7.5100000000000002E-3</v>
      </c>
      <c r="D4308" s="7">
        <v>7.7499999999999999E-3</v>
      </c>
      <c r="E4308" s="7">
        <v>7.7800000000000005E-3</v>
      </c>
      <c r="F4308" s="7">
        <v>7.4799999999999997E-3</v>
      </c>
      <c r="G4308" s="7">
        <v>-4.0899999999999999E-2</v>
      </c>
    </row>
    <row r="4309" spans="2:7" x14ac:dyDescent="0.2">
      <c r="B4309" s="60">
        <v>41969</v>
      </c>
      <c r="C4309" s="7">
        <v>7.3600000000000002E-3</v>
      </c>
      <c r="D4309" s="7">
        <v>7.43E-3</v>
      </c>
      <c r="E4309" s="7">
        <v>7.5799999999999999E-3</v>
      </c>
      <c r="F4309" s="7">
        <v>7.3099999999999997E-3</v>
      </c>
      <c r="G4309" s="7">
        <v>-0.02</v>
      </c>
    </row>
    <row r="4310" spans="2:7" x14ac:dyDescent="0.2">
      <c r="B4310" s="60">
        <v>41970</v>
      </c>
      <c r="C4310" s="7">
        <v>7.0399999999999994E-3</v>
      </c>
      <c r="D4310" s="7">
        <v>7.3699999999999998E-3</v>
      </c>
      <c r="E4310" s="7">
        <v>7.4000000000000003E-3</v>
      </c>
      <c r="F4310" s="7">
        <v>6.9699999999999996E-3</v>
      </c>
      <c r="G4310" s="7">
        <v>-4.3499999999999997E-2</v>
      </c>
    </row>
    <row r="4311" spans="2:7" x14ac:dyDescent="0.2">
      <c r="B4311" s="60">
        <v>41971</v>
      </c>
      <c r="C4311" s="7">
        <v>7.0199999999999993E-3</v>
      </c>
      <c r="D4311" s="7">
        <v>6.9899999999999997E-3</v>
      </c>
      <c r="E4311" s="7">
        <v>7.1300000000000001E-3</v>
      </c>
      <c r="F4311" s="7">
        <v>6.9499999999999996E-3</v>
      </c>
      <c r="G4311" s="7">
        <v>-2.8E-3</v>
      </c>
    </row>
    <row r="4312" spans="2:7" x14ac:dyDescent="0.2">
      <c r="B4312" s="60">
        <v>41973</v>
      </c>
      <c r="C4312" s="7">
        <v>7.0299999999999998E-3</v>
      </c>
      <c r="D4312" s="7">
        <v>7.0299999999999998E-3</v>
      </c>
      <c r="E4312" s="7">
        <v>7.0299999999999998E-3</v>
      </c>
      <c r="F4312" s="7">
        <v>7.0299999999999998E-3</v>
      </c>
      <c r="G4312" s="7">
        <v>1.4E-3</v>
      </c>
    </row>
    <row r="4313" spans="2:7" x14ac:dyDescent="0.2">
      <c r="B4313" s="60">
        <v>41974</v>
      </c>
      <c r="C4313" s="7">
        <v>7.2699999999999996E-3</v>
      </c>
      <c r="D4313" s="7">
        <v>6.9399999999999991E-3</v>
      </c>
      <c r="E4313" s="7">
        <v>7.3000000000000001E-3</v>
      </c>
      <c r="F4313" s="7">
        <v>6.9099999999999995E-3</v>
      </c>
      <c r="G4313" s="7">
        <v>3.4099999999999998E-2</v>
      </c>
    </row>
    <row r="4314" spans="2:7" x14ac:dyDescent="0.2">
      <c r="B4314" s="60">
        <v>41975</v>
      </c>
      <c r="C4314" s="7">
        <v>7.4700000000000001E-3</v>
      </c>
      <c r="D4314" s="7">
        <v>7.5399999999999998E-3</v>
      </c>
      <c r="E4314" s="7">
        <v>7.5599999999999999E-3</v>
      </c>
      <c r="F4314" s="7">
        <v>7.2399999999999999E-3</v>
      </c>
      <c r="G4314" s="7">
        <v>2.75E-2</v>
      </c>
    </row>
    <row r="4315" spans="2:7" x14ac:dyDescent="0.2">
      <c r="B4315" s="60">
        <v>41976</v>
      </c>
      <c r="C4315" s="7">
        <v>7.4799999999999997E-3</v>
      </c>
      <c r="D4315" s="7">
        <v>7.4999999999999997E-3</v>
      </c>
      <c r="E4315" s="7">
        <v>7.6500000000000005E-3</v>
      </c>
      <c r="F4315" s="7">
        <v>7.3400000000000002E-3</v>
      </c>
      <c r="G4315" s="7">
        <v>1.2999999999999999E-3</v>
      </c>
    </row>
    <row r="4316" spans="2:7" x14ac:dyDescent="0.2">
      <c r="B4316" s="60">
        <v>41977</v>
      </c>
      <c r="C4316" s="7">
        <v>7.7099999999999998E-3</v>
      </c>
      <c r="D4316" s="7">
        <v>7.5100000000000002E-3</v>
      </c>
      <c r="E4316" s="7">
        <v>7.8700000000000003E-3</v>
      </c>
      <c r="F4316" s="7">
        <v>7.3400000000000002E-3</v>
      </c>
      <c r="G4316" s="7">
        <v>3.0700000000000002E-2</v>
      </c>
    </row>
    <row r="4317" spans="2:7" x14ac:dyDescent="0.2">
      <c r="B4317" s="60">
        <v>41978</v>
      </c>
      <c r="C4317" s="7">
        <v>7.8300000000000002E-3</v>
      </c>
      <c r="D4317" s="7">
        <v>7.4900000000000001E-3</v>
      </c>
      <c r="E4317" s="7">
        <v>7.9000000000000008E-3</v>
      </c>
      <c r="F4317" s="7">
        <v>7.45E-3</v>
      </c>
      <c r="G4317" s="7">
        <v>1.5599999999999999E-2</v>
      </c>
    </row>
    <row r="4318" spans="2:7" x14ac:dyDescent="0.2">
      <c r="B4318" s="60">
        <v>41981</v>
      </c>
      <c r="C4318" s="7">
        <v>7.1699999999999993E-3</v>
      </c>
      <c r="D4318" s="7">
        <v>7.77E-3</v>
      </c>
      <c r="E4318" s="7">
        <v>7.8900000000000012E-3</v>
      </c>
      <c r="F4318" s="7">
        <v>7.1399999999999996E-3</v>
      </c>
      <c r="G4318" s="7">
        <v>-8.43E-2</v>
      </c>
    </row>
    <row r="4319" spans="2:7" x14ac:dyDescent="0.2">
      <c r="B4319" s="60">
        <v>41982</v>
      </c>
      <c r="C4319" s="7">
        <v>6.9199999999999991E-3</v>
      </c>
      <c r="D4319" s="7">
        <v>7.1399999999999996E-3</v>
      </c>
      <c r="E4319" s="7">
        <v>7.26E-3</v>
      </c>
      <c r="F4319" s="7">
        <v>6.8799999999999998E-3</v>
      </c>
      <c r="G4319" s="7">
        <v>-3.49E-2</v>
      </c>
    </row>
    <row r="4320" spans="2:7" x14ac:dyDescent="0.2">
      <c r="B4320" s="60">
        <v>41983</v>
      </c>
      <c r="C4320" s="7">
        <v>6.8300000000000001E-3</v>
      </c>
      <c r="D4320" s="7">
        <v>6.9499999999999996E-3</v>
      </c>
      <c r="E4320" s="7">
        <v>6.9699999999999996E-3</v>
      </c>
      <c r="F4320" s="7">
        <v>6.7200000000000003E-3</v>
      </c>
      <c r="G4320" s="7">
        <v>-1.2999999999999999E-2</v>
      </c>
    </row>
    <row r="4321" spans="2:7" x14ac:dyDescent="0.2">
      <c r="B4321" s="60">
        <v>41984</v>
      </c>
      <c r="C4321" s="7">
        <v>6.8100000000000001E-3</v>
      </c>
      <c r="D4321" s="7">
        <v>6.7400000000000003E-3</v>
      </c>
      <c r="E4321" s="7">
        <v>6.8500000000000002E-3</v>
      </c>
      <c r="F4321" s="7">
        <v>6.5700000000000003E-3</v>
      </c>
      <c r="G4321" s="7">
        <v>-2.8999999999999998E-3</v>
      </c>
    </row>
    <row r="4322" spans="2:7" x14ac:dyDescent="0.2">
      <c r="B4322" s="60">
        <v>41985</v>
      </c>
      <c r="C4322" s="7">
        <v>6.2599999999999999E-3</v>
      </c>
      <c r="D4322" s="7">
        <v>6.6300000000000005E-3</v>
      </c>
      <c r="E4322" s="7">
        <v>6.6400000000000001E-3</v>
      </c>
      <c r="F4322" s="7">
        <v>6.1799999999999997E-3</v>
      </c>
      <c r="G4322" s="7">
        <v>-8.0799999999999997E-2</v>
      </c>
    </row>
    <row r="4323" spans="2:7" x14ac:dyDescent="0.2">
      <c r="B4323" s="60">
        <v>41987</v>
      </c>
      <c r="C4323" s="7">
        <v>6.2500000000000003E-3</v>
      </c>
      <c r="D4323" s="7">
        <v>6.2500000000000003E-3</v>
      </c>
      <c r="E4323" s="7">
        <v>6.2500000000000003E-3</v>
      </c>
      <c r="F4323" s="7">
        <v>6.2500000000000003E-3</v>
      </c>
      <c r="G4323" s="7">
        <v>-1.6000000000000001E-3</v>
      </c>
    </row>
    <row r="4324" spans="2:7" x14ac:dyDescent="0.2">
      <c r="B4324" s="60">
        <v>41988</v>
      </c>
      <c r="C4324" s="7">
        <v>6.2900000000000005E-3</v>
      </c>
      <c r="D4324" s="7">
        <v>6.3200000000000001E-3</v>
      </c>
      <c r="E4324" s="7">
        <v>6.5000000000000006E-3</v>
      </c>
      <c r="F4324" s="7">
        <v>6.2199999999999998E-3</v>
      </c>
      <c r="G4324" s="7">
        <v>6.4000000000000003E-3</v>
      </c>
    </row>
    <row r="4325" spans="2:7" x14ac:dyDescent="0.2">
      <c r="B4325" s="60">
        <v>41989</v>
      </c>
      <c r="C4325" s="7">
        <v>6.0400000000000002E-3</v>
      </c>
      <c r="D4325" s="7">
        <v>6.28E-3</v>
      </c>
      <c r="E4325" s="7">
        <v>6.3699999999999998E-3</v>
      </c>
      <c r="F4325" s="7">
        <v>5.6599999999999992E-3</v>
      </c>
      <c r="G4325" s="7">
        <v>-3.9699999999999999E-2</v>
      </c>
    </row>
    <row r="4326" spans="2:7" x14ac:dyDescent="0.2">
      <c r="B4326" s="60">
        <v>41990</v>
      </c>
      <c r="C4326" s="7">
        <v>5.9099999999999995E-3</v>
      </c>
      <c r="D4326" s="7">
        <v>5.96E-3</v>
      </c>
      <c r="E4326" s="7">
        <v>6.0499999999999998E-3</v>
      </c>
      <c r="F4326" s="7">
        <v>5.6599999999999992E-3</v>
      </c>
      <c r="G4326" s="7">
        <v>-2.1499999999999998E-2</v>
      </c>
    </row>
    <row r="4327" spans="2:7" x14ac:dyDescent="0.2">
      <c r="B4327" s="60">
        <v>41991</v>
      </c>
      <c r="C4327" s="7">
        <v>6.1399999999999996E-3</v>
      </c>
      <c r="D4327" s="7">
        <v>5.9699999999999996E-3</v>
      </c>
      <c r="E4327" s="7">
        <v>6.3299999999999997E-3</v>
      </c>
      <c r="F4327" s="7">
        <v>5.6999999999999993E-3</v>
      </c>
      <c r="G4327" s="7">
        <v>3.8899999999999997E-2</v>
      </c>
    </row>
    <row r="4328" spans="2:7" x14ac:dyDescent="0.2">
      <c r="B4328" s="60">
        <v>41992</v>
      </c>
      <c r="C4328" s="7">
        <v>5.94E-3</v>
      </c>
      <c r="D4328" s="7">
        <v>6.1399999999999996E-3</v>
      </c>
      <c r="E4328" s="7">
        <v>6.3499999999999997E-3</v>
      </c>
      <c r="F4328" s="7">
        <v>5.8999999999999999E-3</v>
      </c>
      <c r="G4328" s="7">
        <v>-3.2599999999999997E-2</v>
      </c>
    </row>
    <row r="4329" spans="2:7" x14ac:dyDescent="0.2">
      <c r="B4329" s="60">
        <v>41995</v>
      </c>
      <c r="C4329" s="7">
        <v>6.0400000000000002E-3</v>
      </c>
      <c r="D4329" s="7">
        <v>5.96E-3</v>
      </c>
      <c r="E4329" s="7">
        <v>6.13E-3</v>
      </c>
      <c r="F4329" s="7">
        <v>5.8999999999999999E-3</v>
      </c>
      <c r="G4329" s="7">
        <v>1.6799999999999999E-2</v>
      </c>
    </row>
    <row r="4330" spans="2:7" x14ac:dyDescent="0.2">
      <c r="B4330" s="60">
        <v>41996</v>
      </c>
      <c r="C4330" s="7">
        <v>5.9499999999999996E-3</v>
      </c>
      <c r="D4330" s="7">
        <v>6.0000000000000001E-3</v>
      </c>
      <c r="E4330" s="7">
        <v>6.0400000000000002E-3</v>
      </c>
      <c r="F4330" s="7">
        <v>5.8199999999999997E-3</v>
      </c>
      <c r="G4330" s="7">
        <v>-1.49E-2</v>
      </c>
    </row>
    <row r="4331" spans="2:7" x14ac:dyDescent="0.2">
      <c r="B4331" s="60">
        <v>41997</v>
      </c>
      <c r="C4331" s="7">
        <v>5.8999999999999999E-3</v>
      </c>
      <c r="D4331" s="7">
        <v>5.96E-3</v>
      </c>
      <c r="E4331" s="7">
        <v>5.9699999999999996E-3</v>
      </c>
      <c r="F4331" s="7">
        <v>5.8999999999999999E-3</v>
      </c>
      <c r="G4331" s="7">
        <v>-8.3999999999999995E-3</v>
      </c>
    </row>
    <row r="4332" spans="2:7" x14ac:dyDescent="0.2">
      <c r="B4332" s="60">
        <v>42001</v>
      </c>
      <c r="C4332" s="7">
        <v>5.8999999999999999E-3</v>
      </c>
      <c r="D4332" s="7">
        <v>5.8999999999999999E-3</v>
      </c>
      <c r="E4332" s="7">
        <v>5.8999999999999999E-3</v>
      </c>
      <c r="F4332" s="7">
        <v>5.8999999999999999E-3</v>
      </c>
      <c r="G4332" s="7">
        <v>0</v>
      </c>
    </row>
    <row r="4333" spans="2:7" x14ac:dyDescent="0.2">
      <c r="B4333" s="60">
        <v>42002</v>
      </c>
      <c r="C4333" s="7">
        <v>5.5200000000000006E-3</v>
      </c>
      <c r="D4333" s="7">
        <v>5.94E-3</v>
      </c>
      <c r="E4333" s="7">
        <v>6.0099999999999997E-3</v>
      </c>
      <c r="F4333" s="7">
        <v>5.4200000000000003E-3</v>
      </c>
      <c r="G4333" s="7">
        <v>-6.4399999999999999E-2</v>
      </c>
    </row>
    <row r="4334" spans="2:7" x14ac:dyDescent="0.2">
      <c r="B4334" s="60">
        <v>42003</v>
      </c>
      <c r="C4334" s="7">
        <v>5.4000000000000003E-3</v>
      </c>
      <c r="D4334" s="7">
        <v>5.45E-3</v>
      </c>
      <c r="E4334" s="7">
        <v>5.6599999999999992E-3</v>
      </c>
      <c r="F4334" s="7">
        <v>5.3600000000000002E-3</v>
      </c>
      <c r="G4334" s="7">
        <v>-2.1700000000000001E-2</v>
      </c>
    </row>
    <row r="4335" spans="2:7" x14ac:dyDescent="0.2">
      <c r="B4335" s="60">
        <v>42004</v>
      </c>
      <c r="C4335" s="7">
        <v>5.4100000000000007E-3</v>
      </c>
      <c r="D4335" s="7">
        <v>5.4100000000000007E-3</v>
      </c>
      <c r="E4335" s="7">
        <v>5.4400000000000004E-3</v>
      </c>
      <c r="F4335" s="7">
        <v>5.4000000000000003E-3</v>
      </c>
      <c r="G4335" s="7">
        <v>1.9E-3</v>
      </c>
    </row>
    <row r="4336" spans="2:7" x14ac:dyDescent="0.2">
      <c r="B4336" s="60">
        <v>42006</v>
      </c>
      <c r="C4336" s="7">
        <v>4.9800000000000001E-3</v>
      </c>
      <c r="D4336" s="7">
        <v>5.4600000000000004E-3</v>
      </c>
      <c r="E4336" s="7">
        <v>5.5500000000000002E-3</v>
      </c>
      <c r="F4336" s="7">
        <v>4.9300000000000004E-3</v>
      </c>
      <c r="G4336" s="7">
        <v>-7.9500000000000001E-2</v>
      </c>
    </row>
    <row r="4337" spans="2:7" x14ac:dyDescent="0.2">
      <c r="B4337" s="60">
        <v>42009</v>
      </c>
      <c r="C4337" s="7">
        <v>5.13E-3</v>
      </c>
      <c r="D4337" s="7">
        <v>4.9899999999999996E-3</v>
      </c>
      <c r="E4337" s="7">
        <v>5.2199999999999998E-3</v>
      </c>
      <c r="F4337" s="7">
        <v>4.9199999999999999E-3</v>
      </c>
      <c r="G4337" s="7">
        <v>3.0099999999999998E-2</v>
      </c>
    </row>
    <row r="4338" spans="2:7" x14ac:dyDescent="0.2">
      <c r="B4338" s="60">
        <v>42010</v>
      </c>
      <c r="C4338" s="7">
        <v>4.5300000000000002E-3</v>
      </c>
      <c r="D4338" s="7">
        <v>5.0699999999999999E-3</v>
      </c>
      <c r="E4338" s="7">
        <v>5.1400000000000005E-3</v>
      </c>
      <c r="F4338" s="7">
        <v>4.4200000000000003E-3</v>
      </c>
      <c r="G4338" s="7">
        <v>-0.11700000000000001</v>
      </c>
    </row>
    <row r="4339" spans="2:7" x14ac:dyDescent="0.2">
      <c r="B4339" s="60">
        <v>42011</v>
      </c>
      <c r="C4339" s="7">
        <v>4.7199999999999994E-3</v>
      </c>
      <c r="D4339" s="7">
        <v>4.64E-3</v>
      </c>
      <c r="E4339" s="7">
        <v>4.8599999999999997E-3</v>
      </c>
      <c r="F4339" s="7">
        <v>4.3200000000000001E-3</v>
      </c>
      <c r="G4339" s="7">
        <v>4.19E-2</v>
      </c>
    </row>
    <row r="4340" spans="2:7" x14ac:dyDescent="0.2">
      <c r="B4340" s="60">
        <v>42012</v>
      </c>
      <c r="C4340" s="7">
        <v>5.1200000000000004E-3</v>
      </c>
      <c r="D4340" s="7">
        <v>4.8500000000000001E-3</v>
      </c>
      <c r="E4340" s="7">
        <v>5.1600000000000005E-3</v>
      </c>
      <c r="F4340" s="7">
        <v>4.7399999999999994E-3</v>
      </c>
      <c r="G4340" s="7">
        <v>8.4699999999999998E-2</v>
      </c>
    </row>
    <row r="4341" spans="2:7" x14ac:dyDescent="0.2">
      <c r="B4341" s="60">
        <v>42013</v>
      </c>
      <c r="C4341" s="7">
        <v>4.8199999999999996E-3</v>
      </c>
      <c r="D4341" s="7">
        <v>5.0600000000000003E-3</v>
      </c>
      <c r="E4341" s="7">
        <v>5.2700000000000004E-3</v>
      </c>
      <c r="F4341" s="7">
        <v>4.79E-3</v>
      </c>
      <c r="G4341" s="7">
        <v>-5.8599999999999999E-2</v>
      </c>
    </row>
    <row r="4342" spans="2:7" x14ac:dyDescent="0.2">
      <c r="B4342" s="60">
        <v>42016</v>
      </c>
      <c r="C4342" s="7">
        <v>4.7999999999999996E-3</v>
      </c>
      <c r="D4342" s="7">
        <v>4.9300000000000004E-3</v>
      </c>
      <c r="E4342" s="7">
        <v>5.13E-3</v>
      </c>
      <c r="F4342" s="7">
        <v>4.6600000000000001E-3</v>
      </c>
      <c r="G4342" s="7">
        <v>-4.1000000000000003E-3</v>
      </c>
    </row>
    <row r="4343" spans="2:7" x14ac:dyDescent="0.2">
      <c r="B4343" s="60">
        <v>42017</v>
      </c>
      <c r="C4343" s="7">
        <v>4.7699999999999999E-3</v>
      </c>
      <c r="D4343" s="7">
        <v>4.79E-3</v>
      </c>
      <c r="E4343" s="7">
        <v>4.8799999999999998E-3</v>
      </c>
      <c r="F4343" s="7">
        <v>4.5599999999999998E-3</v>
      </c>
      <c r="G4343" s="7">
        <v>-6.1999999999999998E-3</v>
      </c>
    </row>
    <row r="4344" spans="2:7" x14ac:dyDescent="0.2">
      <c r="B4344" s="60">
        <v>42018</v>
      </c>
      <c r="C4344" s="7">
        <v>4.3200000000000001E-3</v>
      </c>
      <c r="D4344" s="7">
        <v>4.5799999999999999E-3</v>
      </c>
      <c r="E4344" s="7">
        <v>4.6600000000000001E-3</v>
      </c>
      <c r="F4344" s="7">
        <v>4.2399999999999998E-3</v>
      </c>
      <c r="G4344" s="7">
        <v>-9.4299999999999995E-2</v>
      </c>
    </row>
    <row r="4345" spans="2:7" x14ac:dyDescent="0.2">
      <c r="B4345" s="60">
        <v>42019</v>
      </c>
      <c r="C4345" s="7">
        <v>4.15E-3</v>
      </c>
      <c r="D4345" s="7">
        <v>4.5000000000000005E-3</v>
      </c>
      <c r="E4345" s="7">
        <v>4.5399999999999998E-3</v>
      </c>
      <c r="F4345" s="7">
        <v>4.0200000000000001E-3</v>
      </c>
      <c r="G4345" s="7">
        <v>-3.9399999999999998E-2</v>
      </c>
    </row>
    <row r="4346" spans="2:7" x14ac:dyDescent="0.2">
      <c r="B4346" s="60">
        <v>42020</v>
      </c>
      <c r="C4346" s="7">
        <v>4.5799999999999999E-3</v>
      </c>
      <c r="D4346" s="7">
        <v>4.6600000000000001E-3</v>
      </c>
      <c r="E4346" s="7">
        <v>4.7299999999999998E-3</v>
      </c>
      <c r="F4346" s="7">
        <v>4.3800000000000002E-3</v>
      </c>
      <c r="G4346" s="7">
        <v>0.1036</v>
      </c>
    </row>
    <row r="4347" spans="2:7" x14ac:dyDescent="0.2">
      <c r="B4347" s="60">
        <v>42023</v>
      </c>
      <c r="C4347" s="7">
        <v>4.4099999999999999E-3</v>
      </c>
      <c r="D4347" s="7">
        <v>4.5999999999999999E-3</v>
      </c>
      <c r="E4347" s="7">
        <v>4.7199999999999994E-3</v>
      </c>
      <c r="F4347" s="7">
        <v>4.3299999999999996E-3</v>
      </c>
      <c r="G4347" s="7">
        <v>-3.7100000000000001E-2</v>
      </c>
    </row>
    <row r="4348" spans="2:7" x14ac:dyDescent="0.2">
      <c r="B4348" s="60">
        <v>42024</v>
      </c>
      <c r="C4348" s="7">
        <v>4.5100000000000001E-3</v>
      </c>
      <c r="D4348" s="7">
        <v>4.4600000000000004E-3</v>
      </c>
      <c r="E4348" s="7">
        <v>4.6300000000000004E-3</v>
      </c>
      <c r="F4348" s="7">
        <v>4.3200000000000001E-3</v>
      </c>
      <c r="G4348" s="7">
        <v>2.2700000000000001E-2</v>
      </c>
    </row>
    <row r="4349" spans="2:7" x14ac:dyDescent="0.2">
      <c r="B4349" s="60">
        <v>42025</v>
      </c>
      <c r="C4349" s="7">
        <v>5.1900000000000002E-3</v>
      </c>
      <c r="D4349" s="7">
        <v>4.4900000000000001E-3</v>
      </c>
      <c r="E4349" s="7">
        <v>5.2500000000000003E-3</v>
      </c>
      <c r="F4349" s="7">
        <v>4.4299999999999999E-3</v>
      </c>
      <c r="G4349" s="7">
        <v>0.15079999999999999</v>
      </c>
    </row>
    <row r="4350" spans="2:7" x14ac:dyDescent="0.2">
      <c r="B4350" s="60">
        <v>42026</v>
      </c>
      <c r="C4350" s="7">
        <v>4.5399999999999998E-3</v>
      </c>
      <c r="D4350" s="7">
        <v>5.3E-3</v>
      </c>
      <c r="E4350" s="7">
        <v>5.8399999999999997E-3</v>
      </c>
      <c r="F4350" s="7">
        <v>4.3E-3</v>
      </c>
      <c r="G4350" s="7">
        <v>-0.12520000000000001</v>
      </c>
    </row>
    <row r="4351" spans="2:7" x14ac:dyDescent="0.2">
      <c r="B4351" s="60">
        <v>42027</v>
      </c>
      <c r="C4351" s="7">
        <v>3.6600000000000001E-3</v>
      </c>
      <c r="D4351" s="7">
        <v>4.4400000000000004E-3</v>
      </c>
      <c r="E4351" s="7">
        <v>4.4600000000000004E-3</v>
      </c>
      <c r="F4351" s="7">
        <v>3.4599999999999995E-3</v>
      </c>
      <c r="G4351" s="7">
        <v>-0.1938</v>
      </c>
    </row>
    <row r="4352" spans="2:7" x14ac:dyDescent="0.2">
      <c r="B4352" s="60">
        <v>42030</v>
      </c>
      <c r="C4352" s="7">
        <v>3.9300000000000003E-3</v>
      </c>
      <c r="D4352" s="7">
        <v>3.5399999999999997E-3</v>
      </c>
      <c r="E4352" s="7">
        <v>3.98E-3</v>
      </c>
      <c r="F4352" s="7">
        <v>3.4200000000000003E-3</v>
      </c>
      <c r="G4352" s="7">
        <v>7.3800000000000004E-2</v>
      </c>
    </row>
    <row r="4353" spans="2:7" x14ac:dyDescent="0.2">
      <c r="B4353" s="60">
        <v>42031</v>
      </c>
      <c r="C4353" s="7">
        <v>3.8500000000000001E-3</v>
      </c>
      <c r="D4353" s="7">
        <v>3.8800000000000002E-3</v>
      </c>
      <c r="E4353" s="7">
        <v>4.0100000000000005E-3</v>
      </c>
      <c r="F4353" s="7">
        <v>3.7199999999999998E-3</v>
      </c>
      <c r="G4353" s="7">
        <v>-2.0400000000000001E-2</v>
      </c>
    </row>
    <row r="4354" spans="2:7" x14ac:dyDescent="0.2">
      <c r="B4354" s="60">
        <v>42032</v>
      </c>
      <c r="C4354" s="7">
        <v>3.5499999999999998E-3</v>
      </c>
      <c r="D4354" s="7">
        <v>3.98E-3</v>
      </c>
      <c r="E4354" s="7">
        <v>4.2399999999999998E-3</v>
      </c>
      <c r="F4354" s="7">
        <v>3.4999999999999996E-3</v>
      </c>
      <c r="G4354" s="7">
        <v>-7.7899999999999997E-2</v>
      </c>
    </row>
    <row r="4355" spans="2:7" x14ac:dyDescent="0.2">
      <c r="B4355" s="60">
        <v>42033</v>
      </c>
      <c r="C4355" s="7">
        <v>3.5699999999999998E-3</v>
      </c>
      <c r="D4355" s="7">
        <v>3.3400000000000001E-3</v>
      </c>
      <c r="E4355" s="7">
        <v>3.6700000000000001E-3</v>
      </c>
      <c r="F4355" s="7">
        <v>3.29E-3</v>
      </c>
      <c r="G4355" s="7">
        <v>5.5999999999999999E-3</v>
      </c>
    </row>
    <row r="4356" spans="2:7" x14ac:dyDescent="0.2">
      <c r="B4356" s="60">
        <v>42034</v>
      </c>
      <c r="C4356" s="7">
        <v>3.13E-3</v>
      </c>
      <c r="D4356" s="7">
        <v>3.5799999999999998E-3</v>
      </c>
      <c r="E4356" s="7">
        <v>3.6700000000000001E-3</v>
      </c>
      <c r="F4356" s="7">
        <v>3.0599999999999998E-3</v>
      </c>
      <c r="G4356" s="7">
        <v>-0.1232</v>
      </c>
    </row>
    <row r="4357" spans="2:7" x14ac:dyDescent="0.2">
      <c r="B4357" s="60">
        <v>42036</v>
      </c>
      <c r="C4357" s="7">
        <v>3.0399999999999997E-3</v>
      </c>
      <c r="D4357" s="7">
        <v>3.0399999999999997E-3</v>
      </c>
      <c r="E4357" s="7">
        <v>3.0399999999999997E-3</v>
      </c>
      <c r="F4357" s="7">
        <v>3.0399999999999997E-3</v>
      </c>
      <c r="G4357" s="7">
        <v>-2.8799999999999999E-2</v>
      </c>
    </row>
    <row r="4358" spans="2:7" x14ac:dyDescent="0.2">
      <c r="B4358" s="60">
        <v>42037</v>
      </c>
      <c r="C4358" s="7">
        <v>3.0999999999999999E-3</v>
      </c>
      <c r="D4358" s="7">
        <v>3.16E-3</v>
      </c>
      <c r="E4358" s="7">
        <v>3.2300000000000002E-3</v>
      </c>
      <c r="F4358" s="7">
        <v>2.99E-3</v>
      </c>
      <c r="G4358" s="7">
        <v>1.9699999999999999E-2</v>
      </c>
    </row>
    <row r="4359" spans="2:7" x14ac:dyDescent="0.2">
      <c r="B4359" s="60">
        <v>42038</v>
      </c>
      <c r="C4359" s="7">
        <v>3.4699999999999996E-3</v>
      </c>
      <c r="D4359" s="7">
        <v>3.0999999999999999E-3</v>
      </c>
      <c r="E4359" s="7">
        <v>3.5699999999999998E-3</v>
      </c>
      <c r="F4359" s="7">
        <v>3.0699999999999998E-3</v>
      </c>
      <c r="G4359" s="7">
        <v>0.11940000000000001</v>
      </c>
    </row>
    <row r="4360" spans="2:7" x14ac:dyDescent="0.2">
      <c r="B4360" s="60">
        <v>42039</v>
      </c>
      <c r="C4360" s="7">
        <v>3.65E-3</v>
      </c>
      <c r="D4360" s="7">
        <v>3.65E-3</v>
      </c>
      <c r="E4360" s="7">
        <v>3.8E-3</v>
      </c>
      <c r="F4360" s="7">
        <v>3.3600000000000001E-3</v>
      </c>
      <c r="G4360" s="7">
        <v>5.1900000000000002E-2</v>
      </c>
    </row>
    <row r="4361" spans="2:7" x14ac:dyDescent="0.2">
      <c r="B4361" s="60">
        <v>42040</v>
      </c>
      <c r="C4361" s="7">
        <v>3.7799999999999999E-3</v>
      </c>
      <c r="D4361" s="7">
        <v>3.3E-3</v>
      </c>
      <c r="E4361" s="7">
        <v>3.9100000000000003E-3</v>
      </c>
      <c r="F4361" s="7">
        <v>3.2500000000000003E-3</v>
      </c>
      <c r="G4361" s="7">
        <v>3.56E-2</v>
      </c>
    </row>
    <row r="4362" spans="2:7" x14ac:dyDescent="0.2">
      <c r="B4362" s="60">
        <v>42041</v>
      </c>
      <c r="C4362" s="7">
        <v>3.7399999999999998E-3</v>
      </c>
      <c r="D4362" s="7">
        <v>3.6099999999999999E-3</v>
      </c>
      <c r="E4362" s="7">
        <v>3.8700000000000002E-3</v>
      </c>
      <c r="F4362" s="7">
        <v>3.3700000000000002E-3</v>
      </c>
      <c r="G4362" s="7">
        <v>-1.06E-2</v>
      </c>
    </row>
    <row r="4363" spans="2:7" x14ac:dyDescent="0.2">
      <c r="B4363" s="60">
        <v>42042</v>
      </c>
      <c r="C4363" s="7">
        <v>3.7299999999999998E-3</v>
      </c>
      <c r="D4363" s="7">
        <v>3.7299999999999998E-3</v>
      </c>
      <c r="E4363" s="7">
        <v>3.7299999999999998E-3</v>
      </c>
      <c r="F4363" s="7">
        <v>3.7299999999999998E-3</v>
      </c>
      <c r="G4363" s="7">
        <v>-2.7000000000000001E-3</v>
      </c>
    </row>
    <row r="4364" spans="2:7" x14ac:dyDescent="0.2">
      <c r="B4364" s="60">
        <v>42043</v>
      </c>
      <c r="C4364" s="7">
        <v>3.7299999999999998E-3</v>
      </c>
      <c r="D4364" s="7">
        <v>3.7299999999999998E-3</v>
      </c>
      <c r="E4364" s="7">
        <v>3.7299999999999998E-3</v>
      </c>
      <c r="F4364" s="7">
        <v>3.7299999999999998E-3</v>
      </c>
      <c r="G4364" s="7">
        <v>0</v>
      </c>
    </row>
    <row r="4365" spans="2:7" x14ac:dyDescent="0.2">
      <c r="B4365" s="60">
        <v>42044</v>
      </c>
      <c r="C4365" s="7">
        <v>3.5399999999999997E-3</v>
      </c>
      <c r="D4365" s="7">
        <v>3.7099999999999998E-3</v>
      </c>
      <c r="E4365" s="7">
        <v>3.8E-3</v>
      </c>
      <c r="F4365" s="7">
        <v>3.2400000000000003E-3</v>
      </c>
      <c r="G4365" s="7">
        <v>-5.0900000000000001E-2</v>
      </c>
    </row>
    <row r="4366" spans="2:7" x14ac:dyDescent="0.2">
      <c r="B4366" s="60">
        <v>42045</v>
      </c>
      <c r="C4366" s="7">
        <v>3.7000000000000002E-3</v>
      </c>
      <c r="D4366" s="7">
        <v>3.6800000000000001E-3</v>
      </c>
      <c r="E4366" s="7">
        <v>4.0100000000000005E-3</v>
      </c>
      <c r="F4366" s="7">
        <v>3.4899999999999996E-3</v>
      </c>
      <c r="G4366" s="7">
        <v>4.5199999999999997E-2</v>
      </c>
    </row>
    <row r="4367" spans="2:7" x14ac:dyDescent="0.2">
      <c r="B4367" s="60">
        <v>42046</v>
      </c>
      <c r="C4367" s="7">
        <v>3.5799999999999998E-3</v>
      </c>
      <c r="D4367" s="7">
        <v>3.6600000000000001E-3</v>
      </c>
      <c r="E4367" s="7">
        <v>3.7699999999999999E-3</v>
      </c>
      <c r="F4367" s="7">
        <v>3.5299999999999997E-3</v>
      </c>
      <c r="G4367" s="7">
        <v>-3.2399999999999998E-2</v>
      </c>
    </row>
    <row r="4368" spans="2:7" x14ac:dyDescent="0.2">
      <c r="B4368" s="60">
        <v>42047</v>
      </c>
      <c r="C4368" s="7">
        <v>3.2500000000000003E-3</v>
      </c>
      <c r="D4368" s="7">
        <v>3.5199999999999997E-3</v>
      </c>
      <c r="E4368" s="7">
        <v>3.82E-3</v>
      </c>
      <c r="F4368" s="7">
        <v>3.1800000000000001E-3</v>
      </c>
      <c r="G4368" s="7">
        <v>-9.2200000000000004E-2</v>
      </c>
    </row>
    <row r="4369" spans="2:7" x14ac:dyDescent="0.2">
      <c r="B4369" s="60">
        <v>42048</v>
      </c>
      <c r="C4369" s="7">
        <v>3.4899999999999996E-3</v>
      </c>
      <c r="D4369" s="7">
        <v>3.2799999999999999E-3</v>
      </c>
      <c r="E4369" s="7">
        <v>3.63E-3</v>
      </c>
      <c r="F4369" s="7">
        <v>3.2600000000000003E-3</v>
      </c>
      <c r="G4369" s="7">
        <v>7.3800000000000004E-2</v>
      </c>
    </row>
    <row r="4370" spans="2:7" x14ac:dyDescent="0.2">
      <c r="B4370" s="60">
        <v>42049</v>
      </c>
      <c r="C4370" s="7">
        <v>3.5499999999999998E-3</v>
      </c>
      <c r="D4370" s="7">
        <v>3.5499999999999998E-3</v>
      </c>
      <c r="E4370" s="7">
        <v>3.5499999999999998E-3</v>
      </c>
      <c r="F4370" s="7">
        <v>3.5499999999999998E-3</v>
      </c>
      <c r="G4370" s="7">
        <v>1.72E-2</v>
      </c>
    </row>
    <row r="4371" spans="2:7" x14ac:dyDescent="0.2">
      <c r="B4371" s="60">
        <v>42051</v>
      </c>
      <c r="C4371" s="7">
        <v>3.4999999999999996E-3</v>
      </c>
      <c r="D4371" s="7">
        <v>3.5199999999999997E-3</v>
      </c>
      <c r="E4371" s="7">
        <v>3.65E-3</v>
      </c>
      <c r="F4371" s="7">
        <v>3.3900000000000002E-3</v>
      </c>
      <c r="G4371" s="7">
        <v>-1.41E-2</v>
      </c>
    </row>
    <row r="4372" spans="2:7" x14ac:dyDescent="0.2">
      <c r="B4372" s="60">
        <v>42052</v>
      </c>
      <c r="C4372" s="7">
        <v>3.7000000000000002E-3</v>
      </c>
      <c r="D4372" s="7">
        <v>3.5099999999999997E-3</v>
      </c>
      <c r="E4372" s="7">
        <v>3.82E-3</v>
      </c>
      <c r="F4372" s="7">
        <v>3.1700000000000001E-3</v>
      </c>
      <c r="G4372" s="7">
        <v>5.7099999999999998E-2</v>
      </c>
    </row>
    <row r="4373" spans="2:7" x14ac:dyDescent="0.2">
      <c r="B4373" s="60">
        <v>42053</v>
      </c>
      <c r="C4373" s="7">
        <v>3.8300000000000001E-3</v>
      </c>
      <c r="D4373" s="7">
        <v>3.79E-3</v>
      </c>
      <c r="E4373" s="7">
        <v>4.0899999999999999E-3</v>
      </c>
      <c r="F4373" s="7">
        <v>3.65E-3</v>
      </c>
      <c r="G4373" s="7">
        <v>3.5099999999999999E-2</v>
      </c>
    </row>
    <row r="4374" spans="2:7" x14ac:dyDescent="0.2">
      <c r="B4374" s="60">
        <v>42054</v>
      </c>
      <c r="C4374" s="7">
        <v>3.81E-3</v>
      </c>
      <c r="D4374" s="7">
        <v>3.7199999999999998E-3</v>
      </c>
      <c r="E4374" s="7">
        <v>4.0400000000000002E-3</v>
      </c>
      <c r="F4374" s="7">
        <v>3.5699999999999998E-3</v>
      </c>
      <c r="G4374" s="7">
        <v>-5.1999999999999998E-3</v>
      </c>
    </row>
    <row r="4375" spans="2:7" x14ac:dyDescent="0.2">
      <c r="B4375" s="60">
        <v>42055</v>
      </c>
      <c r="C4375" s="7">
        <v>3.7199999999999998E-3</v>
      </c>
      <c r="D4375" s="7">
        <v>3.82E-3</v>
      </c>
      <c r="E4375" s="7">
        <v>3.9300000000000003E-3</v>
      </c>
      <c r="F4375" s="7">
        <v>3.3600000000000001E-3</v>
      </c>
      <c r="G4375" s="7">
        <v>-2.3599999999999999E-2</v>
      </c>
    </row>
    <row r="4376" spans="2:7" x14ac:dyDescent="0.2">
      <c r="B4376" s="60">
        <v>42058</v>
      </c>
      <c r="C4376" s="7">
        <v>3.6600000000000001E-3</v>
      </c>
      <c r="D4376" s="7">
        <v>3.8500000000000001E-3</v>
      </c>
      <c r="E4376" s="7">
        <v>3.9500000000000004E-3</v>
      </c>
      <c r="F4376" s="7">
        <v>3.5799999999999998E-3</v>
      </c>
      <c r="G4376" s="7">
        <v>-1.61E-2</v>
      </c>
    </row>
    <row r="4377" spans="2:7" x14ac:dyDescent="0.2">
      <c r="B4377" s="60">
        <v>42059</v>
      </c>
      <c r="C4377" s="7">
        <v>3.7399999999999998E-3</v>
      </c>
      <c r="D4377" s="7">
        <v>3.5899999999999999E-3</v>
      </c>
      <c r="E4377" s="7">
        <v>3.9300000000000003E-3</v>
      </c>
      <c r="F4377" s="7">
        <v>3.5899999999999999E-3</v>
      </c>
      <c r="G4377" s="7">
        <v>2.1899999999999999E-2</v>
      </c>
    </row>
    <row r="4378" spans="2:7" x14ac:dyDescent="0.2">
      <c r="B4378" s="60">
        <v>42060</v>
      </c>
      <c r="C4378" s="7">
        <v>3.32E-3</v>
      </c>
      <c r="D4378" s="7">
        <v>3.64E-3</v>
      </c>
      <c r="E4378" s="7">
        <v>3.6900000000000001E-3</v>
      </c>
      <c r="F4378" s="7">
        <v>3.2000000000000002E-3</v>
      </c>
      <c r="G4378" s="7">
        <v>-0.1123</v>
      </c>
    </row>
    <row r="4379" spans="2:7" x14ac:dyDescent="0.2">
      <c r="B4379" s="60">
        <v>42061</v>
      </c>
      <c r="C4379" s="7">
        <v>3.0200000000000001E-3</v>
      </c>
      <c r="D4379" s="7">
        <v>3.2300000000000002E-3</v>
      </c>
      <c r="E4379" s="7">
        <v>3.2400000000000003E-3</v>
      </c>
      <c r="F4379" s="7">
        <v>2.8399999999999996E-3</v>
      </c>
      <c r="G4379" s="7">
        <v>-9.0399999999999994E-2</v>
      </c>
    </row>
    <row r="4380" spans="2:7" x14ac:dyDescent="0.2">
      <c r="B4380" s="60">
        <v>42062</v>
      </c>
      <c r="C4380" s="7">
        <v>3.2400000000000003E-3</v>
      </c>
      <c r="D4380" s="7">
        <v>3.0599999999999998E-3</v>
      </c>
      <c r="E4380" s="7">
        <v>3.4599999999999995E-3</v>
      </c>
      <c r="F4380" s="7">
        <v>3.0399999999999997E-3</v>
      </c>
      <c r="G4380" s="7">
        <v>7.2800000000000004E-2</v>
      </c>
    </row>
    <row r="4381" spans="2:7" x14ac:dyDescent="0.2">
      <c r="B4381" s="60">
        <v>42063</v>
      </c>
      <c r="C4381" s="7">
        <v>3.2300000000000002E-3</v>
      </c>
      <c r="D4381" s="7">
        <v>3.2300000000000002E-3</v>
      </c>
      <c r="E4381" s="7">
        <v>3.2300000000000002E-3</v>
      </c>
      <c r="F4381" s="7">
        <v>3.2300000000000002E-3</v>
      </c>
      <c r="G4381" s="7">
        <v>-3.0999999999999999E-3</v>
      </c>
    </row>
    <row r="4382" spans="2:7" x14ac:dyDescent="0.2">
      <c r="B4382" s="60">
        <v>42065</v>
      </c>
      <c r="C4382" s="7">
        <v>3.5499999999999998E-3</v>
      </c>
      <c r="D4382" s="7">
        <v>3.2600000000000003E-3</v>
      </c>
      <c r="E4382" s="7">
        <v>3.5999999999999999E-3</v>
      </c>
      <c r="F4382" s="7">
        <v>3.14E-3</v>
      </c>
      <c r="G4382" s="7">
        <v>9.9099999999999994E-2</v>
      </c>
    </row>
    <row r="4383" spans="2:7" x14ac:dyDescent="0.2">
      <c r="B4383" s="60">
        <v>42066</v>
      </c>
      <c r="C4383" s="7">
        <v>3.65E-3</v>
      </c>
      <c r="D4383" s="7">
        <v>3.5499999999999998E-3</v>
      </c>
      <c r="E4383" s="7">
        <v>3.7299999999999998E-3</v>
      </c>
      <c r="F4383" s="7">
        <v>3.4200000000000003E-3</v>
      </c>
      <c r="G4383" s="7">
        <v>2.8199999999999999E-2</v>
      </c>
    </row>
    <row r="4384" spans="2:7" x14ac:dyDescent="0.2">
      <c r="B4384" s="60">
        <v>42067</v>
      </c>
      <c r="C4384" s="7">
        <v>3.81E-3</v>
      </c>
      <c r="D4384" s="7">
        <v>3.8E-3</v>
      </c>
      <c r="E4384" s="7">
        <v>3.8700000000000002E-3</v>
      </c>
      <c r="F4384" s="7">
        <v>3.5899999999999999E-3</v>
      </c>
      <c r="G4384" s="7">
        <v>4.3799999999999999E-2</v>
      </c>
    </row>
    <row r="4385" spans="2:7" x14ac:dyDescent="0.2">
      <c r="B4385" s="60">
        <v>42068</v>
      </c>
      <c r="C4385" s="7">
        <v>3.5799999999999998E-3</v>
      </c>
      <c r="D4385" s="7">
        <v>3.81E-3</v>
      </c>
      <c r="E4385" s="7">
        <v>4.2899999999999995E-3</v>
      </c>
      <c r="F4385" s="7">
        <v>3.2200000000000002E-3</v>
      </c>
      <c r="G4385" s="7">
        <v>-6.0400000000000002E-2</v>
      </c>
    </row>
    <row r="4386" spans="2:7" x14ac:dyDescent="0.2">
      <c r="B4386" s="60">
        <v>42069</v>
      </c>
      <c r="C4386" s="7">
        <v>4.0000000000000001E-3</v>
      </c>
      <c r="D4386" s="7">
        <v>3.4499999999999999E-3</v>
      </c>
      <c r="E4386" s="7">
        <v>4.0400000000000002E-3</v>
      </c>
      <c r="F4386" s="7">
        <v>3.3E-3</v>
      </c>
      <c r="G4386" s="7">
        <v>0.1173</v>
      </c>
    </row>
    <row r="4387" spans="2:7" x14ac:dyDescent="0.2">
      <c r="B4387" s="60">
        <v>42070</v>
      </c>
      <c r="C4387" s="7">
        <v>3.9399999999999999E-3</v>
      </c>
      <c r="D4387" s="7">
        <v>3.9399999999999999E-3</v>
      </c>
      <c r="E4387" s="7">
        <v>3.9399999999999999E-3</v>
      </c>
      <c r="F4387" s="7">
        <v>3.9399999999999999E-3</v>
      </c>
      <c r="G4387" s="7">
        <v>-1.4999999999999999E-2</v>
      </c>
    </row>
    <row r="4388" spans="2:7" x14ac:dyDescent="0.2">
      <c r="B4388" s="60">
        <v>42072</v>
      </c>
      <c r="C4388" s="7">
        <v>3.0799999999999998E-3</v>
      </c>
      <c r="D4388" s="7">
        <v>3.9700000000000004E-3</v>
      </c>
      <c r="E4388" s="7">
        <v>3.98E-3</v>
      </c>
      <c r="F4388" s="7">
        <v>3.0799999999999998E-3</v>
      </c>
      <c r="G4388" s="7">
        <v>-0.21829999999999999</v>
      </c>
    </row>
    <row r="4389" spans="2:7" x14ac:dyDescent="0.2">
      <c r="B4389" s="60">
        <v>42073</v>
      </c>
      <c r="C4389" s="7">
        <v>2.3799999999999997E-3</v>
      </c>
      <c r="D4389" s="7">
        <v>3.14E-3</v>
      </c>
      <c r="E4389" s="7">
        <v>3.2000000000000002E-3</v>
      </c>
      <c r="F4389" s="7">
        <v>2.3E-3</v>
      </c>
      <c r="G4389" s="7">
        <v>-0.2273</v>
      </c>
    </row>
    <row r="4390" spans="2:7" x14ac:dyDescent="0.2">
      <c r="B4390" s="60">
        <v>42074</v>
      </c>
      <c r="C4390" s="7">
        <v>2.0399999999999997E-3</v>
      </c>
      <c r="D4390" s="7">
        <v>2.2599999999999999E-3</v>
      </c>
      <c r="E4390" s="7">
        <v>2.4299999999999999E-3</v>
      </c>
      <c r="F4390" s="7">
        <v>1.92E-3</v>
      </c>
      <c r="G4390" s="7">
        <v>-0.1429</v>
      </c>
    </row>
    <row r="4391" spans="2:7" x14ac:dyDescent="0.2">
      <c r="B4391" s="60">
        <v>42075</v>
      </c>
      <c r="C4391" s="7">
        <v>2.48E-3</v>
      </c>
      <c r="D4391" s="7">
        <v>2.0100000000000001E-3</v>
      </c>
      <c r="E4391" s="7">
        <v>2.5600000000000002E-3</v>
      </c>
      <c r="F4391" s="7">
        <v>1.8699999999999999E-3</v>
      </c>
      <c r="G4391" s="7">
        <v>0.2157</v>
      </c>
    </row>
    <row r="4392" spans="2:7" x14ac:dyDescent="0.2">
      <c r="B4392" s="60">
        <v>42076</v>
      </c>
      <c r="C4392" s="7">
        <v>2.5900000000000003E-3</v>
      </c>
      <c r="D4392" s="7">
        <v>2.49E-3</v>
      </c>
      <c r="E4392" s="7">
        <v>2.8100000000000004E-3</v>
      </c>
      <c r="F4392" s="7">
        <v>2.3599999999999997E-3</v>
      </c>
      <c r="G4392" s="7">
        <v>4.4400000000000002E-2</v>
      </c>
    </row>
    <row r="4393" spans="2:7" x14ac:dyDescent="0.2">
      <c r="B4393" s="60">
        <v>42077</v>
      </c>
      <c r="C4393" s="7">
        <v>2.5900000000000003E-3</v>
      </c>
      <c r="D4393" s="7">
        <v>2.5900000000000003E-3</v>
      </c>
      <c r="E4393" s="7">
        <v>2.5900000000000003E-3</v>
      </c>
      <c r="F4393" s="7">
        <v>2.5900000000000003E-3</v>
      </c>
      <c r="G4393" s="7">
        <v>0</v>
      </c>
    </row>
    <row r="4394" spans="2:7" x14ac:dyDescent="0.2">
      <c r="B4394" s="60">
        <v>42078</v>
      </c>
      <c r="C4394" s="7">
        <v>2.5900000000000003E-3</v>
      </c>
      <c r="D4394" s="7">
        <v>2.5900000000000003E-3</v>
      </c>
      <c r="E4394" s="7">
        <v>2.5900000000000003E-3</v>
      </c>
      <c r="F4394" s="7">
        <v>2.5900000000000003E-3</v>
      </c>
      <c r="G4394" s="7">
        <v>0</v>
      </c>
    </row>
    <row r="4395" spans="2:7" x14ac:dyDescent="0.2">
      <c r="B4395" s="60">
        <v>42079</v>
      </c>
      <c r="C4395" s="7">
        <v>2.7800000000000004E-3</v>
      </c>
      <c r="D4395" s="7">
        <v>2.5100000000000001E-3</v>
      </c>
      <c r="E4395" s="7">
        <v>2.9399999999999999E-3</v>
      </c>
      <c r="F4395" s="7">
        <v>2.5000000000000001E-3</v>
      </c>
      <c r="G4395" s="7">
        <v>7.3400000000000007E-2</v>
      </c>
    </row>
    <row r="4396" spans="2:7" x14ac:dyDescent="0.2">
      <c r="B4396" s="60">
        <v>42080</v>
      </c>
      <c r="C4396" s="7">
        <v>2.8100000000000004E-3</v>
      </c>
      <c r="D4396" s="7">
        <v>2.6800000000000001E-3</v>
      </c>
      <c r="E4396" s="7">
        <v>2.9099999999999998E-3</v>
      </c>
      <c r="F4396" s="7">
        <v>2.65E-3</v>
      </c>
      <c r="G4396" s="7">
        <v>1.0800000000000001E-2</v>
      </c>
    </row>
    <row r="4397" spans="2:7" x14ac:dyDescent="0.2">
      <c r="B4397" s="60">
        <v>42081</v>
      </c>
      <c r="C4397" s="7">
        <v>1.9500000000000001E-3</v>
      </c>
      <c r="D4397" s="7">
        <v>2.7100000000000002E-3</v>
      </c>
      <c r="E4397" s="7">
        <v>2.8000000000000004E-3</v>
      </c>
      <c r="F4397" s="7">
        <v>1.91E-3</v>
      </c>
      <c r="G4397" s="7">
        <v>-0.30599999999999999</v>
      </c>
    </row>
    <row r="4398" spans="2:7" x14ac:dyDescent="0.2">
      <c r="B4398" s="60">
        <v>42082</v>
      </c>
      <c r="C4398" s="7">
        <v>1.8799999999999999E-3</v>
      </c>
      <c r="D4398" s="7">
        <v>1.72E-3</v>
      </c>
      <c r="E4398" s="7">
        <v>2.0799999999999998E-3</v>
      </c>
      <c r="F4398" s="7">
        <v>1.7100000000000001E-3</v>
      </c>
      <c r="G4398" s="7">
        <v>-3.5900000000000001E-2</v>
      </c>
    </row>
    <row r="4399" spans="2:7" x14ac:dyDescent="0.2">
      <c r="B4399" s="60">
        <v>42083</v>
      </c>
      <c r="C4399" s="7">
        <v>1.8500000000000001E-3</v>
      </c>
      <c r="D4399" s="7">
        <v>1.8500000000000001E-3</v>
      </c>
      <c r="E4399" s="7">
        <v>1.98E-3</v>
      </c>
      <c r="F4399" s="7">
        <v>1.6800000000000001E-3</v>
      </c>
      <c r="G4399" s="7">
        <v>-1.6E-2</v>
      </c>
    </row>
    <row r="4400" spans="2:7" x14ac:dyDescent="0.2">
      <c r="B4400" s="60">
        <v>42086</v>
      </c>
      <c r="C4400" s="7">
        <v>2.1900000000000001E-3</v>
      </c>
      <c r="D4400" s="7">
        <v>1.8E-3</v>
      </c>
      <c r="E4400" s="7">
        <v>2.3E-3</v>
      </c>
      <c r="F4400" s="7">
        <v>1.7100000000000001E-3</v>
      </c>
      <c r="G4400" s="7">
        <v>0.18379999999999999</v>
      </c>
    </row>
    <row r="4401" spans="2:7" x14ac:dyDescent="0.2">
      <c r="B4401" s="60">
        <v>42087</v>
      </c>
      <c r="C4401" s="7">
        <v>2.3400000000000001E-3</v>
      </c>
      <c r="D4401" s="7">
        <v>2.15E-3</v>
      </c>
      <c r="E4401" s="7">
        <v>2.3999999999999998E-3</v>
      </c>
      <c r="F4401" s="7">
        <v>1.97E-3</v>
      </c>
      <c r="G4401" s="7">
        <v>6.8500000000000005E-2</v>
      </c>
    </row>
    <row r="4402" spans="2:7" x14ac:dyDescent="0.2">
      <c r="B4402" s="60">
        <v>42088</v>
      </c>
      <c r="C4402" s="7">
        <v>2.2000000000000001E-3</v>
      </c>
      <c r="D4402" s="7">
        <v>2.2300000000000002E-3</v>
      </c>
      <c r="E4402" s="7">
        <v>2.3799999999999997E-3</v>
      </c>
      <c r="F4402" s="7">
        <v>2.0599999999999998E-3</v>
      </c>
      <c r="G4402" s="7">
        <v>-5.9799999999999999E-2</v>
      </c>
    </row>
    <row r="4403" spans="2:7" x14ac:dyDescent="0.2">
      <c r="B4403" s="60">
        <v>42089</v>
      </c>
      <c r="C4403" s="7">
        <v>2.1900000000000001E-3</v>
      </c>
      <c r="D4403" s="7">
        <v>2.2699999999999999E-3</v>
      </c>
      <c r="E4403" s="7">
        <v>2.33E-3</v>
      </c>
      <c r="F4403" s="7">
        <v>2.0399999999999997E-3</v>
      </c>
      <c r="G4403" s="7">
        <v>-4.4999999999999997E-3</v>
      </c>
    </row>
    <row r="4404" spans="2:7" x14ac:dyDescent="0.2">
      <c r="B4404" s="60">
        <v>42090</v>
      </c>
      <c r="C4404" s="7">
        <v>2.0899999999999998E-3</v>
      </c>
      <c r="D4404" s="7">
        <v>2.1199999999999999E-3</v>
      </c>
      <c r="E4404" s="7">
        <v>2.3899999999999998E-3</v>
      </c>
      <c r="F4404" s="7">
        <v>2.0100000000000001E-3</v>
      </c>
      <c r="G4404" s="7">
        <v>-4.5699999999999998E-2</v>
      </c>
    </row>
    <row r="4405" spans="2:7" x14ac:dyDescent="0.2">
      <c r="B4405" s="60">
        <v>42091</v>
      </c>
      <c r="C4405" s="7">
        <v>2.0899999999999998E-3</v>
      </c>
      <c r="D4405" s="7">
        <v>2.0899999999999998E-3</v>
      </c>
      <c r="E4405" s="7">
        <v>2.0899999999999998E-3</v>
      </c>
      <c r="F4405" s="7">
        <v>2.0899999999999998E-3</v>
      </c>
      <c r="G4405" s="7">
        <v>0</v>
      </c>
    </row>
    <row r="4406" spans="2:7" x14ac:dyDescent="0.2">
      <c r="B4406" s="60">
        <v>42093</v>
      </c>
      <c r="C4406" s="7">
        <v>2.14E-3</v>
      </c>
      <c r="D4406" s="7">
        <v>2.0599999999999998E-3</v>
      </c>
      <c r="E4406" s="7">
        <v>2.14E-3</v>
      </c>
      <c r="F4406" s="7">
        <v>1.7799999999999999E-3</v>
      </c>
      <c r="G4406" s="7">
        <v>2.3900000000000001E-2</v>
      </c>
    </row>
    <row r="4407" spans="2:7" x14ac:dyDescent="0.2">
      <c r="B4407" s="60">
        <v>42094</v>
      </c>
      <c r="C4407" s="7">
        <v>1.8500000000000001E-3</v>
      </c>
      <c r="D4407" s="7">
        <v>2.0399999999999997E-3</v>
      </c>
      <c r="E4407" s="7">
        <v>2.1800000000000001E-3</v>
      </c>
      <c r="F4407" s="7">
        <v>1.7699999999999999E-3</v>
      </c>
      <c r="G4407" s="7">
        <v>-0.13550000000000001</v>
      </c>
    </row>
    <row r="4408" spans="2:7" x14ac:dyDescent="0.2">
      <c r="B4408" s="60">
        <v>42095</v>
      </c>
      <c r="C4408" s="7">
        <v>1.72E-3</v>
      </c>
      <c r="D4408" s="7">
        <v>1.8599999999999999E-3</v>
      </c>
      <c r="E4408" s="7">
        <v>2.0100000000000001E-3</v>
      </c>
      <c r="F4408" s="7">
        <v>1.5199999999999999E-3</v>
      </c>
      <c r="G4408" s="7">
        <v>-7.0300000000000001E-2</v>
      </c>
    </row>
    <row r="4409" spans="2:7" x14ac:dyDescent="0.2">
      <c r="B4409" s="60">
        <v>42096</v>
      </c>
      <c r="C4409" s="7">
        <v>1.83E-3</v>
      </c>
      <c r="D4409" s="7">
        <v>1.7299999999999998E-3</v>
      </c>
      <c r="E4409" s="7">
        <v>1.9E-3</v>
      </c>
      <c r="F4409" s="7">
        <v>1.6000000000000001E-3</v>
      </c>
      <c r="G4409" s="7">
        <v>6.4000000000000001E-2</v>
      </c>
    </row>
    <row r="4410" spans="2:7" x14ac:dyDescent="0.2">
      <c r="B4410" s="60">
        <v>42097</v>
      </c>
      <c r="C4410" s="7">
        <v>1.9500000000000001E-3</v>
      </c>
      <c r="D4410" s="7">
        <v>1.89E-3</v>
      </c>
      <c r="E4410" s="7">
        <v>1.9500000000000001E-3</v>
      </c>
      <c r="F4410" s="7">
        <v>1.89E-3</v>
      </c>
      <c r="G4410" s="7">
        <v>6.5600000000000006E-2</v>
      </c>
    </row>
    <row r="4411" spans="2:7" x14ac:dyDescent="0.2">
      <c r="B4411" s="60">
        <v>42101</v>
      </c>
      <c r="C4411" s="7">
        <v>1.8699999999999999E-3</v>
      </c>
      <c r="D4411" s="7">
        <v>1.83E-3</v>
      </c>
      <c r="E4411" s="7">
        <v>1.97E-3</v>
      </c>
      <c r="F4411" s="7">
        <v>1.7499999999999998E-3</v>
      </c>
      <c r="G4411" s="7">
        <v>-4.1000000000000002E-2</v>
      </c>
    </row>
    <row r="4412" spans="2:7" x14ac:dyDescent="0.2">
      <c r="B4412" s="60">
        <v>42102</v>
      </c>
      <c r="C4412" s="7">
        <v>1.67E-3</v>
      </c>
      <c r="D4412" s="7">
        <v>1.7399999999999998E-3</v>
      </c>
      <c r="E4412" s="7">
        <v>1.7399999999999998E-3</v>
      </c>
      <c r="F4412" s="7">
        <v>1.56E-3</v>
      </c>
      <c r="G4412" s="7">
        <v>-0.107</v>
      </c>
    </row>
    <row r="4413" spans="2:7" x14ac:dyDescent="0.2">
      <c r="B4413" s="60">
        <v>42103</v>
      </c>
      <c r="C4413" s="7">
        <v>1.58E-3</v>
      </c>
      <c r="D4413" s="7">
        <v>1.6100000000000001E-3</v>
      </c>
      <c r="E4413" s="7">
        <v>1.6900000000000001E-3</v>
      </c>
      <c r="F4413" s="7">
        <v>1.4000000000000002E-3</v>
      </c>
      <c r="G4413" s="7">
        <v>-5.3900000000000003E-2</v>
      </c>
    </row>
    <row r="4414" spans="2:7" x14ac:dyDescent="0.2">
      <c r="B4414" s="60">
        <v>42104</v>
      </c>
      <c r="C4414" s="7">
        <v>1.56E-3</v>
      </c>
      <c r="D4414" s="7">
        <v>1.6800000000000001E-3</v>
      </c>
      <c r="E4414" s="7">
        <v>1.72E-3</v>
      </c>
      <c r="F4414" s="7">
        <v>1.4399999999999999E-3</v>
      </c>
      <c r="G4414" s="7">
        <v>-1.2699999999999999E-2</v>
      </c>
    </row>
    <row r="4415" spans="2:7" x14ac:dyDescent="0.2">
      <c r="B4415" s="60">
        <v>42106</v>
      </c>
      <c r="C4415" s="7">
        <v>1.6000000000000001E-3</v>
      </c>
      <c r="D4415" s="7">
        <v>1.6000000000000001E-3</v>
      </c>
      <c r="E4415" s="7">
        <v>1.6000000000000001E-3</v>
      </c>
      <c r="F4415" s="7">
        <v>1.6000000000000001E-3</v>
      </c>
      <c r="G4415" s="7">
        <v>2.5600000000000001E-2</v>
      </c>
    </row>
    <row r="4416" spans="2:7" x14ac:dyDescent="0.2">
      <c r="B4416" s="60">
        <v>42107</v>
      </c>
      <c r="C4416" s="7">
        <v>1.57E-3</v>
      </c>
      <c r="D4416" s="7">
        <v>1.5399999999999999E-3</v>
      </c>
      <c r="E4416" s="7">
        <v>1.7100000000000001E-3</v>
      </c>
      <c r="F4416" s="7">
        <v>1.4199999999999998E-3</v>
      </c>
      <c r="G4416" s="7">
        <v>-1.8700000000000001E-2</v>
      </c>
    </row>
    <row r="4417" spans="2:7" x14ac:dyDescent="0.2">
      <c r="B4417" s="60">
        <v>42108</v>
      </c>
      <c r="C4417" s="7">
        <v>1.4000000000000002E-3</v>
      </c>
      <c r="D4417" s="7">
        <v>1.4599999999999999E-3</v>
      </c>
      <c r="E4417" s="7">
        <v>1.56E-3</v>
      </c>
      <c r="F4417" s="7">
        <v>1.2999999999999999E-3</v>
      </c>
      <c r="G4417" s="7">
        <v>-0.10829999999999999</v>
      </c>
    </row>
    <row r="4418" spans="2:7" x14ac:dyDescent="0.2">
      <c r="B4418" s="60">
        <v>42109</v>
      </c>
      <c r="C4418" s="7">
        <v>1.09E-3</v>
      </c>
      <c r="D4418" s="7">
        <v>1.4099999999999998E-3</v>
      </c>
      <c r="E4418" s="7">
        <v>1.4599999999999999E-3</v>
      </c>
      <c r="F4418" s="7">
        <v>1.0499999999999999E-3</v>
      </c>
      <c r="G4418" s="7">
        <v>-0.22140000000000001</v>
      </c>
    </row>
    <row r="4419" spans="2:7" x14ac:dyDescent="0.2">
      <c r="B4419" s="60">
        <v>42110</v>
      </c>
      <c r="C4419" s="7">
        <v>8.5000000000000006E-4</v>
      </c>
      <c r="D4419" s="7">
        <v>1.08E-3</v>
      </c>
      <c r="E4419" s="7">
        <v>1.1100000000000001E-3</v>
      </c>
      <c r="F4419" s="7">
        <v>7.1999999999999994E-4</v>
      </c>
      <c r="G4419" s="7">
        <v>-0.22020000000000001</v>
      </c>
    </row>
    <row r="4420" spans="2:7" x14ac:dyDescent="0.2">
      <c r="B4420" s="60">
        <v>42111</v>
      </c>
      <c r="C4420" s="7">
        <v>7.9000000000000001E-4</v>
      </c>
      <c r="D4420" s="7">
        <v>8.1000000000000006E-4</v>
      </c>
      <c r="E4420" s="7">
        <v>8.5999999999999998E-4</v>
      </c>
      <c r="F4420" s="7">
        <v>4.8999999999999998E-4</v>
      </c>
      <c r="G4420" s="7">
        <v>-7.0599999999999996E-2</v>
      </c>
    </row>
    <row r="4421" spans="2:7" x14ac:dyDescent="0.2">
      <c r="B4421" s="60">
        <v>42114</v>
      </c>
      <c r="C4421" s="7">
        <v>7.6999999999999996E-4</v>
      </c>
      <c r="D4421" s="7">
        <v>7.0999999999999991E-4</v>
      </c>
      <c r="E4421" s="7">
        <v>8.1999999999999998E-4</v>
      </c>
      <c r="F4421" s="7">
        <v>6.3000000000000003E-4</v>
      </c>
      <c r="G4421" s="7">
        <v>-2.53E-2</v>
      </c>
    </row>
    <row r="4422" spans="2:7" x14ac:dyDescent="0.2">
      <c r="B4422" s="60">
        <v>42115</v>
      </c>
      <c r="C4422" s="7">
        <v>1.0299999999999999E-3</v>
      </c>
      <c r="D4422" s="7">
        <v>7.7999999999999999E-4</v>
      </c>
      <c r="E4422" s="7">
        <v>1.07E-3</v>
      </c>
      <c r="F4422" s="7">
        <v>6.7000000000000002E-4</v>
      </c>
      <c r="G4422" s="7">
        <v>0.3377</v>
      </c>
    </row>
    <row r="4423" spans="2:7" x14ac:dyDescent="0.2">
      <c r="B4423" s="60">
        <v>42116</v>
      </c>
      <c r="C4423" s="7">
        <v>1.6000000000000001E-3</v>
      </c>
      <c r="D4423" s="7">
        <v>1.0399999999999999E-3</v>
      </c>
      <c r="E4423" s="7">
        <v>1.64E-3</v>
      </c>
      <c r="F4423" s="7">
        <v>8.9999999999999998E-4</v>
      </c>
      <c r="G4423" s="7">
        <v>0.5534</v>
      </c>
    </row>
    <row r="4424" spans="2:7" x14ac:dyDescent="0.2">
      <c r="B4424" s="60">
        <v>42117</v>
      </c>
      <c r="C4424" s="7">
        <v>1.6200000000000001E-3</v>
      </c>
      <c r="D4424" s="7">
        <v>1.58E-3</v>
      </c>
      <c r="E4424" s="7">
        <v>1.7299999999999998E-3</v>
      </c>
      <c r="F4424" s="7">
        <v>1.33E-3</v>
      </c>
      <c r="G4424" s="7">
        <v>1.2500000000000001E-2</v>
      </c>
    </row>
    <row r="4425" spans="2:7" x14ac:dyDescent="0.2">
      <c r="B4425" s="60">
        <v>42118</v>
      </c>
      <c r="C4425" s="7">
        <v>1.58E-3</v>
      </c>
      <c r="D4425" s="7">
        <v>1.6300000000000002E-3</v>
      </c>
      <c r="E4425" s="7">
        <v>1.82E-3</v>
      </c>
      <c r="F4425" s="7">
        <v>1.48E-3</v>
      </c>
      <c r="G4425" s="7">
        <v>-2.47E-2</v>
      </c>
    </row>
    <row r="4426" spans="2:7" x14ac:dyDescent="0.2">
      <c r="B4426" s="60">
        <v>42119</v>
      </c>
      <c r="C4426" s="7">
        <v>1.5100000000000001E-3</v>
      </c>
      <c r="D4426" s="7">
        <v>1.5199999999999999E-3</v>
      </c>
      <c r="E4426" s="7">
        <v>1.5199999999999999E-3</v>
      </c>
      <c r="F4426" s="7">
        <v>1.5100000000000001E-3</v>
      </c>
      <c r="G4426" s="7">
        <v>-4.4299999999999999E-2</v>
      </c>
    </row>
    <row r="4427" spans="2:7" x14ac:dyDescent="0.2">
      <c r="B4427" s="60">
        <v>42121</v>
      </c>
      <c r="C4427" s="7">
        <v>1.64E-3</v>
      </c>
      <c r="D4427" s="7">
        <v>1.4399999999999999E-3</v>
      </c>
      <c r="E4427" s="7">
        <v>1.7399999999999998E-3</v>
      </c>
      <c r="F4427" s="7">
        <v>1.34E-3</v>
      </c>
      <c r="G4427" s="7">
        <v>8.6099999999999996E-2</v>
      </c>
    </row>
    <row r="4428" spans="2:7" x14ac:dyDescent="0.2">
      <c r="B4428" s="60">
        <v>42122</v>
      </c>
      <c r="C4428" s="7">
        <v>1.6300000000000002E-3</v>
      </c>
      <c r="D4428" s="7">
        <v>1.6100000000000001E-3</v>
      </c>
      <c r="E4428" s="7">
        <v>1.7299999999999998E-3</v>
      </c>
      <c r="F4428" s="7">
        <v>1.4099999999999998E-3</v>
      </c>
      <c r="G4428" s="7">
        <v>-6.1000000000000004E-3</v>
      </c>
    </row>
    <row r="4429" spans="2:7" x14ac:dyDescent="0.2">
      <c r="B4429" s="60">
        <v>42123</v>
      </c>
      <c r="C4429" s="7">
        <v>2.8399999999999996E-3</v>
      </c>
      <c r="D4429" s="7">
        <v>1.6800000000000001E-3</v>
      </c>
      <c r="E4429" s="7">
        <v>2.9099999999999998E-3</v>
      </c>
      <c r="F4429" s="7">
        <v>1.65E-3</v>
      </c>
      <c r="G4429" s="7">
        <v>0.74229999999999996</v>
      </c>
    </row>
    <row r="4430" spans="2:7" x14ac:dyDescent="0.2">
      <c r="B4430" s="60">
        <v>42124</v>
      </c>
      <c r="C4430" s="7">
        <v>3.64E-3</v>
      </c>
      <c r="D4430" s="7">
        <v>2.8399999999999996E-3</v>
      </c>
      <c r="E4430" s="7">
        <v>3.8600000000000001E-3</v>
      </c>
      <c r="F4430" s="7">
        <v>2.7300000000000002E-3</v>
      </c>
      <c r="G4430" s="7">
        <v>0.28170000000000001</v>
      </c>
    </row>
    <row r="4431" spans="2:7" x14ac:dyDescent="0.2">
      <c r="B4431" s="60">
        <v>42128</v>
      </c>
      <c r="C4431" s="7">
        <v>4.5199999999999997E-3</v>
      </c>
      <c r="D4431" s="7">
        <v>3.79E-3</v>
      </c>
      <c r="E4431" s="7">
        <v>4.5500000000000002E-3</v>
      </c>
      <c r="F4431" s="7">
        <v>3.62E-3</v>
      </c>
      <c r="G4431" s="7">
        <v>0.24179999999999999</v>
      </c>
    </row>
    <row r="4432" spans="2:7" x14ac:dyDescent="0.2">
      <c r="B4432" s="60">
        <v>42129</v>
      </c>
      <c r="C4432" s="7">
        <v>5.1800000000000006E-3</v>
      </c>
      <c r="D4432" s="7">
        <v>4.5500000000000002E-3</v>
      </c>
      <c r="E4432" s="7">
        <v>5.3500000000000006E-3</v>
      </c>
      <c r="F4432" s="7">
        <v>4.0600000000000002E-3</v>
      </c>
      <c r="G4432" s="7">
        <v>0.14599999999999999</v>
      </c>
    </row>
    <row r="4433" spans="2:7" x14ac:dyDescent="0.2">
      <c r="B4433" s="60">
        <v>42130</v>
      </c>
      <c r="C4433" s="7">
        <v>5.8699999999999994E-3</v>
      </c>
      <c r="D4433" s="7">
        <v>5.28E-3</v>
      </c>
      <c r="E4433" s="7">
        <v>6.0099999999999997E-3</v>
      </c>
      <c r="F4433" s="7">
        <v>5.13E-3</v>
      </c>
      <c r="G4433" s="7">
        <v>0.13320000000000001</v>
      </c>
    </row>
    <row r="4434" spans="2:7" x14ac:dyDescent="0.2">
      <c r="B4434" s="60">
        <v>42131</v>
      </c>
      <c r="C4434" s="7">
        <v>5.96E-3</v>
      </c>
      <c r="D4434" s="7">
        <v>6.1399999999999996E-3</v>
      </c>
      <c r="E4434" s="7">
        <v>7.9600000000000001E-3</v>
      </c>
      <c r="F4434" s="7">
        <v>5.79E-3</v>
      </c>
      <c r="G4434" s="7">
        <v>1.5299999999999999E-2</v>
      </c>
    </row>
    <row r="4435" spans="2:7" x14ac:dyDescent="0.2">
      <c r="B4435" s="60">
        <v>42132</v>
      </c>
      <c r="C4435" s="7">
        <v>5.45E-3</v>
      </c>
      <c r="D4435" s="7">
        <v>5.7499999999999999E-3</v>
      </c>
      <c r="E4435" s="7">
        <v>6.3600000000000002E-3</v>
      </c>
      <c r="F4435" s="7">
        <v>5.2599999999999999E-3</v>
      </c>
      <c r="G4435" s="7">
        <v>-8.5599999999999996E-2</v>
      </c>
    </row>
    <row r="4436" spans="2:7" x14ac:dyDescent="0.2">
      <c r="B4436" s="60">
        <v>42135</v>
      </c>
      <c r="C4436" s="7">
        <v>5.9899999999999997E-3</v>
      </c>
      <c r="D4436" s="7">
        <v>5.3400000000000001E-3</v>
      </c>
      <c r="E4436" s="7">
        <v>6.1900000000000002E-3</v>
      </c>
      <c r="F4436" s="7">
        <v>5.1999999999999998E-3</v>
      </c>
      <c r="G4436" s="7">
        <v>9.9099999999999994E-2</v>
      </c>
    </row>
    <row r="4437" spans="2:7" x14ac:dyDescent="0.2">
      <c r="B4437" s="60">
        <v>42136</v>
      </c>
      <c r="C4437" s="7">
        <v>6.8100000000000001E-3</v>
      </c>
      <c r="D4437" s="7">
        <v>6.6800000000000002E-3</v>
      </c>
      <c r="E4437" s="7">
        <v>7.4000000000000003E-3</v>
      </c>
      <c r="F4437" s="7">
        <v>6.4200000000000004E-3</v>
      </c>
      <c r="G4437" s="7">
        <v>0.13689999999999999</v>
      </c>
    </row>
    <row r="4438" spans="2:7" x14ac:dyDescent="0.2">
      <c r="B4438" s="60">
        <v>42137</v>
      </c>
      <c r="C4438" s="7">
        <v>7.2099999999999994E-3</v>
      </c>
      <c r="D4438" s="7">
        <v>6.8500000000000002E-3</v>
      </c>
      <c r="E4438" s="7">
        <v>7.2399999999999999E-3</v>
      </c>
      <c r="F4438" s="7">
        <v>5.9899999999999997E-3</v>
      </c>
      <c r="G4438" s="7">
        <v>5.8700000000000002E-2</v>
      </c>
    </row>
    <row r="4439" spans="2:7" x14ac:dyDescent="0.2">
      <c r="B4439" s="60">
        <v>42138</v>
      </c>
      <c r="C4439" s="7">
        <v>6.9999999999999993E-3</v>
      </c>
      <c r="D4439" s="7">
        <v>7.5799999999999999E-3</v>
      </c>
      <c r="E4439" s="7">
        <v>7.7400000000000004E-3</v>
      </c>
      <c r="F4439" s="7">
        <v>6.8000000000000005E-3</v>
      </c>
      <c r="G4439" s="7">
        <v>-2.9100000000000001E-2</v>
      </c>
    </row>
    <row r="4440" spans="2:7" x14ac:dyDescent="0.2">
      <c r="B4440" s="60">
        <v>42139</v>
      </c>
      <c r="C4440" s="7">
        <v>6.3899999999999998E-3</v>
      </c>
      <c r="D4440" s="7">
        <v>6.8300000000000001E-3</v>
      </c>
      <c r="E4440" s="7">
        <v>6.9199999999999991E-3</v>
      </c>
      <c r="F4440" s="7">
        <v>6.3200000000000001E-3</v>
      </c>
      <c r="G4440" s="7">
        <v>-8.7099999999999997E-2</v>
      </c>
    </row>
    <row r="4441" spans="2:7" x14ac:dyDescent="0.2">
      <c r="B4441" s="60">
        <v>42142</v>
      </c>
      <c r="C4441" s="7">
        <v>6.4800000000000005E-3</v>
      </c>
      <c r="D4441" s="7">
        <v>6.5100000000000002E-3</v>
      </c>
      <c r="E4441" s="7">
        <v>6.7100000000000007E-3</v>
      </c>
      <c r="F4441" s="7">
        <v>6.2399999999999999E-3</v>
      </c>
      <c r="G4441" s="7">
        <v>1.41E-2</v>
      </c>
    </row>
    <row r="4442" spans="2:7" x14ac:dyDescent="0.2">
      <c r="B4442" s="60">
        <v>42143</v>
      </c>
      <c r="C4442" s="7">
        <v>6.1199999999999996E-3</v>
      </c>
      <c r="D4442" s="7">
        <v>6.5200000000000006E-3</v>
      </c>
      <c r="E4442" s="7">
        <v>6.5200000000000006E-3</v>
      </c>
      <c r="F4442" s="7">
        <v>5.5500000000000002E-3</v>
      </c>
      <c r="G4442" s="7">
        <v>-5.5599999999999997E-2</v>
      </c>
    </row>
    <row r="4443" spans="2:7" x14ac:dyDescent="0.2">
      <c r="B4443" s="60">
        <v>42144</v>
      </c>
      <c r="C4443" s="7">
        <v>6.2700000000000004E-3</v>
      </c>
      <c r="D4443" s="7">
        <v>6.0799999999999995E-3</v>
      </c>
      <c r="E4443" s="7">
        <v>6.3E-3</v>
      </c>
      <c r="F4443" s="7">
        <v>5.7099999999999998E-3</v>
      </c>
      <c r="G4443" s="7">
        <v>2.4500000000000001E-2</v>
      </c>
    </row>
    <row r="4444" spans="2:7" x14ac:dyDescent="0.2">
      <c r="B4444" s="60">
        <v>42145</v>
      </c>
      <c r="C4444" s="7">
        <v>6.3499999999999997E-3</v>
      </c>
      <c r="D4444" s="7">
        <v>6.2399999999999999E-3</v>
      </c>
      <c r="E4444" s="7">
        <v>6.8100000000000001E-3</v>
      </c>
      <c r="F4444" s="7">
        <v>6.0299999999999998E-3</v>
      </c>
      <c r="G4444" s="7">
        <v>1.2800000000000001E-2</v>
      </c>
    </row>
    <row r="4445" spans="2:7" x14ac:dyDescent="0.2">
      <c r="B4445" s="60">
        <v>42146</v>
      </c>
      <c r="C4445" s="7">
        <v>6.0299999999999998E-3</v>
      </c>
      <c r="D4445" s="7">
        <v>6.3699999999999998E-3</v>
      </c>
      <c r="E4445" s="7">
        <v>6.3899999999999998E-3</v>
      </c>
      <c r="F4445" s="7">
        <v>5.8899999999999994E-3</v>
      </c>
      <c r="G4445" s="7">
        <v>-5.04E-2</v>
      </c>
    </row>
    <row r="4446" spans="2:7" x14ac:dyDescent="0.2">
      <c r="B4446" s="60">
        <v>42150</v>
      </c>
      <c r="C4446" s="7">
        <v>5.5200000000000006E-3</v>
      </c>
      <c r="D4446" s="7">
        <v>5.8899999999999994E-3</v>
      </c>
      <c r="E4446" s="7">
        <v>6.0299999999999998E-3</v>
      </c>
      <c r="F4446" s="7">
        <v>5.3E-3</v>
      </c>
      <c r="G4446" s="7">
        <v>-8.4599999999999995E-2</v>
      </c>
    </row>
    <row r="4447" spans="2:7" x14ac:dyDescent="0.2">
      <c r="B4447" s="60">
        <v>42151</v>
      </c>
      <c r="C4447" s="7">
        <v>5.4600000000000004E-3</v>
      </c>
      <c r="D4447" s="7">
        <v>5.45E-3</v>
      </c>
      <c r="E4447" s="7">
        <v>5.79E-3</v>
      </c>
      <c r="F4447" s="7">
        <v>5.1600000000000005E-3</v>
      </c>
      <c r="G4447" s="7">
        <v>-1.09E-2</v>
      </c>
    </row>
    <row r="4448" spans="2:7" x14ac:dyDescent="0.2">
      <c r="B4448" s="60">
        <v>42152</v>
      </c>
      <c r="C4448" s="7">
        <v>5.3500000000000006E-3</v>
      </c>
      <c r="D4448" s="7">
        <v>5.3E-3</v>
      </c>
      <c r="E4448" s="7">
        <v>5.4600000000000004E-3</v>
      </c>
      <c r="F4448" s="7">
        <v>5.1200000000000004E-3</v>
      </c>
      <c r="G4448" s="7">
        <v>-2.01E-2</v>
      </c>
    </row>
    <row r="4449" spans="2:7" x14ac:dyDescent="0.2">
      <c r="B4449" s="60">
        <v>42153</v>
      </c>
      <c r="C4449" s="7">
        <v>4.8599999999999997E-3</v>
      </c>
      <c r="D4449" s="7">
        <v>5.0800000000000003E-3</v>
      </c>
      <c r="E4449" s="7">
        <v>5.2599999999999999E-3</v>
      </c>
      <c r="F4449" s="7">
        <v>4.8399999999999997E-3</v>
      </c>
      <c r="G4449" s="7">
        <v>-9.1600000000000001E-2</v>
      </c>
    </row>
    <row r="4450" spans="2:7" x14ac:dyDescent="0.2">
      <c r="B4450" s="60">
        <v>42154</v>
      </c>
      <c r="C4450" s="7">
        <v>4.8900000000000002E-3</v>
      </c>
      <c r="D4450" s="7">
        <v>4.8900000000000002E-3</v>
      </c>
      <c r="E4450" s="7">
        <v>4.8900000000000002E-3</v>
      </c>
      <c r="F4450" s="7">
        <v>4.8900000000000002E-3</v>
      </c>
      <c r="G4450" s="7">
        <v>6.1999999999999998E-3</v>
      </c>
    </row>
    <row r="4451" spans="2:7" x14ac:dyDescent="0.2">
      <c r="B4451" s="60">
        <v>42155</v>
      </c>
      <c r="C4451" s="7">
        <v>4.8900000000000002E-3</v>
      </c>
      <c r="D4451" s="7">
        <v>4.8900000000000002E-3</v>
      </c>
      <c r="E4451" s="7">
        <v>4.8900000000000002E-3</v>
      </c>
      <c r="F4451" s="7">
        <v>4.8900000000000002E-3</v>
      </c>
      <c r="G4451" s="7">
        <v>0</v>
      </c>
    </row>
    <row r="4452" spans="2:7" x14ac:dyDescent="0.2">
      <c r="B4452" s="60">
        <v>42156</v>
      </c>
      <c r="C4452" s="7">
        <v>5.3200000000000001E-3</v>
      </c>
      <c r="D4452" s="7">
        <v>4.9699999999999996E-3</v>
      </c>
      <c r="E4452" s="7">
        <v>5.3200000000000001E-3</v>
      </c>
      <c r="F4452" s="7">
        <v>4.7299999999999998E-3</v>
      </c>
      <c r="G4452" s="7">
        <v>8.7900000000000006E-2</v>
      </c>
    </row>
    <row r="4453" spans="2:7" x14ac:dyDescent="0.2">
      <c r="B4453" s="60">
        <v>42157</v>
      </c>
      <c r="C4453" s="7">
        <v>6.9899999999999997E-3</v>
      </c>
      <c r="D4453" s="7">
        <v>5.45E-3</v>
      </c>
      <c r="E4453" s="7">
        <v>7.0199999999999993E-3</v>
      </c>
      <c r="F4453" s="7">
        <v>5.45E-3</v>
      </c>
      <c r="G4453" s="7">
        <v>0.31390000000000001</v>
      </c>
    </row>
    <row r="4454" spans="2:7" x14ac:dyDescent="0.2">
      <c r="B4454" s="60">
        <v>42158</v>
      </c>
      <c r="C4454" s="7">
        <v>8.7600000000000004E-3</v>
      </c>
      <c r="D4454" s="7">
        <v>7.0699999999999999E-3</v>
      </c>
      <c r="E4454" s="7">
        <v>8.8699999999999994E-3</v>
      </c>
      <c r="F4454" s="7">
        <v>6.9699999999999996E-3</v>
      </c>
      <c r="G4454" s="7">
        <v>0.25319999999999998</v>
      </c>
    </row>
    <row r="4455" spans="2:7" x14ac:dyDescent="0.2">
      <c r="B4455" s="60">
        <v>42159</v>
      </c>
      <c r="C4455" s="7">
        <v>8.3199999999999993E-3</v>
      </c>
      <c r="D4455" s="7">
        <v>9.0299999999999998E-3</v>
      </c>
      <c r="E4455" s="7">
        <v>9.9799999999999993E-3</v>
      </c>
      <c r="F4455" s="7">
        <v>8.1300000000000001E-3</v>
      </c>
      <c r="G4455" s="7">
        <v>-5.0200000000000002E-2</v>
      </c>
    </row>
    <row r="4456" spans="2:7" x14ac:dyDescent="0.2">
      <c r="B4456" s="60">
        <v>42160</v>
      </c>
      <c r="C4456" s="7">
        <v>8.4899999999999993E-3</v>
      </c>
      <c r="D4456" s="7">
        <v>8.539999999999999E-3</v>
      </c>
      <c r="E4456" s="7">
        <v>9.1900000000000003E-3</v>
      </c>
      <c r="F4456" s="7">
        <v>8.2199999999999999E-3</v>
      </c>
      <c r="G4456" s="7">
        <v>2.0400000000000001E-2</v>
      </c>
    </row>
    <row r="4457" spans="2:7" x14ac:dyDescent="0.2">
      <c r="B4457" s="60">
        <v>42161</v>
      </c>
      <c r="C4457" s="7">
        <v>8.5100000000000002E-3</v>
      </c>
      <c r="D4457" s="7">
        <v>8.4799999999999997E-3</v>
      </c>
      <c r="E4457" s="7">
        <v>8.5100000000000002E-3</v>
      </c>
      <c r="F4457" s="7">
        <v>8.4799999999999997E-3</v>
      </c>
      <c r="G4457" s="7">
        <v>2.3999999999999998E-3</v>
      </c>
    </row>
    <row r="4458" spans="2:7" x14ac:dyDescent="0.2">
      <c r="B4458" s="60">
        <v>42162</v>
      </c>
      <c r="C4458" s="7">
        <v>8.5100000000000002E-3</v>
      </c>
      <c r="D4458" s="7">
        <v>8.5100000000000002E-3</v>
      </c>
      <c r="E4458" s="7">
        <v>8.5100000000000002E-3</v>
      </c>
      <c r="F4458" s="7">
        <v>8.5100000000000002E-3</v>
      </c>
      <c r="G4458" s="7">
        <v>0</v>
      </c>
    </row>
    <row r="4459" spans="2:7" x14ac:dyDescent="0.2">
      <c r="B4459" s="60">
        <v>42163</v>
      </c>
      <c r="C4459" s="7">
        <v>8.8999999999999999E-3</v>
      </c>
      <c r="D4459" s="7">
        <v>8.5299999999999994E-3</v>
      </c>
      <c r="E4459" s="7">
        <v>9.0200000000000002E-3</v>
      </c>
      <c r="F4459" s="7">
        <v>8.2100000000000003E-3</v>
      </c>
      <c r="G4459" s="7">
        <v>4.58E-2</v>
      </c>
    </row>
    <row r="4460" spans="2:7" x14ac:dyDescent="0.2">
      <c r="B4460" s="60">
        <v>42164</v>
      </c>
      <c r="C4460" s="7">
        <v>9.5399999999999999E-3</v>
      </c>
      <c r="D4460" s="7">
        <v>8.8000000000000005E-3</v>
      </c>
      <c r="E4460" s="7">
        <v>9.689999999999999E-3</v>
      </c>
      <c r="F4460" s="7">
        <v>8.5500000000000003E-3</v>
      </c>
      <c r="G4460" s="7">
        <v>7.1900000000000006E-2</v>
      </c>
    </row>
    <row r="4461" spans="2:7" x14ac:dyDescent="0.2">
      <c r="B4461" s="60">
        <v>42165</v>
      </c>
      <c r="C4461" s="7">
        <v>9.8999999999999991E-3</v>
      </c>
      <c r="D4461" s="7">
        <v>9.6200000000000001E-3</v>
      </c>
      <c r="E4461" s="7">
        <v>1.0589999999999999E-2</v>
      </c>
      <c r="F4461" s="7">
        <v>9.5099999999999994E-3</v>
      </c>
      <c r="G4461" s="7">
        <v>3.7699999999999997E-2</v>
      </c>
    </row>
    <row r="4462" spans="2:7" x14ac:dyDescent="0.2">
      <c r="B4462" s="60">
        <v>42166</v>
      </c>
      <c r="C4462" s="7">
        <v>8.9899999999999997E-3</v>
      </c>
      <c r="D4462" s="7">
        <v>9.9699999999999997E-3</v>
      </c>
      <c r="E4462" s="7">
        <v>1.035E-2</v>
      </c>
      <c r="F4462" s="7">
        <v>8.7500000000000008E-3</v>
      </c>
      <c r="G4462" s="7">
        <v>-9.1899999999999996E-2</v>
      </c>
    </row>
    <row r="4463" spans="2:7" x14ac:dyDescent="0.2">
      <c r="B4463" s="60">
        <v>42167</v>
      </c>
      <c r="C4463" s="7">
        <v>8.5199999999999998E-3</v>
      </c>
      <c r="D4463" s="7">
        <v>8.6800000000000002E-3</v>
      </c>
      <c r="E4463" s="7">
        <v>9.2399999999999999E-3</v>
      </c>
      <c r="F4463" s="7">
        <v>8.26E-3</v>
      </c>
      <c r="G4463" s="7">
        <v>-5.2299999999999999E-2</v>
      </c>
    </row>
    <row r="4464" spans="2:7" x14ac:dyDescent="0.2">
      <c r="B4464" s="60">
        <v>42170</v>
      </c>
      <c r="C4464" s="7">
        <v>8.2500000000000004E-3</v>
      </c>
      <c r="D4464" s="7">
        <v>8.1200000000000005E-3</v>
      </c>
      <c r="E4464" s="7">
        <v>8.4499999999999992E-3</v>
      </c>
      <c r="F4464" s="7">
        <v>7.8500000000000011E-3</v>
      </c>
      <c r="G4464" s="7">
        <v>-3.1699999999999999E-2</v>
      </c>
    </row>
    <row r="4465" spans="2:7" x14ac:dyDescent="0.2">
      <c r="B4465" s="60">
        <v>42171</v>
      </c>
      <c r="C4465" s="7">
        <v>8.0400000000000003E-3</v>
      </c>
      <c r="D4465" s="7">
        <v>8.1799999999999998E-3</v>
      </c>
      <c r="E4465" s="7">
        <v>8.26E-3</v>
      </c>
      <c r="F4465" s="7">
        <v>7.4999999999999997E-3</v>
      </c>
      <c r="G4465" s="7">
        <v>-2.5499999999999998E-2</v>
      </c>
    </row>
    <row r="4466" spans="2:7" x14ac:dyDescent="0.2">
      <c r="B4466" s="60">
        <v>42172</v>
      </c>
      <c r="C4466" s="7">
        <v>8.1399999999999997E-3</v>
      </c>
      <c r="D4466" s="7">
        <v>7.9699999999999997E-3</v>
      </c>
      <c r="E4466" s="7">
        <v>8.2199999999999999E-3</v>
      </c>
      <c r="F4466" s="7">
        <v>7.77E-3</v>
      </c>
      <c r="G4466" s="7">
        <v>1.24E-2</v>
      </c>
    </row>
    <row r="4467" spans="2:7" x14ac:dyDescent="0.2">
      <c r="B4467" s="60">
        <v>42173</v>
      </c>
      <c r="C4467" s="7">
        <v>8.0499999999999999E-3</v>
      </c>
      <c r="D4467" s="7">
        <v>7.6E-3</v>
      </c>
      <c r="E4467" s="7">
        <v>8.1499999999999993E-3</v>
      </c>
      <c r="F4467" s="7">
        <v>7.2699999999999996E-3</v>
      </c>
      <c r="G4467" s="7">
        <v>-1.11E-2</v>
      </c>
    </row>
    <row r="4468" spans="2:7" x14ac:dyDescent="0.2">
      <c r="B4468" s="60">
        <v>42174</v>
      </c>
      <c r="C4468" s="7">
        <v>7.62E-3</v>
      </c>
      <c r="D4468" s="7">
        <v>8.09E-3</v>
      </c>
      <c r="E4468" s="7">
        <v>8.09E-3</v>
      </c>
      <c r="F4468" s="7">
        <v>7.43E-3</v>
      </c>
      <c r="G4468" s="7">
        <v>-5.3400000000000003E-2</v>
      </c>
    </row>
    <row r="4469" spans="2:7" x14ac:dyDescent="0.2">
      <c r="B4469" s="60">
        <v>42177</v>
      </c>
      <c r="C4469" s="7">
        <v>8.8400000000000006E-3</v>
      </c>
      <c r="D4469" s="7">
        <v>7.9299999999999995E-3</v>
      </c>
      <c r="E4469" s="7">
        <v>8.9499999999999996E-3</v>
      </c>
      <c r="F4469" s="7">
        <v>7.9100000000000004E-3</v>
      </c>
      <c r="G4469" s="7">
        <v>0.16009999999999999</v>
      </c>
    </row>
    <row r="4470" spans="2:7" x14ac:dyDescent="0.2">
      <c r="B4470" s="60">
        <v>42178</v>
      </c>
      <c r="C4470" s="7">
        <v>8.6599999999999993E-3</v>
      </c>
      <c r="D4470" s="7">
        <v>9.0100000000000006E-3</v>
      </c>
      <c r="E4470" s="7">
        <v>9.2100000000000012E-3</v>
      </c>
      <c r="F4470" s="7">
        <v>8.5699999999999995E-3</v>
      </c>
      <c r="G4470" s="7">
        <v>-2.0400000000000001E-2</v>
      </c>
    </row>
    <row r="4471" spans="2:7" x14ac:dyDescent="0.2">
      <c r="B4471" s="60">
        <v>42179</v>
      </c>
      <c r="C4471" s="7">
        <v>8.4399999999999996E-3</v>
      </c>
      <c r="D4471" s="7">
        <v>8.77E-3</v>
      </c>
      <c r="E4471" s="7">
        <v>8.77E-3</v>
      </c>
      <c r="F4471" s="7">
        <v>8.0800000000000004E-3</v>
      </c>
      <c r="G4471" s="7">
        <v>-2.5399999999999999E-2</v>
      </c>
    </row>
    <row r="4472" spans="2:7" x14ac:dyDescent="0.2">
      <c r="B4472" s="60">
        <v>42180</v>
      </c>
      <c r="C4472" s="7">
        <v>8.6300000000000005E-3</v>
      </c>
      <c r="D4472" s="7">
        <v>8.2399999999999991E-3</v>
      </c>
      <c r="E4472" s="7">
        <v>8.8400000000000006E-3</v>
      </c>
      <c r="F4472" s="7">
        <v>8.1899999999999994E-3</v>
      </c>
      <c r="G4472" s="7">
        <v>2.2499999999999999E-2</v>
      </c>
    </row>
    <row r="4473" spans="2:7" x14ac:dyDescent="0.2">
      <c r="B4473" s="60">
        <v>42181</v>
      </c>
      <c r="C4473" s="7">
        <v>9.2200000000000008E-3</v>
      </c>
      <c r="D4473" s="7">
        <v>8.5299999999999994E-3</v>
      </c>
      <c r="E4473" s="7">
        <v>9.4399999999999987E-3</v>
      </c>
      <c r="F4473" s="7">
        <v>8.43E-3</v>
      </c>
      <c r="G4473" s="7">
        <v>6.8400000000000002E-2</v>
      </c>
    </row>
    <row r="4474" spans="2:7" x14ac:dyDescent="0.2">
      <c r="B4474" s="60">
        <v>42182</v>
      </c>
      <c r="C4474" s="7">
        <v>9.2500000000000013E-3</v>
      </c>
      <c r="D4474" s="7">
        <v>9.2500000000000013E-3</v>
      </c>
      <c r="E4474" s="7">
        <v>9.2500000000000013E-3</v>
      </c>
      <c r="F4474" s="7">
        <v>9.2500000000000013E-3</v>
      </c>
      <c r="G4474" s="7">
        <v>3.3E-3</v>
      </c>
    </row>
    <row r="4475" spans="2:7" x14ac:dyDescent="0.2">
      <c r="B4475" s="60">
        <v>42184</v>
      </c>
      <c r="C4475" s="7">
        <v>8.0200000000000011E-3</v>
      </c>
      <c r="D4475" s="7">
        <v>9.1700000000000011E-3</v>
      </c>
      <c r="E4475" s="7">
        <v>9.1700000000000011E-3</v>
      </c>
      <c r="F4475" s="7">
        <v>7.0699999999999999E-3</v>
      </c>
      <c r="G4475" s="7">
        <v>-0.13300000000000001</v>
      </c>
    </row>
    <row r="4476" spans="2:7" x14ac:dyDescent="0.2">
      <c r="B4476" s="60">
        <v>42185</v>
      </c>
      <c r="C4476" s="7">
        <v>7.7000000000000002E-3</v>
      </c>
      <c r="D4476" s="7">
        <v>7.5599999999999999E-3</v>
      </c>
      <c r="E4476" s="7">
        <v>8.1399999999999997E-3</v>
      </c>
      <c r="F4476" s="7">
        <v>7.4199999999999995E-3</v>
      </c>
      <c r="G4476" s="7">
        <v>-3.9899999999999998E-2</v>
      </c>
    </row>
    <row r="4477" spans="2:7" x14ac:dyDescent="0.2">
      <c r="B4477" s="60">
        <v>42186</v>
      </c>
      <c r="C4477" s="7">
        <v>8.2399999999999991E-3</v>
      </c>
      <c r="D4477" s="7">
        <v>7.7400000000000004E-3</v>
      </c>
      <c r="E4477" s="7">
        <v>8.4399999999999996E-3</v>
      </c>
      <c r="F4477" s="7">
        <v>7.5700000000000003E-3</v>
      </c>
      <c r="G4477" s="7">
        <v>7.0099999999999996E-2</v>
      </c>
    </row>
    <row r="4478" spans="2:7" x14ac:dyDescent="0.2">
      <c r="B4478" s="60">
        <v>42187</v>
      </c>
      <c r="C4478" s="7">
        <v>8.4700000000000001E-3</v>
      </c>
      <c r="D4478" s="7">
        <v>8.4399999999999996E-3</v>
      </c>
      <c r="E4478" s="7">
        <v>9.0299999999999998E-3</v>
      </c>
      <c r="F4478" s="7">
        <v>8.3999999999999995E-3</v>
      </c>
      <c r="G4478" s="7">
        <v>2.7900000000000001E-2</v>
      </c>
    </row>
    <row r="4479" spans="2:7" x14ac:dyDescent="0.2">
      <c r="B4479" s="60">
        <v>42188</v>
      </c>
      <c r="C4479" s="7">
        <v>7.9400000000000009E-3</v>
      </c>
      <c r="D4479" s="7">
        <v>8.5799999999999991E-3</v>
      </c>
      <c r="E4479" s="7">
        <v>8.5900000000000004E-3</v>
      </c>
      <c r="F4479" s="7">
        <v>7.8399999999999997E-3</v>
      </c>
      <c r="G4479" s="7">
        <v>-6.2600000000000003E-2</v>
      </c>
    </row>
    <row r="4480" spans="2:7" x14ac:dyDescent="0.2">
      <c r="B4480" s="60">
        <v>42191</v>
      </c>
      <c r="C4480" s="7">
        <v>7.7099999999999998E-3</v>
      </c>
      <c r="D4480" s="7">
        <v>7.2499999999999995E-3</v>
      </c>
      <c r="E4480" s="7">
        <v>7.8200000000000006E-3</v>
      </c>
      <c r="F4480" s="7">
        <v>7.1799999999999998E-3</v>
      </c>
      <c r="G4480" s="7">
        <v>-2.9000000000000001E-2</v>
      </c>
    </row>
    <row r="4481" spans="2:7" x14ac:dyDescent="0.2">
      <c r="B4481" s="60">
        <v>42192</v>
      </c>
      <c r="C4481" s="7">
        <v>6.3699999999999998E-3</v>
      </c>
      <c r="D4481" s="7">
        <v>7.4099999999999999E-3</v>
      </c>
      <c r="E4481" s="7">
        <v>7.6500000000000005E-3</v>
      </c>
      <c r="F4481" s="7">
        <v>6.2399999999999999E-3</v>
      </c>
      <c r="G4481" s="7">
        <v>-0.17380000000000001</v>
      </c>
    </row>
    <row r="4482" spans="2:7" x14ac:dyDescent="0.2">
      <c r="B4482" s="60">
        <v>42193</v>
      </c>
      <c r="C4482" s="7">
        <v>6.8400000000000006E-3</v>
      </c>
      <c r="D4482" s="7">
        <v>6.4700000000000001E-3</v>
      </c>
      <c r="E4482" s="7">
        <v>6.9499999999999996E-3</v>
      </c>
      <c r="F4482" s="7">
        <v>6.0799999999999995E-3</v>
      </c>
      <c r="G4482" s="7">
        <v>7.3800000000000004E-2</v>
      </c>
    </row>
    <row r="4483" spans="2:7" x14ac:dyDescent="0.2">
      <c r="B4483" s="60">
        <v>42194</v>
      </c>
      <c r="C4483" s="7">
        <v>7.3000000000000001E-3</v>
      </c>
      <c r="D4483" s="7">
        <v>6.9599999999999992E-3</v>
      </c>
      <c r="E4483" s="7">
        <v>7.3699999999999998E-3</v>
      </c>
      <c r="F4483" s="7">
        <v>6.7200000000000003E-3</v>
      </c>
      <c r="G4483" s="7">
        <v>6.7299999999999999E-2</v>
      </c>
    </row>
    <row r="4484" spans="2:7" x14ac:dyDescent="0.2">
      <c r="B4484" s="60">
        <v>42195</v>
      </c>
      <c r="C4484" s="7">
        <v>8.9600000000000009E-3</v>
      </c>
      <c r="D4484" s="7">
        <v>8.1599999999999989E-3</v>
      </c>
      <c r="E4484" s="7">
        <v>8.9899999999999997E-3</v>
      </c>
      <c r="F4484" s="7">
        <v>7.9600000000000001E-3</v>
      </c>
      <c r="G4484" s="7">
        <v>0.22739999999999999</v>
      </c>
    </row>
    <row r="4485" spans="2:7" x14ac:dyDescent="0.2">
      <c r="B4485" s="60">
        <v>42198</v>
      </c>
      <c r="C4485" s="7">
        <v>8.4799999999999997E-3</v>
      </c>
      <c r="D4485" s="7">
        <v>8.6999999999999994E-3</v>
      </c>
      <c r="E4485" s="7">
        <v>9.7099999999999999E-3</v>
      </c>
      <c r="F4485" s="7">
        <v>8.4399999999999996E-3</v>
      </c>
      <c r="G4485" s="7">
        <v>-5.3600000000000002E-2</v>
      </c>
    </row>
    <row r="4486" spans="2:7" x14ac:dyDescent="0.2">
      <c r="B4486" s="60">
        <v>42199</v>
      </c>
      <c r="C4486" s="7">
        <v>8.43E-3</v>
      </c>
      <c r="D4486" s="7">
        <v>8.5900000000000004E-3</v>
      </c>
      <c r="E4486" s="7">
        <v>8.77E-3</v>
      </c>
      <c r="F4486" s="7">
        <v>8.1000000000000013E-3</v>
      </c>
      <c r="G4486" s="7">
        <v>-5.8999999999999999E-3</v>
      </c>
    </row>
    <row r="4487" spans="2:7" x14ac:dyDescent="0.2">
      <c r="B4487" s="60">
        <v>42200</v>
      </c>
      <c r="C4487" s="7">
        <v>7.7299999999999999E-3</v>
      </c>
      <c r="D4487" s="7">
        <v>8.3999999999999995E-3</v>
      </c>
      <c r="E4487" s="7">
        <v>8.4700000000000001E-3</v>
      </c>
      <c r="F4487" s="7">
        <v>7.7000000000000002E-3</v>
      </c>
      <c r="G4487" s="7">
        <v>-8.3000000000000004E-2</v>
      </c>
    </row>
    <row r="4488" spans="2:7" x14ac:dyDescent="0.2">
      <c r="B4488" s="60">
        <v>42201</v>
      </c>
      <c r="C4488" s="7">
        <v>7.92E-3</v>
      </c>
      <c r="D4488" s="7">
        <v>7.6800000000000002E-3</v>
      </c>
      <c r="E4488" s="7">
        <v>8.2399999999999991E-3</v>
      </c>
      <c r="F4488" s="7">
        <v>7.5100000000000002E-3</v>
      </c>
      <c r="G4488" s="7">
        <v>2.46E-2</v>
      </c>
    </row>
    <row r="4489" spans="2:7" x14ac:dyDescent="0.2">
      <c r="B4489" s="60">
        <v>42202</v>
      </c>
      <c r="C4489" s="7">
        <v>7.9000000000000008E-3</v>
      </c>
      <c r="D4489" s="7">
        <v>8.3099999999999997E-3</v>
      </c>
      <c r="E4489" s="7">
        <v>8.3199999999999993E-3</v>
      </c>
      <c r="F4489" s="7">
        <v>7.8600000000000007E-3</v>
      </c>
      <c r="G4489" s="7">
        <v>-2.5000000000000001E-3</v>
      </c>
    </row>
    <row r="4490" spans="2:7" x14ac:dyDescent="0.2">
      <c r="B4490" s="60">
        <v>42203</v>
      </c>
      <c r="C4490" s="7">
        <v>7.9699999999999997E-3</v>
      </c>
      <c r="D4490" s="7">
        <v>7.9699999999999997E-3</v>
      </c>
      <c r="E4490" s="7">
        <v>7.9699999999999997E-3</v>
      </c>
      <c r="F4490" s="7">
        <v>7.9699999999999997E-3</v>
      </c>
      <c r="G4490" s="7">
        <v>8.8999999999999999E-3</v>
      </c>
    </row>
    <row r="4491" spans="2:7" x14ac:dyDescent="0.2">
      <c r="B4491" s="60">
        <v>42205</v>
      </c>
      <c r="C4491" s="7">
        <v>7.6600000000000001E-3</v>
      </c>
      <c r="D4491" s="7">
        <v>7.9400000000000009E-3</v>
      </c>
      <c r="E4491" s="7">
        <v>8.1300000000000001E-3</v>
      </c>
      <c r="F4491" s="7">
        <v>7.3800000000000003E-3</v>
      </c>
      <c r="G4491" s="7">
        <v>-3.8899999999999997E-2</v>
      </c>
    </row>
    <row r="4492" spans="2:7" x14ac:dyDescent="0.2">
      <c r="B4492" s="60">
        <v>42206</v>
      </c>
      <c r="C4492" s="7">
        <v>7.79E-3</v>
      </c>
      <c r="D4492" s="7">
        <v>7.6500000000000005E-3</v>
      </c>
      <c r="E4492" s="7">
        <v>7.980000000000001E-3</v>
      </c>
      <c r="F4492" s="7">
        <v>7.3299999999999997E-3</v>
      </c>
      <c r="G4492" s="7">
        <v>1.7000000000000001E-2</v>
      </c>
    </row>
    <row r="4493" spans="2:7" x14ac:dyDescent="0.2">
      <c r="B4493" s="60">
        <v>42207</v>
      </c>
      <c r="C4493" s="7">
        <v>7.4700000000000001E-3</v>
      </c>
      <c r="D4493" s="7">
        <v>7.6300000000000005E-3</v>
      </c>
      <c r="E4493" s="7">
        <v>7.8500000000000011E-3</v>
      </c>
      <c r="F4493" s="7">
        <v>7.3800000000000003E-3</v>
      </c>
      <c r="G4493" s="7">
        <v>-4.1099999999999998E-2</v>
      </c>
    </row>
    <row r="4494" spans="2:7" x14ac:dyDescent="0.2">
      <c r="B4494" s="60">
        <v>42208</v>
      </c>
      <c r="C4494" s="7">
        <v>7.4599999999999996E-3</v>
      </c>
      <c r="D4494" s="7">
        <v>7.5100000000000002E-3</v>
      </c>
      <c r="E4494" s="7">
        <v>7.6100000000000004E-3</v>
      </c>
      <c r="F4494" s="7">
        <v>7.26E-3</v>
      </c>
      <c r="G4494" s="7">
        <v>-1.2999999999999999E-3</v>
      </c>
    </row>
    <row r="4495" spans="2:7" x14ac:dyDescent="0.2">
      <c r="B4495" s="60">
        <v>42209</v>
      </c>
      <c r="C4495" s="7">
        <v>6.9999999999999993E-3</v>
      </c>
      <c r="D4495" s="7">
        <v>7.3099999999999997E-3</v>
      </c>
      <c r="E4495" s="7">
        <v>7.3600000000000002E-3</v>
      </c>
      <c r="F4495" s="7">
        <v>6.9299999999999995E-3</v>
      </c>
      <c r="G4495" s="7">
        <v>-6.1699999999999998E-2</v>
      </c>
    </row>
    <row r="4496" spans="2:7" x14ac:dyDescent="0.2">
      <c r="B4496" s="60">
        <v>42212</v>
      </c>
      <c r="C4496" s="7">
        <v>6.9499999999999996E-3</v>
      </c>
      <c r="D4496" s="7">
        <v>6.9399999999999991E-3</v>
      </c>
      <c r="E4496" s="7">
        <v>7.0499999999999998E-3</v>
      </c>
      <c r="F4496" s="7">
        <v>6.6500000000000005E-3</v>
      </c>
      <c r="G4496" s="7">
        <v>-7.1000000000000004E-3</v>
      </c>
    </row>
    <row r="4497" spans="2:7" x14ac:dyDescent="0.2">
      <c r="B4497" s="60">
        <v>42213</v>
      </c>
      <c r="C4497" s="7">
        <v>6.9199999999999991E-3</v>
      </c>
      <c r="D4497" s="7">
        <v>6.9199999999999991E-3</v>
      </c>
      <c r="E4497" s="7">
        <v>7.3699999999999998E-3</v>
      </c>
      <c r="F4497" s="7">
        <v>6.8799999999999998E-3</v>
      </c>
      <c r="G4497" s="7">
        <v>-4.3E-3</v>
      </c>
    </row>
    <row r="4498" spans="2:7" x14ac:dyDescent="0.2">
      <c r="B4498" s="60">
        <v>42214</v>
      </c>
      <c r="C4498" s="7">
        <v>7.1300000000000001E-3</v>
      </c>
      <c r="D4498" s="7">
        <v>6.9699999999999996E-3</v>
      </c>
      <c r="E4498" s="7">
        <v>7.3099999999999997E-3</v>
      </c>
      <c r="F4498" s="7">
        <v>6.8799999999999998E-3</v>
      </c>
      <c r="G4498" s="7">
        <v>3.0300000000000001E-2</v>
      </c>
    </row>
    <row r="4499" spans="2:7" x14ac:dyDescent="0.2">
      <c r="B4499" s="60">
        <v>42215</v>
      </c>
      <c r="C4499" s="7">
        <v>6.5500000000000003E-3</v>
      </c>
      <c r="D4499" s="7">
        <v>7.1899999999999993E-3</v>
      </c>
      <c r="E4499" s="7">
        <v>7.3299999999999997E-3</v>
      </c>
      <c r="F4499" s="7">
        <v>6.5200000000000006E-3</v>
      </c>
      <c r="G4499" s="7">
        <v>-8.1299999999999997E-2</v>
      </c>
    </row>
    <row r="4500" spans="2:7" x14ac:dyDescent="0.2">
      <c r="B4500" s="60">
        <v>42216</v>
      </c>
      <c r="C4500" s="7">
        <v>6.4800000000000005E-3</v>
      </c>
      <c r="D4500" s="7">
        <v>6.5300000000000002E-3</v>
      </c>
      <c r="E4500" s="7">
        <v>7.0699999999999999E-3</v>
      </c>
      <c r="F4500" s="7">
        <v>6.43E-3</v>
      </c>
      <c r="G4500" s="7">
        <v>-1.0699999999999999E-2</v>
      </c>
    </row>
    <row r="4501" spans="2:7" x14ac:dyDescent="0.2">
      <c r="B4501" s="60">
        <v>42219</v>
      </c>
      <c r="C4501" s="7">
        <v>6.3400000000000001E-3</v>
      </c>
      <c r="D4501" s="7">
        <v>6.5400000000000007E-3</v>
      </c>
      <c r="E4501" s="7">
        <v>6.7500000000000008E-3</v>
      </c>
      <c r="F4501" s="7">
        <v>6.2700000000000004E-3</v>
      </c>
      <c r="G4501" s="7">
        <v>-2.1600000000000001E-2</v>
      </c>
    </row>
    <row r="4502" spans="2:7" x14ac:dyDescent="0.2">
      <c r="B4502" s="60">
        <v>42220</v>
      </c>
      <c r="C4502" s="7">
        <v>6.3600000000000002E-3</v>
      </c>
      <c r="D4502" s="7">
        <v>6.3200000000000001E-3</v>
      </c>
      <c r="E4502" s="7">
        <v>6.5200000000000006E-3</v>
      </c>
      <c r="F4502" s="7">
        <v>5.9699999999999996E-3</v>
      </c>
      <c r="G4502" s="7">
        <v>3.2000000000000002E-3</v>
      </c>
    </row>
    <row r="4503" spans="2:7" x14ac:dyDescent="0.2">
      <c r="B4503" s="60">
        <v>42221</v>
      </c>
      <c r="C4503" s="7">
        <v>7.5199999999999998E-3</v>
      </c>
      <c r="D4503" s="7">
        <v>6.6700000000000006E-3</v>
      </c>
      <c r="E4503" s="7">
        <v>7.6E-3</v>
      </c>
      <c r="F4503" s="7">
        <v>6.5200000000000006E-3</v>
      </c>
      <c r="G4503" s="7">
        <v>0.18240000000000001</v>
      </c>
    </row>
    <row r="4504" spans="2:7" x14ac:dyDescent="0.2">
      <c r="B4504" s="60">
        <v>42222</v>
      </c>
      <c r="C4504" s="7">
        <v>7.0699999999999999E-3</v>
      </c>
      <c r="D4504" s="7">
        <v>7.4700000000000001E-3</v>
      </c>
      <c r="E4504" s="7">
        <v>7.5199999999999998E-3</v>
      </c>
      <c r="F4504" s="7">
        <v>7.0299999999999998E-3</v>
      </c>
      <c r="G4504" s="7">
        <v>-5.9799999999999999E-2</v>
      </c>
    </row>
    <row r="4505" spans="2:7" x14ac:dyDescent="0.2">
      <c r="B4505" s="60">
        <v>42223</v>
      </c>
      <c r="C4505" s="7">
        <v>6.5799999999999999E-3</v>
      </c>
      <c r="D4505" s="7">
        <v>7.1300000000000001E-3</v>
      </c>
      <c r="E4505" s="7">
        <v>7.28E-3</v>
      </c>
      <c r="F4505" s="7">
        <v>6.5500000000000003E-3</v>
      </c>
      <c r="G4505" s="7">
        <v>-6.93E-2</v>
      </c>
    </row>
    <row r="4506" spans="2:7" x14ac:dyDescent="0.2">
      <c r="B4506" s="60">
        <v>42226</v>
      </c>
      <c r="C4506" s="7">
        <v>6.9799999999999992E-3</v>
      </c>
      <c r="D4506" s="7">
        <v>6.6100000000000004E-3</v>
      </c>
      <c r="E4506" s="7">
        <v>7.0799999999999995E-3</v>
      </c>
      <c r="F4506" s="7">
        <v>6.6100000000000004E-3</v>
      </c>
      <c r="G4506" s="7">
        <v>6.08E-2</v>
      </c>
    </row>
    <row r="4507" spans="2:7" x14ac:dyDescent="0.2">
      <c r="B4507" s="60">
        <v>42227</v>
      </c>
      <c r="C4507" s="7">
        <v>6.2900000000000005E-3</v>
      </c>
      <c r="D4507" s="7">
        <v>6.7400000000000003E-3</v>
      </c>
      <c r="E4507" s="7">
        <v>6.7900000000000009E-3</v>
      </c>
      <c r="F4507" s="7">
        <v>6.2700000000000004E-3</v>
      </c>
      <c r="G4507" s="7">
        <v>-9.8900000000000002E-2</v>
      </c>
    </row>
    <row r="4508" spans="2:7" x14ac:dyDescent="0.2">
      <c r="B4508" s="60">
        <v>42228</v>
      </c>
      <c r="C4508" s="7">
        <v>6.0499999999999998E-3</v>
      </c>
      <c r="D4508" s="7">
        <v>6.0400000000000002E-3</v>
      </c>
      <c r="E4508" s="7">
        <v>6.4099999999999999E-3</v>
      </c>
      <c r="F4508" s="7">
        <v>5.8599999999999998E-3</v>
      </c>
      <c r="G4508" s="7">
        <v>-3.8199999999999998E-2</v>
      </c>
    </row>
    <row r="4509" spans="2:7" x14ac:dyDescent="0.2">
      <c r="B4509" s="60">
        <v>42229</v>
      </c>
      <c r="C4509" s="7">
        <v>6.3299999999999997E-3</v>
      </c>
      <c r="D4509" s="7">
        <v>6.3699999999999998E-3</v>
      </c>
      <c r="E4509" s="7">
        <v>6.6100000000000004E-3</v>
      </c>
      <c r="F4509" s="7">
        <v>6.1500000000000001E-3</v>
      </c>
      <c r="G4509" s="7">
        <v>4.6300000000000001E-2</v>
      </c>
    </row>
    <row r="4510" spans="2:7" x14ac:dyDescent="0.2">
      <c r="B4510" s="60">
        <v>42230</v>
      </c>
      <c r="C4510" s="7">
        <v>6.5700000000000003E-3</v>
      </c>
      <c r="D4510" s="7">
        <v>6.3099999999999996E-3</v>
      </c>
      <c r="E4510" s="7">
        <v>6.6300000000000005E-3</v>
      </c>
      <c r="F4510" s="7">
        <v>6.1500000000000001E-3</v>
      </c>
      <c r="G4510" s="7">
        <v>3.7900000000000003E-2</v>
      </c>
    </row>
    <row r="4511" spans="2:7" x14ac:dyDescent="0.2">
      <c r="B4511" s="60">
        <v>42233</v>
      </c>
      <c r="C4511" s="7">
        <v>6.3099999999999996E-3</v>
      </c>
      <c r="D4511" s="7">
        <v>6.4700000000000001E-3</v>
      </c>
      <c r="E4511" s="7">
        <v>6.6300000000000005E-3</v>
      </c>
      <c r="F4511" s="7">
        <v>6.1999999999999998E-3</v>
      </c>
      <c r="G4511" s="7">
        <v>-3.9600000000000003E-2</v>
      </c>
    </row>
    <row r="4512" spans="2:7" x14ac:dyDescent="0.2">
      <c r="B4512" s="60">
        <v>42234</v>
      </c>
      <c r="C4512" s="7">
        <v>6.4000000000000003E-3</v>
      </c>
      <c r="D4512" s="7">
        <v>6.3E-3</v>
      </c>
      <c r="E4512" s="7">
        <v>6.62E-3</v>
      </c>
      <c r="F4512" s="7">
        <v>6.0599999999999994E-3</v>
      </c>
      <c r="G4512" s="7">
        <v>1.43E-2</v>
      </c>
    </row>
    <row r="4513" spans="2:7" x14ac:dyDescent="0.2">
      <c r="B4513" s="60">
        <v>42235</v>
      </c>
      <c r="C4513" s="7">
        <v>6.3299999999999997E-3</v>
      </c>
      <c r="D4513" s="7">
        <v>6.3899999999999998E-3</v>
      </c>
      <c r="E4513" s="7">
        <v>6.6500000000000005E-3</v>
      </c>
      <c r="F4513" s="7">
        <v>6.2599999999999999E-3</v>
      </c>
      <c r="G4513" s="7">
        <v>-1.09E-2</v>
      </c>
    </row>
    <row r="4514" spans="2:7" x14ac:dyDescent="0.2">
      <c r="B4514" s="60">
        <v>42236</v>
      </c>
      <c r="C4514" s="7">
        <v>5.8499999999999993E-3</v>
      </c>
      <c r="D4514" s="7">
        <v>5.9299999999999995E-3</v>
      </c>
      <c r="E4514" s="7">
        <v>6.1199999999999996E-3</v>
      </c>
      <c r="F4514" s="7">
        <v>5.7199999999999994E-3</v>
      </c>
      <c r="G4514" s="7">
        <v>-7.5800000000000006E-2</v>
      </c>
    </row>
    <row r="4515" spans="2:7" x14ac:dyDescent="0.2">
      <c r="B4515" s="60">
        <v>42237</v>
      </c>
      <c r="C4515" s="7">
        <v>5.7199999999999994E-3</v>
      </c>
      <c r="D4515" s="7">
        <v>5.6499999999999996E-3</v>
      </c>
      <c r="E4515" s="7">
        <v>6.0099999999999997E-3</v>
      </c>
      <c r="F4515" s="7">
        <v>5.6000000000000008E-3</v>
      </c>
      <c r="G4515" s="7">
        <v>-2.2200000000000001E-2</v>
      </c>
    </row>
    <row r="4516" spans="2:7" x14ac:dyDescent="0.2">
      <c r="B4516" s="60">
        <v>42240</v>
      </c>
      <c r="C4516" s="7">
        <v>5.7599999999999995E-3</v>
      </c>
      <c r="D4516" s="7">
        <v>5.5700000000000003E-3</v>
      </c>
      <c r="E4516" s="7">
        <v>5.8299999999999992E-3</v>
      </c>
      <c r="F4516" s="7">
        <v>5.1200000000000004E-3</v>
      </c>
      <c r="G4516" s="7">
        <v>7.0000000000000001E-3</v>
      </c>
    </row>
    <row r="4517" spans="2:7" x14ac:dyDescent="0.2">
      <c r="B4517" s="60">
        <v>42241</v>
      </c>
      <c r="C4517" s="7">
        <v>7.5300000000000002E-3</v>
      </c>
      <c r="D4517" s="7">
        <v>6.0599999999999994E-3</v>
      </c>
      <c r="E4517" s="7">
        <v>7.6100000000000004E-3</v>
      </c>
      <c r="F4517" s="7">
        <v>5.9299999999999995E-3</v>
      </c>
      <c r="G4517" s="7">
        <v>0.30730000000000002</v>
      </c>
    </row>
    <row r="4518" spans="2:7" x14ac:dyDescent="0.2">
      <c r="B4518" s="60">
        <v>42242</v>
      </c>
      <c r="C4518" s="7">
        <v>7.0799999999999995E-3</v>
      </c>
      <c r="D4518" s="7">
        <v>7.3499999999999998E-3</v>
      </c>
      <c r="E4518" s="7">
        <v>7.4900000000000001E-3</v>
      </c>
      <c r="F4518" s="7">
        <v>6.7000000000000002E-3</v>
      </c>
      <c r="G4518" s="7">
        <v>-5.9799999999999999E-2</v>
      </c>
    </row>
    <row r="4519" spans="2:7" x14ac:dyDescent="0.2">
      <c r="B4519" s="60">
        <v>42243</v>
      </c>
      <c r="C4519" s="7">
        <v>7.4199999999999995E-3</v>
      </c>
      <c r="D4519" s="7">
        <v>7.2399999999999999E-3</v>
      </c>
      <c r="E4519" s="7">
        <v>7.4799999999999997E-3</v>
      </c>
      <c r="F4519" s="7">
        <v>7.0299999999999998E-3</v>
      </c>
      <c r="G4519" s="7">
        <v>4.8000000000000001E-2</v>
      </c>
    </row>
    <row r="4520" spans="2:7" x14ac:dyDescent="0.2">
      <c r="B4520" s="60">
        <v>42244</v>
      </c>
      <c r="C4520" s="7">
        <v>7.26E-3</v>
      </c>
      <c r="D4520" s="7">
        <v>7.3499999999999998E-3</v>
      </c>
      <c r="E4520" s="7">
        <v>7.3899999999999999E-3</v>
      </c>
      <c r="F4520" s="7">
        <v>6.8799999999999998E-3</v>
      </c>
      <c r="G4520" s="7">
        <v>-2.1600000000000001E-2</v>
      </c>
    </row>
    <row r="4521" spans="2:7" x14ac:dyDescent="0.2">
      <c r="B4521" s="60">
        <v>42247</v>
      </c>
      <c r="C4521" s="7">
        <v>7.9500000000000005E-3</v>
      </c>
      <c r="D4521" s="7">
        <v>7.3899999999999999E-3</v>
      </c>
      <c r="E4521" s="7">
        <v>8.0400000000000003E-3</v>
      </c>
      <c r="F4521" s="7">
        <v>7.1699999999999993E-3</v>
      </c>
      <c r="G4521" s="7">
        <v>9.5000000000000001E-2</v>
      </c>
    </row>
    <row r="4522" spans="2:7" x14ac:dyDescent="0.2">
      <c r="B4522" s="60">
        <v>42248</v>
      </c>
      <c r="C4522" s="7">
        <v>8.0499999999999999E-3</v>
      </c>
      <c r="D4522" s="7">
        <v>7.9100000000000004E-3</v>
      </c>
      <c r="E4522" s="7">
        <v>8.2199999999999999E-3</v>
      </c>
      <c r="F4522" s="7">
        <v>7.6699999999999997E-3</v>
      </c>
      <c r="G4522" s="7">
        <v>1.26E-2</v>
      </c>
    </row>
    <row r="4523" spans="2:7" x14ac:dyDescent="0.2">
      <c r="B4523" s="60">
        <v>42249</v>
      </c>
      <c r="C4523" s="7">
        <v>7.9500000000000005E-3</v>
      </c>
      <c r="D4523" s="7">
        <v>7.980000000000001E-3</v>
      </c>
      <c r="E4523" s="7">
        <v>8.1599999999999989E-3</v>
      </c>
      <c r="F4523" s="7">
        <v>7.6899999999999998E-3</v>
      </c>
      <c r="G4523" s="7">
        <v>-1.24E-2</v>
      </c>
    </row>
    <row r="4524" spans="2:7" x14ac:dyDescent="0.2">
      <c r="B4524" s="60">
        <v>42250</v>
      </c>
      <c r="C4524" s="7">
        <v>7.3099999999999997E-3</v>
      </c>
      <c r="D4524" s="7">
        <v>7.92E-3</v>
      </c>
      <c r="E4524" s="7">
        <v>8.0099999999999998E-3</v>
      </c>
      <c r="F4524" s="7">
        <v>7.28E-3</v>
      </c>
      <c r="G4524" s="7">
        <v>-8.0500000000000002E-2</v>
      </c>
    </row>
    <row r="4525" spans="2:7" x14ac:dyDescent="0.2">
      <c r="B4525" s="60">
        <v>42251</v>
      </c>
      <c r="C4525" s="7">
        <v>6.6400000000000001E-3</v>
      </c>
      <c r="D4525" s="7">
        <v>7.0199999999999993E-3</v>
      </c>
      <c r="E4525" s="7">
        <v>7.1699999999999993E-3</v>
      </c>
      <c r="F4525" s="7">
        <v>6.62E-3</v>
      </c>
      <c r="G4525" s="7">
        <v>-9.1700000000000004E-2</v>
      </c>
    </row>
    <row r="4526" spans="2:7" x14ac:dyDescent="0.2">
      <c r="B4526" s="60">
        <v>42254</v>
      </c>
      <c r="C4526" s="7">
        <v>6.7500000000000008E-3</v>
      </c>
      <c r="D4526" s="7">
        <v>6.6900000000000006E-3</v>
      </c>
      <c r="E4526" s="7">
        <v>6.8899999999999994E-3</v>
      </c>
      <c r="F4526" s="7">
        <v>6.4900000000000001E-3</v>
      </c>
      <c r="G4526" s="7">
        <v>1.66E-2</v>
      </c>
    </row>
    <row r="4527" spans="2:7" x14ac:dyDescent="0.2">
      <c r="B4527" s="60">
        <v>42255</v>
      </c>
      <c r="C4527" s="7">
        <v>6.8100000000000001E-3</v>
      </c>
      <c r="D4527" s="7">
        <v>6.6900000000000006E-3</v>
      </c>
      <c r="E4527" s="7">
        <v>6.9699999999999996E-3</v>
      </c>
      <c r="F4527" s="7">
        <v>6.6E-3</v>
      </c>
      <c r="G4527" s="7">
        <v>8.8999999999999999E-3</v>
      </c>
    </row>
    <row r="4528" spans="2:7" x14ac:dyDescent="0.2">
      <c r="B4528" s="60">
        <v>42256</v>
      </c>
      <c r="C4528" s="7">
        <v>7.0299999999999998E-3</v>
      </c>
      <c r="D4528" s="7">
        <v>6.9999999999999993E-3</v>
      </c>
      <c r="E4528" s="7">
        <v>7.2199999999999999E-3</v>
      </c>
      <c r="F4528" s="7">
        <v>6.8300000000000001E-3</v>
      </c>
      <c r="G4528" s="7">
        <v>3.2300000000000002E-2</v>
      </c>
    </row>
    <row r="4529" spans="2:7" x14ac:dyDescent="0.2">
      <c r="B4529" s="60">
        <v>42257</v>
      </c>
      <c r="C4529" s="7">
        <v>6.9299999999999995E-3</v>
      </c>
      <c r="D4529" s="7">
        <v>6.8100000000000001E-3</v>
      </c>
      <c r="E4529" s="7">
        <v>7.0699999999999999E-3</v>
      </c>
      <c r="F4529" s="7">
        <v>6.6300000000000005E-3</v>
      </c>
      <c r="G4529" s="7">
        <v>-1.4200000000000001E-2</v>
      </c>
    </row>
    <row r="4530" spans="2:7" x14ac:dyDescent="0.2">
      <c r="B4530" s="60">
        <v>42258</v>
      </c>
      <c r="C4530" s="7">
        <v>6.5799999999999999E-3</v>
      </c>
      <c r="D4530" s="7">
        <v>6.9099999999999995E-3</v>
      </c>
      <c r="E4530" s="7">
        <v>6.9399999999999991E-3</v>
      </c>
      <c r="F4530" s="7">
        <v>6.5000000000000006E-3</v>
      </c>
      <c r="G4530" s="7">
        <v>-5.0500000000000003E-2</v>
      </c>
    </row>
    <row r="4531" spans="2:7" x14ac:dyDescent="0.2">
      <c r="B4531" s="60">
        <v>42261</v>
      </c>
      <c r="C4531" s="7">
        <v>6.6E-3</v>
      </c>
      <c r="D4531" s="7">
        <v>6.5500000000000003E-3</v>
      </c>
      <c r="E4531" s="7">
        <v>6.7400000000000003E-3</v>
      </c>
      <c r="F4531" s="7">
        <v>6.3499999999999997E-3</v>
      </c>
      <c r="G4531" s="7">
        <v>3.0000000000000001E-3</v>
      </c>
    </row>
    <row r="4532" spans="2:7" x14ac:dyDescent="0.2">
      <c r="B4532" s="60">
        <v>42262</v>
      </c>
      <c r="C4532" s="7">
        <v>7.3899999999999999E-3</v>
      </c>
      <c r="D4532" s="7">
        <v>6.5300000000000002E-3</v>
      </c>
      <c r="E4532" s="7">
        <v>7.4999999999999997E-3</v>
      </c>
      <c r="F4532" s="7">
        <v>6.4800000000000005E-3</v>
      </c>
      <c r="G4532" s="7">
        <v>0.1197</v>
      </c>
    </row>
    <row r="4533" spans="2:7" x14ac:dyDescent="0.2">
      <c r="B4533" s="60">
        <v>42263</v>
      </c>
      <c r="C4533" s="7">
        <v>7.79E-3</v>
      </c>
      <c r="D4533" s="7">
        <v>7.62E-3</v>
      </c>
      <c r="E4533" s="7">
        <v>7.9600000000000001E-3</v>
      </c>
      <c r="F4533" s="7">
        <v>7.3600000000000002E-3</v>
      </c>
      <c r="G4533" s="7">
        <v>5.4100000000000002E-2</v>
      </c>
    </row>
    <row r="4534" spans="2:7" x14ac:dyDescent="0.2">
      <c r="B4534" s="60">
        <v>42264</v>
      </c>
      <c r="C4534" s="7">
        <v>7.8399999999999997E-3</v>
      </c>
      <c r="D4534" s="7">
        <v>7.8500000000000011E-3</v>
      </c>
      <c r="E4534" s="7">
        <v>7.9100000000000004E-3</v>
      </c>
      <c r="F4534" s="7">
        <v>7.6500000000000005E-3</v>
      </c>
      <c r="G4534" s="7">
        <v>6.4000000000000003E-3</v>
      </c>
    </row>
    <row r="4535" spans="2:7" x14ac:dyDescent="0.2">
      <c r="B4535" s="60">
        <v>42265</v>
      </c>
      <c r="C4535" s="7">
        <v>6.6500000000000005E-3</v>
      </c>
      <c r="D4535" s="7">
        <v>6.9699999999999996E-3</v>
      </c>
      <c r="E4535" s="7">
        <v>7.1199999999999996E-3</v>
      </c>
      <c r="F4535" s="7">
        <v>6.5100000000000002E-3</v>
      </c>
      <c r="G4535" s="7">
        <v>-0.15179999999999999</v>
      </c>
    </row>
    <row r="4536" spans="2:7" x14ac:dyDescent="0.2">
      <c r="B4536" s="60">
        <v>42268</v>
      </c>
      <c r="C4536" s="7">
        <v>6.8000000000000005E-3</v>
      </c>
      <c r="D4536" s="7">
        <v>6.7000000000000002E-3</v>
      </c>
      <c r="E4536" s="7">
        <v>6.9599999999999992E-3</v>
      </c>
      <c r="F4536" s="7">
        <v>6.5900000000000004E-3</v>
      </c>
      <c r="G4536" s="7">
        <v>2.2599999999999999E-2</v>
      </c>
    </row>
    <row r="4537" spans="2:7" x14ac:dyDescent="0.2">
      <c r="B4537" s="60">
        <v>42269</v>
      </c>
      <c r="C4537" s="7">
        <v>6.0000000000000001E-3</v>
      </c>
      <c r="D4537" s="7">
        <v>6.8000000000000005E-3</v>
      </c>
      <c r="E4537" s="7">
        <v>6.8700000000000002E-3</v>
      </c>
      <c r="F4537" s="7">
        <v>5.9199999999999999E-3</v>
      </c>
      <c r="G4537" s="7">
        <v>-0.1176</v>
      </c>
    </row>
    <row r="4538" spans="2:7" x14ac:dyDescent="0.2">
      <c r="B4538" s="60">
        <v>42270</v>
      </c>
      <c r="C4538" s="7">
        <v>5.9800000000000001E-3</v>
      </c>
      <c r="D4538" s="7">
        <v>5.8699999999999994E-3</v>
      </c>
      <c r="E4538" s="7">
        <v>6.2399999999999999E-3</v>
      </c>
      <c r="F4538" s="7">
        <v>5.8299999999999992E-3</v>
      </c>
      <c r="G4538" s="7">
        <v>-3.3E-3</v>
      </c>
    </row>
    <row r="4539" spans="2:7" x14ac:dyDescent="0.2">
      <c r="B4539" s="60">
        <v>42271</v>
      </c>
      <c r="C4539" s="7">
        <v>5.9199999999999999E-3</v>
      </c>
      <c r="D4539" s="7">
        <v>5.94E-3</v>
      </c>
      <c r="E4539" s="7">
        <v>6.2199999999999998E-3</v>
      </c>
      <c r="F4539" s="7">
        <v>5.6799999999999993E-3</v>
      </c>
      <c r="G4539" s="7">
        <v>-0.01</v>
      </c>
    </row>
    <row r="4540" spans="2:7" x14ac:dyDescent="0.2">
      <c r="B4540" s="60">
        <v>42272</v>
      </c>
      <c r="C4540" s="7">
        <v>6.5100000000000002E-3</v>
      </c>
      <c r="D4540" s="7">
        <v>6.2599999999999999E-3</v>
      </c>
      <c r="E4540" s="7">
        <v>6.7100000000000007E-3</v>
      </c>
      <c r="F4540" s="7">
        <v>6.1599999999999997E-3</v>
      </c>
      <c r="G4540" s="7">
        <v>9.9699999999999997E-2</v>
      </c>
    </row>
    <row r="4541" spans="2:7" x14ac:dyDescent="0.2">
      <c r="B4541" s="60">
        <v>42274</v>
      </c>
      <c r="C4541" s="7">
        <v>6.4200000000000004E-3</v>
      </c>
      <c r="D4541" s="7">
        <v>6.4200000000000004E-3</v>
      </c>
      <c r="E4541" s="7">
        <v>6.4200000000000004E-3</v>
      </c>
      <c r="F4541" s="7">
        <v>6.4200000000000004E-3</v>
      </c>
      <c r="G4541" s="7">
        <v>-1.38E-2</v>
      </c>
    </row>
    <row r="4542" spans="2:7" x14ac:dyDescent="0.2">
      <c r="B4542" s="60">
        <v>42275</v>
      </c>
      <c r="C4542" s="7">
        <v>5.9899999999999997E-3</v>
      </c>
      <c r="D4542" s="7">
        <v>6.4099999999999999E-3</v>
      </c>
      <c r="E4542" s="7">
        <v>6.5000000000000006E-3</v>
      </c>
      <c r="F4542" s="7">
        <v>5.9800000000000001E-3</v>
      </c>
      <c r="G4542" s="7">
        <v>-6.7000000000000004E-2</v>
      </c>
    </row>
    <row r="4543" spans="2:7" x14ac:dyDescent="0.2">
      <c r="B4543" s="60">
        <v>42276</v>
      </c>
      <c r="C4543" s="7">
        <v>5.8699999999999994E-3</v>
      </c>
      <c r="D4543" s="7">
        <v>5.77E-3</v>
      </c>
      <c r="E4543" s="7">
        <v>6.1500000000000001E-3</v>
      </c>
      <c r="F4543" s="7">
        <v>5.6699999999999997E-3</v>
      </c>
      <c r="G4543" s="7">
        <v>-0.02</v>
      </c>
    </row>
    <row r="4544" spans="2:7" x14ac:dyDescent="0.2">
      <c r="B4544" s="60">
        <v>42277</v>
      </c>
      <c r="C4544" s="7">
        <v>5.8999999999999999E-3</v>
      </c>
      <c r="D4544" s="7">
        <v>5.9099999999999995E-3</v>
      </c>
      <c r="E4544" s="7">
        <v>6.1700000000000001E-3</v>
      </c>
      <c r="F4544" s="7">
        <v>5.8299999999999992E-3</v>
      </c>
      <c r="G4544" s="7">
        <v>5.1000000000000004E-3</v>
      </c>
    </row>
    <row r="4545" spans="2:7" x14ac:dyDescent="0.2">
      <c r="B4545" s="60">
        <v>42278</v>
      </c>
      <c r="C4545" s="7">
        <v>5.4200000000000003E-3</v>
      </c>
      <c r="D4545" s="7">
        <v>5.94E-3</v>
      </c>
      <c r="E4545" s="7">
        <v>6.11E-3</v>
      </c>
      <c r="F4545" s="7">
        <v>5.3900000000000007E-3</v>
      </c>
      <c r="G4545" s="7">
        <v>-8.14E-2</v>
      </c>
    </row>
    <row r="4546" spans="2:7" x14ac:dyDescent="0.2">
      <c r="B4546" s="60">
        <v>42279</v>
      </c>
      <c r="C4546" s="7">
        <v>5.1600000000000005E-3</v>
      </c>
      <c r="D4546" s="7">
        <v>5.5700000000000003E-3</v>
      </c>
      <c r="E4546" s="7">
        <v>5.7599999999999995E-3</v>
      </c>
      <c r="F4546" s="7">
        <v>4.7999999999999996E-3</v>
      </c>
      <c r="G4546" s="7">
        <v>-4.8000000000000001E-2</v>
      </c>
    </row>
    <row r="4547" spans="2:7" x14ac:dyDescent="0.2">
      <c r="B4547" s="60">
        <v>42280</v>
      </c>
      <c r="C4547" s="7">
        <v>5.1700000000000001E-3</v>
      </c>
      <c r="D4547" s="7">
        <v>5.1700000000000001E-3</v>
      </c>
      <c r="E4547" s="7">
        <v>5.1700000000000001E-3</v>
      </c>
      <c r="F4547" s="7">
        <v>5.1700000000000001E-3</v>
      </c>
      <c r="G4547" s="7">
        <v>1.9E-3</v>
      </c>
    </row>
    <row r="4548" spans="2:7" x14ac:dyDescent="0.2">
      <c r="B4548" s="60">
        <v>42282</v>
      </c>
      <c r="C4548" s="7">
        <v>5.6599999999999992E-3</v>
      </c>
      <c r="D4548" s="7">
        <v>5.1600000000000005E-3</v>
      </c>
      <c r="E4548" s="7">
        <v>5.7099999999999998E-3</v>
      </c>
      <c r="F4548" s="7">
        <v>5.1200000000000004E-3</v>
      </c>
      <c r="G4548" s="7">
        <v>9.4799999999999995E-2</v>
      </c>
    </row>
    <row r="4549" spans="2:7" x14ac:dyDescent="0.2">
      <c r="B4549" s="60">
        <v>42283</v>
      </c>
      <c r="C4549" s="7">
        <v>6.0099999999999997E-3</v>
      </c>
      <c r="D4549" s="7">
        <v>5.6399999999999992E-3</v>
      </c>
      <c r="E4549" s="7">
        <v>6.1700000000000001E-3</v>
      </c>
      <c r="F4549" s="7">
        <v>5.5800000000000008E-3</v>
      </c>
      <c r="G4549" s="7">
        <v>6.1800000000000001E-2</v>
      </c>
    </row>
    <row r="4550" spans="2:7" x14ac:dyDescent="0.2">
      <c r="B4550" s="60">
        <v>42284</v>
      </c>
      <c r="C4550" s="7">
        <v>5.9199999999999999E-3</v>
      </c>
      <c r="D4550" s="7">
        <v>5.9699999999999996E-3</v>
      </c>
      <c r="E4550" s="7">
        <v>6.3200000000000001E-3</v>
      </c>
      <c r="F4550" s="7">
        <v>5.8999999999999999E-3</v>
      </c>
      <c r="G4550" s="7">
        <v>-1.4999999999999999E-2</v>
      </c>
    </row>
    <row r="4551" spans="2:7" x14ac:dyDescent="0.2">
      <c r="B4551" s="60">
        <v>42285</v>
      </c>
      <c r="C4551" s="7">
        <v>5.8899999999999994E-3</v>
      </c>
      <c r="D4551" s="7">
        <v>5.8199999999999997E-3</v>
      </c>
      <c r="E4551" s="7">
        <v>5.9199999999999999E-3</v>
      </c>
      <c r="F4551" s="7">
        <v>5.5200000000000006E-3</v>
      </c>
      <c r="G4551" s="7">
        <v>-5.1000000000000004E-3</v>
      </c>
    </row>
    <row r="4552" spans="2:7" x14ac:dyDescent="0.2">
      <c r="B4552" s="60">
        <v>42286</v>
      </c>
      <c r="C4552" s="7">
        <v>6.2100000000000002E-3</v>
      </c>
      <c r="D4552" s="7">
        <v>6.0099999999999997E-3</v>
      </c>
      <c r="E4552" s="7">
        <v>6.2900000000000005E-3</v>
      </c>
      <c r="F4552" s="7">
        <v>5.8899999999999994E-3</v>
      </c>
      <c r="G4552" s="7">
        <v>5.4300000000000001E-2</v>
      </c>
    </row>
    <row r="4553" spans="2:7" x14ac:dyDescent="0.2">
      <c r="B4553" s="60">
        <v>42288</v>
      </c>
      <c r="C4553" s="7">
        <v>6.1199999999999996E-3</v>
      </c>
      <c r="D4553" s="7">
        <v>6.1199999999999996E-3</v>
      </c>
      <c r="E4553" s="7">
        <v>6.1199999999999996E-3</v>
      </c>
      <c r="F4553" s="7">
        <v>6.1199999999999996E-3</v>
      </c>
      <c r="G4553" s="7">
        <v>-1.4500000000000001E-2</v>
      </c>
    </row>
    <row r="4554" spans="2:7" x14ac:dyDescent="0.2">
      <c r="B4554" s="60">
        <v>42289</v>
      </c>
      <c r="C4554" s="7">
        <v>5.7999999999999996E-3</v>
      </c>
      <c r="D4554" s="7">
        <v>6.1399999999999996E-3</v>
      </c>
      <c r="E4554" s="7">
        <v>6.2300000000000003E-3</v>
      </c>
      <c r="F4554" s="7">
        <v>5.7599999999999995E-3</v>
      </c>
      <c r="G4554" s="7">
        <v>-5.2299999999999999E-2</v>
      </c>
    </row>
    <row r="4555" spans="2:7" x14ac:dyDescent="0.2">
      <c r="B4555" s="60">
        <v>42290</v>
      </c>
      <c r="C4555" s="7">
        <v>5.9099999999999995E-3</v>
      </c>
      <c r="D4555" s="7">
        <v>5.8299999999999992E-3</v>
      </c>
      <c r="E4555" s="7">
        <v>6.0400000000000002E-3</v>
      </c>
      <c r="F4555" s="7">
        <v>5.5700000000000003E-3</v>
      </c>
      <c r="G4555" s="7">
        <v>1.9E-2</v>
      </c>
    </row>
    <row r="4556" spans="2:7" x14ac:dyDescent="0.2">
      <c r="B4556" s="60">
        <v>42291</v>
      </c>
      <c r="C4556" s="7">
        <v>5.4600000000000004E-3</v>
      </c>
      <c r="D4556" s="7">
        <v>5.7999999999999996E-3</v>
      </c>
      <c r="E4556" s="7">
        <v>5.7999999999999996E-3</v>
      </c>
      <c r="F4556" s="7">
        <v>5.3400000000000001E-3</v>
      </c>
      <c r="G4556" s="7">
        <v>-7.6100000000000001E-2</v>
      </c>
    </row>
    <row r="4557" spans="2:7" x14ac:dyDescent="0.2">
      <c r="B4557" s="60">
        <v>42292</v>
      </c>
      <c r="C4557" s="7">
        <v>5.5600000000000007E-3</v>
      </c>
      <c r="D4557" s="7">
        <v>5.5100000000000001E-3</v>
      </c>
      <c r="E4557" s="7">
        <v>5.6399999999999992E-3</v>
      </c>
      <c r="F4557" s="7">
        <v>5.28E-3</v>
      </c>
      <c r="G4557" s="7">
        <v>1.83E-2</v>
      </c>
    </row>
    <row r="4558" spans="2:7" x14ac:dyDescent="0.2">
      <c r="B4558" s="60">
        <v>42293</v>
      </c>
      <c r="C4558" s="7">
        <v>5.4900000000000001E-3</v>
      </c>
      <c r="D4558" s="7">
        <v>5.5900000000000004E-3</v>
      </c>
      <c r="E4558" s="7">
        <v>5.6200000000000009E-3</v>
      </c>
      <c r="F4558" s="7">
        <v>5.3E-3</v>
      </c>
      <c r="G4558" s="7">
        <v>-1.26E-2</v>
      </c>
    </row>
    <row r="4559" spans="2:7" x14ac:dyDescent="0.2">
      <c r="B4559" s="60">
        <v>42294</v>
      </c>
      <c r="C4559" s="7">
        <v>5.4900000000000001E-3</v>
      </c>
      <c r="D4559" s="7">
        <v>5.4900000000000001E-3</v>
      </c>
      <c r="E4559" s="7">
        <v>5.4900000000000001E-3</v>
      </c>
      <c r="F4559" s="7">
        <v>5.4900000000000001E-3</v>
      </c>
      <c r="G4559" s="7">
        <v>0</v>
      </c>
    </row>
    <row r="4560" spans="2:7" x14ac:dyDescent="0.2">
      <c r="B4560" s="60">
        <v>42295</v>
      </c>
      <c r="C4560" s="7">
        <v>5.5000000000000005E-3</v>
      </c>
      <c r="D4560" s="7">
        <v>5.4900000000000001E-3</v>
      </c>
      <c r="E4560" s="7">
        <v>5.5100000000000001E-3</v>
      </c>
      <c r="F4560" s="7">
        <v>5.4900000000000001E-3</v>
      </c>
      <c r="G4560" s="7">
        <v>1.8E-3</v>
      </c>
    </row>
    <row r="4561" spans="2:7" x14ac:dyDescent="0.2">
      <c r="B4561" s="60">
        <v>42296</v>
      </c>
      <c r="C4561" s="7">
        <v>5.6899999999999997E-3</v>
      </c>
      <c r="D4561" s="7">
        <v>5.5200000000000006E-3</v>
      </c>
      <c r="E4561" s="7">
        <v>5.8199999999999997E-3</v>
      </c>
      <c r="F4561" s="7">
        <v>5.45E-3</v>
      </c>
      <c r="G4561" s="7">
        <v>3.4500000000000003E-2</v>
      </c>
    </row>
    <row r="4562" spans="2:7" x14ac:dyDescent="0.2">
      <c r="B4562" s="60">
        <v>42297</v>
      </c>
      <c r="C4562" s="7">
        <v>6.3E-3</v>
      </c>
      <c r="D4562" s="7">
        <v>5.5100000000000001E-3</v>
      </c>
      <c r="E4562" s="7">
        <v>6.3299999999999997E-3</v>
      </c>
      <c r="F4562" s="7">
        <v>5.4900000000000001E-3</v>
      </c>
      <c r="G4562" s="7">
        <v>0.1072</v>
      </c>
    </row>
    <row r="4563" spans="2:7" x14ac:dyDescent="0.2">
      <c r="B4563" s="60">
        <v>42298</v>
      </c>
      <c r="C4563" s="7">
        <v>5.7199999999999994E-3</v>
      </c>
      <c r="D4563" s="7">
        <v>6.3400000000000001E-3</v>
      </c>
      <c r="E4563" s="7">
        <v>6.3899999999999998E-3</v>
      </c>
      <c r="F4563" s="7">
        <v>5.6799999999999993E-3</v>
      </c>
      <c r="G4563" s="7">
        <v>-9.2100000000000001E-2</v>
      </c>
    </row>
    <row r="4564" spans="2:7" x14ac:dyDescent="0.2">
      <c r="B4564" s="60">
        <v>42299</v>
      </c>
      <c r="C4564" s="7">
        <v>5.0299999999999997E-3</v>
      </c>
      <c r="D4564" s="7">
        <v>5.6799999999999993E-3</v>
      </c>
      <c r="E4564" s="7">
        <v>5.8499999999999993E-3</v>
      </c>
      <c r="F4564" s="7">
        <v>4.9800000000000001E-3</v>
      </c>
      <c r="G4564" s="7">
        <v>-0.1206</v>
      </c>
    </row>
    <row r="4565" spans="2:7" x14ac:dyDescent="0.2">
      <c r="B4565" s="60">
        <v>42300</v>
      </c>
      <c r="C4565" s="7">
        <v>5.0800000000000003E-3</v>
      </c>
      <c r="D4565" s="7">
        <v>5.0200000000000002E-3</v>
      </c>
      <c r="E4565" s="7">
        <v>5.3100000000000005E-3</v>
      </c>
      <c r="F4565" s="7">
        <v>4.8199999999999996E-3</v>
      </c>
      <c r="G4565" s="7">
        <v>9.9000000000000008E-3</v>
      </c>
    </row>
    <row r="4566" spans="2:7" x14ac:dyDescent="0.2">
      <c r="B4566" s="60">
        <v>42302</v>
      </c>
      <c r="C4566" s="7">
        <v>5.1500000000000001E-3</v>
      </c>
      <c r="D4566" s="7">
        <v>5.1400000000000005E-3</v>
      </c>
      <c r="E4566" s="7">
        <v>5.1500000000000001E-3</v>
      </c>
      <c r="F4566" s="7">
        <v>5.1400000000000005E-3</v>
      </c>
      <c r="G4566" s="7">
        <v>1.38E-2</v>
      </c>
    </row>
    <row r="4567" spans="2:7" x14ac:dyDescent="0.2">
      <c r="B4567" s="60">
        <v>42303</v>
      </c>
      <c r="C4567" s="7">
        <v>5.0000000000000001E-3</v>
      </c>
      <c r="D4567" s="7">
        <v>5.1000000000000004E-3</v>
      </c>
      <c r="E4567" s="7">
        <v>5.1500000000000001E-3</v>
      </c>
      <c r="F4567" s="7">
        <v>4.8900000000000002E-3</v>
      </c>
      <c r="G4567" s="7">
        <v>-2.9100000000000001E-2</v>
      </c>
    </row>
    <row r="4568" spans="2:7" x14ac:dyDescent="0.2">
      <c r="B4568" s="60">
        <v>42304</v>
      </c>
      <c r="C4568" s="7">
        <v>4.45E-3</v>
      </c>
      <c r="D4568" s="7">
        <v>4.9699999999999996E-3</v>
      </c>
      <c r="E4568" s="7">
        <v>5.0099999999999997E-3</v>
      </c>
      <c r="F4568" s="7">
        <v>4.4099999999999999E-3</v>
      </c>
      <c r="G4568" s="7">
        <v>-0.11</v>
      </c>
    </row>
    <row r="4569" spans="2:7" x14ac:dyDescent="0.2">
      <c r="B4569" s="60">
        <v>42305</v>
      </c>
      <c r="C4569" s="7">
        <v>4.45E-3</v>
      </c>
      <c r="D4569" s="7">
        <v>4.45E-3</v>
      </c>
      <c r="E4569" s="7">
        <v>4.7399999999999994E-3</v>
      </c>
      <c r="F4569" s="7">
        <v>4.2399999999999998E-3</v>
      </c>
      <c r="G4569" s="7">
        <v>0</v>
      </c>
    </row>
    <row r="4570" spans="2:7" x14ac:dyDescent="0.2">
      <c r="B4570" s="60">
        <v>42306</v>
      </c>
      <c r="C4570" s="7">
        <v>5.3800000000000002E-3</v>
      </c>
      <c r="D4570" s="7">
        <v>4.6500000000000005E-3</v>
      </c>
      <c r="E4570" s="7">
        <v>5.4400000000000004E-3</v>
      </c>
      <c r="F4570" s="7">
        <v>4.4900000000000001E-3</v>
      </c>
      <c r="G4570" s="7">
        <v>0.20899999999999999</v>
      </c>
    </row>
    <row r="4571" spans="2:7" x14ac:dyDescent="0.2">
      <c r="B4571" s="60">
        <v>42307</v>
      </c>
      <c r="C4571" s="7">
        <v>5.2300000000000003E-3</v>
      </c>
      <c r="D4571" s="7">
        <v>5.28E-3</v>
      </c>
      <c r="E4571" s="7">
        <v>5.4600000000000004E-3</v>
      </c>
      <c r="F4571" s="7">
        <v>5.0000000000000001E-3</v>
      </c>
      <c r="G4571" s="7">
        <v>-2.7900000000000001E-2</v>
      </c>
    </row>
    <row r="4572" spans="2:7" x14ac:dyDescent="0.2">
      <c r="B4572" s="60">
        <v>42308</v>
      </c>
      <c r="C4572" s="7">
        <v>5.1999999999999998E-3</v>
      </c>
      <c r="D4572" s="7">
        <v>5.1999999999999998E-3</v>
      </c>
      <c r="E4572" s="7">
        <v>5.1999999999999998E-3</v>
      </c>
      <c r="F4572" s="7">
        <v>5.1999999999999998E-3</v>
      </c>
      <c r="G4572" s="7">
        <v>-5.7000000000000002E-3</v>
      </c>
    </row>
    <row r="4573" spans="2:7" x14ac:dyDescent="0.2">
      <c r="B4573" s="60">
        <v>42309</v>
      </c>
      <c r="C4573" s="7">
        <v>5.1999999999999998E-3</v>
      </c>
      <c r="D4573" s="7">
        <v>5.1999999999999998E-3</v>
      </c>
      <c r="E4573" s="7">
        <v>5.1999999999999998E-3</v>
      </c>
      <c r="F4573" s="7">
        <v>5.1999999999999998E-3</v>
      </c>
      <c r="G4573" s="7">
        <v>0</v>
      </c>
    </row>
    <row r="4574" spans="2:7" x14ac:dyDescent="0.2">
      <c r="B4574" s="60">
        <v>42310</v>
      </c>
      <c r="C4574" s="7">
        <v>5.6299999999999996E-3</v>
      </c>
      <c r="D4574" s="7">
        <v>5.1200000000000004E-3</v>
      </c>
      <c r="E4574" s="7">
        <v>5.8199999999999997E-3</v>
      </c>
      <c r="F4574" s="7">
        <v>5.1000000000000004E-3</v>
      </c>
      <c r="G4574" s="7">
        <v>8.2699999999999996E-2</v>
      </c>
    </row>
    <row r="4575" spans="2:7" x14ac:dyDescent="0.2">
      <c r="B4575" s="60">
        <v>42311</v>
      </c>
      <c r="C4575" s="7">
        <v>5.7499999999999999E-3</v>
      </c>
      <c r="D4575" s="7">
        <v>5.6399999999999992E-3</v>
      </c>
      <c r="E4575" s="7">
        <v>5.8199999999999997E-3</v>
      </c>
      <c r="F4575" s="7">
        <v>5.3800000000000002E-3</v>
      </c>
      <c r="G4575" s="7">
        <v>2.1299999999999999E-2</v>
      </c>
    </row>
    <row r="4576" spans="2:7" x14ac:dyDescent="0.2">
      <c r="B4576" s="60">
        <v>42312</v>
      </c>
      <c r="C4576" s="7">
        <v>6.0400000000000002E-3</v>
      </c>
      <c r="D4576" s="7">
        <v>5.7399999999999994E-3</v>
      </c>
      <c r="E4576" s="7">
        <v>6.0499999999999998E-3</v>
      </c>
      <c r="F4576" s="7">
        <v>5.5100000000000001E-3</v>
      </c>
      <c r="G4576" s="7">
        <v>5.04E-2</v>
      </c>
    </row>
    <row r="4577" spans="2:7" x14ac:dyDescent="0.2">
      <c r="B4577" s="60">
        <v>42313</v>
      </c>
      <c r="C4577" s="7">
        <v>6.123E-3</v>
      </c>
      <c r="D4577" s="7">
        <v>5.9699999999999996E-3</v>
      </c>
      <c r="E4577" s="7">
        <v>6.2100000000000002E-3</v>
      </c>
      <c r="F4577" s="7">
        <v>5.7999999999999996E-3</v>
      </c>
      <c r="G4577" s="7">
        <v>1.37E-2</v>
      </c>
    </row>
    <row r="4578" spans="2:7" x14ac:dyDescent="0.2">
      <c r="B4578" s="60">
        <v>42314</v>
      </c>
      <c r="C4578" s="7">
        <v>6.9710000000000006E-3</v>
      </c>
      <c r="D4578" s="7">
        <v>6.0200000000000002E-3</v>
      </c>
      <c r="E4578" s="7">
        <v>7.0199999999999993E-3</v>
      </c>
      <c r="F4578" s="7">
        <v>5.8899999999999994E-3</v>
      </c>
      <c r="G4578" s="7">
        <v>0.13850000000000001</v>
      </c>
    </row>
    <row r="4579" spans="2:7" x14ac:dyDescent="0.2">
      <c r="B4579" s="60">
        <v>42316</v>
      </c>
      <c r="C4579" s="7">
        <v>6.9059999999999998E-3</v>
      </c>
      <c r="D4579" s="7">
        <v>6.9169999999999995E-3</v>
      </c>
      <c r="E4579" s="7">
        <v>6.9210000000000001E-3</v>
      </c>
      <c r="F4579" s="7">
        <v>6.9059999999999998E-3</v>
      </c>
      <c r="G4579" s="7">
        <v>-9.2999999999999992E-3</v>
      </c>
    </row>
    <row r="4580" spans="2:7" x14ac:dyDescent="0.2">
      <c r="B4580" s="60">
        <v>42317</v>
      </c>
      <c r="C4580" s="7">
        <v>6.7020000000000005E-3</v>
      </c>
      <c r="D4580" s="7">
        <v>6.9399999999999991E-3</v>
      </c>
      <c r="E4580" s="7">
        <v>7.2499999999999995E-3</v>
      </c>
      <c r="F4580" s="7">
        <v>6.6600000000000001E-3</v>
      </c>
      <c r="G4580" s="7">
        <v>-2.9499999999999998E-2</v>
      </c>
    </row>
    <row r="4581" spans="2:7" x14ac:dyDescent="0.2">
      <c r="B4581" s="60">
        <v>42318</v>
      </c>
      <c r="C4581" s="7">
        <v>6.2189999999999997E-3</v>
      </c>
      <c r="D4581" s="7">
        <v>6.6100000000000004E-3</v>
      </c>
      <c r="E4581" s="7">
        <v>6.7900000000000009E-3</v>
      </c>
      <c r="F4581" s="7">
        <v>6.1999999999999998E-3</v>
      </c>
      <c r="G4581" s="7">
        <v>-7.2099999999999997E-2</v>
      </c>
    </row>
    <row r="4582" spans="2:7" x14ac:dyDescent="0.2">
      <c r="B4582" s="60">
        <v>42319</v>
      </c>
      <c r="C4582" s="7">
        <v>6.1159999999999999E-3</v>
      </c>
      <c r="D4582" s="7">
        <v>6.3099999999999996E-3</v>
      </c>
      <c r="E4582" s="7">
        <v>6.4400000000000004E-3</v>
      </c>
      <c r="F4582" s="7">
        <v>5.8999999999999999E-3</v>
      </c>
      <c r="G4582" s="7">
        <v>-1.66E-2</v>
      </c>
    </row>
    <row r="4583" spans="2:7" x14ac:dyDescent="0.2">
      <c r="B4583" s="60">
        <v>42320</v>
      </c>
      <c r="C4583" s="7">
        <v>6.071E-3</v>
      </c>
      <c r="D4583" s="7">
        <v>6.1700000000000001E-3</v>
      </c>
      <c r="E4583" s="7">
        <v>6.2500000000000003E-3</v>
      </c>
      <c r="F4583" s="7">
        <v>5.8999999999999999E-3</v>
      </c>
      <c r="G4583" s="7">
        <v>-7.4000000000000003E-3</v>
      </c>
    </row>
    <row r="4584" spans="2:7" x14ac:dyDescent="0.2">
      <c r="B4584" s="60">
        <v>42321</v>
      </c>
      <c r="C4584" s="7">
        <v>5.6210000000000001E-3</v>
      </c>
      <c r="D4584" s="7">
        <v>6.0899999999999999E-3</v>
      </c>
      <c r="E4584" s="7">
        <v>6.13E-3</v>
      </c>
      <c r="F4584" s="7">
        <v>5.5300000000000002E-3</v>
      </c>
      <c r="G4584" s="7">
        <v>-7.4099999999999999E-2</v>
      </c>
    </row>
    <row r="4585" spans="2:7" x14ac:dyDescent="0.2">
      <c r="B4585" s="60">
        <v>42322</v>
      </c>
      <c r="C4585" s="7">
        <v>5.5630000000000002E-3</v>
      </c>
      <c r="D4585" s="7">
        <v>5.5630000000000002E-3</v>
      </c>
      <c r="E4585" s="7">
        <v>5.5630000000000002E-3</v>
      </c>
      <c r="F4585" s="7">
        <v>5.5630000000000002E-3</v>
      </c>
      <c r="G4585" s="7">
        <v>-1.03E-2</v>
      </c>
    </row>
    <row r="4586" spans="2:7" x14ac:dyDescent="0.2">
      <c r="B4586" s="60">
        <v>42323</v>
      </c>
      <c r="C4586" s="7">
        <v>5.5620000000000001E-3</v>
      </c>
      <c r="D4586" s="7">
        <v>5.5620000000000001E-3</v>
      </c>
      <c r="E4586" s="7">
        <v>5.5620000000000001E-3</v>
      </c>
      <c r="F4586" s="7">
        <v>5.5620000000000001E-3</v>
      </c>
      <c r="G4586" s="7">
        <v>-2.0000000000000001E-4</v>
      </c>
    </row>
    <row r="4587" spans="2:7" x14ac:dyDescent="0.2">
      <c r="B4587" s="60">
        <v>42324</v>
      </c>
      <c r="C4587" s="7">
        <v>5.3049999999999998E-3</v>
      </c>
      <c r="D4587" s="7">
        <v>5.4300000000000008E-3</v>
      </c>
      <c r="E4587" s="7">
        <v>5.7599999999999995E-3</v>
      </c>
      <c r="F4587" s="7">
        <v>5.28E-3</v>
      </c>
      <c r="G4587" s="7">
        <v>-4.6199999999999998E-2</v>
      </c>
    </row>
    <row r="4588" spans="2:7" x14ac:dyDescent="0.2">
      <c r="B4588" s="60">
        <v>42325</v>
      </c>
      <c r="C4588" s="7">
        <v>5.3100000000000005E-3</v>
      </c>
      <c r="D4588" s="7">
        <v>5.4200000000000003E-3</v>
      </c>
      <c r="E4588" s="7">
        <v>5.4400000000000004E-3</v>
      </c>
      <c r="F4588" s="7">
        <v>5.1700000000000001E-3</v>
      </c>
      <c r="G4588" s="7">
        <v>8.9999999999999998E-4</v>
      </c>
    </row>
    <row r="4589" spans="2:7" x14ac:dyDescent="0.2">
      <c r="B4589" s="60">
        <v>42326</v>
      </c>
      <c r="C4589" s="7">
        <v>5.0770000000000008E-3</v>
      </c>
      <c r="D4589" s="7">
        <v>5.1500000000000001E-3</v>
      </c>
      <c r="E4589" s="7">
        <v>5.3200000000000001E-3</v>
      </c>
      <c r="F4589" s="7">
        <v>4.9499999999999995E-3</v>
      </c>
      <c r="G4589" s="7">
        <v>-4.3900000000000002E-2</v>
      </c>
    </row>
    <row r="4590" spans="2:7" x14ac:dyDescent="0.2">
      <c r="B4590" s="60">
        <v>42327</v>
      </c>
      <c r="C4590" s="7">
        <v>4.7999999999999996E-3</v>
      </c>
      <c r="D4590" s="7">
        <v>5.0000000000000001E-3</v>
      </c>
      <c r="E4590" s="7">
        <v>5.11E-3</v>
      </c>
      <c r="F4590" s="7">
        <v>4.7599999999999995E-3</v>
      </c>
      <c r="G4590" s="7">
        <v>-5.4600000000000003E-2</v>
      </c>
    </row>
    <row r="4591" spans="2:7" x14ac:dyDescent="0.2">
      <c r="B4591" s="60">
        <v>42328</v>
      </c>
      <c r="C4591" s="7">
        <v>4.7939999999999997E-3</v>
      </c>
      <c r="D4591" s="7">
        <v>4.8900000000000002E-3</v>
      </c>
      <c r="E4591" s="7">
        <v>5.0000000000000001E-3</v>
      </c>
      <c r="F4591" s="7">
        <v>4.6899999999999997E-3</v>
      </c>
      <c r="G4591" s="7">
        <v>-1.1999999999999999E-3</v>
      </c>
    </row>
    <row r="4592" spans="2:7" x14ac:dyDescent="0.2">
      <c r="B4592" s="60">
        <v>42330</v>
      </c>
      <c r="C4592" s="7">
        <v>4.8479999999999999E-3</v>
      </c>
      <c r="D4592" s="7">
        <v>4.849E-3</v>
      </c>
      <c r="E4592" s="7">
        <v>4.849E-3</v>
      </c>
      <c r="F4592" s="7">
        <v>4.8479999999999999E-3</v>
      </c>
      <c r="G4592" s="7">
        <v>1.1299999999999999E-2</v>
      </c>
    </row>
    <row r="4593" spans="2:7" x14ac:dyDescent="0.2">
      <c r="B4593" s="60">
        <v>42331</v>
      </c>
      <c r="C4593" s="7">
        <v>5.3429999999999997E-3</v>
      </c>
      <c r="D4593" s="7">
        <v>4.9100000000000003E-3</v>
      </c>
      <c r="E4593" s="7">
        <v>5.4900000000000001E-3</v>
      </c>
      <c r="F4593" s="7">
        <v>4.8500000000000001E-3</v>
      </c>
      <c r="G4593" s="7">
        <v>0.1021</v>
      </c>
    </row>
    <row r="4594" spans="2:7" x14ac:dyDescent="0.2">
      <c r="B4594" s="60">
        <v>42332</v>
      </c>
      <c r="C4594" s="7">
        <v>5.13E-3</v>
      </c>
      <c r="D4594" s="7">
        <v>5.1999999999999998E-3</v>
      </c>
      <c r="E4594" s="7">
        <v>5.2900000000000004E-3</v>
      </c>
      <c r="F4594" s="7">
        <v>4.8599999999999997E-3</v>
      </c>
      <c r="G4594" s="7">
        <v>-3.9899999999999998E-2</v>
      </c>
    </row>
    <row r="4595" spans="2:7" x14ac:dyDescent="0.2">
      <c r="B4595" s="60">
        <v>42333</v>
      </c>
      <c r="C4595" s="7">
        <v>4.7650000000000001E-3</v>
      </c>
      <c r="D4595" s="7">
        <v>5.13E-3</v>
      </c>
      <c r="E4595" s="7">
        <v>5.2500000000000003E-3</v>
      </c>
      <c r="F4595" s="7">
        <v>4.64E-3</v>
      </c>
      <c r="G4595" s="7">
        <v>-7.1199999999999999E-2</v>
      </c>
    </row>
    <row r="4596" spans="2:7" x14ac:dyDescent="0.2">
      <c r="B4596" s="60">
        <v>42334</v>
      </c>
      <c r="C4596" s="7">
        <v>4.7339999999999995E-3</v>
      </c>
      <c r="D4596" s="7">
        <v>4.7699999999999999E-3</v>
      </c>
      <c r="E4596" s="7">
        <v>4.8500000000000001E-3</v>
      </c>
      <c r="F4596" s="7">
        <v>4.5900000000000003E-3</v>
      </c>
      <c r="G4596" s="7">
        <v>-6.4999999999999997E-3</v>
      </c>
    </row>
    <row r="4597" spans="2:7" x14ac:dyDescent="0.2">
      <c r="B4597" s="60">
        <v>42335</v>
      </c>
      <c r="C4597" s="7">
        <v>4.5529999999999998E-3</v>
      </c>
      <c r="D4597" s="7">
        <v>4.64E-3</v>
      </c>
      <c r="E4597" s="7">
        <v>4.7399999999999994E-3</v>
      </c>
      <c r="F4597" s="7">
        <v>4.3699999999999998E-3</v>
      </c>
      <c r="G4597" s="7">
        <v>-3.8199999999999998E-2</v>
      </c>
    </row>
    <row r="4598" spans="2:7" x14ac:dyDescent="0.2">
      <c r="B4598" s="60">
        <v>42338</v>
      </c>
      <c r="C4598" s="7">
        <v>4.7549999999999997E-3</v>
      </c>
      <c r="D4598" s="7">
        <v>4.62E-3</v>
      </c>
      <c r="E4598" s="7">
        <v>4.8700000000000002E-3</v>
      </c>
      <c r="F4598" s="7">
        <v>4.5799999999999999E-3</v>
      </c>
      <c r="G4598" s="7">
        <v>4.4400000000000002E-2</v>
      </c>
    </row>
    <row r="4599" spans="2:7" x14ac:dyDescent="0.2">
      <c r="B4599" s="60">
        <v>42339</v>
      </c>
      <c r="C4599" s="7">
        <v>4.6930000000000001E-3</v>
      </c>
      <c r="D4599" s="7">
        <v>4.8399999999999997E-3</v>
      </c>
      <c r="E4599" s="7">
        <v>5.2100000000000002E-3</v>
      </c>
      <c r="F4599" s="7">
        <v>4.5599999999999998E-3</v>
      </c>
      <c r="G4599" s="7">
        <v>-1.2999999999999999E-2</v>
      </c>
    </row>
    <row r="4600" spans="2:7" x14ac:dyDescent="0.2">
      <c r="B4600" s="60">
        <v>42340</v>
      </c>
      <c r="C4600" s="7">
        <v>4.6810000000000003E-3</v>
      </c>
      <c r="D4600" s="7">
        <v>4.6899999999999997E-3</v>
      </c>
      <c r="E4600" s="7">
        <v>4.8399999999999997E-3</v>
      </c>
      <c r="F4600" s="7">
        <v>4.4800000000000005E-3</v>
      </c>
      <c r="G4600" s="7">
        <v>-2.5999999999999999E-3</v>
      </c>
    </row>
    <row r="4601" spans="2:7" x14ac:dyDescent="0.2">
      <c r="B4601" s="60">
        <v>42341</v>
      </c>
      <c r="C4601" s="7">
        <v>6.6940000000000003E-3</v>
      </c>
      <c r="D4601" s="7">
        <v>4.8300000000000001E-3</v>
      </c>
      <c r="E4601" s="7">
        <v>6.7200000000000003E-3</v>
      </c>
      <c r="F4601" s="7">
        <v>4.5999999999999999E-3</v>
      </c>
      <c r="G4601" s="7">
        <v>0.43</v>
      </c>
    </row>
    <row r="4602" spans="2:7" x14ac:dyDescent="0.2">
      <c r="B4602" s="60">
        <v>42342</v>
      </c>
      <c r="C4602" s="7">
        <v>6.8969999999999995E-3</v>
      </c>
      <c r="D4602" s="7">
        <v>6.9599999999999992E-3</v>
      </c>
      <c r="E4602" s="7">
        <v>7.4199999999999995E-3</v>
      </c>
      <c r="F4602" s="7">
        <v>6.4200000000000004E-3</v>
      </c>
      <c r="G4602" s="7">
        <v>3.0300000000000001E-2</v>
      </c>
    </row>
    <row r="4603" spans="2:7" x14ac:dyDescent="0.2">
      <c r="B4603" s="60">
        <v>42344</v>
      </c>
      <c r="C4603" s="7">
        <v>6.9540000000000001E-3</v>
      </c>
      <c r="D4603" s="7">
        <v>6.8600000000000006E-3</v>
      </c>
      <c r="E4603" s="7">
        <v>6.9540000000000001E-3</v>
      </c>
      <c r="F4603" s="7">
        <v>6.8600000000000006E-3</v>
      </c>
      <c r="G4603" s="7">
        <v>8.3000000000000001E-3</v>
      </c>
    </row>
    <row r="4604" spans="2:7" x14ac:dyDescent="0.2">
      <c r="B4604" s="60">
        <v>42345</v>
      </c>
      <c r="C4604" s="7">
        <v>5.849E-3</v>
      </c>
      <c r="D4604" s="7">
        <v>6.8600000000000006E-3</v>
      </c>
      <c r="E4604" s="7">
        <v>6.8899999999999994E-3</v>
      </c>
      <c r="F4604" s="7">
        <v>5.8299999999999992E-3</v>
      </c>
      <c r="G4604" s="7">
        <v>-0.15890000000000001</v>
      </c>
    </row>
    <row r="4605" spans="2:7" x14ac:dyDescent="0.2">
      <c r="B4605" s="60">
        <v>42346</v>
      </c>
      <c r="C4605" s="7">
        <v>5.7039999999999999E-3</v>
      </c>
      <c r="D4605" s="7">
        <v>5.96E-3</v>
      </c>
      <c r="E4605" s="7">
        <v>6.0899999999999999E-3</v>
      </c>
      <c r="F4605" s="7">
        <v>5.5700000000000003E-3</v>
      </c>
      <c r="G4605" s="7">
        <v>-2.4799999999999999E-2</v>
      </c>
    </row>
    <row r="4606" spans="2:7" x14ac:dyDescent="0.2">
      <c r="B4606" s="60">
        <v>42347</v>
      </c>
      <c r="C4606" s="7">
        <v>6.071E-3</v>
      </c>
      <c r="D4606" s="7">
        <v>5.7499999999999999E-3</v>
      </c>
      <c r="E4606" s="7">
        <v>6.1900000000000002E-3</v>
      </c>
      <c r="F4606" s="7">
        <v>5.6599999999999992E-3</v>
      </c>
      <c r="G4606" s="7">
        <v>6.4299999999999996E-2</v>
      </c>
    </row>
    <row r="4607" spans="2:7" x14ac:dyDescent="0.2">
      <c r="B4607" s="60">
        <v>42348</v>
      </c>
      <c r="C4607" s="7">
        <v>5.6989999999999992E-3</v>
      </c>
      <c r="D4607" s="7">
        <v>5.8799999999999998E-3</v>
      </c>
      <c r="E4607" s="7">
        <v>6.0000000000000001E-3</v>
      </c>
      <c r="F4607" s="7">
        <v>5.5700000000000003E-3</v>
      </c>
      <c r="G4607" s="7">
        <v>-6.13E-2</v>
      </c>
    </row>
    <row r="4608" spans="2:7" x14ac:dyDescent="0.2">
      <c r="B4608" s="60">
        <v>42349</v>
      </c>
      <c r="C4608" s="7">
        <v>5.4320000000000002E-3</v>
      </c>
      <c r="D4608" s="7">
        <v>5.8399999999999997E-3</v>
      </c>
      <c r="E4608" s="7">
        <v>5.8399999999999997E-3</v>
      </c>
      <c r="F4608" s="7">
        <v>5.2900000000000004E-3</v>
      </c>
      <c r="G4608" s="7">
        <v>-4.6899999999999997E-2</v>
      </c>
    </row>
    <row r="4609" spans="2:7" x14ac:dyDescent="0.2">
      <c r="B4609" s="60">
        <v>42352</v>
      </c>
      <c r="C4609" s="7">
        <v>5.6449999999999998E-3</v>
      </c>
      <c r="D4609" s="7">
        <v>5.5200000000000006E-3</v>
      </c>
      <c r="E4609" s="7">
        <v>5.8599999999999998E-3</v>
      </c>
      <c r="F4609" s="7">
        <v>5.3900000000000007E-3</v>
      </c>
      <c r="G4609" s="7">
        <v>3.9199999999999999E-2</v>
      </c>
    </row>
    <row r="4610" spans="2:7" x14ac:dyDescent="0.2">
      <c r="B4610" s="60">
        <v>42353</v>
      </c>
      <c r="C4610" s="7">
        <v>6.5300000000000002E-3</v>
      </c>
      <c r="D4610" s="7">
        <v>5.77E-3</v>
      </c>
      <c r="E4610" s="7">
        <v>6.7300000000000007E-3</v>
      </c>
      <c r="F4610" s="7">
        <v>5.7399999999999994E-3</v>
      </c>
      <c r="G4610" s="7">
        <v>0.15679999999999999</v>
      </c>
    </row>
    <row r="4611" spans="2:7" x14ac:dyDescent="0.2">
      <c r="B4611" s="60">
        <v>42354</v>
      </c>
      <c r="C4611" s="7">
        <v>6.8010000000000006E-3</v>
      </c>
      <c r="D4611" s="7">
        <v>6.5400000000000007E-3</v>
      </c>
      <c r="E4611" s="7">
        <v>6.8300000000000001E-3</v>
      </c>
      <c r="F4611" s="7">
        <v>6.3099999999999996E-3</v>
      </c>
      <c r="G4611" s="7">
        <v>4.1500000000000002E-2</v>
      </c>
    </row>
    <row r="4612" spans="2:7" x14ac:dyDescent="0.2">
      <c r="B4612" s="60">
        <v>42355</v>
      </c>
      <c r="C4612" s="7">
        <v>6.0060000000000001E-3</v>
      </c>
      <c r="D4612" s="7">
        <v>6.6600000000000001E-3</v>
      </c>
      <c r="E4612" s="7">
        <v>6.6800000000000002E-3</v>
      </c>
      <c r="F4612" s="7">
        <v>5.9299999999999995E-3</v>
      </c>
      <c r="G4612" s="7">
        <v>-0.1169</v>
      </c>
    </row>
    <row r="4613" spans="2:7" x14ac:dyDescent="0.2">
      <c r="B4613" s="60">
        <v>42356</v>
      </c>
      <c r="C4613" s="7">
        <v>5.5100000000000001E-3</v>
      </c>
      <c r="D4613" s="7">
        <v>5.8899999999999994E-3</v>
      </c>
      <c r="E4613" s="7">
        <v>5.96E-3</v>
      </c>
      <c r="F4613" s="7">
        <v>5.45E-3</v>
      </c>
      <c r="G4613" s="7">
        <v>-8.2600000000000007E-2</v>
      </c>
    </row>
    <row r="4614" spans="2:7" x14ac:dyDescent="0.2">
      <c r="B4614" s="60">
        <v>42358</v>
      </c>
      <c r="C4614" s="7">
        <v>5.5069999999999997E-3</v>
      </c>
      <c r="D4614" s="7">
        <v>5.5069999999999997E-3</v>
      </c>
      <c r="E4614" s="7">
        <v>5.5069999999999997E-3</v>
      </c>
      <c r="F4614" s="7">
        <v>5.5069999999999997E-3</v>
      </c>
      <c r="G4614" s="7">
        <v>-5.0000000000000001E-4</v>
      </c>
    </row>
    <row r="4615" spans="2:7" x14ac:dyDescent="0.2">
      <c r="B4615" s="60">
        <v>42359</v>
      </c>
      <c r="C4615" s="7">
        <v>5.5430000000000002E-3</v>
      </c>
      <c r="D4615" s="7">
        <v>5.6200000000000009E-3</v>
      </c>
      <c r="E4615" s="7">
        <v>5.9299999999999995E-3</v>
      </c>
      <c r="F4615" s="7">
        <v>5.3800000000000002E-3</v>
      </c>
      <c r="G4615" s="7">
        <v>6.4999999999999997E-3</v>
      </c>
    </row>
    <row r="4616" spans="2:7" x14ac:dyDescent="0.2">
      <c r="B4616" s="60">
        <v>42360</v>
      </c>
      <c r="C4616" s="7">
        <v>5.9740000000000001E-3</v>
      </c>
      <c r="D4616" s="7">
        <v>5.6200000000000009E-3</v>
      </c>
      <c r="E4616" s="7">
        <v>6.0799999999999995E-3</v>
      </c>
      <c r="F4616" s="7">
        <v>5.5200000000000006E-3</v>
      </c>
      <c r="G4616" s="7">
        <v>7.7799999999999994E-2</v>
      </c>
    </row>
    <row r="4617" spans="2:7" x14ac:dyDescent="0.2">
      <c r="B4617" s="60">
        <v>42361</v>
      </c>
      <c r="C4617" s="7">
        <v>6.2839999999999997E-3</v>
      </c>
      <c r="D4617" s="7">
        <v>5.9199999999999999E-3</v>
      </c>
      <c r="E4617" s="7">
        <v>6.4200000000000004E-3</v>
      </c>
      <c r="F4617" s="7">
        <v>5.8799999999999998E-3</v>
      </c>
      <c r="G4617" s="7">
        <v>5.1900000000000002E-2</v>
      </c>
    </row>
    <row r="4618" spans="2:7" x14ac:dyDescent="0.2">
      <c r="B4618" s="60">
        <v>42362</v>
      </c>
      <c r="C4618" s="7">
        <v>6.2529999999999999E-3</v>
      </c>
      <c r="D4618" s="7">
        <v>6.3070000000000001E-3</v>
      </c>
      <c r="E4618" s="7">
        <v>6.3530000000000001E-3</v>
      </c>
      <c r="F4618" s="7">
        <v>6.2529999999999999E-3</v>
      </c>
      <c r="G4618" s="7">
        <v>-4.8999999999999998E-3</v>
      </c>
    </row>
    <row r="4619" spans="2:7" x14ac:dyDescent="0.2">
      <c r="B4619" s="60">
        <v>42365</v>
      </c>
      <c r="C4619" s="7">
        <v>6.2519999999999997E-3</v>
      </c>
      <c r="D4619" s="7">
        <v>6.2519999999999997E-3</v>
      </c>
      <c r="E4619" s="7">
        <v>6.2519999999999997E-3</v>
      </c>
      <c r="F4619" s="7">
        <v>6.2519999999999997E-3</v>
      </c>
      <c r="G4619" s="7">
        <v>-2.0000000000000001E-4</v>
      </c>
    </row>
    <row r="4620" spans="2:7" x14ac:dyDescent="0.2">
      <c r="B4620" s="60">
        <v>42366</v>
      </c>
      <c r="C4620" s="7">
        <v>5.5569999999999994E-3</v>
      </c>
      <c r="D4620" s="7">
        <v>6.1799999999999997E-3</v>
      </c>
      <c r="E4620" s="7">
        <v>6.3200000000000001E-3</v>
      </c>
      <c r="F4620" s="7">
        <v>5.5300000000000002E-3</v>
      </c>
      <c r="G4620" s="7">
        <v>-0.11119999999999999</v>
      </c>
    </row>
    <row r="4621" spans="2:7" x14ac:dyDescent="0.2">
      <c r="B4621" s="60">
        <v>42367</v>
      </c>
      <c r="C4621" s="7">
        <v>5.738E-3</v>
      </c>
      <c r="D4621" s="7">
        <v>5.738E-3</v>
      </c>
      <c r="E4621" s="7">
        <v>6.4099999999999999E-3</v>
      </c>
      <c r="F4621" s="7">
        <v>5.6699999999999997E-3</v>
      </c>
      <c r="G4621" s="7">
        <v>3.2599999999999997E-2</v>
      </c>
    </row>
    <row r="4622" spans="2:7" x14ac:dyDescent="0.2">
      <c r="B4622" s="60">
        <v>42368</v>
      </c>
      <c r="C4622" s="7">
        <v>6.3460000000000009E-3</v>
      </c>
      <c r="D4622" s="7">
        <v>6.4400000000000004E-3</v>
      </c>
      <c r="E4622" s="7">
        <v>6.5400000000000007E-3</v>
      </c>
      <c r="F4622" s="7">
        <v>6.0799999999999995E-3</v>
      </c>
      <c r="G4622" s="7">
        <v>0.106</v>
      </c>
    </row>
    <row r="4623" spans="2:7" x14ac:dyDescent="0.2">
      <c r="B4623" s="60">
        <v>42369</v>
      </c>
      <c r="C4623" s="7">
        <v>6.3449999999999999E-3</v>
      </c>
      <c r="D4623" s="7">
        <v>6.3099999999999996E-3</v>
      </c>
      <c r="E4623" s="7">
        <v>6.3509999999999999E-3</v>
      </c>
      <c r="F4623" s="7">
        <v>6.2880000000000002E-3</v>
      </c>
      <c r="G4623" s="7">
        <v>-2.0000000000000001E-4</v>
      </c>
    </row>
    <row r="4624" spans="2:7" x14ac:dyDescent="0.2">
      <c r="B4624" s="60">
        <v>42370</v>
      </c>
      <c r="C4624" s="7">
        <v>6.2880000000000002E-3</v>
      </c>
      <c r="D4624" s="7">
        <v>6.3449999999999999E-3</v>
      </c>
      <c r="E4624" s="7">
        <v>6.3449999999999999E-3</v>
      </c>
      <c r="F4624" s="7">
        <v>6.2880000000000002E-3</v>
      </c>
      <c r="G4624" s="7">
        <v>-8.9999999999999993E-3</v>
      </c>
    </row>
    <row r="4625" spans="2:7" x14ac:dyDescent="0.2">
      <c r="B4625" s="60">
        <v>42372</v>
      </c>
      <c r="C4625" s="7">
        <v>6.2819999999999994E-3</v>
      </c>
      <c r="D4625" s="7">
        <v>6.2880000000000002E-3</v>
      </c>
      <c r="E4625" s="7">
        <v>6.2880000000000002E-3</v>
      </c>
      <c r="F4625" s="7">
        <v>6.2760000000000003E-3</v>
      </c>
      <c r="G4625" s="7">
        <v>-1E-3</v>
      </c>
    </row>
    <row r="4626" spans="2:7" x14ac:dyDescent="0.2">
      <c r="B4626" s="60">
        <v>42373</v>
      </c>
      <c r="C4626" s="7">
        <v>5.6350000000000003E-3</v>
      </c>
      <c r="D4626" s="7">
        <v>5.9699999999999996E-3</v>
      </c>
      <c r="E4626" s="7">
        <v>5.9699999999999996E-3</v>
      </c>
      <c r="F4626" s="7">
        <v>5.5700000000000003E-3</v>
      </c>
      <c r="G4626" s="7">
        <v>-0.10299999999999999</v>
      </c>
    </row>
    <row r="4627" spans="2:7" x14ac:dyDescent="0.2">
      <c r="B4627" s="60">
        <v>42374</v>
      </c>
      <c r="C4627" s="7">
        <v>5.4840000000000002E-3</v>
      </c>
      <c r="D4627" s="7">
        <v>5.8899999999999994E-3</v>
      </c>
      <c r="E4627" s="7">
        <v>5.96E-3</v>
      </c>
      <c r="F4627" s="7">
        <v>5.4300000000000008E-3</v>
      </c>
      <c r="G4627" s="7">
        <v>-2.6800000000000001E-2</v>
      </c>
    </row>
    <row r="4628" spans="2:7" x14ac:dyDescent="0.2">
      <c r="B4628" s="60">
        <v>42375</v>
      </c>
      <c r="C4628" s="7">
        <v>5.13E-3</v>
      </c>
      <c r="D4628" s="7">
        <v>5.3900000000000007E-3</v>
      </c>
      <c r="E4628" s="7">
        <v>5.5000000000000005E-3</v>
      </c>
      <c r="F4628" s="7">
        <v>4.9199999999999999E-3</v>
      </c>
      <c r="G4628" s="7">
        <v>-6.4600000000000005E-2</v>
      </c>
    </row>
    <row r="4629" spans="2:7" x14ac:dyDescent="0.2">
      <c r="B4629" s="60">
        <v>42376</v>
      </c>
      <c r="C4629" s="7">
        <v>5.4479999999999997E-3</v>
      </c>
      <c r="D4629" s="7">
        <v>4.9100000000000003E-3</v>
      </c>
      <c r="E4629" s="7">
        <v>5.5700000000000003E-3</v>
      </c>
      <c r="F4629" s="7">
        <v>4.7499999999999999E-3</v>
      </c>
      <c r="G4629" s="7">
        <v>6.2E-2</v>
      </c>
    </row>
    <row r="4630" spans="2:7" x14ac:dyDescent="0.2">
      <c r="B4630" s="60">
        <v>42377</v>
      </c>
      <c r="C4630" s="7">
        <v>5.0920000000000002E-3</v>
      </c>
      <c r="D4630" s="7">
        <v>5.3900000000000007E-3</v>
      </c>
      <c r="E4630" s="7">
        <v>5.5600000000000007E-3</v>
      </c>
      <c r="F4630" s="7">
        <v>5.0000000000000001E-3</v>
      </c>
      <c r="G4630" s="7">
        <v>-6.5299999999999997E-2</v>
      </c>
    </row>
    <row r="4631" spans="2:7" x14ac:dyDescent="0.2">
      <c r="B4631" s="60">
        <v>42379</v>
      </c>
      <c r="C4631" s="7">
        <v>5.0649999999999992E-3</v>
      </c>
      <c r="D4631" s="7">
        <v>5.0660000000000002E-3</v>
      </c>
      <c r="E4631" s="7">
        <v>5.0660000000000002E-3</v>
      </c>
      <c r="F4631" s="7">
        <v>5.0649999999999992E-3</v>
      </c>
      <c r="G4631" s="7">
        <v>-5.3E-3</v>
      </c>
    </row>
    <row r="4632" spans="2:7" x14ac:dyDescent="0.2">
      <c r="B4632" s="60">
        <v>42380</v>
      </c>
      <c r="C4632" s="7">
        <v>5.4349999999999997E-3</v>
      </c>
      <c r="D4632" s="7">
        <v>5.1400000000000005E-3</v>
      </c>
      <c r="E4632" s="7">
        <v>5.5100000000000001E-3</v>
      </c>
      <c r="F4632" s="7">
        <v>5.0899999999999999E-3</v>
      </c>
      <c r="G4632" s="7">
        <v>7.3099999999999998E-2</v>
      </c>
    </row>
    <row r="4633" spans="2:7" x14ac:dyDescent="0.2">
      <c r="B4633" s="60">
        <v>42381</v>
      </c>
      <c r="C4633" s="7">
        <v>5.3020000000000003E-3</v>
      </c>
      <c r="D4633" s="7">
        <v>5.4200000000000003E-3</v>
      </c>
      <c r="E4633" s="7">
        <v>5.8299999999999992E-3</v>
      </c>
      <c r="F4633" s="7">
        <v>5.28E-3</v>
      </c>
      <c r="G4633" s="7">
        <v>-2.4500000000000001E-2</v>
      </c>
    </row>
    <row r="4634" spans="2:7" x14ac:dyDescent="0.2">
      <c r="B4634" s="60">
        <v>42382</v>
      </c>
      <c r="C4634" s="7">
        <v>5.0899999999999999E-3</v>
      </c>
      <c r="D4634" s="7">
        <v>5.3800000000000002E-3</v>
      </c>
      <c r="E4634" s="7">
        <v>5.5400000000000007E-3</v>
      </c>
      <c r="F4634" s="7">
        <v>5.0099999999999997E-3</v>
      </c>
      <c r="G4634" s="7">
        <v>-0.04</v>
      </c>
    </row>
    <row r="4635" spans="2:7" x14ac:dyDescent="0.2">
      <c r="B4635" s="60">
        <v>42383</v>
      </c>
      <c r="C4635" s="7">
        <v>5.0729999999999994E-3</v>
      </c>
      <c r="D4635" s="7">
        <v>5.0200000000000002E-3</v>
      </c>
      <c r="E4635" s="7">
        <v>5.1700000000000001E-3</v>
      </c>
      <c r="F4635" s="7">
        <v>4.7099999999999998E-3</v>
      </c>
      <c r="G4635" s="7">
        <v>-3.3E-3</v>
      </c>
    </row>
    <row r="4636" spans="2:7" x14ac:dyDescent="0.2">
      <c r="B4636" s="60">
        <v>42384</v>
      </c>
      <c r="C4636" s="7">
        <v>4.7260000000000002E-3</v>
      </c>
      <c r="D4636" s="7">
        <v>4.9800000000000001E-3</v>
      </c>
      <c r="E4636" s="7">
        <v>5.0899999999999999E-3</v>
      </c>
      <c r="F4636" s="7">
        <v>4.5700000000000003E-3</v>
      </c>
      <c r="G4636" s="7">
        <v>-6.8400000000000002E-2</v>
      </c>
    </row>
    <row r="4637" spans="2:7" x14ac:dyDescent="0.2">
      <c r="B4637" s="60">
        <v>42386</v>
      </c>
      <c r="C4637" s="7">
        <v>4.725E-3</v>
      </c>
      <c r="D4637" s="7">
        <v>4.725E-3</v>
      </c>
      <c r="E4637" s="7">
        <v>4.725E-3</v>
      </c>
      <c r="F4637" s="7">
        <v>4.725E-3</v>
      </c>
      <c r="G4637" s="7">
        <v>-2.0000000000000001E-4</v>
      </c>
    </row>
    <row r="4638" spans="2:7" x14ac:dyDescent="0.2">
      <c r="B4638" s="60">
        <v>42387</v>
      </c>
      <c r="C4638" s="7">
        <v>4.7029999999999997E-3</v>
      </c>
      <c r="D4638" s="7">
        <v>4.8599999999999997E-3</v>
      </c>
      <c r="E4638" s="7">
        <v>4.9699999999999996E-3</v>
      </c>
      <c r="F4638" s="7">
        <v>4.6500000000000005E-3</v>
      </c>
      <c r="G4638" s="7">
        <v>-4.7000000000000002E-3</v>
      </c>
    </row>
    <row r="4639" spans="2:7" x14ac:dyDescent="0.2">
      <c r="B4639" s="60">
        <v>42388</v>
      </c>
      <c r="C4639" s="7">
        <v>4.8339999999999998E-3</v>
      </c>
      <c r="D4639" s="7">
        <v>4.8399999999999997E-3</v>
      </c>
      <c r="E4639" s="7">
        <v>5.0699999999999999E-3</v>
      </c>
      <c r="F4639" s="7">
        <v>4.7199999999999994E-3</v>
      </c>
      <c r="G4639" s="7">
        <v>2.7900000000000001E-2</v>
      </c>
    </row>
    <row r="4640" spans="2:7" x14ac:dyDescent="0.2">
      <c r="B4640" s="60">
        <v>42389</v>
      </c>
      <c r="C4640" s="7">
        <v>4.8700000000000002E-3</v>
      </c>
      <c r="D4640" s="7">
        <v>5.2399999999999999E-3</v>
      </c>
      <c r="E4640" s="7">
        <v>5.2500000000000003E-3</v>
      </c>
      <c r="F4640" s="7">
        <v>4.7599999999999995E-3</v>
      </c>
      <c r="G4640" s="7">
        <v>7.4000000000000003E-3</v>
      </c>
    </row>
    <row r="4641" spans="2:7" x14ac:dyDescent="0.2">
      <c r="B4641" s="60">
        <v>42390</v>
      </c>
      <c r="C4641" s="7">
        <v>4.5500000000000002E-3</v>
      </c>
      <c r="D4641" s="7">
        <v>5.0099999999999997E-3</v>
      </c>
      <c r="E4641" s="7">
        <v>5.1000000000000004E-3</v>
      </c>
      <c r="F4641" s="7">
        <v>4.3299999999999996E-3</v>
      </c>
      <c r="G4641" s="7">
        <v>-6.5699999999999995E-2</v>
      </c>
    </row>
    <row r="4642" spans="2:7" x14ac:dyDescent="0.2">
      <c r="B4642" s="60">
        <v>42391</v>
      </c>
      <c r="C4642" s="7">
        <v>4.8500000000000001E-3</v>
      </c>
      <c r="D4642" s="7">
        <v>4.6600000000000001E-3</v>
      </c>
      <c r="E4642" s="7">
        <v>4.9899999999999996E-3</v>
      </c>
      <c r="F4642" s="7">
        <v>4.5500000000000002E-3</v>
      </c>
      <c r="G4642" s="7">
        <v>6.59E-2</v>
      </c>
    </row>
    <row r="4643" spans="2:7" x14ac:dyDescent="0.2">
      <c r="B4643" s="60">
        <v>42394</v>
      </c>
      <c r="C4643" s="7">
        <v>4.7699999999999999E-3</v>
      </c>
      <c r="D4643" s="7">
        <v>4.8700000000000002E-3</v>
      </c>
      <c r="E4643" s="7">
        <v>4.9300000000000004E-3</v>
      </c>
      <c r="F4643" s="7">
        <v>4.6600000000000001E-3</v>
      </c>
      <c r="G4643" s="7">
        <v>-1.6500000000000001E-2</v>
      </c>
    </row>
    <row r="4644" spans="2:7" x14ac:dyDescent="0.2">
      <c r="B4644" s="60">
        <v>42395</v>
      </c>
      <c r="C4644" s="7">
        <v>4.4299999999999999E-3</v>
      </c>
      <c r="D4644" s="7">
        <v>4.5599999999999998E-3</v>
      </c>
      <c r="E4644" s="7">
        <v>4.6500000000000005E-3</v>
      </c>
      <c r="F4644" s="7">
        <v>4.3299999999999996E-3</v>
      </c>
      <c r="G4644" s="7">
        <v>-7.1300000000000002E-2</v>
      </c>
    </row>
    <row r="4645" spans="2:7" x14ac:dyDescent="0.2">
      <c r="B4645" s="60">
        <v>42396</v>
      </c>
      <c r="C4645" s="7">
        <v>4.45E-3</v>
      </c>
      <c r="D4645" s="7">
        <v>4.4299999999999999E-3</v>
      </c>
      <c r="E4645" s="7">
        <v>4.5999999999999999E-3</v>
      </c>
      <c r="F4645" s="7">
        <v>4.2100000000000002E-3</v>
      </c>
      <c r="G4645" s="7">
        <v>4.4999999999999997E-3</v>
      </c>
    </row>
    <row r="4646" spans="2:7" x14ac:dyDescent="0.2">
      <c r="B4646" s="60">
        <v>42397</v>
      </c>
      <c r="C4646" s="7">
        <v>4.0600000000000002E-3</v>
      </c>
      <c r="D4646" s="7">
        <v>4.2699999999999995E-3</v>
      </c>
      <c r="E4646" s="7">
        <v>4.3699999999999998E-3</v>
      </c>
      <c r="F4646" s="7">
        <v>3.82E-3</v>
      </c>
      <c r="G4646" s="7">
        <v>-8.7599999999999997E-2</v>
      </c>
    </row>
    <row r="4647" spans="2:7" x14ac:dyDescent="0.2">
      <c r="B4647" s="60">
        <v>42398</v>
      </c>
      <c r="C4647" s="7">
        <v>3.3400000000000001E-3</v>
      </c>
      <c r="D4647" s="7">
        <v>3.7799999999999999E-3</v>
      </c>
      <c r="E4647" s="7">
        <v>3.82E-3</v>
      </c>
      <c r="F4647" s="7">
        <v>3.3E-3</v>
      </c>
      <c r="G4647" s="7">
        <v>-0.17730000000000001</v>
      </c>
    </row>
    <row r="4648" spans="2:7" x14ac:dyDescent="0.2">
      <c r="B4648" s="60">
        <v>42401</v>
      </c>
      <c r="C4648" s="7">
        <v>3.5999999999999999E-3</v>
      </c>
      <c r="D4648" s="7">
        <v>3.3600000000000001E-3</v>
      </c>
      <c r="E4648" s="7">
        <v>3.62E-3</v>
      </c>
      <c r="F4648" s="7">
        <v>3.0599999999999998E-3</v>
      </c>
      <c r="G4648" s="7">
        <v>7.7799999999999994E-2</v>
      </c>
    </row>
    <row r="4649" spans="2:7" x14ac:dyDescent="0.2">
      <c r="B4649" s="60">
        <v>42402</v>
      </c>
      <c r="C4649" s="7">
        <v>3.14E-3</v>
      </c>
      <c r="D4649" s="7">
        <v>3.3600000000000001E-3</v>
      </c>
      <c r="E4649" s="7">
        <v>3.4000000000000002E-3</v>
      </c>
      <c r="F4649" s="7">
        <v>3.0100000000000001E-3</v>
      </c>
      <c r="G4649" s="7">
        <v>-0.1278</v>
      </c>
    </row>
    <row r="4650" spans="2:7" x14ac:dyDescent="0.2">
      <c r="B4650" s="60">
        <v>42403</v>
      </c>
      <c r="C4650" s="7">
        <v>2.7500000000000003E-3</v>
      </c>
      <c r="D4650" s="7">
        <v>3.0100000000000001E-3</v>
      </c>
      <c r="E4650" s="7">
        <v>3.2799999999999999E-3</v>
      </c>
      <c r="F4650" s="7">
        <v>2.65E-3</v>
      </c>
      <c r="G4650" s="7">
        <v>-0.1242</v>
      </c>
    </row>
    <row r="4651" spans="2:7" x14ac:dyDescent="0.2">
      <c r="B4651" s="60">
        <v>42404</v>
      </c>
      <c r="C4651" s="7">
        <v>3.0799999999999998E-3</v>
      </c>
      <c r="D4651" s="7">
        <v>2.97E-3</v>
      </c>
      <c r="E4651" s="7">
        <v>3.29E-3</v>
      </c>
      <c r="F4651" s="7">
        <v>2.8899999999999998E-3</v>
      </c>
      <c r="G4651" s="7">
        <v>0.12</v>
      </c>
    </row>
    <row r="4652" spans="2:7" x14ac:dyDescent="0.2">
      <c r="B4652" s="60">
        <v>42405</v>
      </c>
      <c r="C4652" s="7">
        <v>3.0100000000000001E-3</v>
      </c>
      <c r="D4652" s="7">
        <v>2.8899999999999998E-3</v>
      </c>
      <c r="E4652" s="7">
        <v>3.29E-3</v>
      </c>
      <c r="F4652" s="7">
        <v>2.8100000000000004E-3</v>
      </c>
      <c r="G4652" s="7">
        <v>-2.2700000000000001E-2</v>
      </c>
    </row>
    <row r="4653" spans="2:7" x14ac:dyDescent="0.2">
      <c r="B4653" s="60">
        <v>42408</v>
      </c>
      <c r="C4653" s="7">
        <v>2.2500000000000003E-3</v>
      </c>
      <c r="D4653" s="7">
        <v>2.96E-3</v>
      </c>
      <c r="E4653" s="7">
        <v>3.0200000000000001E-3</v>
      </c>
      <c r="F4653" s="7">
        <v>2.2000000000000001E-3</v>
      </c>
      <c r="G4653" s="7">
        <v>-0.2525</v>
      </c>
    </row>
    <row r="4654" spans="2:7" x14ac:dyDescent="0.2">
      <c r="B4654" s="60">
        <v>42409</v>
      </c>
      <c r="C4654" s="7">
        <v>2.3899999999999998E-3</v>
      </c>
      <c r="D4654" s="7">
        <v>2.0300000000000001E-3</v>
      </c>
      <c r="E4654" s="7">
        <v>2.7100000000000002E-3</v>
      </c>
      <c r="F4654" s="7">
        <v>1.9400000000000001E-3</v>
      </c>
      <c r="G4654" s="7">
        <v>6.2199999999999998E-2</v>
      </c>
    </row>
    <row r="4655" spans="2:7" x14ac:dyDescent="0.2">
      <c r="B4655" s="60">
        <v>42410</v>
      </c>
      <c r="C4655" s="7">
        <v>2.5000000000000001E-3</v>
      </c>
      <c r="D4655" s="7">
        <v>2.2699999999999999E-3</v>
      </c>
      <c r="E4655" s="7">
        <v>2.6900000000000001E-3</v>
      </c>
      <c r="F4655" s="7">
        <v>2.2699999999999999E-3</v>
      </c>
      <c r="G4655" s="7">
        <v>4.5999999999999999E-2</v>
      </c>
    </row>
    <row r="4656" spans="2:7" x14ac:dyDescent="0.2">
      <c r="B4656" s="60">
        <v>42411</v>
      </c>
      <c r="C4656" s="7">
        <v>1.7699999999999999E-3</v>
      </c>
      <c r="D4656" s="7">
        <v>2.1700000000000001E-3</v>
      </c>
      <c r="E4656" s="7">
        <v>2.1700000000000001E-3</v>
      </c>
      <c r="F4656" s="7">
        <v>1.32E-3</v>
      </c>
      <c r="G4656" s="7">
        <v>-0.29199999999999998</v>
      </c>
    </row>
    <row r="4657" spans="2:7" x14ac:dyDescent="0.2">
      <c r="B4657" s="60">
        <v>42412</v>
      </c>
      <c r="C4657" s="7">
        <v>2.65E-3</v>
      </c>
      <c r="D4657" s="7">
        <v>2.2300000000000002E-3</v>
      </c>
      <c r="E4657" s="7">
        <v>2.6700000000000001E-3</v>
      </c>
      <c r="F4657" s="7">
        <v>1.98E-3</v>
      </c>
      <c r="G4657" s="7">
        <v>0.49719999999999998</v>
      </c>
    </row>
    <row r="4658" spans="2:7" x14ac:dyDescent="0.2">
      <c r="B4658" s="60">
        <v>42414</v>
      </c>
      <c r="C4658" s="7">
        <v>2.64E-3</v>
      </c>
      <c r="D4658" s="7">
        <v>2.64E-3</v>
      </c>
      <c r="E4658" s="7">
        <v>2.64E-3</v>
      </c>
      <c r="F4658" s="7">
        <v>2.64E-3</v>
      </c>
      <c r="G4658" s="7">
        <v>-3.8E-3</v>
      </c>
    </row>
    <row r="4659" spans="2:7" x14ac:dyDescent="0.2">
      <c r="B4659" s="60">
        <v>42415</v>
      </c>
      <c r="C4659" s="7">
        <v>2.3999999999999998E-3</v>
      </c>
      <c r="D4659" s="7">
        <v>2.7800000000000004E-3</v>
      </c>
      <c r="E4659" s="7">
        <v>2.99E-3</v>
      </c>
      <c r="F4659" s="7">
        <v>2.2599999999999999E-3</v>
      </c>
      <c r="G4659" s="7">
        <v>-9.0899999999999995E-2</v>
      </c>
    </row>
    <row r="4660" spans="2:7" x14ac:dyDescent="0.2">
      <c r="B4660" s="60">
        <v>42416</v>
      </c>
      <c r="C4660" s="7">
        <v>2.6199999999999999E-3</v>
      </c>
      <c r="D4660" s="7">
        <v>2.5400000000000002E-3</v>
      </c>
      <c r="E4660" s="7">
        <v>2.8100000000000004E-3</v>
      </c>
      <c r="F4660" s="7">
        <v>2.3999999999999998E-3</v>
      </c>
      <c r="G4660" s="7">
        <v>9.1700000000000004E-2</v>
      </c>
    </row>
    <row r="4661" spans="2:7" x14ac:dyDescent="0.2">
      <c r="B4661" s="60">
        <v>42417</v>
      </c>
      <c r="C4661" s="7">
        <v>2.7500000000000003E-3</v>
      </c>
      <c r="D4661" s="7">
        <v>2.49E-3</v>
      </c>
      <c r="E4661" s="7">
        <v>2.8599999999999997E-3</v>
      </c>
      <c r="F4661" s="7">
        <v>2.4199999999999998E-3</v>
      </c>
      <c r="G4661" s="7">
        <v>4.9599999999999998E-2</v>
      </c>
    </row>
    <row r="4662" spans="2:7" x14ac:dyDescent="0.2">
      <c r="B4662" s="60">
        <v>42418</v>
      </c>
      <c r="C4662" s="7">
        <v>2.14E-3</v>
      </c>
      <c r="D4662" s="7">
        <v>2.6099999999999999E-3</v>
      </c>
      <c r="E4662" s="7">
        <v>2.6800000000000001E-3</v>
      </c>
      <c r="F4662" s="7">
        <v>2.0899999999999998E-3</v>
      </c>
      <c r="G4662" s="7">
        <v>-0.2218</v>
      </c>
    </row>
    <row r="4663" spans="2:7" x14ac:dyDescent="0.2">
      <c r="B4663" s="60">
        <v>42419</v>
      </c>
      <c r="C4663" s="7">
        <v>2.0499999999999997E-3</v>
      </c>
      <c r="D4663" s="7">
        <v>2.0699999999999998E-3</v>
      </c>
      <c r="E4663" s="7">
        <v>2.2000000000000001E-3</v>
      </c>
      <c r="F4663" s="7">
        <v>1.7899999999999999E-3</v>
      </c>
      <c r="G4663" s="7">
        <v>-4.2099999999999999E-2</v>
      </c>
    </row>
    <row r="4664" spans="2:7" x14ac:dyDescent="0.2">
      <c r="B4664" s="60">
        <v>42422</v>
      </c>
      <c r="C4664" s="7">
        <v>1.7899999999999999E-3</v>
      </c>
      <c r="D4664" s="7">
        <v>2.14E-3</v>
      </c>
      <c r="E4664" s="7">
        <v>2.1800000000000001E-3</v>
      </c>
      <c r="F4664" s="7">
        <v>1.7299999999999998E-3</v>
      </c>
      <c r="G4664" s="7">
        <v>-0.1268</v>
      </c>
    </row>
    <row r="4665" spans="2:7" x14ac:dyDescent="0.2">
      <c r="B4665" s="60">
        <v>42423</v>
      </c>
      <c r="C4665" s="7">
        <v>1.8500000000000001E-3</v>
      </c>
      <c r="D4665" s="7">
        <v>1.8500000000000001E-3</v>
      </c>
      <c r="E4665" s="7">
        <v>2.2899999999999999E-3</v>
      </c>
      <c r="F4665" s="7">
        <v>1.7499999999999998E-3</v>
      </c>
      <c r="G4665" s="7">
        <v>3.3500000000000002E-2</v>
      </c>
    </row>
    <row r="4666" spans="2:7" x14ac:dyDescent="0.2">
      <c r="B4666" s="60">
        <v>42424</v>
      </c>
      <c r="C4666" s="7">
        <v>1.49E-3</v>
      </c>
      <c r="D4666" s="7">
        <v>1.72E-3</v>
      </c>
      <c r="E4666" s="7">
        <v>1.7799999999999999E-3</v>
      </c>
      <c r="F4666" s="7">
        <v>1.2700000000000001E-3</v>
      </c>
      <c r="G4666" s="7">
        <v>-0.1946</v>
      </c>
    </row>
    <row r="4667" spans="2:7" x14ac:dyDescent="0.2">
      <c r="B4667" s="60">
        <v>42425</v>
      </c>
      <c r="C4667" s="7">
        <v>1.3700000000000001E-3</v>
      </c>
      <c r="D4667" s="7">
        <v>1.6300000000000002E-3</v>
      </c>
      <c r="E4667" s="7">
        <v>1.7100000000000001E-3</v>
      </c>
      <c r="F4667" s="7">
        <v>1.31E-3</v>
      </c>
      <c r="G4667" s="7">
        <v>-8.0500000000000002E-2</v>
      </c>
    </row>
    <row r="4668" spans="2:7" x14ac:dyDescent="0.2">
      <c r="B4668" s="60">
        <v>42426</v>
      </c>
      <c r="C4668" s="7">
        <v>1.4599999999999999E-3</v>
      </c>
      <c r="D4668" s="7">
        <v>1.3700000000000001E-3</v>
      </c>
      <c r="E4668" s="7">
        <v>1.6000000000000001E-3</v>
      </c>
      <c r="F4668" s="7">
        <v>1.3600000000000001E-3</v>
      </c>
      <c r="G4668" s="7">
        <v>6.5699999999999995E-2</v>
      </c>
    </row>
    <row r="4669" spans="2:7" x14ac:dyDescent="0.2">
      <c r="B4669" s="60">
        <v>42427</v>
      </c>
      <c r="C4669" s="7">
        <v>1.4599999999999999E-3</v>
      </c>
      <c r="D4669" s="7">
        <v>1.49E-3</v>
      </c>
      <c r="E4669" s="7">
        <v>1.49E-3</v>
      </c>
      <c r="F4669" s="7">
        <v>1.4599999999999999E-3</v>
      </c>
      <c r="G4669" s="7">
        <v>0</v>
      </c>
    </row>
    <row r="4670" spans="2:7" x14ac:dyDescent="0.2">
      <c r="B4670" s="60">
        <v>42429</v>
      </c>
      <c r="C4670" s="7">
        <v>1.08E-3</v>
      </c>
      <c r="D4670" s="7">
        <v>1.3800000000000002E-3</v>
      </c>
      <c r="E4670" s="7">
        <v>1.5100000000000001E-3</v>
      </c>
      <c r="F4670" s="7">
        <v>1.0299999999999999E-3</v>
      </c>
      <c r="G4670" s="7">
        <v>-0.26029999999999998</v>
      </c>
    </row>
    <row r="4671" spans="2:7" x14ac:dyDescent="0.2">
      <c r="B4671" s="60">
        <v>42430</v>
      </c>
      <c r="C4671" s="7">
        <v>1.5E-3</v>
      </c>
      <c r="D4671" s="7">
        <v>1.08E-3</v>
      </c>
      <c r="E4671" s="7">
        <v>1.6100000000000001E-3</v>
      </c>
      <c r="F4671" s="7">
        <v>1.08E-3</v>
      </c>
      <c r="G4671" s="7">
        <v>0.38890000000000002</v>
      </c>
    </row>
    <row r="4672" spans="2:7" x14ac:dyDescent="0.2">
      <c r="B4672" s="60">
        <v>42431</v>
      </c>
      <c r="C4672" s="7">
        <v>2.1299999999999999E-3</v>
      </c>
      <c r="D4672" s="7">
        <v>1.6200000000000001E-3</v>
      </c>
      <c r="E4672" s="7">
        <v>2.16E-3</v>
      </c>
      <c r="F4672" s="7">
        <v>1.6000000000000001E-3</v>
      </c>
      <c r="G4672" s="7">
        <v>0.42</v>
      </c>
    </row>
    <row r="4673" spans="2:7" x14ac:dyDescent="0.2">
      <c r="B4673" s="60">
        <v>42432</v>
      </c>
      <c r="C4673" s="7">
        <v>1.7100000000000001E-3</v>
      </c>
      <c r="D4673" s="7">
        <v>2.2200000000000002E-3</v>
      </c>
      <c r="E4673" s="7">
        <v>2.3899999999999998E-3</v>
      </c>
      <c r="F4673" s="7">
        <v>1.7100000000000001E-3</v>
      </c>
      <c r="G4673" s="7">
        <v>-0.19719999999999999</v>
      </c>
    </row>
    <row r="4674" spans="2:7" x14ac:dyDescent="0.2">
      <c r="B4674" s="60">
        <v>42433</v>
      </c>
      <c r="C4674" s="7">
        <v>2.3899999999999998E-3</v>
      </c>
      <c r="D4674" s="7">
        <v>1.72E-3</v>
      </c>
      <c r="E4674" s="7">
        <v>2.4199999999999998E-3</v>
      </c>
      <c r="F4674" s="7">
        <v>1.7000000000000001E-3</v>
      </c>
      <c r="G4674" s="7">
        <v>0.3977</v>
      </c>
    </row>
    <row r="4675" spans="2:7" x14ac:dyDescent="0.2">
      <c r="B4675" s="60">
        <v>42436</v>
      </c>
      <c r="C4675" s="7">
        <v>2.1800000000000001E-3</v>
      </c>
      <c r="D4675" s="7">
        <v>2.16E-3</v>
      </c>
      <c r="E4675" s="7">
        <v>2.2200000000000002E-3</v>
      </c>
      <c r="F4675" s="7">
        <v>1.98E-3</v>
      </c>
      <c r="G4675" s="7">
        <v>-8.7900000000000006E-2</v>
      </c>
    </row>
    <row r="4676" spans="2:7" x14ac:dyDescent="0.2">
      <c r="B4676" s="60">
        <v>42437</v>
      </c>
      <c r="C4676" s="7">
        <v>1.7899999999999999E-3</v>
      </c>
      <c r="D4676" s="7">
        <v>2.0799999999999998E-3</v>
      </c>
      <c r="E4676" s="7">
        <v>2.0799999999999998E-3</v>
      </c>
      <c r="F4676" s="7">
        <v>1.64E-3</v>
      </c>
      <c r="G4676" s="7">
        <v>-0.1789</v>
      </c>
    </row>
    <row r="4677" spans="2:7" x14ac:dyDescent="0.2">
      <c r="B4677" s="60">
        <v>42438</v>
      </c>
      <c r="C4677" s="7">
        <v>2.3799999999999997E-3</v>
      </c>
      <c r="D4677" s="7">
        <v>2.0699999999999998E-3</v>
      </c>
      <c r="E4677" s="7">
        <v>2.4199999999999998E-3</v>
      </c>
      <c r="F4677" s="7">
        <v>1.9599999999999999E-3</v>
      </c>
      <c r="G4677" s="7">
        <v>0.3296</v>
      </c>
    </row>
    <row r="4678" spans="2:7" x14ac:dyDescent="0.2">
      <c r="B4678" s="60">
        <v>42439</v>
      </c>
      <c r="C4678" s="7">
        <v>2.97E-3</v>
      </c>
      <c r="D4678" s="7">
        <v>2.4199999999999998E-3</v>
      </c>
      <c r="E4678" s="7">
        <v>3.3E-3</v>
      </c>
      <c r="F4678" s="7">
        <v>1.6000000000000001E-3</v>
      </c>
      <c r="G4678" s="7">
        <v>0.24790000000000001</v>
      </c>
    </row>
    <row r="4679" spans="2:7" x14ac:dyDescent="0.2">
      <c r="B4679" s="60">
        <v>42440</v>
      </c>
      <c r="C4679" s="7">
        <v>2.8000000000000004E-3</v>
      </c>
      <c r="D4679" s="7">
        <v>3.14E-3</v>
      </c>
      <c r="E4679" s="7">
        <v>3.2100000000000002E-3</v>
      </c>
      <c r="F4679" s="7">
        <v>2.5100000000000001E-3</v>
      </c>
      <c r="G4679" s="7">
        <v>-5.7200000000000001E-2</v>
      </c>
    </row>
    <row r="4680" spans="2:7" x14ac:dyDescent="0.2">
      <c r="B4680" s="60">
        <v>42443</v>
      </c>
      <c r="C4680" s="7">
        <v>2.8000000000000004E-3</v>
      </c>
      <c r="D4680" s="7">
        <v>2.7300000000000002E-3</v>
      </c>
      <c r="E4680" s="7">
        <v>2.8299999999999996E-3</v>
      </c>
      <c r="F4680" s="7">
        <v>2.3799999999999997E-3</v>
      </c>
      <c r="G4680" s="7">
        <v>0</v>
      </c>
    </row>
    <row r="4681" spans="2:7" x14ac:dyDescent="0.2">
      <c r="B4681" s="60">
        <v>42444</v>
      </c>
      <c r="C4681" s="7">
        <v>3.16E-3</v>
      </c>
      <c r="D4681" s="7">
        <v>2.9099999999999998E-3</v>
      </c>
      <c r="E4681" s="7">
        <v>3.2000000000000002E-3</v>
      </c>
      <c r="F4681" s="7">
        <v>2.7000000000000001E-3</v>
      </c>
      <c r="G4681" s="7">
        <v>0.12859999999999999</v>
      </c>
    </row>
    <row r="4682" spans="2:7" x14ac:dyDescent="0.2">
      <c r="B4682" s="60">
        <v>42445</v>
      </c>
      <c r="C4682" s="7">
        <v>3.0999999999999999E-3</v>
      </c>
      <c r="D4682" s="7">
        <v>3.1099999999999999E-3</v>
      </c>
      <c r="E4682" s="7">
        <v>3.1700000000000001E-3</v>
      </c>
      <c r="F4682" s="7">
        <v>2.7700000000000003E-3</v>
      </c>
      <c r="G4682" s="7">
        <v>-1.9E-2</v>
      </c>
    </row>
    <row r="4683" spans="2:7" x14ac:dyDescent="0.2">
      <c r="B4683" s="60">
        <v>42446</v>
      </c>
      <c r="C4683" s="7">
        <v>2.33E-3</v>
      </c>
      <c r="D4683" s="7">
        <v>2.5300000000000001E-3</v>
      </c>
      <c r="E4683" s="7">
        <v>2.66E-3</v>
      </c>
      <c r="F4683" s="7">
        <v>2.2500000000000003E-3</v>
      </c>
      <c r="G4683" s="7">
        <v>-0.24840000000000001</v>
      </c>
    </row>
    <row r="4684" spans="2:7" x14ac:dyDescent="0.2">
      <c r="B4684" s="60">
        <v>42447</v>
      </c>
      <c r="C4684" s="7">
        <v>2.1800000000000001E-3</v>
      </c>
      <c r="D4684" s="7">
        <v>2.14E-3</v>
      </c>
      <c r="E4684" s="7">
        <v>2.32E-3</v>
      </c>
      <c r="F4684" s="7">
        <v>1.98E-3</v>
      </c>
      <c r="G4684" s="7">
        <v>-6.4399999999999999E-2</v>
      </c>
    </row>
    <row r="4685" spans="2:7" x14ac:dyDescent="0.2">
      <c r="B4685" s="60">
        <v>42450</v>
      </c>
      <c r="C4685" s="7">
        <v>2.31E-3</v>
      </c>
      <c r="D4685" s="7">
        <v>2.1299999999999999E-3</v>
      </c>
      <c r="E4685" s="7">
        <v>2.4099999999999998E-3</v>
      </c>
      <c r="F4685" s="7">
        <v>1.8500000000000001E-3</v>
      </c>
      <c r="G4685" s="7">
        <v>5.96E-2</v>
      </c>
    </row>
    <row r="4686" spans="2:7" x14ac:dyDescent="0.2">
      <c r="B4686" s="60">
        <v>42451</v>
      </c>
      <c r="C4686" s="7">
        <v>2.0999999999999999E-3</v>
      </c>
      <c r="D4686" s="7">
        <v>2.2100000000000002E-3</v>
      </c>
      <c r="E4686" s="7">
        <v>2.33E-3</v>
      </c>
      <c r="F4686" s="7">
        <v>1.83E-3</v>
      </c>
      <c r="G4686" s="7">
        <v>-9.0899999999999995E-2</v>
      </c>
    </row>
    <row r="4687" spans="2:7" x14ac:dyDescent="0.2">
      <c r="B4687" s="60">
        <v>42452</v>
      </c>
      <c r="C4687" s="7">
        <v>1.98E-3</v>
      </c>
      <c r="D4687" s="7">
        <v>2.2699999999999999E-3</v>
      </c>
      <c r="E4687" s="7">
        <v>2.3799999999999997E-3</v>
      </c>
      <c r="F4687" s="7">
        <v>1.97E-3</v>
      </c>
      <c r="G4687" s="7">
        <v>-5.7099999999999998E-2</v>
      </c>
    </row>
    <row r="4688" spans="2:7" x14ac:dyDescent="0.2">
      <c r="B4688" s="60">
        <v>42453</v>
      </c>
      <c r="C4688" s="7">
        <v>1.7899999999999999E-3</v>
      </c>
      <c r="D4688" s="7">
        <v>1.8699999999999999E-3</v>
      </c>
      <c r="E4688" s="7">
        <v>1.9400000000000001E-3</v>
      </c>
      <c r="F4688" s="7">
        <v>1.5900000000000001E-3</v>
      </c>
      <c r="G4688" s="7">
        <v>-9.6000000000000002E-2</v>
      </c>
    </row>
    <row r="4689" spans="2:7" x14ac:dyDescent="0.2">
      <c r="B4689" s="60">
        <v>42458</v>
      </c>
      <c r="C4689" s="7">
        <v>1.4099999999999998E-3</v>
      </c>
      <c r="D4689" s="7">
        <v>1.7799999999999999E-3</v>
      </c>
      <c r="E4689" s="7">
        <v>1.7799999999999999E-3</v>
      </c>
      <c r="F4689" s="7">
        <v>1.3900000000000002E-3</v>
      </c>
      <c r="G4689" s="7">
        <v>-0.21229999999999999</v>
      </c>
    </row>
    <row r="4690" spans="2:7" x14ac:dyDescent="0.2">
      <c r="B4690" s="60">
        <v>42459</v>
      </c>
      <c r="C4690" s="7">
        <v>1.64E-3</v>
      </c>
      <c r="D4690" s="7">
        <v>1.33E-3</v>
      </c>
      <c r="E4690" s="7">
        <v>1.7299999999999998E-3</v>
      </c>
      <c r="F4690" s="7">
        <v>1.23E-3</v>
      </c>
      <c r="G4690" s="7">
        <v>0.16309999999999999</v>
      </c>
    </row>
    <row r="4691" spans="2:7" x14ac:dyDescent="0.2">
      <c r="B4691" s="60">
        <v>42460</v>
      </c>
      <c r="C4691" s="7">
        <v>1.56E-3</v>
      </c>
      <c r="D4691" s="7">
        <v>1.4000000000000002E-3</v>
      </c>
      <c r="E4691" s="7">
        <v>1.8E-3</v>
      </c>
      <c r="F4691" s="7">
        <v>1.3700000000000001E-3</v>
      </c>
      <c r="G4691" s="7">
        <v>-4.8800000000000003E-2</v>
      </c>
    </row>
    <row r="4692" spans="2:7" x14ac:dyDescent="0.2">
      <c r="B4692" s="60">
        <v>42461</v>
      </c>
      <c r="C4692" s="7">
        <v>1.4499999999999999E-3</v>
      </c>
      <c r="D4692" s="7">
        <v>1.5E-3</v>
      </c>
      <c r="E4692" s="7">
        <v>1.64E-3</v>
      </c>
      <c r="F4692" s="7">
        <v>1.2800000000000001E-3</v>
      </c>
      <c r="G4692" s="7">
        <v>-7.0499999999999993E-2</v>
      </c>
    </row>
    <row r="4693" spans="2:7" x14ac:dyDescent="0.2">
      <c r="B4693" s="60">
        <v>42464</v>
      </c>
      <c r="C4693" s="7">
        <v>1.2800000000000001E-3</v>
      </c>
      <c r="D4693" s="7">
        <v>1.1999999999999999E-3</v>
      </c>
      <c r="E4693" s="7">
        <v>1.5100000000000001E-3</v>
      </c>
      <c r="F4693" s="7">
        <v>1.1899999999999999E-3</v>
      </c>
      <c r="G4693" s="7">
        <v>-0.1172</v>
      </c>
    </row>
    <row r="4694" spans="2:7" x14ac:dyDescent="0.2">
      <c r="B4694" s="60">
        <v>42465</v>
      </c>
      <c r="C4694" s="7">
        <v>1.0499999999999999E-3</v>
      </c>
      <c r="D4694" s="7">
        <v>1.1999999999999999E-3</v>
      </c>
      <c r="E4694" s="7">
        <v>1.1999999999999999E-3</v>
      </c>
      <c r="F4694" s="7">
        <v>8.1000000000000006E-4</v>
      </c>
      <c r="G4694" s="7">
        <v>-0.1797</v>
      </c>
    </row>
    <row r="4695" spans="2:7" x14ac:dyDescent="0.2">
      <c r="B4695" s="60">
        <v>42466</v>
      </c>
      <c r="C4695" s="7">
        <v>1.16E-3</v>
      </c>
      <c r="D4695" s="7">
        <v>1.0499999999999999E-3</v>
      </c>
      <c r="E4695" s="7">
        <v>1.31E-3</v>
      </c>
      <c r="F4695" s="7">
        <v>9.2999999999999995E-4</v>
      </c>
      <c r="G4695" s="7">
        <v>0.1048</v>
      </c>
    </row>
    <row r="4696" spans="2:7" x14ac:dyDescent="0.2">
      <c r="B4696" s="60">
        <v>42467</v>
      </c>
      <c r="C4696" s="7">
        <v>8.699999999999999E-4</v>
      </c>
      <c r="D4696" s="7">
        <v>1.1299999999999999E-3</v>
      </c>
      <c r="E4696" s="7">
        <v>1.25E-3</v>
      </c>
      <c r="F4696" s="7">
        <v>8.5000000000000006E-4</v>
      </c>
      <c r="G4696" s="7">
        <v>-0.25</v>
      </c>
    </row>
    <row r="4697" spans="2:7" x14ac:dyDescent="0.2">
      <c r="B4697" s="60">
        <v>42468</v>
      </c>
      <c r="C4697" s="7">
        <v>9.7000000000000005E-4</v>
      </c>
      <c r="D4697" s="7">
        <v>9.8999999999999999E-4</v>
      </c>
      <c r="E4697" s="7">
        <v>1.1200000000000001E-3</v>
      </c>
      <c r="F4697" s="7">
        <v>8.9999999999999998E-4</v>
      </c>
      <c r="G4697" s="7">
        <v>0.1149</v>
      </c>
    </row>
    <row r="4698" spans="2:7" x14ac:dyDescent="0.2">
      <c r="B4698" s="60">
        <v>42471</v>
      </c>
      <c r="C4698" s="7">
        <v>1.17E-3</v>
      </c>
      <c r="D4698" s="7">
        <v>9.1E-4</v>
      </c>
      <c r="E4698" s="7">
        <v>1.3500000000000001E-3</v>
      </c>
      <c r="F4698" s="7">
        <v>7.5000000000000002E-4</v>
      </c>
      <c r="G4698" s="7">
        <v>0.20619999999999999</v>
      </c>
    </row>
    <row r="4699" spans="2:7" x14ac:dyDescent="0.2">
      <c r="B4699" s="60">
        <v>42472</v>
      </c>
      <c r="C4699" s="7">
        <v>1.6000000000000001E-3</v>
      </c>
      <c r="D4699" s="7">
        <v>1.23E-3</v>
      </c>
      <c r="E4699" s="7">
        <v>1.66E-3</v>
      </c>
      <c r="F4699" s="7">
        <v>1.17E-3</v>
      </c>
      <c r="G4699" s="7">
        <v>0.36749999999999999</v>
      </c>
    </row>
    <row r="4700" spans="2:7" x14ac:dyDescent="0.2">
      <c r="B4700" s="60">
        <v>42473</v>
      </c>
      <c r="C4700" s="7">
        <v>1.3700000000000001E-3</v>
      </c>
      <c r="D4700" s="7">
        <v>1.72E-3</v>
      </c>
      <c r="E4700" s="7">
        <v>1.7399999999999998E-3</v>
      </c>
      <c r="F4700" s="7">
        <v>1.34E-3</v>
      </c>
      <c r="G4700" s="7">
        <v>-0.14380000000000001</v>
      </c>
    </row>
    <row r="4701" spans="2:7" x14ac:dyDescent="0.2">
      <c r="B4701" s="60">
        <v>42474</v>
      </c>
      <c r="C4701" s="7">
        <v>1.6300000000000002E-3</v>
      </c>
      <c r="D4701" s="7">
        <v>1.31E-3</v>
      </c>
      <c r="E4701" s="7">
        <v>1.82E-3</v>
      </c>
      <c r="F4701" s="7">
        <v>1.24E-3</v>
      </c>
      <c r="G4701" s="7">
        <v>0.1898</v>
      </c>
    </row>
    <row r="4702" spans="2:7" x14ac:dyDescent="0.2">
      <c r="B4702" s="60">
        <v>42475</v>
      </c>
      <c r="C4702" s="7">
        <v>1.33E-3</v>
      </c>
      <c r="D4702" s="7">
        <v>1.7299999999999998E-3</v>
      </c>
      <c r="E4702" s="7">
        <v>1.7299999999999998E-3</v>
      </c>
      <c r="F4702" s="7">
        <v>1.2600000000000001E-3</v>
      </c>
      <c r="G4702" s="7">
        <v>-0.184</v>
      </c>
    </row>
    <row r="4703" spans="2:7" x14ac:dyDescent="0.2">
      <c r="B4703" s="60">
        <v>42478</v>
      </c>
      <c r="C4703" s="7">
        <v>1.7000000000000001E-3</v>
      </c>
      <c r="D4703" s="7">
        <v>1.2700000000000001E-3</v>
      </c>
      <c r="E4703" s="7">
        <v>1.7000000000000001E-3</v>
      </c>
      <c r="F4703" s="7">
        <v>1.14E-3</v>
      </c>
      <c r="G4703" s="7">
        <v>0.2782</v>
      </c>
    </row>
    <row r="4704" spans="2:7" x14ac:dyDescent="0.2">
      <c r="B4704" s="60">
        <v>42479</v>
      </c>
      <c r="C4704" s="7">
        <v>1.7799999999999999E-3</v>
      </c>
      <c r="D4704" s="7">
        <v>1.67E-3</v>
      </c>
      <c r="E4704" s="7">
        <v>1.89E-3</v>
      </c>
      <c r="F4704" s="7">
        <v>1.5299999999999999E-3</v>
      </c>
      <c r="G4704" s="7">
        <v>4.7100000000000003E-2</v>
      </c>
    </row>
    <row r="4705" spans="2:7" x14ac:dyDescent="0.2">
      <c r="B4705" s="60">
        <v>42480</v>
      </c>
      <c r="C4705" s="7">
        <v>1.5E-3</v>
      </c>
      <c r="D4705" s="7">
        <v>1.57E-3</v>
      </c>
      <c r="E4705" s="7">
        <v>1.7100000000000001E-3</v>
      </c>
      <c r="F4705" s="7">
        <v>1.4299999999999998E-3</v>
      </c>
      <c r="G4705" s="7">
        <v>-0.1573</v>
      </c>
    </row>
    <row r="4706" spans="2:7" x14ac:dyDescent="0.2">
      <c r="B4706" s="60">
        <v>42481</v>
      </c>
      <c r="C4706" s="7">
        <v>2.33E-3</v>
      </c>
      <c r="D4706" s="7">
        <v>1.7599999999999998E-3</v>
      </c>
      <c r="E4706" s="7">
        <v>2.4199999999999998E-3</v>
      </c>
      <c r="F4706" s="7">
        <v>1.72E-3</v>
      </c>
      <c r="G4706" s="7">
        <v>0.55330000000000001</v>
      </c>
    </row>
    <row r="4707" spans="2:7" x14ac:dyDescent="0.2">
      <c r="B4707" s="60">
        <v>42482</v>
      </c>
      <c r="C4707" s="7">
        <v>2.32E-3</v>
      </c>
      <c r="D4707" s="7">
        <v>2.2100000000000002E-3</v>
      </c>
      <c r="E4707" s="7">
        <v>2.4199999999999998E-3</v>
      </c>
      <c r="F4707" s="7">
        <v>2.1900000000000001E-3</v>
      </c>
      <c r="G4707" s="7">
        <v>-4.3E-3</v>
      </c>
    </row>
    <row r="4708" spans="2:7" x14ac:dyDescent="0.2">
      <c r="B4708" s="60">
        <v>42485</v>
      </c>
      <c r="C4708" s="7">
        <v>2.6800000000000001E-3</v>
      </c>
      <c r="D4708" s="7">
        <v>2.2400000000000002E-3</v>
      </c>
      <c r="E4708" s="7">
        <v>2.7800000000000004E-3</v>
      </c>
      <c r="F4708" s="7">
        <v>2.1199999999999999E-3</v>
      </c>
      <c r="G4708" s="7">
        <v>0.1552</v>
      </c>
    </row>
    <row r="4709" spans="2:7" x14ac:dyDescent="0.2">
      <c r="B4709" s="60">
        <v>42486</v>
      </c>
      <c r="C4709" s="7">
        <v>3.0200000000000001E-3</v>
      </c>
      <c r="D4709" s="7">
        <v>2.5900000000000003E-3</v>
      </c>
      <c r="E4709" s="7">
        <v>3.0399999999999997E-3</v>
      </c>
      <c r="F4709" s="7">
        <v>2.5000000000000001E-3</v>
      </c>
      <c r="G4709" s="7">
        <v>0.12690000000000001</v>
      </c>
    </row>
    <row r="4710" spans="2:7" x14ac:dyDescent="0.2">
      <c r="B4710" s="60">
        <v>42487</v>
      </c>
      <c r="C4710" s="7">
        <v>2.8999999999999998E-3</v>
      </c>
      <c r="D4710" s="7">
        <v>2.97E-3</v>
      </c>
      <c r="E4710" s="7">
        <v>3.0599999999999998E-3</v>
      </c>
      <c r="F4710" s="7">
        <v>2.8000000000000004E-3</v>
      </c>
      <c r="G4710" s="7">
        <v>-3.9699999999999999E-2</v>
      </c>
    </row>
    <row r="4711" spans="2:7" x14ac:dyDescent="0.2">
      <c r="B4711" s="60">
        <v>42488</v>
      </c>
      <c r="C4711" s="7">
        <v>2.49E-3</v>
      </c>
      <c r="D4711" s="7">
        <v>2.5000000000000001E-3</v>
      </c>
      <c r="E4711" s="7">
        <v>2.5900000000000003E-3</v>
      </c>
      <c r="F4711" s="7">
        <v>2.1800000000000001E-3</v>
      </c>
      <c r="G4711" s="7">
        <v>-0.1414</v>
      </c>
    </row>
    <row r="4712" spans="2:7" x14ac:dyDescent="0.2">
      <c r="B4712" s="60">
        <v>42489</v>
      </c>
      <c r="C4712" s="7">
        <v>2.8199999999999996E-3</v>
      </c>
      <c r="D4712" s="7">
        <v>2.4499999999999999E-3</v>
      </c>
      <c r="E4712" s="7">
        <v>3.0499999999999998E-3</v>
      </c>
      <c r="F4712" s="7">
        <v>2.32E-3</v>
      </c>
      <c r="G4712" s="7">
        <v>0.13250000000000001</v>
      </c>
    </row>
    <row r="4713" spans="2:7" x14ac:dyDescent="0.2">
      <c r="B4713" s="60">
        <v>42492</v>
      </c>
      <c r="C4713" s="7">
        <v>2.7500000000000003E-3</v>
      </c>
      <c r="D4713" s="7">
        <v>2.7200000000000002E-3</v>
      </c>
      <c r="E4713" s="7">
        <v>2.8399999999999996E-3</v>
      </c>
      <c r="F4713" s="7">
        <v>2.4299999999999999E-3</v>
      </c>
      <c r="G4713" s="7">
        <v>-2.4799999999999999E-2</v>
      </c>
    </row>
    <row r="4714" spans="2:7" x14ac:dyDescent="0.2">
      <c r="B4714" s="60">
        <v>42493</v>
      </c>
      <c r="C4714" s="7">
        <v>1.97E-3</v>
      </c>
      <c r="D4714" s="7">
        <v>2.7200000000000002E-3</v>
      </c>
      <c r="E4714" s="7">
        <v>2.8100000000000004E-3</v>
      </c>
      <c r="F4714" s="7">
        <v>1.92E-3</v>
      </c>
      <c r="G4714" s="7">
        <v>-0.28360000000000002</v>
      </c>
    </row>
    <row r="4715" spans="2:7" x14ac:dyDescent="0.2">
      <c r="B4715" s="60">
        <v>42494</v>
      </c>
      <c r="C4715" s="7">
        <v>2.0399999999999997E-3</v>
      </c>
      <c r="D4715" s="7">
        <v>2.0799999999999998E-3</v>
      </c>
      <c r="E4715" s="7">
        <v>2.2500000000000003E-3</v>
      </c>
      <c r="F4715" s="7">
        <v>1.9500000000000001E-3</v>
      </c>
      <c r="G4715" s="7">
        <v>3.5499999999999997E-2</v>
      </c>
    </row>
    <row r="4716" spans="2:7" x14ac:dyDescent="0.2">
      <c r="B4716" s="60">
        <v>42495</v>
      </c>
      <c r="C4716" s="7">
        <v>1.6300000000000002E-3</v>
      </c>
      <c r="D4716" s="7">
        <v>2.0200000000000001E-3</v>
      </c>
      <c r="E4716" s="7">
        <v>2.2400000000000002E-3</v>
      </c>
      <c r="F4716" s="7">
        <v>1.5900000000000001E-3</v>
      </c>
      <c r="G4716" s="7">
        <v>-0.20100000000000001</v>
      </c>
    </row>
    <row r="4717" spans="2:7" x14ac:dyDescent="0.2">
      <c r="B4717" s="60">
        <v>42496</v>
      </c>
      <c r="C4717" s="7">
        <v>1.4599999999999999E-3</v>
      </c>
      <c r="D4717" s="7">
        <v>1.48E-3</v>
      </c>
      <c r="E4717" s="7">
        <v>1.7499999999999998E-3</v>
      </c>
      <c r="F4717" s="7">
        <v>1.4099999999999998E-3</v>
      </c>
      <c r="G4717" s="7">
        <v>-0.1043</v>
      </c>
    </row>
    <row r="4718" spans="2:7" x14ac:dyDescent="0.2">
      <c r="B4718" s="60">
        <v>42499</v>
      </c>
      <c r="C4718" s="7">
        <v>1.31E-3</v>
      </c>
      <c r="D4718" s="7">
        <v>1.67E-3</v>
      </c>
      <c r="E4718" s="7">
        <v>1.7000000000000001E-3</v>
      </c>
      <c r="F4718" s="7">
        <v>1.25E-3</v>
      </c>
      <c r="G4718" s="7">
        <v>-0.1027</v>
      </c>
    </row>
    <row r="4719" spans="2:7" x14ac:dyDescent="0.2">
      <c r="B4719" s="60">
        <v>42500</v>
      </c>
      <c r="C4719" s="7">
        <v>1.2099999999999999E-3</v>
      </c>
      <c r="D4719" s="7">
        <v>1.2900000000000001E-3</v>
      </c>
      <c r="E4719" s="7">
        <v>1.4499999999999999E-3</v>
      </c>
      <c r="F4719" s="7">
        <v>1.08E-3</v>
      </c>
      <c r="G4719" s="7">
        <v>-7.6300000000000007E-2</v>
      </c>
    </row>
    <row r="4720" spans="2:7" x14ac:dyDescent="0.2">
      <c r="B4720" s="60">
        <v>42501</v>
      </c>
      <c r="C4720" s="7">
        <v>1.2600000000000001E-3</v>
      </c>
      <c r="D4720" s="7">
        <v>1.17E-3</v>
      </c>
      <c r="E4720" s="7">
        <v>1.3600000000000001E-3</v>
      </c>
      <c r="F4720" s="7">
        <v>1.08E-3</v>
      </c>
      <c r="G4720" s="7">
        <v>4.1300000000000003E-2</v>
      </c>
    </row>
    <row r="4721" spans="2:7" x14ac:dyDescent="0.2">
      <c r="B4721" s="60">
        <v>42502</v>
      </c>
      <c r="C4721" s="7">
        <v>1.5399999999999999E-3</v>
      </c>
      <c r="D4721" s="7">
        <v>1.2099999999999999E-3</v>
      </c>
      <c r="E4721" s="7">
        <v>1.6300000000000002E-3</v>
      </c>
      <c r="F4721" s="7">
        <v>9.8999999999999999E-4</v>
      </c>
      <c r="G4721" s="7">
        <v>0.22220000000000001</v>
      </c>
    </row>
    <row r="4722" spans="2:7" x14ac:dyDescent="0.2">
      <c r="B4722" s="60">
        <v>42503</v>
      </c>
      <c r="C4722" s="7">
        <v>1.2900000000000001E-3</v>
      </c>
      <c r="D4722" s="7">
        <v>1.5199999999999999E-3</v>
      </c>
      <c r="E4722" s="7">
        <v>1.5499999999999999E-3</v>
      </c>
      <c r="F4722" s="7">
        <v>1.24E-3</v>
      </c>
      <c r="G4722" s="7">
        <v>-0.1623</v>
      </c>
    </row>
    <row r="4723" spans="2:7" x14ac:dyDescent="0.2">
      <c r="B4723" s="60">
        <v>42506</v>
      </c>
      <c r="C4723" s="7">
        <v>1.4099999999999998E-3</v>
      </c>
      <c r="D4723" s="7">
        <v>1.23E-3</v>
      </c>
      <c r="E4723" s="7">
        <v>1.57E-3</v>
      </c>
      <c r="F4723" s="7">
        <v>1.1899999999999999E-3</v>
      </c>
      <c r="G4723" s="7">
        <v>9.2999999999999999E-2</v>
      </c>
    </row>
    <row r="4724" spans="2:7" x14ac:dyDescent="0.2">
      <c r="B4724" s="60">
        <v>42507</v>
      </c>
      <c r="C4724" s="7">
        <v>1.32E-3</v>
      </c>
      <c r="D4724" s="7">
        <v>1.5E-3</v>
      </c>
      <c r="E4724" s="7">
        <v>1.7499999999999998E-3</v>
      </c>
      <c r="F4724" s="7">
        <v>1.2600000000000001E-3</v>
      </c>
      <c r="G4724" s="7">
        <v>-6.3799999999999996E-2</v>
      </c>
    </row>
    <row r="4725" spans="2:7" x14ac:dyDescent="0.2">
      <c r="B4725" s="60">
        <v>42508</v>
      </c>
      <c r="C4725" s="7">
        <v>1.6300000000000002E-3</v>
      </c>
      <c r="D4725" s="7">
        <v>1.4499999999999999E-3</v>
      </c>
      <c r="E4725" s="7">
        <v>1.8599999999999999E-3</v>
      </c>
      <c r="F4725" s="7">
        <v>1.4199999999999998E-3</v>
      </c>
      <c r="G4725" s="7">
        <v>0.23480000000000001</v>
      </c>
    </row>
    <row r="4726" spans="2:7" x14ac:dyDescent="0.2">
      <c r="B4726" s="60">
        <v>42509</v>
      </c>
      <c r="C4726" s="7">
        <v>1.7399999999999998E-3</v>
      </c>
      <c r="D4726" s="7">
        <v>1.92E-3</v>
      </c>
      <c r="E4726" s="7">
        <v>2.0999999999999999E-3</v>
      </c>
      <c r="F4726" s="7">
        <v>1.6100000000000001E-3</v>
      </c>
      <c r="G4726" s="7">
        <v>6.7500000000000004E-2</v>
      </c>
    </row>
    <row r="4727" spans="2:7" x14ac:dyDescent="0.2">
      <c r="B4727" s="60">
        <v>42510</v>
      </c>
      <c r="C4727" s="7">
        <v>1.7100000000000001E-3</v>
      </c>
      <c r="D4727" s="7">
        <v>1.65E-3</v>
      </c>
      <c r="E4727" s="7">
        <v>1.91E-3</v>
      </c>
      <c r="F4727" s="7">
        <v>1.5900000000000001E-3</v>
      </c>
      <c r="G4727" s="7">
        <v>-1.72E-2</v>
      </c>
    </row>
    <row r="4728" spans="2:7" x14ac:dyDescent="0.2">
      <c r="B4728" s="60">
        <v>42513</v>
      </c>
      <c r="C4728" s="7">
        <v>1.83E-3</v>
      </c>
      <c r="D4728" s="7">
        <v>1.7000000000000001E-3</v>
      </c>
      <c r="E4728" s="7">
        <v>1.9E-3</v>
      </c>
      <c r="F4728" s="7">
        <v>1.3700000000000001E-3</v>
      </c>
      <c r="G4728" s="7">
        <v>7.0199999999999999E-2</v>
      </c>
    </row>
    <row r="4729" spans="2:7" x14ac:dyDescent="0.2">
      <c r="B4729" s="60">
        <v>42514</v>
      </c>
      <c r="C4729" s="7">
        <v>1.7599999999999998E-3</v>
      </c>
      <c r="D4729" s="7">
        <v>1.67E-3</v>
      </c>
      <c r="E4729" s="7">
        <v>1.8400000000000001E-3</v>
      </c>
      <c r="F4729" s="7">
        <v>1.5900000000000001E-3</v>
      </c>
      <c r="G4729" s="7">
        <v>-3.8300000000000001E-2</v>
      </c>
    </row>
    <row r="4730" spans="2:7" x14ac:dyDescent="0.2">
      <c r="B4730" s="60">
        <v>42515</v>
      </c>
      <c r="C4730" s="7">
        <v>1.5199999999999999E-3</v>
      </c>
      <c r="D4730" s="7">
        <v>1.7699999999999999E-3</v>
      </c>
      <c r="E4730" s="7">
        <v>2.0599999999999998E-3</v>
      </c>
      <c r="F4730" s="7">
        <v>1.47E-3</v>
      </c>
      <c r="G4730" s="7">
        <v>-0.13639999999999999</v>
      </c>
    </row>
    <row r="4731" spans="2:7" x14ac:dyDescent="0.2">
      <c r="B4731" s="60">
        <v>42516</v>
      </c>
      <c r="C4731" s="7">
        <v>1.4399999999999999E-3</v>
      </c>
      <c r="D4731" s="7">
        <v>1.5399999999999999E-3</v>
      </c>
      <c r="E4731" s="7">
        <v>1.7699999999999999E-3</v>
      </c>
      <c r="F4731" s="7">
        <v>1.4000000000000002E-3</v>
      </c>
      <c r="G4731" s="7">
        <v>-5.2600000000000001E-2</v>
      </c>
    </row>
    <row r="4732" spans="2:7" x14ac:dyDescent="0.2">
      <c r="B4732" s="60">
        <v>42517</v>
      </c>
      <c r="C4732" s="7">
        <v>1.4299999999999998E-3</v>
      </c>
      <c r="D4732" s="7">
        <v>1.4299999999999998E-3</v>
      </c>
      <c r="E4732" s="7">
        <v>1.5199999999999999E-3</v>
      </c>
      <c r="F4732" s="7">
        <v>1.1999999999999999E-3</v>
      </c>
      <c r="G4732" s="7">
        <v>-6.8999999999999999E-3</v>
      </c>
    </row>
    <row r="4733" spans="2:7" x14ac:dyDescent="0.2">
      <c r="B4733" s="60">
        <v>42520</v>
      </c>
      <c r="C4733" s="7">
        <v>1.67E-3</v>
      </c>
      <c r="D4733" s="7">
        <v>1.5100000000000001E-3</v>
      </c>
      <c r="E4733" s="7">
        <v>1.81E-3</v>
      </c>
      <c r="F4733" s="7">
        <v>1.49E-3</v>
      </c>
      <c r="G4733" s="7">
        <v>0.1678</v>
      </c>
    </row>
    <row r="4734" spans="2:7" x14ac:dyDescent="0.2">
      <c r="B4734" s="60">
        <v>42521</v>
      </c>
      <c r="C4734" s="7">
        <v>1.47E-3</v>
      </c>
      <c r="D4734" s="7">
        <v>1.67E-3</v>
      </c>
      <c r="E4734" s="7">
        <v>1.92E-3</v>
      </c>
      <c r="F4734" s="7">
        <v>1.4599999999999999E-3</v>
      </c>
      <c r="G4734" s="7">
        <v>-0.1198</v>
      </c>
    </row>
    <row r="4735" spans="2:7" x14ac:dyDescent="0.2">
      <c r="B4735" s="60">
        <v>42522</v>
      </c>
      <c r="C4735" s="7">
        <v>1.34E-3</v>
      </c>
      <c r="D4735" s="7">
        <v>1.3600000000000001E-3</v>
      </c>
      <c r="E4735" s="7">
        <v>1.4399999999999999E-3</v>
      </c>
      <c r="F4735" s="7">
        <v>1.1899999999999999E-3</v>
      </c>
      <c r="G4735" s="7">
        <v>-8.8400000000000006E-2</v>
      </c>
    </row>
    <row r="4736" spans="2:7" x14ac:dyDescent="0.2">
      <c r="B4736" s="60">
        <v>42523</v>
      </c>
      <c r="C4736" s="7">
        <v>1.1200000000000001E-3</v>
      </c>
      <c r="D4736" s="7">
        <v>1.3900000000000002E-3</v>
      </c>
      <c r="E4736" s="7">
        <v>1.6000000000000001E-3</v>
      </c>
      <c r="F4736" s="7">
        <v>1.09E-3</v>
      </c>
      <c r="G4736" s="7">
        <v>-0.16420000000000001</v>
      </c>
    </row>
    <row r="4737" spans="2:7" x14ac:dyDescent="0.2">
      <c r="B4737" s="60">
        <v>42524</v>
      </c>
      <c r="C4737" s="7">
        <v>7.3999999999999999E-4</v>
      </c>
      <c r="D4737" s="7">
        <v>1.1999999999999999E-3</v>
      </c>
      <c r="E4737" s="7">
        <v>1.23E-3</v>
      </c>
      <c r="F4737" s="7">
        <v>6.4999999999999997E-4</v>
      </c>
      <c r="G4737" s="7">
        <v>-0.33929999999999999</v>
      </c>
    </row>
    <row r="4738" spans="2:7" x14ac:dyDescent="0.2">
      <c r="B4738" s="60">
        <v>42527</v>
      </c>
      <c r="C4738" s="7">
        <v>8.5999999999999998E-4</v>
      </c>
      <c r="D4738" s="7">
        <v>7.000000000000001E-4</v>
      </c>
      <c r="E4738" s="7">
        <v>8.7999999999999992E-4</v>
      </c>
      <c r="F4738" s="7">
        <v>6.7000000000000002E-4</v>
      </c>
      <c r="G4738" s="7">
        <v>0.16220000000000001</v>
      </c>
    </row>
    <row r="4739" spans="2:7" x14ac:dyDescent="0.2">
      <c r="B4739" s="60">
        <v>42528</v>
      </c>
      <c r="C4739" s="7">
        <v>5.5000000000000003E-4</v>
      </c>
      <c r="D4739" s="7">
        <v>8.1999999999999998E-4</v>
      </c>
      <c r="E4739" s="7">
        <v>9.2999999999999995E-4</v>
      </c>
      <c r="F4739" s="7">
        <v>4.6000000000000001E-4</v>
      </c>
      <c r="G4739" s="7">
        <v>-0.36049999999999999</v>
      </c>
    </row>
    <row r="4740" spans="2:7" x14ac:dyDescent="0.2">
      <c r="B4740" s="60">
        <v>42529</v>
      </c>
      <c r="C4740" s="7">
        <v>5.9999999999999995E-4</v>
      </c>
      <c r="D4740" s="7">
        <v>5.6000000000000006E-4</v>
      </c>
      <c r="E4740" s="7">
        <v>7.0999999999999991E-4</v>
      </c>
      <c r="F4740" s="7">
        <v>3.3E-4</v>
      </c>
      <c r="G4740" s="7">
        <v>9.0899999999999995E-2</v>
      </c>
    </row>
    <row r="4741" spans="2:7" x14ac:dyDescent="0.2">
      <c r="B4741" s="60">
        <v>42530</v>
      </c>
      <c r="C4741" s="7">
        <v>3.6999999999999999E-4</v>
      </c>
      <c r="D4741" s="7">
        <v>4.6999999999999999E-4</v>
      </c>
      <c r="E4741" s="7">
        <v>5.2999999999999998E-4</v>
      </c>
      <c r="F4741" s="7">
        <v>2.3000000000000001E-4</v>
      </c>
      <c r="G4741" s="7">
        <v>-0.38329999999999997</v>
      </c>
    </row>
    <row r="4742" spans="2:7" x14ac:dyDescent="0.2">
      <c r="B4742" s="60">
        <v>42531</v>
      </c>
      <c r="C4742" s="7">
        <v>2.1000000000000001E-4</v>
      </c>
      <c r="D4742" s="7">
        <v>3.4000000000000002E-4</v>
      </c>
      <c r="E4742" s="7">
        <v>4.2000000000000002E-4</v>
      </c>
      <c r="F4742" s="7">
        <v>1E-4</v>
      </c>
      <c r="G4742" s="7">
        <v>-0.43240000000000001</v>
      </c>
    </row>
    <row r="4743" spans="2:7" x14ac:dyDescent="0.2">
      <c r="B4743" s="60">
        <v>42534</v>
      </c>
      <c r="C4743" s="7">
        <v>2.9999999999999997E-4</v>
      </c>
      <c r="D4743" s="7">
        <v>1.4000000000000001E-4</v>
      </c>
      <c r="E4743" s="7">
        <v>3.6999999999999999E-4</v>
      </c>
      <c r="F4743" s="7">
        <v>1.0999999999999999E-4</v>
      </c>
      <c r="G4743" s="7">
        <v>0.42859999999999998</v>
      </c>
    </row>
    <row r="4744" spans="2:7" x14ac:dyDescent="0.2">
      <c r="B4744" s="60">
        <v>42535</v>
      </c>
      <c r="C4744" s="7">
        <v>-1.0000000000000001E-5</v>
      </c>
      <c r="D4744" s="7">
        <v>1.7000000000000001E-4</v>
      </c>
      <c r="E4744" s="7">
        <v>2.9E-4</v>
      </c>
      <c r="F4744" s="7">
        <v>-3.4000000000000002E-4</v>
      </c>
      <c r="G4744" s="7">
        <v>-1.0333000000000001</v>
      </c>
    </row>
    <row r="4745" spans="2:7" x14ac:dyDescent="0.2">
      <c r="B4745" s="60">
        <v>42536</v>
      </c>
      <c r="C4745" s="7">
        <v>-1.4000000000000001E-4</v>
      </c>
      <c r="D4745" s="7">
        <v>7.0000000000000007E-5</v>
      </c>
      <c r="E4745" s="7">
        <v>1.8999999999999998E-4</v>
      </c>
      <c r="F4745" s="7">
        <v>-1.6000000000000001E-4</v>
      </c>
      <c r="G4745" s="7">
        <v>13</v>
      </c>
    </row>
    <row r="4746" spans="2:7" x14ac:dyDescent="0.2">
      <c r="B4746" s="60">
        <v>42537</v>
      </c>
      <c r="C4746" s="7">
        <v>-2.24E-4</v>
      </c>
      <c r="D4746" s="7">
        <v>-2.9E-4</v>
      </c>
      <c r="E4746" s="7">
        <v>-5.0000000000000002E-5</v>
      </c>
      <c r="F4746" s="7">
        <v>-3.7999999999999997E-4</v>
      </c>
      <c r="G4746" s="7">
        <v>0.6</v>
      </c>
    </row>
    <row r="4747" spans="2:7" x14ac:dyDescent="0.2">
      <c r="B4747" s="60">
        <v>42538</v>
      </c>
      <c r="C4747" s="7">
        <v>2.0000000000000001E-4</v>
      </c>
      <c r="D4747" s="7">
        <v>6.0000000000000002E-5</v>
      </c>
      <c r="E4747" s="7">
        <v>3.3E-4</v>
      </c>
      <c r="F4747" s="7">
        <v>-8.9999999999999992E-5</v>
      </c>
      <c r="G4747" s="7">
        <v>-1.8929</v>
      </c>
    </row>
    <row r="4748" spans="2:7" x14ac:dyDescent="0.2">
      <c r="B4748" s="60">
        <v>42541</v>
      </c>
      <c r="C4748" s="7">
        <v>6.1499999999999999E-4</v>
      </c>
      <c r="D4748" s="7">
        <v>4.2999999999999999E-4</v>
      </c>
      <c r="E4748" s="7">
        <v>7.0999999999999991E-4</v>
      </c>
      <c r="F4748" s="7">
        <v>3.1E-4</v>
      </c>
      <c r="G4748" s="7">
        <v>2.0750000000000002</v>
      </c>
    </row>
    <row r="4749" spans="2:7" x14ac:dyDescent="0.2">
      <c r="B4749" s="60">
        <v>42542</v>
      </c>
      <c r="C4749" s="7">
        <v>4.6600000000000005E-4</v>
      </c>
      <c r="D4749" s="7">
        <v>5.2999999999999998E-4</v>
      </c>
      <c r="E4749" s="7">
        <v>7.5999999999999993E-4</v>
      </c>
      <c r="F4749" s="7">
        <v>4.0999999999999999E-4</v>
      </c>
      <c r="G4749" s="7">
        <v>-0.24229999999999999</v>
      </c>
    </row>
    <row r="4750" spans="2:7" x14ac:dyDescent="0.2">
      <c r="B4750" s="60">
        <v>42543</v>
      </c>
      <c r="C4750" s="7">
        <v>5.8700000000000007E-4</v>
      </c>
      <c r="D4750" s="7">
        <v>5.9999999999999995E-4</v>
      </c>
      <c r="E4750" s="7">
        <v>7.0999999999999991E-4</v>
      </c>
      <c r="F4750" s="7">
        <v>4.2000000000000002E-4</v>
      </c>
      <c r="G4750" s="7">
        <v>0.25969999999999999</v>
      </c>
    </row>
    <row r="4751" spans="2:7" x14ac:dyDescent="0.2">
      <c r="B4751" s="60">
        <v>42544</v>
      </c>
      <c r="C4751" s="7">
        <v>9.8799999999999995E-4</v>
      </c>
      <c r="D4751" s="7">
        <v>6.3000000000000003E-4</v>
      </c>
      <c r="E4751" s="7">
        <v>1.16E-3</v>
      </c>
      <c r="F4751" s="7">
        <v>4.0000000000000002E-4</v>
      </c>
      <c r="G4751" s="7">
        <v>0.68310000000000004</v>
      </c>
    </row>
    <row r="4752" spans="2:7" x14ac:dyDescent="0.2">
      <c r="B4752" s="60">
        <v>42545</v>
      </c>
      <c r="C4752" s="7">
        <v>-5.1699999999999999E-4</v>
      </c>
      <c r="D4752" s="7">
        <v>-1.5100000000000001E-3</v>
      </c>
      <c r="E4752" s="7">
        <v>-4.6999999999999999E-4</v>
      </c>
      <c r="F4752" s="7">
        <v>-1.7000000000000001E-3</v>
      </c>
      <c r="G4752" s="7">
        <v>-1.5233000000000001</v>
      </c>
    </row>
    <row r="4753" spans="2:7" x14ac:dyDescent="0.2">
      <c r="B4753" s="60">
        <v>42548</v>
      </c>
      <c r="C4753" s="7">
        <v>-1.09E-3</v>
      </c>
      <c r="D4753" s="7">
        <v>-7.5000000000000002E-4</v>
      </c>
      <c r="E4753" s="7">
        <v>-6.4999999999999997E-4</v>
      </c>
      <c r="F4753" s="7">
        <v>-1.17E-3</v>
      </c>
      <c r="G4753" s="7">
        <v>1.1083000000000001</v>
      </c>
    </row>
    <row r="4754" spans="2:7" x14ac:dyDescent="0.2">
      <c r="B4754" s="60">
        <v>42549</v>
      </c>
      <c r="C4754" s="7">
        <v>-1.178E-3</v>
      </c>
      <c r="D4754" s="7">
        <v>-1.1200000000000001E-3</v>
      </c>
      <c r="E4754" s="7">
        <v>-7.5999999999999993E-4</v>
      </c>
      <c r="F4754" s="7">
        <v>-1.1999999999999999E-3</v>
      </c>
      <c r="G4754" s="7">
        <v>8.0699999999999994E-2</v>
      </c>
    </row>
    <row r="4755" spans="2:7" x14ac:dyDescent="0.2">
      <c r="B4755" s="60">
        <v>42550</v>
      </c>
      <c r="C4755" s="7">
        <v>-1.2620000000000001E-3</v>
      </c>
      <c r="D4755" s="7">
        <v>-1.1299999999999999E-3</v>
      </c>
      <c r="E4755" s="7">
        <v>-1.0199999999999999E-3</v>
      </c>
      <c r="F4755" s="7">
        <v>-1.3500000000000001E-3</v>
      </c>
      <c r="G4755" s="7">
        <v>7.1300000000000002E-2</v>
      </c>
    </row>
    <row r="4756" spans="2:7" x14ac:dyDescent="0.2">
      <c r="B4756" s="60">
        <v>42551</v>
      </c>
      <c r="C4756" s="7">
        <v>-1.266E-3</v>
      </c>
      <c r="D4756" s="7">
        <v>-1.1100000000000001E-3</v>
      </c>
      <c r="E4756" s="7">
        <v>-8.7999999999999992E-4</v>
      </c>
      <c r="F4756" s="7">
        <v>-1.4000000000000002E-3</v>
      </c>
      <c r="G4756" s="7">
        <v>3.2000000000000002E-3</v>
      </c>
    </row>
    <row r="4757" spans="2:7" x14ac:dyDescent="0.2">
      <c r="B4757" s="60">
        <v>42552</v>
      </c>
      <c r="C4757" s="7">
        <v>-1.3009999999999999E-3</v>
      </c>
      <c r="D4757" s="7">
        <v>-8.3000000000000001E-4</v>
      </c>
      <c r="E4757" s="7">
        <v>-6.3000000000000003E-4</v>
      </c>
      <c r="F4757" s="7">
        <v>-1.4599999999999999E-3</v>
      </c>
      <c r="G4757" s="7">
        <v>2.76E-2</v>
      </c>
    </row>
    <row r="4758" spans="2:7" x14ac:dyDescent="0.2">
      <c r="B4758" s="60">
        <v>42555</v>
      </c>
      <c r="C4758" s="7">
        <v>-1.3469999999999999E-3</v>
      </c>
      <c r="D4758" s="7">
        <v>-1.25E-3</v>
      </c>
      <c r="E4758" s="7">
        <v>-1.06E-3</v>
      </c>
      <c r="F4758" s="7">
        <v>-1.3500000000000001E-3</v>
      </c>
      <c r="G4758" s="7">
        <v>3.5400000000000001E-2</v>
      </c>
    </row>
    <row r="4759" spans="2:7" x14ac:dyDescent="0.2">
      <c r="B4759" s="60">
        <v>42556</v>
      </c>
      <c r="C4759" s="7">
        <v>-1.8060000000000001E-3</v>
      </c>
      <c r="D4759" s="7">
        <v>-1.4199999999999998E-3</v>
      </c>
      <c r="E4759" s="7">
        <v>-1.3900000000000002E-3</v>
      </c>
      <c r="F4759" s="7">
        <v>-1.81E-3</v>
      </c>
      <c r="G4759" s="7">
        <v>0.34079999999999999</v>
      </c>
    </row>
    <row r="4760" spans="2:7" x14ac:dyDescent="0.2">
      <c r="B4760" s="60">
        <v>42557</v>
      </c>
      <c r="C4760" s="7">
        <v>-1.7879999999999999E-3</v>
      </c>
      <c r="D4760" s="7">
        <v>-1.89E-3</v>
      </c>
      <c r="E4760" s="7">
        <v>-1.67E-3</v>
      </c>
      <c r="F4760" s="7">
        <v>-2.0399999999999997E-3</v>
      </c>
      <c r="G4760" s="7">
        <v>-0.01</v>
      </c>
    </row>
    <row r="4761" spans="2:7" x14ac:dyDescent="0.2">
      <c r="B4761" s="60">
        <v>42558</v>
      </c>
      <c r="C4761" s="7">
        <v>-1.66E-3</v>
      </c>
      <c r="D4761" s="7">
        <v>-1.8E-3</v>
      </c>
      <c r="E4761" s="7">
        <v>-1.4399999999999999E-3</v>
      </c>
      <c r="F4761" s="7">
        <v>-1.83E-3</v>
      </c>
      <c r="G4761" s="7">
        <v>-7.1599999999999997E-2</v>
      </c>
    </row>
    <row r="4762" spans="2:7" x14ac:dyDescent="0.2">
      <c r="B4762" s="60">
        <v>42559</v>
      </c>
      <c r="C4762" s="7">
        <v>-1.8400000000000001E-3</v>
      </c>
      <c r="D4762" s="7">
        <v>-1.6800000000000001E-3</v>
      </c>
      <c r="E4762" s="7">
        <v>-1.5299999999999999E-3</v>
      </c>
      <c r="F4762" s="7">
        <v>-1.8699999999999999E-3</v>
      </c>
      <c r="G4762" s="7">
        <v>0.1084</v>
      </c>
    </row>
    <row r="4763" spans="2:7" x14ac:dyDescent="0.2">
      <c r="B4763" s="60">
        <v>42562</v>
      </c>
      <c r="C4763" s="7">
        <v>-1.6669999999999999E-3</v>
      </c>
      <c r="D4763" s="7">
        <v>-1.9E-3</v>
      </c>
      <c r="E4763" s="7">
        <v>-1.6100000000000001E-3</v>
      </c>
      <c r="F4763" s="7">
        <v>-1.99E-3</v>
      </c>
      <c r="G4763" s="7">
        <v>-9.4E-2</v>
      </c>
    </row>
    <row r="4764" spans="2:7" x14ac:dyDescent="0.2">
      <c r="B4764" s="60">
        <v>42563</v>
      </c>
      <c r="C4764" s="7">
        <v>-9.279999999999999E-4</v>
      </c>
      <c r="D4764" s="7">
        <v>-1.57E-3</v>
      </c>
      <c r="E4764" s="7">
        <v>-8.9999999999999998E-4</v>
      </c>
      <c r="F4764" s="7">
        <v>-1.6100000000000001E-3</v>
      </c>
      <c r="G4764" s="7">
        <v>-0.44330000000000003</v>
      </c>
    </row>
    <row r="4765" spans="2:7" x14ac:dyDescent="0.2">
      <c r="B4765" s="60">
        <v>42564</v>
      </c>
      <c r="C4765" s="7">
        <v>-1.423E-3</v>
      </c>
      <c r="D4765" s="7">
        <v>-1.06E-3</v>
      </c>
      <c r="E4765" s="7">
        <v>-1.01E-3</v>
      </c>
      <c r="F4765" s="7">
        <v>-1.48E-3</v>
      </c>
      <c r="G4765" s="7">
        <v>0.53339999999999999</v>
      </c>
    </row>
    <row r="4766" spans="2:7" x14ac:dyDescent="0.2">
      <c r="B4766" s="60">
        <v>42565</v>
      </c>
      <c r="C4766" s="7">
        <v>-1.2900000000000001E-3</v>
      </c>
      <c r="D4766" s="7">
        <v>-1.1299999999999999E-3</v>
      </c>
      <c r="E4766" s="7">
        <v>-1.1299999999999999E-3</v>
      </c>
      <c r="F4766" s="7">
        <v>-1.4199999999999998E-3</v>
      </c>
      <c r="G4766" s="7">
        <v>-9.35E-2</v>
      </c>
    </row>
    <row r="4767" spans="2:7" x14ac:dyDescent="0.2">
      <c r="B4767" s="60">
        <v>42566</v>
      </c>
      <c r="C4767" s="7">
        <v>7.0000000000000007E-5</v>
      </c>
      <c r="D4767" s="7">
        <v>-4.3999999999999996E-4</v>
      </c>
      <c r="E4767" s="7">
        <v>1.2E-4</v>
      </c>
      <c r="F4767" s="7">
        <v>-4.6999999999999999E-4</v>
      </c>
      <c r="G4767" s="7">
        <v>-1.0543</v>
      </c>
    </row>
    <row r="4768" spans="2:7" x14ac:dyDescent="0.2">
      <c r="B4768" s="60">
        <v>42569</v>
      </c>
      <c r="C4768" s="7">
        <v>-1.4999999999999999E-4</v>
      </c>
      <c r="D4768" s="7">
        <v>-1.4999999999999999E-4</v>
      </c>
      <c r="E4768" s="7">
        <v>-3.0000000000000001E-5</v>
      </c>
      <c r="F4768" s="7">
        <v>-3.6999999999999999E-4</v>
      </c>
      <c r="G4768" s="7">
        <v>-3.1429</v>
      </c>
    </row>
    <row r="4769" spans="2:7" x14ac:dyDescent="0.2">
      <c r="B4769" s="60">
        <v>42570</v>
      </c>
      <c r="C4769" s="7">
        <v>-2.5000000000000001E-4</v>
      </c>
      <c r="D4769" s="7">
        <v>-3.3E-4</v>
      </c>
      <c r="E4769" s="7">
        <v>-1.4000000000000001E-4</v>
      </c>
      <c r="F4769" s="7">
        <v>-5.1999999999999995E-4</v>
      </c>
      <c r="G4769" s="7">
        <v>0.66669999999999996</v>
      </c>
    </row>
    <row r="4770" spans="2:7" x14ac:dyDescent="0.2">
      <c r="B4770" s="60">
        <v>42571</v>
      </c>
      <c r="C4770" s="7">
        <v>-1E-4</v>
      </c>
      <c r="D4770" s="7">
        <v>-3.2000000000000003E-4</v>
      </c>
      <c r="E4770" s="7">
        <v>-5.0000000000000002E-5</v>
      </c>
      <c r="F4770" s="7">
        <v>-4.4999999999999999E-4</v>
      </c>
      <c r="G4770" s="7">
        <v>-0.6</v>
      </c>
    </row>
    <row r="4771" spans="2:7" x14ac:dyDescent="0.2">
      <c r="B4771" s="60">
        <v>42572</v>
      </c>
      <c r="C4771" s="7">
        <v>-1.6000000000000001E-4</v>
      </c>
      <c r="D4771" s="7">
        <v>-1.2E-4</v>
      </c>
      <c r="E4771" s="7">
        <v>2.9999999999999997E-4</v>
      </c>
      <c r="F4771" s="7">
        <v>-2.0000000000000001E-4</v>
      </c>
      <c r="G4771" s="7">
        <v>0.6</v>
      </c>
    </row>
    <row r="4772" spans="2:7" x14ac:dyDescent="0.2">
      <c r="B4772" s="60">
        <v>42573</v>
      </c>
      <c r="C4772" s="7">
        <v>-2.9E-4</v>
      </c>
      <c r="D4772" s="7">
        <v>-1.2999999999999999E-4</v>
      </c>
      <c r="E4772" s="7">
        <v>7.0000000000000007E-5</v>
      </c>
      <c r="F4772" s="7">
        <v>-3.3E-4</v>
      </c>
      <c r="G4772" s="7">
        <v>0.8125</v>
      </c>
    </row>
    <row r="4773" spans="2:7" x14ac:dyDescent="0.2">
      <c r="B4773" s="60">
        <v>42576</v>
      </c>
      <c r="C4773" s="7">
        <v>-4.0000000000000002E-4</v>
      </c>
      <c r="D4773" s="7">
        <v>-1.8999999999999998E-4</v>
      </c>
      <c r="E4773" s="7">
        <v>-4.0000000000000003E-5</v>
      </c>
      <c r="F4773" s="7">
        <v>-4.8000000000000001E-4</v>
      </c>
      <c r="G4773" s="7">
        <v>0.37930000000000003</v>
      </c>
    </row>
    <row r="4774" spans="2:7" x14ac:dyDescent="0.2">
      <c r="B4774" s="60">
        <v>42577</v>
      </c>
      <c r="C4774" s="7">
        <v>-2.8000000000000003E-4</v>
      </c>
      <c r="D4774" s="7">
        <v>-3.7999999999999997E-4</v>
      </c>
      <c r="E4774" s="7">
        <v>-1.8999999999999998E-4</v>
      </c>
      <c r="F4774" s="7">
        <v>-6.4000000000000005E-4</v>
      </c>
      <c r="G4774" s="7">
        <v>-0.3</v>
      </c>
    </row>
    <row r="4775" spans="2:7" x14ac:dyDescent="0.2">
      <c r="B4775" s="60">
        <v>42578</v>
      </c>
      <c r="C4775" s="7">
        <v>-7.7999999999999999E-4</v>
      </c>
      <c r="D4775" s="7">
        <v>-2.3000000000000001E-4</v>
      </c>
      <c r="E4775" s="7">
        <v>-1.4000000000000001E-4</v>
      </c>
      <c r="F4775" s="7">
        <v>-8.4000000000000003E-4</v>
      </c>
      <c r="G4775" s="7">
        <v>1.7857000000000001</v>
      </c>
    </row>
    <row r="4776" spans="2:7" x14ac:dyDescent="0.2">
      <c r="B4776" s="60">
        <v>42579</v>
      </c>
      <c r="C4776" s="7">
        <v>-8.9999999999999998E-4</v>
      </c>
      <c r="D4776" s="7">
        <v>-8.3000000000000001E-4</v>
      </c>
      <c r="E4776" s="7">
        <v>-6.4999999999999997E-4</v>
      </c>
      <c r="F4776" s="7">
        <v>-9.7000000000000005E-4</v>
      </c>
      <c r="G4776" s="7">
        <v>0.15379999999999999</v>
      </c>
    </row>
    <row r="4777" spans="2:7" x14ac:dyDescent="0.2">
      <c r="B4777" s="60">
        <v>42580</v>
      </c>
      <c r="C4777" s="7">
        <v>-1.1999999999999999E-3</v>
      </c>
      <c r="D4777" s="7">
        <v>-6.0999999999999997E-4</v>
      </c>
      <c r="E4777" s="7">
        <v>-5.1999999999999995E-4</v>
      </c>
      <c r="F4777" s="7">
        <v>-1.2199999999999999E-3</v>
      </c>
      <c r="G4777" s="7">
        <v>0.33329999999999999</v>
      </c>
    </row>
    <row r="4778" spans="2:7" x14ac:dyDescent="0.2">
      <c r="B4778" s="60">
        <v>42583</v>
      </c>
      <c r="C4778" s="7">
        <v>-9.6000000000000002E-4</v>
      </c>
      <c r="D4778" s="7">
        <v>-1.1100000000000001E-3</v>
      </c>
      <c r="E4778" s="7">
        <v>-8.4000000000000003E-4</v>
      </c>
      <c r="F4778" s="7">
        <v>-1.16E-3</v>
      </c>
      <c r="G4778" s="7">
        <v>-0.2</v>
      </c>
    </row>
    <row r="4779" spans="2:7" x14ac:dyDescent="0.2">
      <c r="B4779" s="60">
        <v>42584</v>
      </c>
      <c r="C4779" s="7">
        <v>-3.5000000000000005E-4</v>
      </c>
      <c r="D4779" s="7">
        <v>-9.8999999999999999E-4</v>
      </c>
      <c r="E4779" s="7">
        <v>-1.7000000000000001E-4</v>
      </c>
      <c r="F4779" s="7">
        <v>-1.01E-3</v>
      </c>
      <c r="G4779" s="7">
        <v>-0.63539999999999996</v>
      </c>
    </row>
    <row r="4780" spans="2:7" x14ac:dyDescent="0.2">
      <c r="B4780" s="60">
        <v>42585</v>
      </c>
      <c r="C4780" s="7">
        <v>-3.7999999999999997E-4</v>
      </c>
      <c r="D4780" s="7">
        <v>-3.4000000000000002E-4</v>
      </c>
      <c r="E4780" s="7">
        <v>-1.8999999999999998E-4</v>
      </c>
      <c r="F4780" s="7">
        <v>-4.6000000000000001E-4</v>
      </c>
      <c r="G4780" s="7">
        <v>8.5699999999999998E-2</v>
      </c>
    </row>
    <row r="4781" spans="2:7" x14ac:dyDescent="0.2">
      <c r="B4781" s="60">
        <v>42586</v>
      </c>
      <c r="C4781" s="7">
        <v>-9.3999999999999997E-4</v>
      </c>
      <c r="D4781" s="7">
        <v>-3.6999999999999999E-4</v>
      </c>
      <c r="E4781" s="7">
        <v>-2.8000000000000003E-4</v>
      </c>
      <c r="F4781" s="7">
        <v>-1.0499999999999999E-3</v>
      </c>
      <c r="G4781" s="7">
        <v>1.4737</v>
      </c>
    </row>
    <row r="4782" spans="2:7" x14ac:dyDescent="0.2">
      <c r="B4782" s="60">
        <v>42587</v>
      </c>
      <c r="C4782" s="7">
        <v>-6.7000000000000002E-4</v>
      </c>
      <c r="D4782" s="7">
        <v>-1E-3</v>
      </c>
      <c r="E4782" s="7">
        <v>-5.6999999999999998E-4</v>
      </c>
      <c r="F4782" s="7">
        <v>-1.0199999999999999E-3</v>
      </c>
      <c r="G4782" s="7">
        <v>-0.28720000000000001</v>
      </c>
    </row>
    <row r="4783" spans="2:7" x14ac:dyDescent="0.2">
      <c r="B4783" s="60">
        <v>42588</v>
      </c>
      <c r="C4783" s="7">
        <v>-5.9999999999999995E-4</v>
      </c>
      <c r="D4783" s="7">
        <v>-5.9999999999999995E-4</v>
      </c>
      <c r="E4783" s="7">
        <v>-5.9999999999999995E-4</v>
      </c>
      <c r="F4783" s="7">
        <v>-5.9999999999999995E-4</v>
      </c>
      <c r="G4783" s="7">
        <v>-0.1045</v>
      </c>
    </row>
    <row r="4784" spans="2:7" x14ac:dyDescent="0.2">
      <c r="B4784" s="60">
        <v>42590</v>
      </c>
      <c r="C4784" s="7">
        <v>-6.6E-4</v>
      </c>
      <c r="D4784" s="7">
        <v>-5.8E-4</v>
      </c>
      <c r="E4784" s="7">
        <v>-3.5999999999999997E-4</v>
      </c>
      <c r="F4784" s="7">
        <v>-7.3999999999999999E-4</v>
      </c>
      <c r="G4784" s="7">
        <v>0.1</v>
      </c>
    </row>
    <row r="4785" spans="2:7" x14ac:dyDescent="0.2">
      <c r="B4785" s="60">
        <v>42591</v>
      </c>
      <c r="C4785" s="7">
        <v>-7.5999999999999993E-4</v>
      </c>
      <c r="D4785" s="7">
        <v>-7.1999999999999994E-4</v>
      </c>
      <c r="E4785" s="7">
        <v>-4.4999999999999999E-4</v>
      </c>
      <c r="F4785" s="7">
        <v>-8.8999999999999995E-4</v>
      </c>
      <c r="G4785" s="7">
        <v>0.1515</v>
      </c>
    </row>
    <row r="4786" spans="2:7" x14ac:dyDescent="0.2">
      <c r="B4786" s="60">
        <v>42592</v>
      </c>
      <c r="C4786" s="7">
        <v>-1.08E-3</v>
      </c>
      <c r="D4786" s="7">
        <v>-8.1999999999999998E-4</v>
      </c>
      <c r="E4786" s="7">
        <v>-8.1999999999999998E-4</v>
      </c>
      <c r="F4786" s="7">
        <v>-1.17E-3</v>
      </c>
      <c r="G4786" s="7">
        <v>0.42109999999999997</v>
      </c>
    </row>
    <row r="4787" spans="2:7" x14ac:dyDescent="0.2">
      <c r="B4787" s="60">
        <v>42593</v>
      </c>
      <c r="C4787" s="7">
        <v>-9.2000000000000003E-4</v>
      </c>
      <c r="D4787" s="7">
        <v>-1.1299999999999999E-3</v>
      </c>
      <c r="E4787" s="7">
        <v>-9.1E-4</v>
      </c>
      <c r="F4787" s="7">
        <v>-1.2099999999999999E-3</v>
      </c>
      <c r="G4787" s="7">
        <v>-0.14810000000000001</v>
      </c>
    </row>
    <row r="4788" spans="2:7" x14ac:dyDescent="0.2">
      <c r="B4788" s="60">
        <v>42594</v>
      </c>
      <c r="C4788" s="7">
        <v>-1.07E-3</v>
      </c>
      <c r="D4788" s="7">
        <v>-8.8999999999999995E-4</v>
      </c>
      <c r="E4788" s="7">
        <v>-7.7999999999999999E-4</v>
      </c>
      <c r="F4788" s="7">
        <v>-1.16E-3</v>
      </c>
      <c r="G4788" s="7">
        <v>0.16300000000000001</v>
      </c>
    </row>
    <row r="4789" spans="2:7" x14ac:dyDescent="0.2">
      <c r="B4789" s="60">
        <v>42595</v>
      </c>
      <c r="C4789" s="7">
        <v>-9.6000000000000002E-4</v>
      </c>
      <c r="D4789" s="7">
        <v>-9.6000000000000002E-4</v>
      </c>
      <c r="E4789" s="7">
        <v>-9.6000000000000002E-4</v>
      </c>
      <c r="F4789" s="7">
        <v>-9.6000000000000002E-4</v>
      </c>
      <c r="G4789" s="7">
        <v>-0.1028</v>
      </c>
    </row>
    <row r="4790" spans="2:7" x14ac:dyDescent="0.2">
      <c r="B4790" s="60">
        <v>42596</v>
      </c>
      <c r="C4790" s="7">
        <v>-9.6000000000000002E-4</v>
      </c>
      <c r="D4790" s="7">
        <v>-9.6000000000000002E-4</v>
      </c>
      <c r="E4790" s="7">
        <v>-9.6000000000000002E-4</v>
      </c>
      <c r="F4790" s="7">
        <v>-9.6000000000000002E-4</v>
      </c>
      <c r="G4790" s="7">
        <v>0</v>
      </c>
    </row>
    <row r="4791" spans="2:7" x14ac:dyDescent="0.2">
      <c r="B4791" s="60">
        <v>42597</v>
      </c>
      <c r="C4791" s="7">
        <v>-7.2999999999999996E-4</v>
      </c>
      <c r="D4791" s="7">
        <v>-1.09E-3</v>
      </c>
      <c r="E4791" s="7">
        <v>-6.2E-4</v>
      </c>
      <c r="F4791" s="7">
        <v>-1.1000000000000001E-3</v>
      </c>
      <c r="G4791" s="7">
        <v>-0.23960000000000001</v>
      </c>
    </row>
    <row r="4792" spans="2:7" x14ac:dyDescent="0.2">
      <c r="B4792" s="60">
        <v>42598</v>
      </c>
      <c r="C4792" s="7">
        <v>-2.9E-4</v>
      </c>
      <c r="D4792" s="7">
        <v>-7.9000000000000001E-4</v>
      </c>
      <c r="E4792" s="7">
        <v>-2.5999999999999998E-4</v>
      </c>
      <c r="F4792" s="7">
        <v>-9.1E-4</v>
      </c>
      <c r="G4792" s="7">
        <v>-0.60270000000000001</v>
      </c>
    </row>
    <row r="4793" spans="2:7" x14ac:dyDescent="0.2">
      <c r="B4793" s="60">
        <v>42599</v>
      </c>
      <c r="C4793" s="7">
        <v>-4.8999999999999998E-4</v>
      </c>
      <c r="D4793" s="7">
        <v>-3.5999999999999997E-4</v>
      </c>
      <c r="E4793" s="7">
        <v>-2.5000000000000001E-4</v>
      </c>
      <c r="F4793" s="7">
        <v>-5.8E-4</v>
      </c>
      <c r="G4793" s="7">
        <v>0.68969999999999998</v>
      </c>
    </row>
    <row r="4794" spans="2:7" x14ac:dyDescent="0.2">
      <c r="B4794" s="60">
        <v>42600</v>
      </c>
      <c r="C4794" s="7">
        <v>-8.1999999999999998E-4</v>
      </c>
      <c r="D4794" s="7">
        <v>-7.1999999999999994E-4</v>
      </c>
      <c r="E4794" s="7">
        <v>-5.8999999999999992E-4</v>
      </c>
      <c r="F4794" s="7">
        <v>-8.5999999999999998E-4</v>
      </c>
      <c r="G4794" s="7">
        <v>0.67349999999999999</v>
      </c>
    </row>
    <row r="4795" spans="2:7" x14ac:dyDescent="0.2">
      <c r="B4795" s="60">
        <v>42601</v>
      </c>
      <c r="C4795" s="7">
        <v>-3.4000000000000002E-4</v>
      </c>
      <c r="D4795" s="7">
        <v>-8.8999999999999995E-4</v>
      </c>
      <c r="E4795" s="7">
        <v>-2.9999999999999997E-4</v>
      </c>
      <c r="F4795" s="7">
        <v>-8.8999999999999995E-4</v>
      </c>
      <c r="G4795" s="7">
        <v>-0.58540000000000003</v>
      </c>
    </row>
    <row r="4796" spans="2:7" x14ac:dyDescent="0.2">
      <c r="B4796" s="60">
        <v>42604</v>
      </c>
      <c r="C4796" s="7">
        <v>-8.7999999999999992E-4</v>
      </c>
      <c r="D4796" s="7">
        <v>-4.0000000000000002E-4</v>
      </c>
      <c r="E4796" s="7">
        <v>-4.0000000000000002E-4</v>
      </c>
      <c r="F4796" s="7">
        <v>-8.9999999999999998E-4</v>
      </c>
      <c r="G4796" s="7">
        <v>1.5882000000000001</v>
      </c>
    </row>
    <row r="4797" spans="2:7" x14ac:dyDescent="0.2">
      <c r="B4797" s="60">
        <v>42605</v>
      </c>
      <c r="C4797" s="7">
        <v>-9.2999999999999995E-4</v>
      </c>
      <c r="D4797" s="7">
        <v>-8.0000000000000004E-4</v>
      </c>
      <c r="E4797" s="7">
        <v>-7.1999999999999994E-4</v>
      </c>
      <c r="F4797" s="7">
        <v>-1.0299999999999999E-3</v>
      </c>
      <c r="G4797" s="7">
        <v>5.6800000000000003E-2</v>
      </c>
    </row>
    <row r="4798" spans="2:7" x14ac:dyDescent="0.2">
      <c r="B4798" s="60">
        <v>42606</v>
      </c>
      <c r="C4798" s="7">
        <v>-8.8999999999999995E-4</v>
      </c>
      <c r="D4798" s="7">
        <v>-9.2999999999999995E-4</v>
      </c>
      <c r="E4798" s="7">
        <v>-7.5999999999999993E-4</v>
      </c>
      <c r="F4798" s="7">
        <v>-9.7000000000000005E-4</v>
      </c>
      <c r="G4798" s="7">
        <v>-4.2999999999999997E-2</v>
      </c>
    </row>
    <row r="4799" spans="2:7" x14ac:dyDescent="0.2">
      <c r="B4799" s="60">
        <v>42607</v>
      </c>
      <c r="C4799" s="7">
        <v>-6.9000000000000008E-4</v>
      </c>
      <c r="D4799" s="7">
        <v>-8.5999999999999998E-4</v>
      </c>
      <c r="E4799" s="7">
        <v>-5.1999999999999995E-4</v>
      </c>
      <c r="F4799" s="7">
        <v>-8.8999999999999995E-4</v>
      </c>
      <c r="G4799" s="7">
        <v>-0.22470000000000001</v>
      </c>
    </row>
    <row r="4800" spans="2:7" x14ac:dyDescent="0.2">
      <c r="B4800" s="60">
        <v>42608</v>
      </c>
      <c r="C4800" s="7">
        <v>-7.0999999999999991E-4</v>
      </c>
      <c r="D4800" s="7">
        <v>-7.6999999999999996E-4</v>
      </c>
      <c r="E4800" s="7">
        <v>-6.4000000000000005E-4</v>
      </c>
      <c r="F4800" s="7">
        <v>-9.5E-4</v>
      </c>
      <c r="G4800" s="7">
        <v>2.9000000000000001E-2</v>
      </c>
    </row>
    <row r="4801" spans="2:7" x14ac:dyDescent="0.2">
      <c r="B4801" s="60">
        <v>42611</v>
      </c>
      <c r="C4801" s="7">
        <v>-8.1000000000000006E-4</v>
      </c>
      <c r="D4801" s="7">
        <v>-3.8999999999999999E-4</v>
      </c>
      <c r="E4801" s="7">
        <v>-3.4000000000000002E-4</v>
      </c>
      <c r="F4801" s="7">
        <v>-8.3000000000000001E-4</v>
      </c>
      <c r="G4801" s="7">
        <v>0.14080000000000001</v>
      </c>
    </row>
    <row r="4802" spans="2:7" x14ac:dyDescent="0.2">
      <c r="B4802" s="60">
        <v>42612</v>
      </c>
      <c r="C4802" s="7">
        <v>-9.1E-4</v>
      </c>
      <c r="D4802" s="7">
        <v>-8.3000000000000001E-4</v>
      </c>
      <c r="E4802" s="7">
        <v>-6.8000000000000005E-4</v>
      </c>
      <c r="F4802" s="7">
        <v>-1.01E-3</v>
      </c>
      <c r="G4802" s="7">
        <v>0.1235</v>
      </c>
    </row>
    <row r="4803" spans="2:7" x14ac:dyDescent="0.2">
      <c r="B4803" s="60">
        <v>42613</v>
      </c>
      <c r="C4803" s="7">
        <v>-6.4999999999999997E-4</v>
      </c>
      <c r="D4803" s="7">
        <v>-9.2000000000000003E-4</v>
      </c>
      <c r="E4803" s="7">
        <v>-5.9999999999999995E-4</v>
      </c>
      <c r="F4803" s="7">
        <v>-9.2999999999999995E-4</v>
      </c>
      <c r="G4803" s="7">
        <v>-0.28570000000000001</v>
      </c>
    </row>
    <row r="4804" spans="2:7" x14ac:dyDescent="0.2">
      <c r="B4804" s="60">
        <v>42614</v>
      </c>
      <c r="C4804" s="7">
        <v>-6.6E-4</v>
      </c>
      <c r="D4804" s="7">
        <v>-5.8E-4</v>
      </c>
      <c r="E4804" s="7">
        <v>-3.5000000000000005E-4</v>
      </c>
      <c r="F4804" s="7">
        <v>-7.000000000000001E-4</v>
      </c>
      <c r="G4804" s="7">
        <v>1.54E-2</v>
      </c>
    </row>
    <row r="4805" spans="2:7" x14ac:dyDescent="0.2">
      <c r="B4805" s="60">
        <v>42615</v>
      </c>
      <c r="C4805" s="7">
        <v>-4.2000000000000002E-4</v>
      </c>
      <c r="D4805" s="7">
        <v>-6.0999999999999997E-4</v>
      </c>
      <c r="E4805" s="7">
        <v>-2.9999999999999997E-4</v>
      </c>
      <c r="F4805" s="7">
        <v>-7.9000000000000001E-4</v>
      </c>
      <c r="G4805" s="7">
        <v>-0.36359999999999998</v>
      </c>
    </row>
    <row r="4806" spans="2:7" x14ac:dyDescent="0.2">
      <c r="B4806" s="60">
        <v>42618</v>
      </c>
      <c r="C4806" s="7">
        <v>-4.6999999999999999E-4</v>
      </c>
      <c r="D4806" s="7">
        <v>-4.8999999999999998E-4</v>
      </c>
      <c r="E4806" s="7">
        <v>-4.2999999999999999E-4</v>
      </c>
      <c r="F4806" s="7">
        <v>-6.4000000000000005E-4</v>
      </c>
      <c r="G4806" s="7">
        <v>0.11899999999999999</v>
      </c>
    </row>
    <row r="4807" spans="2:7" x14ac:dyDescent="0.2">
      <c r="B4807" s="60">
        <v>42619</v>
      </c>
      <c r="C4807" s="7">
        <v>-1.09E-3</v>
      </c>
      <c r="D4807" s="7">
        <v>-5.0999999999999993E-4</v>
      </c>
      <c r="E4807" s="7">
        <v>-4.3999999999999996E-4</v>
      </c>
      <c r="F4807" s="7">
        <v>-1.1200000000000001E-3</v>
      </c>
      <c r="G4807" s="7">
        <v>1.3190999999999999</v>
      </c>
    </row>
    <row r="4808" spans="2:7" x14ac:dyDescent="0.2">
      <c r="B4808" s="60">
        <v>42620</v>
      </c>
      <c r="C4808" s="7">
        <v>-1.16E-3</v>
      </c>
      <c r="D4808" s="7">
        <v>-1.1000000000000001E-3</v>
      </c>
      <c r="E4808" s="7">
        <v>-1.0399999999999999E-3</v>
      </c>
      <c r="F4808" s="7">
        <v>-1.2700000000000001E-3</v>
      </c>
      <c r="G4808" s="7">
        <v>6.4199999999999993E-2</v>
      </c>
    </row>
    <row r="4809" spans="2:7" x14ac:dyDescent="0.2">
      <c r="B4809" s="60">
        <v>42621</v>
      </c>
      <c r="C4809" s="7">
        <v>-6.2E-4</v>
      </c>
      <c r="D4809" s="7">
        <v>-1.15E-3</v>
      </c>
      <c r="E4809" s="7">
        <v>-5.4000000000000001E-4</v>
      </c>
      <c r="F4809" s="7">
        <v>-1.23E-3</v>
      </c>
      <c r="G4809" s="7">
        <v>-0.46550000000000002</v>
      </c>
    </row>
    <row r="4810" spans="2:7" x14ac:dyDescent="0.2">
      <c r="B4810" s="60">
        <v>42622</v>
      </c>
      <c r="C4810" s="7">
        <v>1.2E-4</v>
      </c>
      <c r="D4810" s="7">
        <v>-5.2999999999999998E-4</v>
      </c>
      <c r="E4810" s="7">
        <v>2.1000000000000001E-4</v>
      </c>
      <c r="F4810" s="7">
        <v>-5.2999999999999998E-4</v>
      </c>
      <c r="G4810" s="7">
        <v>-1.1935</v>
      </c>
    </row>
    <row r="4811" spans="2:7" x14ac:dyDescent="0.2">
      <c r="B4811" s="60">
        <v>42625</v>
      </c>
      <c r="C4811" s="7">
        <v>3.6999999999999999E-4</v>
      </c>
      <c r="D4811" s="7">
        <v>2.1999999999999998E-4</v>
      </c>
      <c r="E4811" s="7">
        <v>5.8E-4</v>
      </c>
      <c r="F4811" s="7">
        <v>1.4999999999999999E-4</v>
      </c>
      <c r="G4811" s="7">
        <v>2.0832999999999999</v>
      </c>
    </row>
    <row r="4812" spans="2:7" x14ac:dyDescent="0.2">
      <c r="B4812" s="60">
        <v>42626</v>
      </c>
      <c r="C4812" s="7">
        <v>7.1999999999999994E-4</v>
      </c>
      <c r="D4812" s="7">
        <v>3.3E-4</v>
      </c>
      <c r="E4812" s="7">
        <v>7.2999999999999996E-4</v>
      </c>
      <c r="F4812" s="7">
        <v>1.0000000000000001E-5</v>
      </c>
      <c r="G4812" s="7">
        <v>0.94589999999999996</v>
      </c>
    </row>
    <row r="4813" spans="2:7" x14ac:dyDescent="0.2">
      <c r="B4813" s="60">
        <v>42627</v>
      </c>
      <c r="C4813" s="7">
        <v>2.1999999999999998E-4</v>
      </c>
      <c r="D4813" s="7">
        <v>7.5999999999999993E-4</v>
      </c>
      <c r="E4813" s="7">
        <v>8.1000000000000006E-4</v>
      </c>
      <c r="F4813" s="7">
        <v>1.7999999999999998E-4</v>
      </c>
      <c r="G4813" s="7">
        <v>-0.69440000000000002</v>
      </c>
    </row>
    <row r="4814" spans="2:7" x14ac:dyDescent="0.2">
      <c r="B4814" s="60">
        <v>42628</v>
      </c>
      <c r="C4814" s="7">
        <v>3.4000000000000002E-4</v>
      </c>
      <c r="D4814" s="7">
        <v>2.5999999999999998E-4</v>
      </c>
      <c r="E4814" s="7">
        <v>6.4999999999999997E-4</v>
      </c>
      <c r="F4814" s="7">
        <v>1.8999999999999998E-4</v>
      </c>
      <c r="G4814" s="7">
        <v>0.54549999999999998</v>
      </c>
    </row>
    <row r="4815" spans="2:7" x14ac:dyDescent="0.2">
      <c r="B4815" s="60">
        <v>42629</v>
      </c>
      <c r="C4815" s="7">
        <v>7.0000000000000007E-5</v>
      </c>
      <c r="D4815" s="7">
        <v>3.1E-4</v>
      </c>
      <c r="E4815" s="7">
        <v>3.2000000000000003E-4</v>
      </c>
      <c r="F4815" s="7">
        <v>-2.4000000000000001E-4</v>
      </c>
      <c r="G4815" s="7">
        <v>-0.79410000000000003</v>
      </c>
    </row>
    <row r="4816" spans="2:7" x14ac:dyDescent="0.2">
      <c r="B4816" s="60">
        <v>42630</v>
      </c>
      <c r="C4816" s="7">
        <v>2.0000000000000002E-5</v>
      </c>
      <c r="D4816" s="7">
        <v>2.0000000000000002E-5</v>
      </c>
      <c r="E4816" s="7">
        <v>2.0000000000000002E-5</v>
      </c>
      <c r="F4816" s="7">
        <v>2.0000000000000002E-5</v>
      </c>
      <c r="G4816" s="7">
        <v>-0.71430000000000005</v>
      </c>
    </row>
    <row r="4817" spans="2:7" x14ac:dyDescent="0.2">
      <c r="B4817" s="60">
        <v>42632</v>
      </c>
      <c r="C4817" s="7">
        <v>1.7999999999999998E-4</v>
      </c>
      <c r="D4817" s="7">
        <v>7.0000000000000007E-5</v>
      </c>
      <c r="E4817" s="7">
        <v>2.5000000000000001E-4</v>
      </c>
      <c r="F4817" s="7">
        <v>-8.9999999999999992E-5</v>
      </c>
      <c r="G4817" s="7">
        <v>8</v>
      </c>
    </row>
    <row r="4818" spans="2:7" x14ac:dyDescent="0.2">
      <c r="B4818" s="60">
        <v>42633</v>
      </c>
      <c r="C4818" s="7">
        <v>-1.7000000000000001E-4</v>
      </c>
      <c r="D4818" s="7">
        <v>2.1000000000000001E-4</v>
      </c>
      <c r="E4818" s="7">
        <v>2.1000000000000001E-4</v>
      </c>
      <c r="F4818" s="7">
        <v>-2.1000000000000001E-4</v>
      </c>
      <c r="G4818" s="7">
        <v>-1.9443999999999999</v>
      </c>
    </row>
    <row r="4819" spans="2:7" x14ac:dyDescent="0.2">
      <c r="B4819" s="60">
        <v>42634</v>
      </c>
      <c r="C4819" s="7">
        <v>3.0000000000000001E-5</v>
      </c>
      <c r="D4819" s="7">
        <v>-1.4000000000000001E-4</v>
      </c>
      <c r="E4819" s="7">
        <v>1.4000000000000001E-4</v>
      </c>
      <c r="F4819" s="7">
        <v>-2.1000000000000001E-4</v>
      </c>
      <c r="G4819" s="7">
        <v>-1.1765000000000001</v>
      </c>
    </row>
    <row r="4820" spans="2:7" x14ac:dyDescent="0.2">
      <c r="B4820" s="60">
        <v>42635</v>
      </c>
      <c r="C4820" s="7">
        <v>-9.5E-4</v>
      </c>
      <c r="D4820" s="7">
        <v>5.0000000000000002E-5</v>
      </c>
      <c r="E4820" s="7">
        <v>5.0000000000000002E-5</v>
      </c>
      <c r="F4820" s="7">
        <v>-9.5E-4</v>
      </c>
      <c r="G4820" s="7">
        <v>-32.666699999999999</v>
      </c>
    </row>
    <row r="4821" spans="2:7" x14ac:dyDescent="0.2">
      <c r="B4821" s="60">
        <v>42636</v>
      </c>
      <c r="C4821" s="7">
        <v>-8.1000000000000006E-4</v>
      </c>
      <c r="D4821" s="7">
        <v>-8.5000000000000006E-4</v>
      </c>
      <c r="E4821" s="7">
        <v>-7.1999999999999994E-4</v>
      </c>
      <c r="F4821" s="7">
        <v>-9.2999999999999995E-4</v>
      </c>
      <c r="G4821" s="7">
        <v>-0.1474</v>
      </c>
    </row>
    <row r="4822" spans="2:7" x14ac:dyDescent="0.2">
      <c r="B4822" s="60">
        <v>42637</v>
      </c>
      <c r="C4822" s="7">
        <v>-8.5000000000000006E-4</v>
      </c>
      <c r="D4822" s="7">
        <v>-8.4000000000000003E-4</v>
      </c>
      <c r="E4822" s="7">
        <v>-8.4000000000000003E-4</v>
      </c>
      <c r="F4822" s="7">
        <v>-8.5000000000000006E-4</v>
      </c>
      <c r="G4822" s="7">
        <v>4.9399999999999999E-2</v>
      </c>
    </row>
    <row r="4823" spans="2:7" x14ac:dyDescent="0.2">
      <c r="B4823" s="60">
        <v>42638</v>
      </c>
      <c r="C4823" s="7">
        <v>-8.5000000000000006E-4</v>
      </c>
      <c r="D4823" s="7">
        <v>-8.5000000000000006E-4</v>
      </c>
      <c r="E4823" s="7">
        <v>-8.5000000000000006E-4</v>
      </c>
      <c r="F4823" s="7">
        <v>-8.5000000000000006E-4</v>
      </c>
      <c r="G4823" s="7">
        <v>0</v>
      </c>
    </row>
    <row r="4824" spans="2:7" x14ac:dyDescent="0.2">
      <c r="B4824" s="60">
        <v>42639</v>
      </c>
      <c r="C4824" s="7">
        <v>-1.15E-3</v>
      </c>
      <c r="D4824" s="7">
        <v>-8.5000000000000006E-4</v>
      </c>
      <c r="E4824" s="7">
        <v>-8.1000000000000006E-4</v>
      </c>
      <c r="F4824" s="7">
        <v>-1.1899999999999999E-3</v>
      </c>
      <c r="G4824" s="7">
        <v>0.35289999999999999</v>
      </c>
    </row>
    <row r="4825" spans="2:7" x14ac:dyDescent="0.2">
      <c r="B4825" s="60">
        <v>42640</v>
      </c>
      <c r="C4825" s="7">
        <v>-1.3800000000000002E-3</v>
      </c>
      <c r="D4825" s="7">
        <v>-1.1299999999999999E-3</v>
      </c>
      <c r="E4825" s="7">
        <v>-1.0499999999999999E-3</v>
      </c>
      <c r="F4825" s="7">
        <v>-1.6100000000000001E-3</v>
      </c>
      <c r="G4825" s="7">
        <v>0.2</v>
      </c>
    </row>
    <row r="4826" spans="2:7" x14ac:dyDescent="0.2">
      <c r="B4826" s="60">
        <v>42641</v>
      </c>
      <c r="C4826" s="7">
        <v>-1.4499999999999999E-3</v>
      </c>
      <c r="D4826" s="7">
        <v>-1.4199999999999998E-3</v>
      </c>
      <c r="E4826" s="7">
        <v>-1.24E-3</v>
      </c>
      <c r="F4826" s="7">
        <v>-1.5399999999999999E-3</v>
      </c>
      <c r="G4826" s="7">
        <v>5.0700000000000002E-2</v>
      </c>
    </row>
    <row r="4827" spans="2:7" x14ac:dyDescent="0.2">
      <c r="B4827" s="60">
        <v>42642</v>
      </c>
      <c r="C4827" s="7">
        <v>-1.17E-3</v>
      </c>
      <c r="D4827" s="7">
        <v>-1.2600000000000001E-3</v>
      </c>
      <c r="E4827" s="7">
        <v>-1.08E-3</v>
      </c>
      <c r="F4827" s="7">
        <v>-1.3500000000000001E-3</v>
      </c>
      <c r="G4827" s="7">
        <v>-0.19309999999999999</v>
      </c>
    </row>
    <row r="4828" spans="2:7" x14ac:dyDescent="0.2">
      <c r="B4828" s="60">
        <v>42643</v>
      </c>
      <c r="C4828" s="7">
        <v>-1.1999999999999999E-3</v>
      </c>
      <c r="D4828" s="7">
        <v>-1.3800000000000002E-3</v>
      </c>
      <c r="E4828" s="7">
        <v>-1.15E-3</v>
      </c>
      <c r="F4828" s="7">
        <v>-1.6100000000000001E-3</v>
      </c>
      <c r="G4828" s="7">
        <v>2.5600000000000001E-2</v>
      </c>
    </row>
    <row r="4829" spans="2:7" x14ac:dyDescent="0.2">
      <c r="B4829" s="60">
        <v>42646</v>
      </c>
      <c r="C4829" s="7">
        <v>-9.3999999999999997E-4</v>
      </c>
      <c r="D4829" s="7">
        <v>-1.17E-3</v>
      </c>
      <c r="E4829" s="7">
        <v>-9.2999999999999995E-4</v>
      </c>
      <c r="F4829" s="7">
        <v>-1.25E-3</v>
      </c>
      <c r="G4829" s="7">
        <v>-0.2167</v>
      </c>
    </row>
    <row r="4830" spans="2:7" x14ac:dyDescent="0.2">
      <c r="B4830" s="60">
        <v>42647</v>
      </c>
      <c r="C4830" s="7">
        <v>-5.2999999999999998E-4</v>
      </c>
      <c r="D4830" s="7">
        <v>-9.2999999999999995E-4</v>
      </c>
      <c r="E4830" s="7">
        <v>-4.2999999999999999E-4</v>
      </c>
      <c r="F4830" s="7">
        <v>-1.1200000000000001E-3</v>
      </c>
      <c r="G4830" s="7">
        <v>-0.43619999999999998</v>
      </c>
    </row>
    <row r="4831" spans="2:7" x14ac:dyDescent="0.2">
      <c r="B4831" s="60">
        <v>42648</v>
      </c>
      <c r="C4831" s="7">
        <v>-3.0000000000000001E-5</v>
      </c>
      <c r="D4831" s="7">
        <v>-5.0999999999999993E-4</v>
      </c>
      <c r="E4831" s="7">
        <v>0</v>
      </c>
      <c r="F4831" s="7">
        <v>-6.4000000000000005E-4</v>
      </c>
      <c r="G4831" s="7">
        <v>-0.94340000000000002</v>
      </c>
    </row>
    <row r="4832" spans="2:7" x14ac:dyDescent="0.2">
      <c r="B4832" s="60">
        <v>42649</v>
      </c>
      <c r="C4832" s="7">
        <v>-1.7000000000000001E-4</v>
      </c>
      <c r="D4832" s="7">
        <v>-1.2E-4</v>
      </c>
      <c r="E4832" s="7">
        <v>8.0000000000000007E-5</v>
      </c>
      <c r="F4832" s="7">
        <v>-4.8999999999999998E-4</v>
      </c>
      <c r="G4832" s="7">
        <v>4.6666999999999996</v>
      </c>
    </row>
    <row r="4833" spans="2:7" x14ac:dyDescent="0.2">
      <c r="B4833" s="60">
        <v>42650</v>
      </c>
      <c r="C4833" s="7">
        <v>2.1000000000000001E-4</v>
      </c>
      <c r="D4833" s="7">
        <v>-7.0000000000000007E-5</v>
      </c>
      <c r="E4833" s="7">
        <v>3.1E-4</v>
      </c>
      <c r="F4833" s="7">
        <v>-1.0999999999999999E-4</v>
      </c>
      <c r="G4833" s="7">
        <v>-2.2353000000000001</v>
      </c>
    </row>
    <row r="4834" spans="2:7" x14ac:dyDescent="0.2">
      <c r="B4834" s="60">
        <v>42653</v>
      </c>
      <c r="C4834" s="7">
        <v>5.6999999999999998E-4</v>
      </c>
      <c r="D4834" s="7">
        <v>1.2E-4</v>
      </c>
      <c r="E4834" s="7">
        <v>6.4999999999999997E-4</v>
      </c>
      <c r="F4834" s="7">
        <v>1.0000000000000001E-5</v>
      </c>
      <c r="G4834" s="7">
        <v>1.7142999999999999</v>
      </c>
    </row>
    <row r="4835" spans="2:7" x14ac:dyDescent="0.2">
      <c r="B4835" s="60">
        <v>42654</v>
      </c>
      <c r="C4835" s="7">
        <v>2.5000000000000001E-4</v>
      </c>
      <c r="D4835" s="7">
        <v>5.6000000000000006E-4</v>
      </c>
      <c r="E4835" s="7">
        <v>5.8E-4</v>
      </c>
      <c r="F4835" s="7">
        <v>2.3000000000000001E-4</v>
      </c>
      <c r="G4835" s="7">
        <v>-0.56140000000000001</v>
      </c>
    </row>
    <row r="4836" spans="2:7" x14ac:dyDescent="0.2">
      <c r="B4836" s="60">
        <v>42655</v>
      </c>
      <c r="C4836" s="7">
        <v>6.8000000000000005E-4</v>
      </c>
      <c r="D4836" s="7">
        <v>4.6999999999999999E-4</v>
      </c>
      <c r="E4836" s="7">
        <v>7.5000000000000002E-4</v>
      </c>
      <c r="F4836" s="7">
        <v>2.9E-4</v>
      </c>
      <c r="G4836" s="7">
        <v>1.72</v>
      </c>
    </row>
    <row r="4837" spans="2:7" x14ac:dyDescent="0.2">
      <c r="B4837" s="60">
        <v>42656</v>
      </c>
      <c r="C4837" s="7">
        <v>4.0000000000000002E-4</v>
      </c>
      <c r="D4837" s="7">
        <v>3.3E-4</v>
      </c>
      <c r="E4837" s="7">
        <v>5.6000000000000006E-4</v>
      </c>
      <c r="F4837" s="7">
        <v>2.1000000000000001E-4</v>
      </c>
      <c r="G4837" s="7">
        <v>-0.4118</v>
      </c>
    </row>
    <row r="4838" spans="2:7" x14ac:dyDescent="0.2">
      <c r="B4838" s="60">
        <v>42657</v>
      </c>
      <c r="C4838" s="7">
        <v>5.8999999999999992E-4</v>
      </c>
      <c r="D4838" s="7">
        <v>3.6999999999999999E-4</v>
      </c>
      <c r="E4838" s="7">
        <v>6.8000000000000005E-4</v>
      </c>
      <c r="F4838" s="7">
        <v>3.5000000000000005E-4</v>
      </c>
      <c r="G4838" s="7">
        <v>0.47499999999999998</v>
      </c>
    </row>
    <row r="4839" spans="2:7" x14ac:dyDescent="0.2">
      <c r="B4839" s="60">
        <v>42658</v>
      </c>
      <c r="C4839" s="7">
        <v>6.9000000000000008E-4</v>
      </c>
      <c r="D4839" s="7">
        <v>6.9000000000000008E-4</v>
      </c>
      <c r="E4839" s="7">
        <v>6.9000000000000008E-4</v>
      </c>
      <c r="F4839" s="7">
        <v>6.9000000000000008E-4</v>
      </c>
      <c r="G4839" s="7">
        <v>0.16950000000000001</v>
      </c>
    </row>
    <row r="4840" spans="2:7" x14ac:dyDescent="0.2">
      <c r="B4840" s="60">
        <v>42660</v>
      </c>
      <c r="C4840" s="7">
        <v>5.6000000000000006E-4</v>
      </c>
      <c r="D4840" s="7">
        <v>6.7000000000000002E-4</v>
      </c>
      <c r="E4840" s="7">
        <v>1.0299999999999999E-3</v>
      </c>
      <c r="F4840" s="7">
        <v>5.2999999999999998E-4</v>
      </c>
      <c r="G4840" s="7">
        <v>-0.18840000000000001</v>
      </c>
    </row>
    <row r="4841" spans="2:7" x14ac:dyDescent="0.2">
      <c r="B4841" s="60">
        <v>42661</v>
      </c>
      <c r="C4841" s="7">
        <v>3.6999999999999999E-4</v>
      </c>
      <c r="D4841" s="7">
        <v>5.8999999999999992E-4</v>
      </c>
      <c r="E4841" s="7">
        <v>6.8000000000000005E-4</v>
      </c>
      <c r="F4841" s="7">
        <v>3.3E-4</v>
      </c>
      <c r="G4841" s="7">
        <v>-0.33929999999999999</v>
      </c>
    </row>
    <row r="4842" spans="2:7" x14ac:dyDescent="0.2">
      <c r="B4842" s="60">
        <v>42662</v>
      </c>
      <c r="C4842" s="7">
        <v>3.1E-4</v>
      </c>
      <c r="D4842" s="7">
        <v>3.8999999999999999E-4</v>
      </c>
      <c r="E4842" s="7">
        <v>4.2000000000000002E-4</v>
      </c>
      <c r="F4842" s="7">
        <v>1.6000000000000001E-4</v>
      </c>
      <c r="G4842" s="7">
        <v>-0.16220000000000001</v>
      </c>
    </row>
    <row r="4843" spans="2:7" x14ac:dyDescent="0.2">
      <c r="B4843" s="60">
        <v>42663</v>
      </c>
      <c r="C4843" s="7">
        <v>7.0000000000000007E-5</v>
      </c>
      <c r="D4843" s="7">
        <v>3.5999999999999997E-4</v>
      </c>
      <c r="E4843" s="7">
        <v>5.8999999999999992E-4</v>
      </c>
      <c r="F4843" s="7">
        <v>-2.0000000000000002E-5</v>
      </c>
      <c r="G4843" s="7">
        <v>-0.7742</v>
      </c>
    </row>
    <row r="4844" spans="2:7" x14ac:dyDescent="0.2">
      <c r="B4844" s="60">
        <v>42664</v>
      </c>
      <c r="C4844" s="7">
        <v>4.0000000000000003E-5</v>
      </c>
      <c r="D4844" s="7">
        <v>5.0000000000000002E-5</v>
      </c>
      <c r="E4844" s="7">
        <v>1.8999999999999998E-4</v>
      </c>
      <c r="F4844" s="7">
        <v>-5.0000000000000002E-5</v>
      </c>
      <c r="G4844" s="7">
        <v>-0.42859999999999998</v>
      </c>
    </row>
    <row r="4845" spans="2:7" x14ac:dyDescent="0.2">
      <c r="B4845" s="60">
        <v>42667</v>
      </c>
      <c r="C4845" s="7">
        <v>2.7E-4</v>
      </c>
      <c r="D4845" s="7">
        <v>8.9999999999999992E-5</v>
      </c>
      <c r="E4845" s="7">
        <v>3.2000000000000003E-4</v>
      </c>
      <c r="F4845" s="7">
        <v>-2.0000000000000001E-4</v>
      </c>
      <c r="G4845" s="7">
        <v>5.75</v>
      </c>
    </row>
    <row r="4846" spans="2:7" x14ac:dyDescent="0.2">
      <c r="B4846" s="60">
        <v>42668</v>
      </c>
      <c r="C4846" s="7">
        <v>3.1E-4</v>
      </c>
      <c r="D4846" s="7">
        <v>2.5000000000000001E-4</v>
      </c>
      <c r="E4846" s="7">
        <v>4.2000000000000002E-4</v>
      </c>
      <c r="F4846" s="7">
        <v>1E-4</v>
      </c>
      <c r="G4846" s="7">
        <v>0.14810000000000001</v>
      </c>
    </row>
    <row r="4847" spans="2:7" x14ac:dyDescent="0.2">
      <c r="B4847" s="60">
        <v>42669</v>
      </c>
      <c r="C4847" s="7">
        <v>8.5000000000000006E-4</v>
      </c>
      <c r="D4847" s="7">
        <v>3.2000000000000003E-4</v>
      </c>
      <c r="E4847" s="7">
        <v>1.0499999999999999E-3</v>
      </c>
      <c r="F4847" s="7">
        <v>1.8999999999999998E-4</v>
      </c>
      <c r="G4847" s="7">
        <v>1.7419</v>
      </c>
    </row>
    <row r="4848" spans="2:7" x14ac:dyDescent="0.2">
      <c r="B4848" s="60">
        <v>42670</v>
      </c>
      <c r="C4848" s="7">
        <v>1.7000000000000001E-3</v>
      </c>
      <c r="D4848" s="7">
        <v>8.9999999999999998E-4</v>
      </c>
      <c r="E4848" s="7">
        <v>1.92E-3</v>
      </c>
      <c r="F4848" s="7">
        <v>8.3000000000000001E-4</v>
      </c>
      <c r="G4848" s="7">
        <v>1</v>
      </c>
    </row>
    <row r="4849" spans="2:7" x14ac:dyDescent="0.2">
      <c r="B4849" s="60">
        <v>42671</v>
      </c>
      <c r="C4849" s="7">
        <v>1.6800000000000001E-3</v>
      </c>
      <c r="D4849" s="7">
        <v>1.72E-3</v>
      </c>
      <c r="E4849" s="7">
        <v>2.1900000000000001E-3</v>
      </c>
      <c r="F4849" s="7">
        <v>1.58E-3</v>
      </c>
      <c r="G4849" s="7">
        <v>-1.18E-2</v>
      </c>
    </row>
    <row r="4850" spans="2:7" x14ac:dyDescent="0.2">
      <c r="B4850" s="60">
        <v>42674</v>
      </c>
      <c r="C4850" s="7">
        <v>1.6300000000000002E-3</v>
      </c>
      <c r="D4850" s="7">
        <v>1.65E-3</v>
      </c>
      <c r="E4850" s="7">
        <v>1.7899999999999999E-3</v>
      </c>
      <c r="F4850" s="7">
        <v>1.5E-3</v>
      </c>
      <c r="G4850" s="7">
        <v>-2.98E-2</v>
      </c>
    </row>
    <row r="4851" spans="2:7" x14ac:dyDescent="0.2">
      <c r="B4851" s="60">
        <v>42675</v>
      </c>
      <c r="C4851" s="7">
        <v>1.8E-3</v>
      </c>
      <c r="D4851" s="7">
        <v>1.6300000000000002E-3</v>
      </c>
      <c r="E4851" s="7">
        <v>2.0599999999999998E-3</v>
      </c>
      <c r="F4851" s="7">
        <v>1.6300000000000002E-3</v>
      </c>
      <c r="G4851" s="7">
        <v>0.1043</v>
      </c>
    </row>
    <row r="4852" spans="2:7" x14ac:dyDescent="0.2">
      <c r="B4852" s="60">
        <v>42676</v>
      </c>
      <c r="C4852" s="7">
        <v>1.31E-3</v>
      </c>
      <c r="D4852" s="7">
        <v>1.56E-3</v>
      </c>
      <c r="E4852" s="7">
        <v>1.6100000000000001E-3</v>
      </c>
      <c r="F4852" s="7">
        <v>1.1299999999999999E-3</v>
      </c>
      <c r="G4852" s="7">
        <v>-0.2722</v>
      </c>
    </row>
    <row r="4853" spans="2:7" x14ac:dyDescent="0.2">
      <c r="B4853" s="60">
        <v>42677</v>
      </c>
      <c r="C4853" s="7">
        <v>1.5900000000000001E-3</v>
      </c>
      <c r="D4853" s="7">
        <v>1.2900000000000001E-3</v>
      </c>
      <c r="E4853" s="7">
        <v>1.7599999999999998E-3</v>
      </c>
      <c r="F4853" s="7">
        <v>1.1899999999999999E-3</v>
      </c>
      <c r="G4853" s="7">
        <v>0.2137</v>
      </c>
    </row>
    <row r="4854" spans="2:7" x14ac:dyDescent="0.2">
      <c r="B4854" s="60">
        <v>42678</v>
      </c>
      <c r="C4854" s="7">
        <v>1.3500000000000001E-3</v>
      </c>
      <c r="D4854" s="7">
        <v>1.58E-3</v>
      </c>
      <c r="E4854" s="7">
        <v>1.64E-3</v>
      </c>
      <c r="F4854" s="7">
        <v>1.2700000000000001E-3</v>
      </c>
      <c r="G4854" s="7">
        <v>-0.15090000000000001</v>
      </c>
    </row>
    <row r="4855" spans="2:7" x14ac:dyDescent="0.2">
      <c r="B4855" s="60">
        <v>42681</v>
      </c>
      <c r="C4855" s="7">
        <v>1.5499999999999999E-3</v>
      </c>
      <c r="D4855" s="7">
        <v>1.3500000000000001E-3</v>
      </c>
      <c r="E4855" s="7">
        <v>1.7399999999999998E-3</v>
      </c>
      <c r="F4855" s="7">
        <v>1.3500000000000001E-3</v>
      </c>
      <c r="G4855" s="7">
        <v>0.14810000000000001</v>
      </c>
    </row>
    <row r="4856" spans="2:7" x14ac:dyDescent="0.2">
      <c r="B4856" s="60">
        <v>42682</v>
      </c>
      <c r="C4856" s="7">
        <v>1.8799999999999999E-3</v>
      </c>
      <c r="D4856" s="7">
        <v>1.5399999999999999E-3</v>
      </c>
      <c r="E4856" s="7">
        <v>1.89E-3</v>
      </c>
      <c r="F4856" s="7">
        <v>1.4000000000000002E-3</v>
      </c>
      <c r="G4856" s="7">
        <v>0.21290000000000001</v>
      </c>
    </row>
    <row r="4857" spans="2:7" x14ac:dyDescent="0.2">
      <c r="B4857" s="60">
        <v>42683</v>
      </c>
      <c r="C4857" s="7">
        <v>2.0399999999999997E-3</v>
      </c>
      <c r="D4857" s="7">
        <v>1.1999999999999999E-3</v>
      </c>
      <c r="E4857" s="7">
        <v>2.0499999999999997E-3</v>
      </c>
      <c r="F4857" s="7">
        <v>9.2999999999999995E-4</v>
      </c>
      <c r="G4857" s="7">
        <v>8.5099999999999995E-2</v>
      </c>
    </row>
    <row r="4858" spans="2:7" x14ac:dyDescent="0.2">
      <c r="B4858" s="60">
        <v>42684</v>
      </c>
      <c r="C4858" s="7">
        <v>2.7500000000000003E-3</v>
      </c>
      <c r="D4858" s="7">
        <v>2.2899999999999999E-3</v>
      </c>
      <c r="E4858" s="7">
        <v>3.2000000000000002E-3</v>
      </c>
      <c r="F4858" s="7">
        <v>2.1199999999999999E-3</v>
      </c>
      <c r="G4858" s="7">
        <v>0.34799999999999998</v>
      </c>
    </row>
    <row r="4859" spans="2:7" x14ac:dyDescent="0.2">
      <c r="B4859" s="60">
        <v>42685</v>
      </c>
      <c r="C4859" s="7">
        <v>3.0899999999999999E-3</v>
      </c>
      <c r="D4859" s="7">
        <v>2.7600000000000003E-3</v>
      </c>
      <c r="E4859" s="7">
        <v>3.4499999999999999E-3</v>
      </c>
      <c r="F4859" s="7">
        <v>2.7600000000000003E-3</v>
      </c>
      <c r="G4859" s="7">
        <v>0.1236</v>
      </c>
    </row>
    <row r="4860" spans="2:7" x14ac:dyDescent="0.2">
      <c r="B4860" s="60">
        <v>42688</v>
      </c>
      <c r="C4860" s="7">
        <v>3.1900000000000001E-3</v>
      </c>
      <c r="D4860" s="7">
        <v>3.4899999999999996E-3</v>
      </c>
      <c r="E4860" s="7">
        <v>3.9700000000000004E-3</v>
      </c>
      <c r="F4860" s="7">
        <v>3.1700000000000001E-3</v>
      </c>
      <c r="G4860" s="7">
        <v>3.2399999999999998E-2</v>
      </c>
    </row>
    <row r="4861" spans="2:7" x14ac:dyDescent="0.2">
      <c r="B4861" s="60">
        <v>42689</v>
      </c>
      <c r="C4861" s="7">
        <v>3.0799999999999998E-3</v>
      </c>
      <c r="D4861" s="7">
        <v>3.2400000000000003E-3</v>
      </c>
      <c r="E4861" s="7">
        <v>3.2400000000000003E-3</v>
      </c>
      <c r="F4861" s="7">
        <v>2.8599999999999997E-3</v>
      </c>
      <c r="G4861" s="7">
        <v>-3.4500000000000003E-2</v>
      </c>
    </row>
    <row r="4862" spans="2:7" x14ac:dyDescent="0.2">
      <c r="B4862" s="60">
        <v>42690</v>
      </c>
      <c r="C4862" s="7">
        <v>2.98E-3</v>
      </c>
      <c r="D4862" s="7">
        <v>3.0899999999999999E-3</v>
      </c>
      <c r="E4862" s="7">
        <v>3.4499999999999999E-3</v>
      </c>
      <c r="F4862" s="7">
        <v>2.8999999999999998E-3</v>
      </c>
      <c r="G4862" s="7">
        <v>-3.2500000000000001E-2</v>
      </c>
    </row>
    <row r="4863" spans="2:7" x14ac:dyDescent="0.2">
      <c r="B4863" s="60">
        <v>42691</v>
      </c>
      <c r="C4863" s="7">
        <v>2.7800000000000004E-3</v>
      </c>
      <c r="D4863" s="7">
        <v>2.97E-3</v>
      </c>
      <c r="E4863" s="7">
        <v>3.0799999999999998E-3</v>
      </c>
      <c r="F4863" s="7">
        <v>2.64E-3</v>
      </c>
      <c r="G4863" s="7">
        <v>-6.7100000000000007E-2</v>
      </c>
    </row>
    <row r="4864" spans="2:7" x14ac:dyDescent="0.2">
      <c r="B4864" s="60">
        <v>42692</v>
      </c>
      <c r="C4864" s="7">
        <v>2.7200000000000002E-3</v>
      </c>
      <c r="D4864" s="7">
        <v>3.2200000000000002E-3</v>
      </c>
      <c r="E4864" s="7">
        <v>3.3600000000000001E-3</v>
      </c>
      <c r="F4864" s="7">
        <v>2.5400000000000002E-3</v>
      </c>
      <c r="G4864" s="7">
        <v>-2.1600000000000001E-2</v>
      </c>
    </row>
    <row r="4865" spans="2:7" x14ac:dyDescent="0.2">
      <c r="B4865" s="60">
        <v>42695</v>
      </c>
      <c r="C4865" s="7">
        <v>2.7400000000000002E-3</v>
      </c>
      <c r="D4865" s="7">
        <v>2.7600000000000003E-3</v>
      </c>
      <c r="E4865" s="7">
        <v>2.99E-3</v>
      </c>
      <c r="F4865" s="7">
        <v>2.63E-3</v>
      </c>
      <c r="G4865" s="7">
        <v>7.4000000000000003E-3</v>
      </c>
    </row>
    <row r="4866" spans="2:7" x14ac:dyDescent="0.2">
      <c r="B4866" s="60">
        <v>42696</v>
      </c>
      <c r="C4866" s="7">
        <v>2.2100000000000002E-3</v>
      </c>
      <c r="D4866" s="7">
        <v>2.7500000000000003E-3</v>
      </c>
      <c r="E4866" s="7">
        <v>2.8399999999999996E-3</v>
      </c>
      <c r="F4866" s="7">
        <v>2.1900000000000001E-3</v>
      </c>
      <c r="G4866" s="7">
        <v>-0.19339999999999999</v>
      </c>
    </row>
    <row r="4867" spans="2:7" x14ac:dyDescent="0.2">
      <c r="B4867" s="60">
        <v>42697</v>
      </c>
      <c r="C4867" s="7">
        <v>2.63E-3</v>
      </c>
      <c r="D4867" s="7">
        <v>2.2100000000000002E-3</v>
      </c>
      <c r="E4867" s="7">
        <v>3.1099999999999999E-3</v>
      </c>
      <c r="F4867" s="7">
        <v>2.0799999999999998E-3</v>
      </c>
      <c r="G4867" s="7">
        <v>0.19</v>
      </c>
    </row>
    <row r="4868" spans="2:7" x14ac:dyDescent="0.2">
      <c r="B4868" s="60">
        <v>42698</v>
      </c>
      <c r="C4868" s="7">
        <v>2.5900000000000003E-3</v>
      </c>
      <c r="D4868" s="7">
        <v>2.49E-3</v>
      </c>
      <c r="E4868" s="7">
        <v>2.7300000000000002E-3</v>
      </c>
      <c r="F4868" s="7">
        <v>2.3400000000000001E-3</v>
      </c>
      <c r="G4868" s="7">
        <v>-1.52E-2</v>
      </c>
    </row>
    <row r="4869" spans="2:7" x14ac:dyDescent="0.2">
      <c r="B4869" s="60">
        <v>42699</v>
      </c>
      <c r="C4869" s="7">
        <v>2.4099999999999998E-3</v>
      </c>
      <c r="D4869" s="7">
        <v>2.5800000000000003E-3</v>
      </c>
      <c r="E4869" s="7">
        <v>2.63E-3</v>
      </c>
      <c r="F4869" s="7">
        <v>2.1900000000000001E-3</v>
      </c>
      <c r="G4869" s="7">
        <v>-6.9500000000000006E-2</v>
      </c>
    </row>
    <row r="4870" spans="2:7" x14ac:dyDescent="0.2">
      <c r="B4870" s="60">
        <v>42702</v>
      </c>
      <c r="C4870" s="7">
        <v>2.0499999999999997E-3</v>
      </c>
      <c r="D4870" s="7">
        <v>2.3999999999999998E-3</v>
      </c>
      <c r="E4870" s="7">
        <v>2.4299999999999999E-3</v>
      </c>
      <c r="F4870" s="7">
        <v>1.8400000000000001E-3</v>
      </c>
      <c r="G4870" s="7">
        <v>-0.14940000000000001</v>
      </c>
    </row>
    <row r="4871" spans="2:7" x14ac:dyDescent="0.2">
      <c r="B4871" s="60">
        <v>42703</v>
      </c>
      <c r="C4871" s="7">
        <v>2.2100000000000002E-3</v>
      </c>
      <c r="D4871" s="7">
        <v>2.0499999999999997E-3</v>
      </c>
      <c r="E4871" s="7">
        <v>2.4199999999999998E-3</v>
      </c>
      <c r="F4871" s="7">
        <v>1.91E-3</v>
      </c>
      <c r="G4871" s="7">
        <v>7.8E-2</v>
      </c>
    </row>
    <row r="4872" spans="2:7" x14ac:dyDescent="0.2">
      <c r="B4872" s="60">
        <v>42704</v>
      </c>
      <c r="C4872" s="7">
        <v>2.7400000000000002E-3</v>
      </c>
      <c r="D4872" s="7">
        <v>2.0599999999999998E-3</v>
      </c>
      <c r="E4872" s="7">
        <v>2.8399999999999996E-3</v>
      </c>
      <c r="F4872" s="7">
        <v>1.9300000000000001E-3</v>
      </c>
      <c r="G4872" s="7">
        <v>0.23980000000000001</v>
      </c>
    </row>
    <row r="4873" spans="2:7" x14ac:dyDescent="0.2">
      <c r="B4873" s="60">
        <v>42705</v>
      </c>
      <c r="C4873" s="7">
        <v>3.6700000000000001E-3</v>
      </c>
      <c r="D4873" s="7">
        <v>2.7700000000000003E-3</v>
      </c>
      <c r="E4873" s="7">
        <v>3.7099999999999998E-3</v>
      </c>
      <c r="F4873" s="7">
        <v>2.7300000000000002E-3</v>
      </c>
      <c r="G4873" s="7">
        <v>0.33939999999999998</v>
      </c>
    </row>
    <row r="4874" spans="2:7" x14ac:dyDescent="0.2">
      <c r="B4874" s="60">
        <v>42706</v>
      </c>
      <c r="C4874" s="7">
        <v>2.8000000000000004E-3</v>
      </c>
      <c r="D4874" s="7">
        <v>3.7000000000000002E-3</v>
      </c>
      <c r="E4874" s="7">
        <v>3.7000000000000002E-3</v>
      </c>
      <c r="F4874" s="7">
        <v>2.7600000000000003E-3</v>
      </c>
      <c r="G4874" s="7">
        <v>-0.23710000000000001</v>
      </c>
    </row>
    <row r="4875" spans="2:7" x14ac:dyDescent="0.2">
      <c r="B4875" s="60">
        <v>42709</v>
      </c>
      <c r="C4875" s="7">
        <v>3.32E-3</v>
      </c>
      <c r="D4875" s="7">
        <v>2.5300000000000001E-3</v>
      </c>
      <c r="E4875" s="7">
        <v>3.7599999999999999E-3</v>
      </c>
      <c r="F4875" s="7">
        <v>2.5200000000000001E-3</v>
      </c>
      <c r="G4875" s="7">
        <v>0.1857</v>
      </c>
    </row>
    <row r="4876" spans="2:7" x14ac:dyDescent="0.2">
      <c r="B4876" s="60">
        <v>42710</v>
      </c>
      <c r="C4876" s="7">
        <v>3.6800000000000001E-3</v>
      </c>
      <c r="D4876" s="7">
        <v>3.3300000000000001E-3</v>
      </c>
      <c r="E4876" s="7">
        <v>3.8300000000000001E-3</v>
      </c>
      <c r="F4876" s="7">
        <v>3.0899999999999999E-3</v>
      </c>
      <c r="G4876" s="7">
        <v>0.1084</v>
      </c>
    </row>
    <row r="4877" spans="2:7" x14ac:dyDescent="0.2">
      <c r="B4877" s="60">
        <v>42711</v>
      </c>
      <c r="C4877" s="7">
        <v>3.4499999999999999E-3</v>
      </c>
      <c r="D4877" s="7">
        <v>3.7499999999999999E-3</v>
      </c>
      <c r="E4877" s="7">
        <v>3.82E-3</v>
      </c>
      <c r="F4877" s="7">
        <v>3.29E-3</v>
      </c>
      <c r="G4877" s="7">
        <v>-6.25E-2</v>
      </c>
    </row>
    <row r="4878" spans="2:7" x14ac:dyDescent="0.2">
      <c r="B4878" s="60">
        <v>42712</v>
      </c>
      <c r="C4878" s="7">
        <v>3.82E-3</v>
      </c>
      <c r="D4878" s="7">
        <v>3.4699999999999996E-3</v>
      </c>
      <c r="E4878" s="7">
        <v>4.5300000000000002E-3</v>
      </c>
      <c r="F4878" s="7">
        <v>3.4399999999999999E-3</v>
      </c>
      <c r="G4878" s="7">
        <v>0.1072</v>
      </c>
    </row>
    <row r="4879" spans="2:7" x14ac:dyDescent="0.2">
      <c r="B4879" s="60">
        <v>42713</v>
      </c>
      <c r="C4879" s="7">
        <v>3.6600000000000001E-3</v>
      </c>
      <c r="D4879" s="7">
        <v>3.96E-3</v>
      </c>
      <c r="E4879" s="7">
        <v>3.98E-3</v>
      </c>
      <c r="F4879" s="7">
        <v>3.1900000000000001E-3</v>
      </c>
      <c r="G4879" s="7">
        <v>-4.19E-2</v>
      </c>
    </row>
    <row r="4880" spans="2:7" x14ac:dyDescent="0.2">
      <c r="B4880" s="60">
        <v>42716</v>
      </c>
      <c r="C4880" s="7">
        <v>3.9900000000000005E-3</v>
      </c>
      <c r="D4880" s="7">
        <v>3.82E-3</v>
      </c>
      <c r="E4880" s="7">
        <v>4.2199999999999998E-3</v>
      </c>
      <c r="F4880" s="7">
        <v>3.81E-3</v>
      </c>
      <c r="G4880" s="7">
        <v>9.0200000000000002E-2</v>
      </c>
    </row>
    <row r="4881" spans="2:7" x14ac:dyDescent="0.2">
      <c r="B4881" s="60">
        <v>42717</v>
      </c>
      <c r="C4881" s="7">
        <v>3.5899999999999999E-3</v>
      </c>
      <c r="D4881" s="7">
        <v>3.98E-3</v>
      </c>
      <c r="E4881" s="7">
        <v>4.0000000000000001E-3</v>
      </c>
      <c r="F4881" s="7">
        <v>3.3900000000000002E-3</v>
      </c>
      <c r="G4881" s="7">
        <v>-0.1003</v>
      </c>
    </row>
    <row r="4882" spans="2:7" x14ac:dyDescent="0.2">
      <c r="B4882" s="60">
        <v>42718</v>
      </c>
      <c r="C4882" s="7">
        <v>3.0100000000000001E-3</v>
      </c>
      <c r="D4882" s="7">
        <v>3.4000000000000002E-3</v>
      </c>
      <c r="E4882" s="7">
        <v>3.4599999999999995E-3</v>
      </c>
      <c r="F4882" s="7">
        <v>2.9399999999999999E-3</v>
      </c>
      <c r="G4882" s="7">
        <v>-0.16159999999999999</v>
      </c>
    </row>
    <row r="4883" spans="2:7" x14ac:dyDescent="0.2">
      <c r="B4883" s="60">
        <v>42719</v>
      </c>
      <c r="C4883" s="7">
        <v>3.64E-3</v>
      </c>
      <c r="D4883" s="7">
        <v>3.5799999999999998E-3</v>
      </c>
      <c r="E4883" s="7">
        <v>3.9399999999999999E-3</v>
      </c>
      <c r="F4883" s="7">
        <v>3.4599999999999995E-3</v>
      </c>
      <c r="G4883" s="7">
        <v>0.20930000000000001</v>
      </c>
    </row>
    <row r="4884" spans="2:7" x14ac:dyDescent="0.2">
      <c r="B4884" s="60">
        <v>42720</v>
      </c>
      <c r="C4884" s="7">
        <v>3.15E-3</v>
      </c>
      <c r="D4884" s="7">
        <v>3.64E-3</v>
      </c>
      <c r="E4884" s="7">
        <v>3.64E-3</v>
      </c>
      <c r="F4884" s="7">
        <v>2.99E-3</v>
      </c>
      <c r="G4884" s="7">
        <v>-0.1346</v>
      </c>
    </row>
    <row r="4885" spans="2:7" x14ac:dyDescent="0.2">
      <c r="B4885" s="60">
        <v>42723</v>
      </c>
      <c r="C4885" s="7">
        <v>2.47E-3</v>
      </c>
      <c r="D4885" s="7">
        <v>3.2700000000000003E-3</v>
      </c>
      <c r="E4885" s="7">
        <v>3.3600000000000001E-3</v>
      </c>
      <c r="F4885" s="7">
        <v>2.4399999999999999E-3</v>
      </c>
      <c r="G4885" s="7">
        <v>-0.21590000000000001</v>
      </c>
    </row>
    <row r="4886" spans="2:7" x14ac:dyDescent="0.2">
      <c r="B4886" s="60">
        <v>42724</v>
      </c>
      <c r="C4886" s="7">
        <v>2.6800000000000001E-3</v>
      </c>
      <c r="D4886" s="7">
        <v>2.47E-3</v>
      </c>
      <c r="E4886" s="7">
        <v>2.8000000000000004E-3</v>
      </c>
      <c r="F4886" s="7">
        <v>2.4599999999999999E-3</v>
      </c>
      <c r="G4886" s="7">
        <v>8.5000000000000006E-2</v>
      </c>
    </row>
    <row r="4887" spans="2:7" x14ac:dyDescent="0.2">
      <c r="B4887" s="60">
        <v>42725</v>
      </c>
      <c r="C4887" s="7">
        <v>2.4599999999999999E-3</v>
      </c>
      <c r="D4887" s="7">
        <v>2.6900000000000001E-3</v>
      </c>
      <c r="E4887" s="7">
        <v>2.6900000000000001E-3</v>
      </c>
      <c r="F4887" s="7">
        <v>2.3799999999999997E-3</v>
      </c>
      <c r="G4887" s="7">
        <v>-8.2100000000000006E-2</v>
      </c>
    </row>
    <row r="4888" spans="2:7" x14ac:dyDescent="0.2">
      <c r="B4888" s="60">
        <v>42726</v>
      </c>
      <c r="C4888" s="7">
        <v>2.6099999999999999E-3</v>
      </c>
      <c r="D4888" s="7">
        <v>2.4599999999999999E-3</v>
      </c>
      <c r="E4888" s="7">
        <v>2.7700000000000003E-3</v>
      </c>
      <c r="F4888" s="7">
        <v>2.33E-3</v>
      </c>
      <c r="G4888" s="7">
        <v>6.0999999999999999E-2</v>
      </c>
    </row>
    <row r="4889" spans="2:7" x14ac:dyDescent="0.2">
      <c r="B4889" s="60">
        <v>42727</v>
      </c>
      <c r="C4889" s="7">
        <v>2.2200000000000002E-3</v>
      </c>
      <c r="D4889" s="7">
        <v>2.6099999999999999E-3</v>
      </c>
      <c r="E4889" s="7">
        <v>2.6199999999999999E-3</v>
      </c>
      <c r="F4889" s="7">
        <v>2.15E-3</v>
      </c>
      <c r="G4889" s="7">
        <v>-0.14940000000000001</v>
      </c>
    </row>
    <row r="4890" spans="2:7" x14ac:dyDescent="0.2">
      <c r="B4890" s="60">
        <v>42730</v>
      </c>
      <c r="C4890" s="7">
        <v>2.2200000000000002E-3</v>
      </c>
      <c r="D4890" s="7">
        <v>2.2200000000000002E-3</v>
      </c>
      <c r="E4890" s="7">
        <v>2.2200000000000002E-3</v>
      </c>
      <c r="F4890" s="7">
        <v>2.2200000000000002E-3</v>
      </c>
      <c r="G4890" s="7">
        <v>0</v>
      </c>
    </row>
    <row r="4891" spans="2:7" x14ac:dyDescent="0.2">
      <c r="B4891" s="60">
        <v>42731</v>
      </c>
      <c r="C4891" s="7">
        <v>2.0699999999999998E-3</v>
      </c>
      <c r="D4891" s="7">
        <v>2.2899999999999999E-3</v>
      </c>
      <c r="E4891" s="7">
        <v>2.33E-3</v>
      </c>
      <c r="F4891" s="7">
        <v>1.89E-3</v>
      </c>
      <c r="G4891" s="7">
        <v>-6.7599999999999993E-2</v>
      </c>
    </row>
    <row r="4892" spans="2:7" x14ac:dyDescent="0.2">
      <c r="B4892" s="60">
        <v>42732</v>
      </c>
      <c r="C4892" s="7">
        <v>1.9599999999999999E-3</v>
      </c>
      <c r="D4892" s="7">
        <v>1.92E-3</v>
      </c>
      <c r="E4892" s="7">
        <v>2.0999999999999999E-3</v>
      </c>
      <c r="F4892" s="7">
        <v>1.7899999999999999E-3</v>
      </c>
      <c r="G4892" s="7">
        <v>-5.3100000000000001E-2</v>
      </c>
    </row>
    <row r="4893" spans="2:7" x14ac:dyDescent="0.2">
      <c r="B4893" s="60">
        <v>42733</v>
      </c>
      <c r="C4893" s="7">
        <v>1.7599999999999998E-3</v>
      </c>
      <c r="D4893" s="7">
        <v>1.8E-3</v>
      </c>
      <c r="E4893" s="7">
        <v>1.92E-3</v>
      </c>
      <c r="F4893" s="7">
        <v>1.6300000000000002E-3</v>
      </c>
      <c r="G4893" s="7">
        <v>-0.10199999999999999</v>
      </c>
    </row>
    <row r="4894" spans="2:7" x14ac:dyDescent="0.2">
      <c r="B4894" s="60">
        <v>42734</v>
      </c>
      <c r="C4894" s="7">
        <v>2.0799999999999998E-3</v>
      </c>
      <c r="D4894" s="7">
        <v>1.7499999999999998E-3</v>
      </c>
      <c r="E4894" s="7">
        <v>2.0999999999999999E-3</v>
      </c>
      <c r="F4894" s="7">
        <v>1.7399999999999998E-3</v>
      </c>
      <c r="G4894" s="7">
        <v>0.18179999999999999</v>
      </c>
    </row>
    <row r="4895" spans="2:7" x14ac:dyDescent="0.2">
      <c r="B4895" s="60">
        <v>42737</v>
      </c>
      <c r="C4895" s="7">
        <v>1.9E-3</v>
      </c>
      <c r="D4895" s="7">
        <v>1.98E-3</v>
      </c>
      <c r="E4895" s="7">
        <v>2.0899999999999998E-3</v>
      </c>
      <c r="F4895" s="7">
        <v>1.5199999999999999E-3</v>
      </c>
      <c r="G4895" s="7">
        <v>-8.6499999999999994E-2</v>
      </c>
    </row>
    <row r="4896" spans="2:7" x14ac:dyDescent="0.2">
      <c r="B4896" s="60">
        <v>42738</v>
      </c>
      <c r="C4896" s="7">
        <v>2.66E-3</v>
      </c>
      <c r="D4896" s="7">
        <v>1.9E-3</v>
      </c>
      <c r="E4896" s="7">
        <v>2.8899999999999998E-3</v>
      </c>
      <c r="F4896" s="7">
        <v>1.82E-3</v>
      </c>
      <c r="G4896" s="7">
        <v>0.4</v>
      </c>
    </row>
    <row r="4897" spans="2:7" x14ac:dyDescent="0.2">
      <c r="B4897" s="60">
        <v>42739</v>
      </c>
      <c r="C4897" s="7">
        <v>2.7600000000000003E-3</v>
      </c>
      <c r="D4897" s="7">
        <v>2.66E-3</v>
      </c>
      <c r="E4897" s="7">
        <v>2.8199999999999996E-3</v>
      </c>
      <c r="F4897" s="7">
        <v>2.4599999999999999E-3</v>
      </c>
      <c r="G4897" s="7">
        <v>3.7600000000000001E-2</v>
      </c>
    </row>
    <row r="4898" spans="2:7" x14ac:dyDescent="0.2">
      <c r="B4898" s="60">
        <v>42740</v>
      </c>
      <c r="C4898" s="7">
        <v>2.4399999999999999E-3</v>
      </c>
      <c r="D4898" s="7">
        <v>2.5900000000000003E-3</v>
      </c>
      <c r="E4898" s="7">
        <v>3.0399999999999997E-3</v>
      </c>
      <c r="F4898" s="7">
        <v>2.3999999999999998E-3</v>
      </c>
      <c r="G4898" s="7">
        <v>-0.1159</v>
      </c>
    </row>
    <row r="4899" spans="2:7" x14ac:dyDescent="0.2">
      <c r="B4899" s="60">
        <v>42741</v>
      </c>
      <c r="C4899" s="7">
        <v>2.99E-3</v>
      </c>
      <c r="D4899" s="7">
        <v>2.47E-3</v>
      </c>
      <c r="E4899" s="7">
        <v>3.0799999999999998E-3</v>
      </c>
      <c r="F4899" s="7">
        <v>2.4199999999999998E-3</v>
      </c>
      <c r="G4899" s="7">
        <v>0.22539999999999999</v>
      </c>
    </row>
    <row r="4900" spans="2:7" x14ac:dyDescent="0.2">
      <c r="B4900" s="60">
        <v>42744</v>
      </c>
      <c r="C4900" s="7">
        <v>2.7800000000000004E-3</v>
      </c>
      <c r="D4900" s="7">
        <v>2.99E-3</v>
      </c>
      <c r="E4900" s="7">
        <v>3.2600000000000003E-3</v>
      </c>
      <c r="F4900" s="7">
        <v>2.6800000000000001E-3</v>
      </c>
      <c r="G4900" s="7">
        <v>-7.0199999999999999E-2</v>
      </c>
    </row>
    <row r="4901" spans="2:7" x14ac:dyDescent="0.2">
      <c r="B4901" s="60">
        <v>42745</v>
      </c>
      <c r="C4901" s="7">
        <v>2.8599999999999997E-3</v>
      </c>
      <c r="D4901" s="7">
        <v>2.7800000000000004E-3</v>
      </c>
      <c r="E4901" s="7">
        <v>2.99E-3</v>
      </c>
      <c r="F4901" s="7">
        <v>2.6700000000000001E-3</v>
      </c>
      <c r="G4901" s="7">
        <v>2.8799999999999999E-2</v>
      </c>
    </row>
    <row r="4902" spans="2:7" x14ac:dyDescent="0.2">
      <c r="B4902" s="60">
        <v>42746</v>
      </c>
      <c r="C4902" s="7">
        <v>2.5100000000000001E-3</v>
      </c>
      <c r="D4902" s="7">
        <v>2.8599999999999997E-3</v>
      </c>
      <c r="E4902" s="7">
        <v>2.9399999999999999E-3</v>
      </c>
      <c r="F4902" s="7">
        <v>2.3799999999999997E-3</v>
      </c>
      <c r="G4902" s="7">
        <v>-0.12239999999999999</v>
      </c>
    </row>
    <row r="4903" spans="2:7" x14ac:dyDescent="0.2">
      <c r="B4903" s="60">
        <v>42747</v>
      </c>
      <c r="C4903" s="7">
        <v>3.14E-3</v>
      </c>
      <c r="D4903" s="7">
        <v>3.13E-3</v>
      </c>
      <c r="E4903" s="7">
        <v>3.32E-3</v>
      </c>
      <c r="F4903" s="7">
        <v>2.8899999999999998E-3</v>
      </c>
      <c r="G4903" s="7">
        <v>0.251</v>
      </c>
    </row>
    <row r="4904" spans="2:7" x14ac:dyDescent="0.2">
      <c r="B4904" s="60">
        <v>42748</v>
      </c>
      <c r="C4904" s="7">
        <v>3.4000000000000002E-3</v>
      </c>
      <c r="D4904" s="7">
        <v>3.31E-3</v>
      </c>
      <c r="E4904" s="7">
        <v>3.5699999999999998E-3</v>
      </c>
      <c r="F4904" s="7">
        <v>3.0200000000000001E-3</v>
      </c>
      <c r="G4904" s="7">
        <v>8.2799999999999999E-2</v>
      </c>
    </row>
    <row r="4905" spans="2:7" x14ac:dyDescent="0.2">
      <c r="B4905" s="60">
        <v>42751</v>
      </c>
      <c r="C4905" s="7">
        <v>3.2400000000000003E-3</v>
      </c>
      <c r="D4905" s="7">
        <v>3.0599999999999998E-3</v>
      </c>
      <c r="E4905" s="7">
        <v>3.4100000000000003E-3</v>
      </c>
      <c r="F4905" s="7">
        <v>3.0599999999999998E-3</v>
      </c>
      <c r="G4905" s="7">
        <v>-4.7100000000000003E-2</v>
      </c>
    </row>
    <row r="4906" spans="2:7" x14ac:dyDescent="0.2">
      <c r="B4906" s="60">
        <v>42752</v>
      </c>
      <c r="C4906" s="7">
        <v>3.1900000000000001E-3</v>
      </c>
      <c r="D4906" s="7">
        <v>3.2400000000000003E-3</v>
      </c>
      <c r="E4906" s="7">
        <v>3.2400000000000003E-3</v>
      </c>
      <c r="F4906" s="7">
        <v>2.7200000000000002E-3</v>
      </c>
      <c r="G4906" s="7">
        <v>-1.54E-2</v>
      </c>
    </row>
    <row r="4907" spans="2:7" x14ac:dyDescent="0.2">
      <c r="B4907" s="60">
        <v>42753</v>
      </c>
      <c r="C4907" s="7">
        <v>3.5699999999999998E-3</v>
      </c>
      <c r="D4907" s="7">
        <v>3.2000000000000002E-3</v>
      </c>
      <c r="E4907" s="7">
        <v>3.6099999999999999E-3</v>
      </c>
      <c r="F4907" s="7">
        <v>3.1800000000000001E-3</v>
      </c>
      <c r="G4907" s="7">
        <v>0.1191</v>
      </c>
    </row>
    <row r="4908" spans="2:7" x14ac:dyDescent="0.2">
      <c r="B4908" s="60">
        <v>42754</v>
      </c>
      <c r="C4908" s="7">
        <v>3.81E-3</v>
      </c>
      <c r="D4908" s="7">
        <v>3.6900000000000001E-3</v>
      </c>
      <c r="E4908" s="7">
        <v>4.0100000000000005E-3</v>
      </c>
      <c r="F4908" s="7">
        <v>3.65E-3</v>
      </c>
      <c r="G4908" s="7">
        <v>6.7199999999999996E-2</v>
      </c>
    </row>
    <row r="4909" spans="2:7" x14ac:dyDescent="0.2">
      <c r="B4909" s="60">
        <v>42755</v>
      </c>
      <c r="C4909" s="7">
        <v>4.2300000000000003E-3</v>
      </c>
      <c r="D4909" s="7">
        <v>3.62E-3</v>
      </c>
      <c r="E4909" s="7">
        <v>4.3099999999999996E-3</v>
      </c>
      <c r="F4909" s="7">
        <v>3.5599999999999998E-3</v>
      </c>
      <c r="G4909" s="7">
        <v>0.11020000000000001</v>
      </c>
    </row>
    <row r="4910" spans="2:7" x14ac:dyDescent="0.2">
      <c r="B4910" s="60">
        <v>42758</v>
      </c>
      <c r="C4910" s="7">
        <v>3.64E-3</v>
      </c>
      <c r="D4910" s="7">
        <v>3.9300000000000003E-3</v>
      </c>
      <c r="E4910" s="7">
        <v>4.1700000000000001E-3</v>
      </c>
      <c r="F4910" s="7">
        <v>3.5699999999999998E-3</v>
      </c>
      <c r="G4910" s="7">
        <v>-0.13950000000000001</v>
      </c>
    </row>
    <row r="4911" spans="2:7" x14ac:dyDescent="0.2">
      <c r="B4911" s="60">
        <v>42759</v>
      </c>
      <c r="C4911" s="7">
        <v>4.0899999999999999E-3</v>
      </c>
      <c r="D4911" s="7">
        <v>3.64E-3</v>
      </c>
      <c r="E4911" s="7">
        <v>4.1199999999999995E-3</v>
      </c>
      <c r="F4911" s="7">
        <v>3.6099999999999999E-3</v>
      </c>
      <c r="G4911" s="7">
        <v>0.1236</v>
      </c>
    </row>
    <row r="4912" spans="2:7" x14ac:dyDescent="0.2">
      <c r="B4912" s="60">
        <v>42760</v>
      </c>
      <c r="C4912" s="7">
        <v>4.6500000000000005E-3</v>
      </c>
      <c r="D4912" s="7">
        <v>4.0999999999999995E-3</v>
      </c>
      <c r="E4912" s="7">
        <v>4.7299999999999998E-3</v>
      </c>
      <c r="F4912" s="7">
        <v>4.0899999999999999E-3</v>
      </c>
      <c r="G4912" s="7">
        <v>0.13689999999999999</v>
      </c>
    </row>
    <row r="4913" spans="2:7" x14ac:dyDescent="0.2">
      <c r="B4913" s="60">
        <v>42761</v>
      </c>
      <c r="C4913" s="7">
        <v>4.8399999999999997E-3</v>
      </c>
      <c r="D4913" s="7">
        <v>4.8599999999999997E-3</v>
      </c>
      <c r="E4913" s="7">
        <v>5.0299999999999997E-3</v>
      </c>
      <c r="F4913" s="7">
        <v>4.5799999999999999E-3</v>
      </c>
      <c r="G4913" s="7">
        <v>4.0899999999999999E-2</v>
      </c>
    </row>
    <row r="4914" spans="2:7" x14ac:dyDescent="0.2">
      <c r="B4914" s="60">
        <v>42762</v>
      </c>
      <c r="C4914" s="7">
        <v>4.6300000000000004E-3</v>
      </c>
      <c r="D4914" s="7">
        <v>4.8500000000000001E-3</v>
      </c>
      <c r="E4914" s="7">
        <v>4.8500000000000001E-3</v>
      </c>
      <c r="F4914" s="7">
        <v>4.5399999999999998E-3</v>
      </c>
      <c r="G4914" s="7">
        <v>-4.3400000000000001E-2</v>
      </c>
    </row>
    <row r="4915" spans="2:7" x14ac:dyDescent="0.2">
      <c r="B4915" s="60">
        <v>42765</v>
      </c>
      <c r="C4915" s="7">
        <v>4.5000000000000005E-3</v>
      </c>
      <c r="D4915" s="7">
        <v>4.6300000000000004E-3</v>
      </c>
      <c r="E4915" s="7">
        <v>4.96E-3</v>
      </c>
      <c r="F4915" s="7">
        <v>4.3099999999999996E-3</v>
      </c>
      <c r="G4915" s="7">
        <v>-2.81E-2</v>
      </c>
    </row>
    <row r="4916" spans="2:7" x14ac:dyDescent="0.2">
      <c r="B4916" s="60">
        <v>42766</v>
      </c>
      <c r="C4916" s="7">
        <v>4.3699999999999998E-3</v>
      </c>
      <c r="D4916" s="7">
        <v>4.4400000000000004E-3</v>
      </c>
      <c r="E4916" s="7">
        <v>4.8700000000000002E-3</v>
      </c>
      <c r="F4916" s="7">
        <v>4.3099999999999996E-3</v>
      </c>
      <c r="G4916" s="7">
        <v>-2.8899999999999999E-2</v>
      </c>
    </row>
    <row r="4917" spans="2:7" x14ac:dyDescent="0.2">
      <c r="B4917" s="60">
        <v>42767</v>
      </c>
      <c r="C4917" s="7">
        <v>4.6899999999999997E-3</v>
      </c>
      <c r="D4917" s="7">
        <v>4.5700000000000003E-3</v>
      </c>
      <c r="E4917" s="7">
        <v>4.8300000000000001E-3</v>
      </c>
      <c r="F4917" s="7">
        <v>4.4900000000000001E-3</v>
      </c>
      <c r="G4917" s="7">
        <v>7.3200000000000001E-2</v>
      </c>
    </row>
    <row r="4918" spans="2:7" x14ac:dyDescent="0.2">
      <c r="B4918" s="60">
        <v>42768</v>
      </c>
      <c r="C4918" s="7">
        <v>4.2599999999999999E-3</v>
      </c>
      <c r="D4918" s="7">
        <v>4.5100000000000001E-3</v>
      </c>
      <c r="E4918" s="7">
        <v>4.7599999999999995E-3</v>
      </c>
      <c r="F4918" s="7">
        <v>4.15E-3</v>
      </c>
      <c r="G4918" s="7">
        <v>-9.1700000000000004E-2</v>
      </c>
    </row>
    <row r="4919" spans="2:7" x14ac:dyDescent="0.2">
      <c r="B4919" s="60">
        <v>42769</v>
      </c>
      <c r="C4919" s="7">
        <v>4.1199999999999995E-3</v>
      </c>
      <c r="D4919" s="7">
        <v>4.4099999999999999E-3</v>
      </c>
      <c r="E4919" s="7">
        <v>4.5199999999999997E-3</v>
      </c>
      <c r="F4919" s="7">
        <v>4.0600000000000002E-3</v>
      </c>
      <c r="G4919" s="7">
        <v>-3.2899999999999999E-2</v>
      </c>
    </row>
    <row r="4920" spans="2:7" x14ac:dyDescent="0.2">
      <c r="B4920" s="60">
        <v>42772</v>
      </c>
      <c r="C4920" s="7">
        <v>3.7000000000000002E-3</v>
      </c>
      <c r="D4920" s="7">
        <v>4.1399999999999996E-3</v>
      </c>
      <c r="E4920" s="7">
        <v>4.2300000000000003E-3</v>
      </c>
      <c r="F4920" s="7">
        <v>3.5999999999999999E-3</v>
      </c>
      <c r="G4920" s="7">
        <v>-0.1019</v>
      </c>
    </row>
    <row r="4921" spans="2:7" x14ac:dyDescent="0.2">
      <c r="B4921" s="60">
        <v>42773</v>
      </c>
      <c r="C4921" s="7">
        <v>3.5099999999999997E-3</v>
      </c>
      <c r="D4921" s="7">
        <v>3.4200000000000003E-3</v>
      </c>
      <c r="E4921" s="7">
        <v>3.9700000000000004E-3</v>
      </c>
      <c r="F4921" s="7">
        <v>3.3500000000000001E-3</v>
      </c>
      <c r="G4921" s="7">
        <v>-5.1400000000000001E-2</v>
      </c>
    </row>
    <row r="4922" spans="2:7" x14ac:dyDescent="0.2">
      <c r="B4922" s="60">
        <v>42774</v>
      </c>
      <c r="C4922" s="7">
        <v>2.96E-3</v>
      </c>
      <c r="D4922" s="7">
        <v>3.5399999999999997E-3</v>
      </c>
      <c r="E4922" s="7">
        <v>3.62E-3</v>
      </c>
      <c r="F4922" s="7">
        <v>2.8899999999999998E-3</v>
      </c>
      <c r="G4922" s="7">
        <v>-0.15670000000000001</v>
      </c>
    </row>
    <row r="4923" spans="2:7" x14ac:dyDescent="0.2">
      <c r="B4923" s="60">
        <v>42775</v>
      </c>
      <c r="C4923" s="7">
        <v>3.13E-3</v>
      </c>
      <c r="D4923" s="7">
        <v>3.0499999999999998E-3</v>
      </c>
      <c r="E4923" s="7">
        <v>3.2000000000000002E-3</v>
      </c>
      <c r="F4923" s="7">
        <v>2.8899999999999998E-3</v>
      </c>
      <c r="G4923" s="7">
        <v>5.74E-2</v>
      </c>
    </row>
    <row r="4924" spans="2:7" x14ac:dyDescent="0.2">
      <c r="B4924" s="60">
        <v>42776</v>
      </c>
      <c r="C4924" s="7">
        <v>3.14E-3</v>
      </c>
      <c r="D4924" s="7">
        <v>3.2300000000000002E-3</v>
      </c>
      <c r="E4924" s="7">
        <v>3.4000000000000002E-3</v>
      </c>
      <c r="F4924" s="7">
        <v>3.14E-3</v>
      </c>
      <c r="G4924" s="7">
        <v>3.2000000000000002E-3</v>
      </c>
    </row>
    <row r="4925" spans="2:7" x14ac:dyDescent="0.2">
      <c r="B4925" s="60">
        <v>42779</v>
      </c>
      <c r="C4925" s="7">
        <v>3.32E-3</v>
      </c>
      <c r="D4925" s="7">
        <v>3.2799999999999999E-3</v>
      </c>
      <c r="E4925" s="7">
        <v>3.4599999999999995E-3</v>
      </c>
      <c r="F4925" s="7">
        <v>3.2100000000000002E-3</v>
      </c>
      <c r="G4925" s="7">
        <v>5.7299999999999997E-2</v>
      </c>
    </row>
    <row r="4926" spans="2:7" x14ac:dyDescent="0.2">
      <c r="B4926" s="60">
        <v>42780</v>
      </c>
      <c r="C4926" s="7">
        <v>3.6700000000000001E-3</v>
      </c>
      <c r="D4926" s="7">
        <v>3.32E-3</v>
      </c>
      <c r="E4926" s="7">
        <v>3.79E-3</v>
      </c>
      <c r="F4926" s="7">
        <v>3.16E-3</v>
      </c>
      <c r="G4926" s="7">
        <v>0.10539999999999999</v>
      </c>
    </row>
    <row r="4927" spans="2:7" x14ac:dyDescent="0.2">
      <c r="B4927" s="60">
        <v>42781</v>
      </c>
      <c r="C4927" s="7">
        <v>3.7399999999999998E-3</v>
      </c>
      <c r="D4927" s="7">
        <v>3.5999999999999999E-3</v>
      </c>
      <c r="E4927" s="7">
        <v>3.9399999999999999E-3</v>
      </c>
      <c r="F4927" s="7">
        <v>3.5699999999999998E-3</v>
      </c>
      <c r="G4927" s="7">
        <v>1.9099999999999999E-2</v>
      </c>
    </row>
    <row r="4928" spans="2:7" x14ac:dyDescent="0.2">
      <c r="B4928" s="60">
        <v>42782</v>
      </c>
      <c r="C4928" s="7">
        <v>3.5099999999999997E-3</v>
      </c>
      <c r="D4928" s="7">
        <v>3.7299999999999998E-3</v>
      </c>
      <c r="E4928" s="7">
        <v>3.8300000000000001E-3</v>
      </c>
      <c r="F4928" s="7">
        <v>3.4799999999999996E-3</v>
      </c>
      <c r="G4928" s="7">
        <v>-6.1499999999999999E-2</v>
      </c>
    </row>
    <row r="4929" spans="2:7" x14ac:dyDescent="0.2">
      <c r="B4929" s="60">
        <v>42783</v>
      </c>
      <c r="C4929" s="7">
        <v>3.0200000000000001E-3</v>
      </c>
      <c r="D4929" s="7">
        <v>3.5499999999999998E-3</v>
      </c>
      <c r="E4929" s="7">
        <v>3.64E-3</v>
      </c>
      <c r="F4929" s="7">
        <v>2.9199999999999999E-3</v>
      </c>
      <c r="G4929" s="7">
        <v>-0.1396</v>
      </c>
    </row>
    <row r="4930" spans="2:7" x14ac:dyDescent="0.2">
      <c r="B4930" s="60">
        <v>42786</v>
      </c>
      <c r="C4930" s="7">
        <v>2.97E-3</v>
      </c>
      <c r="D4930" s="7">
        <v>3.1800000000000001E-3</v>
      </c>
      <c r="E4930" s="7">
        <v>3.2500000000000003E-3</v>
      </c>
      <c r="F4930" s="7">
        <v>2.9099999999999998E-3</v>
      </c>
      <c r="G4930" s="7">
        <v>-1.66E-2</v>
      </c>
    </row>
    <row r="4931" spans="2:7" x14ac:dyDescent="0.2">
      <c r="B4931" s="60">
        <v>42787</v>
      </c>
      <c r="C4931" s="7">
        <v>3.0100000000000001E-3</v>
      </c>
      <c r="D4931" s="7">
        <v>3.0100000000000001E-3</v>
      </c>
      <c r="E4931" s="7">
        <v>3.3300000000000001E-3</v>
      </c>
      <c r="F4931" s="7">
        <v>2.96E-3</v>
      </c>
      <c r="G4931" s="7">
        <v>1.35E-2</v>
      </c>
    </row>
    <row r="4932" spans="2:7" x14ac:dyDescent="0.2">
      <c r="B4932" s="60">
        <v>42788</v>
      </c>
      <c r="C4932" s="7">
        <v>2.7900000000000004E-3</v>
      </c>
      <c r="D4932" s="7">
        <v>3.1800000000000001E-3</v>
      </c>
      <c r="E4932" s="7">
        <v>3.1900000000000001E-3</v>
      </c>
      <c r="F4932" s="7">
        <v>2.3799999999999997E-3</v>
      </c>
      <c r="G4932" s="7">
        <v>-7.3099999999999998E-2</v>
      </c>
    </row>
    <row r="4933" spans="2:7" x14ac:dyDescent="0.2">
      <c r="B4933" s="60">
        <v>42789</v>
      </c>
      <c r="C4933" s="7">
        <v>2.32E-3</v>
      </c>
      <c r="D4933" s="7">
        <v>2.66E-3</v>
      </c>
      <c r="E4933" s="7">
        <v>2.8499999999999997E-3</v>
      </c>
      <c r="F4933" s="7">
        <v>2.2699999999999999E-3</v>
      </c>
      <c r="G4933" s="7">
        <v>-0.16850000000000001</v>
      </c>
    </row>
    <row r="4934" spans="2:7" x14ac:dyDescent="0.2">
      <c r="B4934" s="60">
        <v>42790</v>
      </c>
      <c r="C4934" s="7">
        <v>1.82E-3</v>
      </c>
      <c r="D4934" s="7">
        <v>2.2500000000000003E-3</v>
      </c>
      <c r="E4934" s="7">
        <v>2.3400000000000001E-3</v>
      </c>
      <c r="F4934" s="7">
        <v>1.7699999999999999E-3</v>
      </c>
      <c r="G4934" s="7">
        <v>-0.2155</v>
      </c>
    </row>
    <row r="4935" spans="2:7" x14ac:dyDescent="0.2">
      <c r="B4935" s="60">
        <v>42793</v>
      </c>
      <c r="C4935" s="7">
        <v>1.99E-3</v>
      </c>
      <c r="D4935" s="7">
        <v>1.91E-3</v>
      </c>
      <c r="E4935" s="7">
        <v>2.1099999999999999E-3</v>
      </c>
      <c r="F4935" s="7">
        <v>1.8500000000000001E-3</v>
      </c>
      <c r="G4935" s="7">
        <v>9.3399999999999997E-2</v>
      </c>
    </row>
    <row r="4936" spans="2:7" x14ac:dyDescent="0.2">
      <c r="B4936" s="60">
        <v>42794</v>
      </c>
      <c r="C4936" s="7">
        <v>2.0799999999999998E-3</v>
      </c>
      <c r="D4936" s="7">
        <v>2.14E-3</v>
      </c>
      <c r="E4936" s="7">
        <v>2.31E-3</v>
      </c>
      <c r="F4936" s="7">
        <v>1.9500000000000001E-3</v>
      </c>
      <c r="G4936" s="7">
        <v>4.5199999999999997E-2</v>
      </c>
    </row>
    <row r="4937" spans="2:7" x14ac:dyDescent="0.2">
      <c r="B4937" s="60">
        <v>42795</v>
      </c>
      <c r="C4937" s="7">
        <v>2.8199999999999996E-3</v>
      </c>
      <c r="D4937" s="7">
        <v>2.32E-3</v>
      </c>
      <c r="E4937" s="7">
        <v>2.96E-3</v>
      </c>
      <c r="F4937" s="7">
        <v>2.1800000000000001E-3</v>
      </c>
      <c r="G4937" s="7">
        <v>0.35580000000000001</v>
      </c>
    </row>
    <row r="4938" spans="2:7" x14ac:dyDescent="0.2">
      <c r="B4938" s="60">
        <v>42796</v>
      </c>
      <c r="C4938" s="7">
        <v>3.2500000000000003E-3</v>
      </c>
      <c r="D4938" s="7">
        <v>2.8799999999999997E-3</v>
      </c>
      <c r="E4938" s="7">
        <v>3.2700000000000003E-3</v>
      </c>
      <c r="F4938" s="7">
        <v>2.8000000000000004E-3</v>
      </c>
      <c r="G4938" s="7">
        <v>0.1525</v>
      </c>
    </row>
    <row r="4939" spans="2:7" x14ac:dyDescent="0.2">
      <c r="B4939" s="60">
        <v>42797</v>
      </c>
      <c r="C4939" s="7">
        <v>3.5499999999999998E-3</v>
      </c>
      <c r="D4939" s="7">
        <v>3.0100000000000001E-3</v>
      </c>
      <c r="E4939" s="7">
        <v>3.63E-3</v>
      </c>
      <c r="F4939" s="7">
        <v>2.9399999999999999E-3</v>
      </c>
      <c r="G4939" s="7">
        <v>9.2299999999999993E-2</v>
      </c>
    </row>
    <row r="4940" spans="2:7" x14ac:dyDescent="0.2">
      <c r="B4940" s="60">
        <v>42800</v>
      </c>
      <c r="C4940" s="7">
        <v>3.4000000000000002E-3</v>
      </c>
      <c r="D4940" s="7">
        <v>3.4300000000000003E-3</v>
      </c>
      <c r="E4940" s="7">
        <v>3.4999999999999996E-3</v>
      </c>
      <c r="F4940" s="7">
        <v>3.1900000000000001E-3</v>
      </c>
      <c r="G4940" s="7">
        <v>-4.2299999999999997E-2</v>
      </c>
    </row>
    <row r="4941" spans="2:7" x14ac:dyDescent="0.2">
      <c r="B4941" s="60">
        <v>42801</v>
      </c>
      <c r="C4941" s="7">
        <v>3.2000000000000002E-3</v>
      </c>
      <c r="D4941" s="7">
        <v>3.4000000000000002E-3</v>
      </c>
      <c r="E4941" s="7">
        <v>3.4999999999999996E-3</v>
      </c>
      <c r="F4941" s="7">
        <v>3.0100000000000001E-3</v>
      </c>
      <c r="G4941" s="7">
        <v>-5.8799999999999998E-2</v>
      </c>
    </row>
    <row r="4942" spans="2:7" x14ac:dyDescent="0.2">
      <c r="B4942" s="60">
        <v>42802</v>
      </c>
      <c r="C4942" s="7">
        <v>3.6900000000000001E-3</v>
      </c>
      <c r="D4942" s="7">
        <v>3.1700000000000001E-3</v>
      </c>
      <c r="E4942" s="7">
        <v>3.79E-3</v>
      </c>
      <c r="F4942" s="7">
        <v>3.1700000000000001E-3</v>
      </c>
      <c r="G4942" s="7">
        <v>0.15310000000000001</v>
      </c>
    </row>
    <row r="4943" spans="2:7" x14ac:dyDescent="0.2">
      <c r="B4943" s="60">
        <v>42803</v>
      </c>
      <c r="C4943" s="7">
        <v>4.2500000000000003E-3</v>
      </c>
      <c r="D4943" s="7">
        <v>3.7699999999999999E-3</v>
      </c>
      <c r="E4943" s="7">
        <v>4.3299999999999996E-3</v>
      </c>
      <c r="F4943" s="7">
        <v>3.62E-3</v>
      </c>
      <c r="G4943" s="7">
        <v>0.15179999999999999</v>
      </c>
    </row>
    <row r="4944" spans="2:7" x14ac:dyDescent="0.2">
      <c r="B4944" s="60">
        <v>42804</v>
      </c>
      <c r="C4944" s="7">
        <v>4.8399999999999997E-3</v>
      </c>
      <c r="D4944" s="7">
        <v>4.4000000000000003E-3</v>
      </c>
      <c r="E4944" s="7">
        <v>4.9699999999999996E-3</v>
      </c>
      <c r="F4944" s="7">
        <v>4.3E-3</v>
      </c>
      <c r="G4944" s="7">
        <v>0.13880000000000001</v>
      </c>
    </row>
    <row r="4945" spans="2:7" x14ac:dyDescent="0.2">
      <c r="B4945" s="60">
        <v>42807</v>
      </c>
      <c r="C4945" s="7">
        <v>4.7199999999999994E-3</v>
      </c>
      <c r="D4945" s="7">
        <v>4.7999999999999996E-3</v>
      </c>
      <c r="E4945" s="7">
        <v>4.9499999999999995E-3</v>
      </c>
      <c r="F4945" s="7">
        <v>4.4200000000000003E-3</v>
      </c>
      <c r="G4945" s="7">
        <v>-2.4799999999999999E-2</v>
      </c>
    </row>
    <row r="4946" spans="2:7" x14ac:dyDescent="0.2">
      <c r="B4946" s="60">
        <v>42808</v>
      </c>
      <c r="C4946" s="7">
        <v>4.4800000000000005E-3</v>
      </c>
      <c r="D4946" s="7">
        <v>4.8599999999999997E-3</v>
      </c>
      <c r="E4946" s="7">
        <v>5.1000000000000004E-3</v>
      </c>
      <c r="F4946" s="7">
        <v>4.4099999999999999E-3</v>
      </c>
      <c r="G4946" s="7">
        <v>-5.0799999999999998E-2</v>
      </c>
    </row>
    <row r="4947" spans="2:7" x14ac:dyDescent="0.2">
      <c r="B4947" s="60">
        <v>42809</v>
      </c>
      <c r="C4947" s="7">
        <v>4.1399999999999996E-3</v>
      </c>
      <c r="D4947" s="7">
        <v>4.5199999999999997E-3</v>
      </c>
      <c r="E4947" s="7">
        <v>4.6100000000000004E-3</v>
      </c>
      <c r="F4947" s="7">
        <v>4.0799999999999994E-3</v>
      </c>
      <c r="G4947" s="7">
        <v>-7.5899999999999995E-2</v>
      </c>
    </row>
    <row r="4948" spans="2:7" x14ac:dyDescent="0.2">
      <c r="B4948" s="60">
        <v>42810</v>
      </c>
      <c r="C4948" s="7">
        <v>4.4900000000000001E-3</v>
      </c>
      <c r="D4948" s="7">
        <v>3.8500000000000001E-3</v>
      </c>
      <c r="E4948" s="7">
        <v>4.6899999999999997E-3</v>
      </c>
      <c r="F4948" s="7">
        <v>3.8400000000000001E-3</v>
      </c>
      <c r="G4948" s="7">
        <v>8.4500000000000006E-2</v>
      </c>
    </row>
    <row r="4949" spans="2:7" x14ac:dyDescent="0.2">
      <c r="B4949" s="60">
        <v>42811</v>
      </c>
      <c r="C4949" s="7">
        <v>4.3600000000000002E-3</v>
      </c>
      <c r="D4949" s="7">
        <v>4.6600000000000001E-3</v>
      </c>
      <c r="E4949" s="7">
        <v>4.8500000000000001E-3</v>
      </c>
      <c r="F4949" s="7">
        <v>4.2300000000000003E-3</v>
      </c>
      <c r="G4949" s="7">
        <v>-2.9000000000000001E-2</v>
      </c>
    </row>
    <row r="4950" spans="2:7" x14ac:dyDescent="0.2">
      <c r="B4950" s="60">
        <v>42812</v>
      </c>
      <c r="C4950" s="7">
        <v>4.3400000000000001E-3</v>
      </c>
      <c r="D4950" s="7">
        <v>4.3400000000000001E-3</v>
      </c>
      <c r="E4950" s="7">
        <v>4.3400000000000001E-3</v>
      </c>
      <c r="F4950" s="7">
        <v>4.3400000000000001E-3</v>
      </c>
      <c r="G4950" s="7">
        <v>-4.5999999999999999E-3</v>
      </c>
    </row>
    <row r="4951" spans="2:7" x14ac:dyDescent="0.2">
      <c r="B4951" s="60">
        <v>42814</v>
      </c>
      <c r="C4951" s="7">
        <v>4.3899999999999998E-3</v>
      </c>
      <c r="D4951" s="7">
        <v>4.3299999999999996E-3</v>
      </c>
      <c r="E4951" s="7">
        <v>4.6500000000000005E-3</v>
      </c>
      <c r="F4951" s="7">
        <v>4.2199999999999998E-3</v>
      </c>
      <c r="G4951" s="7">
        <v>1.15E-2</v>
      </c>
    </row>
    <row r="4952" spans="2:7" x14ac:dyDescent="0.2">
      <c r="B4952" s="60">
        <v>42815</v>
      </c>
      <c r="C4952" s="7">
        <v>4.5900000000000003E-3</v>
      </c>
      <c r="D4952" s="7">
        <v>4.5399999999999998E-3</v>
      </c>
      <c r="E4952" s="7">
        <v>4.8799999999999998E-3</v>
      </c>
      <c r="F4952" s="7">
        <v>4.3699999999999998E-3</v>
      </c>
      <c r="G4952" s="7">
        <v>4.5600000000000002E-2</v>
      </c>
    </row>
    <row r="4953" spans="2:7" x14ac:dyDescent="0.2">
      <c r="B4953" s="60">
        <v>42816</v>
      </c>
      <c r="C4953" s="7">
        <v>4.0699999999999998E-3</v>
      </c>
      <c r="D4953" s="7">
        <v>4.4000000000000003E-3</v>
      </c>
      <c r="E4953" s="7">
        <v>4.5100000000000001E-3</v>
      </c>
      <c r="F4953" s="7">
        <v>4.0100000000000005E-3</v>
      </c>
      <c r="G4953" s="7">
        <v>-0.1133</v>
      </c>
    </row>
    <row r="4954" spans="2:7" x14ac:dyDescent="0.2">
      <c r="B4954" s="60">
        <v>42817</v>
      </c>
      <c r="C4954" s="7">
        <v>4.3099999999999996E-3</v>
      </c>
      <c r="D4954" s="7">
        <v>4.1099999999999999E-3</v>
      </c>
      <c r="E4954" s="7">
        <v>4.3499999999999997E-3</v>
      </c>
      <c r="F4954" s="7">
        <v>3.8700000000000002E-3</v>
      </c>
      <c r="G4954" s="7">
        <v>5.8999999999999997E-2</v>
      </c>
    </row>
    <row r="4955" spans="2:7" x14ac:dyDescent="0.2">
      <c r="B4955" s="60">
        <v>42818</v>
      </c>
      <c r="C4955" s="7">
        <v>4.0600000000000002E-3</v>
      </c>
      <c r="D4955" s="7">
        <v>4.3200000000000001E-3</v>
      </c>
      <c r="E4955" s="7">
        <v>4.47E-3</v>
      </c>
      <c r="F4955" s="7">
        <v>4.0300000000000006E-3</v>
      </c>
      <c r="G4955" s="7">
        <v>-5.8000000000000003E-2</v>
      </c>
    </row>
    <row r="4956" spans="2:7" x14ac:dyDescent="0.2">
      <c r="B4956" s="60">
        <v>42820</v>
      </c>
      <c r="C4956" s="7">
        <v>4.0300000000000006E-3</v>
      </c>
      <c r="D4956" s="7">
        <v>4.0300000000000006E-3</v>
      </c>
      <c r="E4956" s="7">
        <v>4.0300000000000006E-3</v>
      </c>
      <c r="F4956" s="7">
        <v>4.0300000000000006E-3</v>
      </c>
      <c r="G4956" s="7">
        <v>-7.4000000000000003E-3</v>
      </c>
    </row>
    <row r="4957" spans="2:7" x14ac:dyDescent="0.2">
      <c r="B4957" s="60">
        <v>42821</v>
      </c>
      <c r="C4957" s="7">
        <v>4.0500000000000006E-3</v>
      </c>
      <c r="D4957" s="7">
        <v>3.8800000000000002E-3</v>
      </c>
      <c r="E4957" s="7">
        <v>4.0999999999999995E-3</v>
      </c>
      <c r="F4957" s="7">
        <v>3.5499999999999998E-3</v>
      </c>
      <c r="G4957" s="7">
        <v>5.0000000000000001E-3</v>
      </c>
    </row>
    <row r="4958" spans="2:7" x14ac:dyDescent="0.2">
      <c r="B4958" s="60">
        <v>42822</v>
      </c>
      <c r="C4958" s="7">
        <v>3.8900000000000002E-3</v>
      </c>
      <c r="D4958" s="7">
        <v>4.1099999999999999E-3</v>
      </c>
      <c r="E4958" s="7">
        <v>4.1799999999999997E-3</v>
      </c>
      <c r="F4958" s="7">
        <v>3.6800000000000001E-3</v>
      </c>
      <c r="G4958" s="7">
        <v>-3.95E-2</v>
      </c>
    </row>
    <row r="4959" spans="2:7" x14ac:dyDescent="0.2">
      <c r="B4959" s="60">
        <v>42823</v>
      </c>
      <c r="C4959" s="7">
        <v>3.4599999999999995E-3</v>
      </c>
      <c r="D4959" s="7">
        <v>4.0699999999999998E-3</v>
      </c>
      <c r="E4959" s="7">
        <v>4.1599999999999996E-3</v>
      </c>
      <c r="F4959" s="7">
        <v>3.3700000000000002E-3</v>
      </c>
      <c r="G4959" s="7">
        <v>-0.1105</v>
      </c>
    </row>
    <row r="4960" spans="2:7" x14ac:dyDescent="0.2">
      <c r="B4960" s="60">
        <v>42824</v>
      </c>
      <c r="C4960" s="7">
        <v>3.4200000000000003E-3</v>
      </c>
      <c r="D4960" s="7">
        <v>3.4499999999999999E-3</v>
      </c>
      <c r="E4960" s="7">
        <v>3.5399999999999997E-3</v>
      </c>
      <c r="F4960" s="7">
        <v>3.2100000000000002E-3</v>
      </c>
      <c r="G4960" s="7">
        <v>-1.1599999999999999E-2</v>
      </c>
    </row>
    <row r="4961" spans="2:7" x14ac:dyDescent="0.2">
      <c r="B4961" s="60">
        <v>42825</v>
      </c>
      <c r="C4961" s="7">
        <v>3.31E-3</v>
      </c>
      <c r="D4961" s="7">
        <v>3.3800000000000002E-3</v>
      </c>
      <c r="E4961" s="7">
        <v>3.4499999999999999E-3</v>
      </c>
      <c r="F4961" s="7">
        <v>3.2100000000000002E-3</v>
      </c>
      <c r="G4961" s="7">
        <v>-3.2199999999999999E-2</v>
      </c>
    </row>
    <row r="4962" spans="2:7" x14ac:dyDescent="0.2">
      <c r="B4962" s="60">
        <v>42828</v>
      </c>
      <c r="C4962" s="7">
        <v>2.7900000000000004E-3</v>
      </c>
      <c r="D4962" s="7">
        <v>3.31E-3</v>
      </c>
      <c r="E4962" s="7">
        <v>3.3800000000000002E-3</v>
      </c>
      <c r="F4962" s="7">
        <v>2.7500000000000003E-3</v>
      </c>
      <c r="G4962" s="7">
        <v>-0.15709999999999999</v>
      </c>
    </row>
    <row r="4963" spans="2:7" x14ac:dyDescent="0.2">
      <c r="B4963" s="60">
        <v>42829</v>
      </c>
      <c r="C4963" s="7">
        <v>2.6199999999999999E-3</v>
      </c>
      <c r="D4963" s="7">
        <v>2.7100000000000002E-3</v>
      </c>
      <c r="E4963" s="7">
        <v>2.7900000000000004E-3</v>
      </c>
      <c r="F4963" s="7">
        <v>2.3499999999999997E-3</v>
      </c>
      <c r="G4963" s="7">
        <v>-6.0900000000000003E-2</v>
      </c>
    </row>
    <row r="4964" spans="2:7" x14ac:dyDescent="0.2">
      <c r="B4964" s="60">
        <v>42830</v>
      </c>
      <c r="C4964" s="7">
        <v>2.5999999999999999E-3</v>
      </c>
      <c r="D4964" s="7">
        <v>2.5200000000000001E-3</v>
      </c>
      <c r="E4964" s="7">
        <v>2.8599999999999997E-3</v>
      </c>
      <c r="F4964" s="7">
        <v>2.31E-3</v>
      </c>
      <c r="G4964" s="7">
        <v>-7.6E-3</v>
      </c>
    </row>
    <row r="4965" spans="2:7" x14ac:dyDescent="0.2">
      <c r="B4965" s="60">
        <v>42831</v>
      </c>
      <c r="C4965" s="7">
        <v>2.63E-3</v>
      </c>
      <c r="D4965" s="7">
        <v>2.3999999999999998E-3</v>
      </c>
      <c r="E4965" s="7">
        <v>2.7100000000000002E-3</v>
      </c>
      <c r="F4965" s="7">
        <v>2.3799999999999997E-3</v>
      </c>
      <c r="G4965" s="7">
        <v>1.15E-2</v>
      </c>
    </row>
    <row r="4966" spans="2:7" x14ac:dyDescent="0.2">
      <c r="B4966" s="60">
        <v>42832</v>
      </c>
      <c r="C4966" s="7">
        <v>2.2799999999999999E-3</v>
      </c>
      <c r="D4966" s="7">
        <v>2.3599999999999997E-3</v>
      </c>
      <c r="E4966" s="7">
        <v>2.5400000000000002E-3</v>
      </c>
      <c r="F4966" s="7">
        <v>2.16E-3</v>
      </c>
      <c r="G4966" s="7">
        <v>-0.1331</v>
      </c>
    </row>
    <row r="4967" spans="2:7" x14ac:dyDescent="0.2">
      <c r="B4967" s="60">
        <v>42835</v>
      </c>
      <c r="C4967" s="7">
        <v>2.0899999999999998E-3</v>
      </c>
      <c r="D4967" s="7">
        <v>2.4499999999999999E-3</v>
      </c>
      <c r="E4967" s="7">
        <v>2.4599999999999999E-3</v>
      </c>
      <c r="F4967" s="7">
        <v>2.0599999999999998E-3</v>
      </c>
      <c r="G4967" s="7">
        <v>-8.3299999999999999E-2</v>
      </c>
    </row>
    <row r="4968" spans="2:7" x14ac:dyDescent="0.2">
      <c r="B4968" s="60">
        <v>42836</v>
      </c>
      <c r="C4968" s="7">
        <v>2.0599999999999998E-3</v>
      </c>
      <c r="D4968" s="7">
        <v>1.99E-3</v>
      </c>
      <c r="E4968" s="7">
        <v>2.2899999999999999E-3</v>
      </c>
      <c r="F4968" s="7">
        <v>1.92E-3</v>
      </c>
      <c r="G4968" s="7">
        <v>-1.44E-2</v>
      </c>
    </row>
    <row r="4969" spans="2:7" x14ac:dyDescent="0.2">
      <c r="B4969" s="60">
        <v>42837</v>
      </c>
      <c r="C4969" s="7">
        <v>2.0200000000000001E-3</v>
      </c>
      <c r="D4969" s="7">
        <v>2.0399999999999997E-3</v>
      </c>
      <c r="E4969" s="7">
        <v>2.2000000000000001E-3</v>
      </c>
      <c r="F4969" s="7">
        <v>1.8699999999999999E-3</v>
      </c>
      <c r="G4969" s="7">
        <v>-1.9400000000000001E-2</v>
      </c>
    </row>
    <row r="4970" spans="2:7" x14ac:dyDescent="0.2">
      <c r="B4970" s="60">
        <v>42838</v>
      </c>
      <c r="C4970" s="7">
        <v>1.89E-3</v>
      </c>
      <c r="D4970" s="7">
        <v>1.82E-3</v>
      </c>
      <c r="E4970" s="7">
        <v>1.9400000000000001E-3</v>
      </c>
      <c r="F4970" s="7">
        <v>1.6200000000000001E-3</v>
      </c>
      <c r="G4970" s="7">
        <v>-6.4399999999999999E-2</v>
      </c>
    </row>
    <row r="4971" spans="2:7" x14ac:dyDescent="0.2">
      <c r="B4971" s="60">
        <v>42839</v>
      </c>
      <c r="C4971" s="7">
        <v>1.8799999999999999E-3</v>
      </c>
      <c r="D4971" s="7">
        <v>1.82E-3</v>
      </c>
      <c r="E4971" s="7">
        <v>1.9400000000000001E-3</v>
      </c>
      <c r="F4971" s="7">
        <v>1.6200000000000001E-3</v>
      </c>
      <c r="G4971" s="7">
        <v>-5.3E-3</v>
      </c>
    </row>
    <row r="4972" spans="2:7" x14ac:dyDescent="0.2">
      <c r="B4972" s="60">
        <v>42842</v>
      </c>
      <c r="C4972" s="7">
        <v>1.8799999999999999E-3</v>
      </c>
      <c r="D4972" s="7">
        <v>1.82E-3</v>
      </c>
      <c r="E4972" s="7">
        <v>1.9400000000000001E-3</v>
      </c>
      <c r="F4972" s="7">
        <v>1.6200000000000001E-3</v>
      </c>
      <c r="G4972" s="7">
        <v>0</v>
      </c>
    </row>
    <row r="4973" spans="2:7" x14ac:dyDescent="0.2">
      <c r="B4973" s="60">
        <v>42843</v>
      </c>
      <c r="C4973" s="7">
        <v>1.5399999999999999E-3</v>
      </c>
      <c r="D4973" s="7">
        <v>1.7599999999999998E-3</v>
      </c>
      <c r="E4973" s="7">
        <v>2.0100000000000001E-3</v>
      </c>
      <c r="F4973" s="7">
        <v>1.5299999999999999E-3</v>
      </c>
      <c r="G4973" s="7">
        <v>-0.18090000000000001</v>
      </c>
    </row>
    <row r="4974" spans="2:7" x14ac:dyDescent="0.2">
      <c r="B4974" s="60">
        <v>42844</v>
      </c>
      <c r="C4974" s="7">
        <v>2.0699999999999998E-3</v>
      </c>
      <c r="D4974" s="7">
        <v>1.6800000000000001E-3</v>
      </c>
      <c r="E4974" s="7">
        <v>2.1299999999999999E-3</v>
      </c>
      <c r="F4974" s="7">
        <v>1.64E-3</v>
      </c>
      <c r="G4974" s="7">
        <v>0.34420000000000001</v>
      </c>
    </row>
    <row r="4975" spans="2:7" x14ac:dyDescent="0.2">
      <c r="B4975" s="60">
        <v>42845</v>
      </c>
      <c r="C4975" s="7">
        <v>2.48E-3</v>
      </c>
      <c r="D4975" s="7">
        <v>1.97E-3</v>
      </c>
      <c r="E4975" s="7">
        <v>2.5800000000000003E-3</v>
      </c>
      <c r="F4975" s="7">
        <v>1.89E-3</v>
      </c>
      <c r="G4975" s="7">
        <v>0.1981</v>
      </c>
    </row>
    <row r="4976" spans="2:7" x14ac:dyDescent="0.2">
      <c r="B4976" s="60">
        <v>42846</v>
      </c>
      <c r="C4976" s="7">
        <v>2.5300000000000001E-3</v>
      </c>
      <c r="D4976" s="7">
        <v>2.31E-3</v>
      </c>
      <c r="E4976" s="7">
        <v>2.5700000000000002E-3</v>
      </c>
      <c r="F4976" s="7">
        <v>2.2799999999999999E-3</v>
      </c>
      <c r="G4976" s="7">
        <v>2.0199999999999999E-2</v>
      </c>
    </row>
    <row r="4977" spans="2:7" x14ac:dyDescent="0.2">
      <c r="B4977" s="60">
        <v>42847</v>
      </c>
      <c r="C4977" s="7">
        <v>2.5300000000000001E-3</v>
      </c>
      <c r="D4977" s="7">
        <v>2.5300000000000001E-3</v>
      </c>
      <c r="E4977" s="7">
        <v>2.5300000000000001E-3</v>
      </c>
      <c r="F4977" s="7">
        <v>2.5300000000000001E-3</v>
      </c>
      <c r="G4977" s="7">
        <v>0</v>
      </c>
    </row>
    <row r="4978" spans="2:7" x14ac:dyDescent="0.2">
      <c r="B4978" s="60">
        <v>42849</v>
      </c>
      <c r="C4978" s="7">
        <v>3.32E-3</v>
      </c>
      <c r="D4978" s="7">
        <v>3.5699999999999998E-3</v>
      </c>
      <c r="E4978" s="7">
        <v>3.64E-3</v>
      </c>
      <c r="F4978" s="7">
        <v>3.2300000000000002E-3</v>
      </c>
      <c r="G4978" s="7">
        <v>0.31230000000000002</v>
      </c>
    </row>
    <row r="4979" spans="2:7" x14ac:dyDescent="0.2">
      <c r="B4979" s="60">
        <v>42850</v>
      </c>
      <c r="C4979" s="7">
        <v>3.7799999999999999E-3</v>
      </c>
      <c r="D4979" s="7">
        <v>3.3700000000000002E-3</v>
      </c>
      <c r="E4979" s="7">
        <v>3.9300000000000003E-3</v>
      </c>
      <c r="F4979" s="7">
        <v>3.3300000000000001E-3</v>
      </c>
      <c r="G4979" s="7">
        <v>0.1386</v>
      </c>
    </row>
    <row r="4980" spans="2:7" x14ac:dyDescent="0.2">
      <c r="B4980" s="60">
        <v>42851</v>
      </c>
      <c r="C4980" s="7">
        <v>3.5799999999999998E-3</v>
      </c>
      <c r="D4980" s="7">
        <v>3.9399999999999999E-3</v>
      </c>
      <c r="E4980" s="7">
        <v>3.9399999999999999E-3</v>
      </c>
      <c r="F4980" s="7">
        <v>3.4599999999999995E-3</v>
      </c>
      <c r="G4980" s="7">
        <v>-5.2900000000000003E-2</v>
      </c>
    </row>
    <row r="4981" spans="2:7" x14ac:dyDescent="0.2">
      <c r="B4981" s="60">
        <v>42852</v>
      </c>
      <c r="C4981" s="7">
        <v>3.0000000000000001E-3</v>
      </c>
      <c r="D4981" s="7">
        <v>3.5599999999999998E-3</v>
      </c>
      <c r="E4981" s="7">
        <v>3.7399999999999998E-3</v>
      </c>
      <c r="F4981" s="7">
        <v>2.9199999999999999E-3</v>
      </c>
      <c r="G4981" s="7">
        <v>-0.16200000000000001</v>
      </c>
    </row>
    <row r="4982" spans="2:7" x14ac:dyDescent="0.2">
      <c r="B4982" s="60">
        <v>42853</v>
      </c>
      <c r="C4982" s="7">
        <v>3.2400000000000003E-3</v>
      </c>
      <c r="D4982" s="7">
        <v>3.1099999999999999E-3</v>
      </c>
      <c r="E4982" s="7">
        <v>3.6099999999999999E-3</v>
      </c>
      <c r="F4982" s="7">
        <v>3.0100000000000001E-3</v>
      </c>
      <c r="G4982" s="7">
        <v>0.08</v>
      </c>
    </row>
    <row r="4983" spans="2:7" x14ac:dyDescent="0.2">
      <c r="B4983" s="60">
        <v>42856</v>
      </c>
      <c r="C4983" s="7">
        <v>3.1800000000000001E-3</v>
      </c>
      <c r="D4983" s="7">
        <v>3.1900000000000001E-3</v>
      </c>
      <c r="E4983" s="7">
        <v>3.1900000000000001E-3</v>
      </c>
      <c r="F4983" s="7">
        <v>3.1800000000000001E-3</v>
      </c>
      <c r="G4983" s="7">
        <v>-1.8499999999999999E-2</v>
      </c>
    </row>
    <row r="4984" spans="2:7" x14ac:dyDescent="0.2">
      <c r="B4984" s="60">
        <v>42857</v>
      </c>
      <c r="C4984" s="7">
        <v>3.2799999999999999E-3</v>
      </c>
      <c r="D4984" s="7">
        <v>3.3E-3</v>
      </c>
      <c r="E4984" s="7">
        <v>3.4799999999999996E-3</v>
      </c>
      <c r="F4984" s="7">
        <v>3.2100000000000002E-3</v>
      </c>
      <c r="G4984" s="7">
        <v>3.1399999999999997E-2</v>
      </c>
    </row>
    <row r="4985" spans="2:7" x14ac:dyDescent="0.2">
      <c r="B4985" s="60">
        <v>42858</v>
      </c>
      <c r="C4985" s="7">
        <v>3.2700000000000003E-3</v>
      </c>
      <c r="D4985" s="7">
        <v>3.2100000000000002E-3</v>
      </c>
      <c r="E4985" s="7">
        <v>3.3400000000000001E-3</v>
      </c>
      <c r="F4985" s="7">
        <v>3.1099999999999999E-3</v>
      </c>
      <c r="G4985" s="7">
        <v>-3.0000000000000001E-3</v>
      </c>
    </row>
    <row r="4986" spans="2:7" x14ac:dyDescent="0.2">
      <c r="B4986" s="60">
        <v>42859</v>
      </c>
      <c r="C4986" s="7">
        <v>3.9900000000000005E-3</v>
      </c>
      <c r="D4986" s="7">
        <v>3.4200000000000003E-3</v>
      </c>
      <c r="E4986" s="7">
        <v>3.9900000000000005E-3</v>
      </c>
      <c r="F4986" s="7">
        <v>3.4200000000000003E-3</v>
      </c>
      <c r="G4986" s="7">
        <v>0.22020000000000001</v>
      </c>
    </row>
    <row r="4987" spans="2:7" x14ac:dyDescent="0.2">
      <c r="B4987" s="60">
        <v>42860</v>
      </c>
      <c r="C4987" s="7">
        <v>4.15E-3</v>
      </c>
      <c r="D4987" s="7">
        <v>3.82E-3</v>
      </c>
      <c r="E4987" s="7">
        <v>4.2599999999999999E-3</v>
      </c>
      <c r="F4987" s="7">
        <v>3.6900000000000001E-3</v>
      </c>
      <c r="G4987" s="7">
        <v>4.0099999999999997E-2</v>
      </c>
    </row>
    <row r="4988" spans="2:7" x14ac:dyDescent="0.2">
      <c r="B4988" s="60">
        <v>42862</v>
      </c>
      <c r="C4988" s="7">
        <v>4.2399999999999998E-3</v>
      </c>
      <c r="D4988" s="7">
        <v>4.2399999999999998E-3</v>
      </c>
      <c r="E4988" s="7">
        <v>4.2399999999999998E-3</v>
      </c>
      <c r="F4988" s="7">
        <v>4.2399999999999998E-3</v>
      </c>
      <c r="G4988" s="7">
        <v>2.1700000000000001E-2</v>
      </c>
    </row>
    <row r="4989" spans="2:7" x14ac:dyDescent="0.2">
      <c r="B4989" s="60">
        <v>42863</v>
      </c>
      <c r="C4989" s="7">
        <v>4.1900000000000001E-3</v>
      </c>
      <c r="D4989" s="7">
        <v>4.3E-3</v>
      </c>
      <c r="E4989" s="7">
        <v>4.3800000000000002E-3</v>
      </c>
      <c r="F4989" s="7">
        <v>3.8300000000000001E-3</v>
      </c>
      <c r="G4989" s="7">
        <v>-1.18E-2</v>
      </c>
    </row>
    <row r="4990" spans="2:7" x14ac:dyDescent="0.2">
      <c r="B4990" s="60">
        <v>42864</v>
      </c>
      <c r="C4990" s="7">
        <v>4.3099999999999996E-3</v>
      </c>
      <c r="D4990" s="7">
        <v>4.2300000000000003E-3</v>
      </c>
      <c r="E4990" s="7">
        <v>4.47E-3</v>
      </c>
      <c r="F4990" s="7">
        <v>4.1999999999999997E-3</v>
      </c>
      <c r="G4990" s="7">
        <v>2.86E-2</v>
      </c>
    </row>
    <row r="4991" spans="2:7" x14ac:dyDescent="0.2">
      <c r="B4991" s="60">
        <v>42865</v>
      </c>
      <c r="C4991" s="7">
        <v>4.1999999999999997E-3</v>
      </c>
      <c r="D4991" s="7">
        <v>4.2399999999999998E-3</v>
      </c>
      <c r="E4991" s="7">
        <v>4.4099999999999999E-3</v>
      </c>
      <c r="F4991" s="7">
        <v>3.9100000000000003E-3</v>
      </c>
      <c r="G4991" s="7">
        <v>-2.5499999999999998E-2</v>
      </c>
    </row>
    <row r="4992" spans="2:7" x14ac:dyDescent="0.2">
      <c r="B4992" s="60">
        <v>42866</v>
      </c>
      <c r="C4992" s="7">
        <v>4.3099999999999996E-3</v>
      </c>
      <c r="D4992" s="7">
        <v>4.3600000000000002E-3</v>
      </c>
      <c r="E4992" s="7">
        <v>4.6100000000000004E-3</v>
      </c>
      <c r="F4992" s="7">
        <v>4.1099999999999999E-3</v>
      </c>
      <c r="G4992" s="7">
        <v>2.6200000000000001E-2</v>
      </c>
    </row>
    <row r="4993" spans="2:7" x14ac:dyDescent="0.2">
      <c r="B4993" s="60">
        <v>42867</v>
      </c>
      <c r="C4993" s="7">
        <v>3.9399999999999999E-3</v>
      </c>
      <c r="D4993" s="7">
        <v>4.28E-3</v>
      </c>
      <c r="E4993" s="7">
        <v>4.3800000000000002E-3</v>
      </c>
      <c r="F4993" s="7">
        <v>3.8700000000000002E-3</v>
      </c>
      <c r="G4993" s="7">
        <v>-8.5800000000000001E-2</v>
      </c>
    </row>
    <row r="4994" spans="2:7" x14ac:dyDescent="0.2">
      <c r="B4994" s="60">
        <v>42870</v>
      </c>
      <c r="C4994" s="7">
        <v>4.1900000000000001E-3</v>
      </c>
      <c r="D4994" s="7">
        <v>3.9900000000000005E-3</v>
      </c>
      <c r="E4994" s="7">
        <v>4.28E-3</v>
      </c>
      <c r="F4994" s="7">
        <v>3.9399999999999999E-3</v>
      </c>
      <c r="G4994" s="7">
        <v>6.3500000000000001E-2</v>
      </c>
    </row>
    <row r="4995" spans="2:7" x14ac:dyDescent="0.2">
      <c r="B4995" s="60">
        <v>42871</v>
      </c>
      <c r="C4995" s="7">
        <v>4.3099999999999996E-3</v>
      </c>
      <c r="D4995" s="7">
        <v>4.1599999999999996E-3</v>
      </c>
      <c r="E4995" s="7">
        <v>4.5000000000000005E-3</v>
      </c>
      <c r="F4995" s="7">
        <v>4.13E-3</v>
      </c>
      <c r="G4995" s="7">
        <v>2.86E-2</v>
      </c>
    </row>
    <row r="4996" spans="2:7" x14ac:dyDescent="0.2">
      <c r="B4996" s="60">
        <v>42872</v>
      </c>
      <c r="C4996" s="7">
        <v>3.7799999999999999E-3</v>
      </c>
      <c r="D4996" s="7">
        <v>4.0999999999999995E-3</v>
      </c>
      <c r="E4996" s="7">
        <v>4.28E-3</v>
      </c>
      <c r="F4996" s="7">
        <v>3.7299999999999998E-3</v>
      </c>
      <c r="G4996" s="7">
        <v>-0.123</v>
      </c>
    </row>
    <row r="4997" spans="2:7" x14ac:dyDescent="0.2">
      <c r="B4997" s="60">
        <v>42873</v>
      </c>
      <c r="C4997" s="7">
        <v>3.4300000000000003E-3</v>
      </c>
      <c r="D4997" s="7">
        <v>3.7099999999999998E-3</v>
      </c>
      <c r="E4997" s="7">
        <v>3.8400000000000001E-3</v>
      </c>
      <c r="F4997" s="7">
        <v>3.13E-3</v>
      </c>
      <c r="G4997" s="7">
        <v>-9.2600000000000002E-2</v>
      </c>
    </row>
    <row r="4998" spans="2:7" x14ac:dyDescent="0.2">
      <c r="B4998" s="60">
        <v>42874</v>
      </c>
      <c r="C4998" s="7">
        <v>3.7599999999999999E-3</v>
      </c>
      <c r="D4998" s="7">
        <v>3.5299999999999997E-3</v>
      </c>
      <c r="E4998" s="7">
        <v>3.82E-3</v>
      </c>
      <c r="F4998" s="7">
        <v>3.4899999999999996E-3</v>
      </c>
      <c r="G4998" s="7">
        <v>9.6199999999999994E-2</v>
      </c>
    </row>
    <row r="4999" spans="2:7" x14ac:dyDescent="0.2">
      <c r="B4999" s="60">
        <v>42877</v>
      </c>
      <c r="C4999" s="7">
        <v>3.96E-3</v>
      </c>
      <c r="D4999" s="7">
        <v>3.79E-3</v>
      </c>
      <c r="E4999" s="7">
        <v>4.0899999999999999E-3</v>
      </c>
      <c r="F4999" s="7">
        <v>3.5199999999999997E-3</v>
      </c>
      <c r="G4999" s="7">
        <v>5.3199999999999997E-2</v>
      </c>
    </row>
    <row r="5000" spans="2:7" x14ac:dyDescent="0.2">
      <c r="B5000" s="60">
        <v>42878</v>
      </c>
      <c r="C5000" s="7">
        <v>4.1199999999999995E-3</v>
      </c>
      <c r="D5000" s="7">
        <v>3.82E-3</v>
      </c>
      <c r="E5000" s="7">
        <v>4.2199999999999998E-3</v>
      </c>
      <c r="F5000" s="7">
        <v>3.6700000000000001E-3</v>
      </c>
      <c r="G5000" s="7">
        <v>4.0399999999999998E-2</v>
      </c>
    </row>
    <row r="5001" spans="2:7" x14ac:dyDescent="0.2">
      <c r="B5001" s="60">
        <v>42879</v>
      </c>
      <c r="C5001" s="7">
        <v>4.0699999999999998E-3</v>
      </c>
      <c r="D5001" s="7">
        <v>4.0300000000000006E-3</v>
      </c>
      <c r="E5001" s="7">
        <v>4.1799999999999997E-3</v>
      </c>
      <c r="F5001" s="7">
        <v>3.82E-3</v>
      </c>
      <c r="G5001" s="7">
        <v>-1.21E-2</v>
      </c>
    </row>
    <row r="5002" spans="2:7" x14ac:dyDescent="0.2">
      <c r="B5002" s="60">
        <v>42880</v>
      </c>
      <c r="C5002" s="7">
        <v>3.6600000000000001E-3</v>
      </c>
      <c r="D5002" s="7">
        <v>3.8300000000000001E-3</v>
      </c>
      <c r="E5002" s="7">
        <v>3.9000000000000003E-3</v>
      </c>
      <c r="F5002" s="7">
        <v>3.5799999999999998E-3</v>
      </c>
      <c r="G5002" s="7">
        <v>-0.1007</v>
      </c>
    </row>
    <row r="5003" spans="2:7" x14ac:dyDescent="0.2">
      <c r="B5003" s="60">
        <v>42881</v>
      </c>
      <c r="C5003" s="7">
        <v>3.3300000000000001E-3</v>
      </c>
      <c r="D5003" s="7">
        <v>3.62E-3</v>
      </c>
      <c r="E5003" s="7">
        <v>3.6900000000000001E-3</v>
      </c>
      <c r="F5003" s="7">
        <v>3.2200000000000002E-3</v>
      </c>
      <c r="G5003" s="7">
        <v>-9.0200000000000002E-2</v>
      </c>
    </row>
    <row r="5004" spans="2:7" x14ac:dyDescent="0.2">
      <c r="B5004" s="60">
        <v>42884</v>
      </c>
      <c r="C5004" s="7">
        <v>3.0100000000000001E-3</v>
      </c>
      <c r="D5004" s="7">
        <v>3.3900000000000002E-3</v>
      </c>
      <c r="E5004" s="7">
        <v>3.4200000000000003E-3</v>
      </c>
      <c r="F5004" s="7">
        <v>2.9299999999999999E-3</v>
      </c>
      <c r="G5004" s="7">
        <v>-9.6100000000000005E-2</v>
      </c>
    </row>
    <row r="5005" spans="2:7" x14ac:dyDescent="0.2">
      <c r="B5005" s="60">
        <v>42885</v>
      </c>
      <c r="C5005" s="7">
        <v>2.98E-3</v>
      </c>
      <c r="D5005" s="7">
        <v>2.9399999999999999E-3</v>
      </c>
      <c r="E5005" s="7">
        <v>3.15E-3</v>
      </c>
      <c r="F5005" s="7">
        <v>2.8699999999999997E-3</v>
      </c>
      <c r="G5005" s="7">
        <v>-0.01</v>
      </c>
    </row>
    <row r="5006" spans="2:7" x14ac:dyDescent="0.2">
      <c r="B5006" s="60">
        <v>42886</v>
      </c>
      <c r="C5006" s="7">
        <v>3.1099999999999999E-3</v>
      </c>
      <c r="D5006" s="7">
        <v>2.9199999999999999E-3</v>
      </c>
      <c r="E5006" s="7">
        <v>3.1700000000000001E-3</v>
      </c>
      <c r="F5006" s="7">
        <v>2.8599999999999997E-3</v>
      </c>
      <c r="G5006" s="7">
        <v>4.36E-2</v>
      </c>
    </row>
    <row r="5007" spans="2:7" x14ac:dyDescent="0.2">
      <c r="B5007" s="60">
        <v>42887</v>
      </c>
      <c r="C5007" s="7">
        <v>3.0799999999999998E-3</v>
      </c>
      <c r="D5007" s="7">
        <v>3.0699999999999998E-3</v>
      </c>
      <c r="E5007" s="7">
        <v>3.2799999999999999E-3</v>
      </c>
      <c r="F5007" s="7">
        <v>2.97E-3</v>
      </c>
      <c r="G5007" s="7">
        <v>-9.5999999999999992E-3</v>
      </c>
    </row>
    <row r="5008" spans="2:7" x14ac:dyDescent="0.2">
      <c r="B5008" s="60">
        <v>42888</v>
      </c>
      <c r="C5008" s="7">
        <v>2.7300000000000002E-3</v>
      </c>
      <c r="D5008" s="7">
        <v>3.0799999999999998E-3</v>
      </c>
      <c r="E5008" s="7">
        <v>3.0899999999999999E-3</v>
      </c>
      <c r="F5008" s="7">
        <v>2.6800000000000001E-3</v>
      </c>
      <c r="G5008" s="7">
        <v>-0.11360000000000001</v>
      </c>
    </row>
    <row r="5009" spans="2:7" x14ac:dyDescent="0.2">
      <c r="B5009" s="60">
        <v>42891</v>
      </c>
      <c r="C5009" s="7">
        <v>2.8699999999999997E-3</v>
      </c>
      <c r="D5009" s="7">
        <v>2.7900000000000004E-3</v>
      </c>
      <c r="E5009" s="7">
        <v>3.0200000000000001E-3</v>
      </c>
      <c r="F5009" s="7">
        <v>2.7500000000000003E-3</v>
      </c>
      <c r="G5009" s="7">
        <v>5.1299999999999998E-2</v>
      </c>
    </row>
    <row r="5010" spans="2:7" x14ac:dyDescent="0.2">
      <c r="B5010" s="60">
        <v>42892</v>
      </c>
      <c r="C5010" s="7">
        <v>2.5800000000000003E-3</v>
      </c>
      <c r="D5010" s="7">
        <v>2.7900000000000004E-3</v>
      </c>
      <c r="E5010" s="7">
        <v>2.8599999999999997E-3</v>
      </c>
      <c r="F5010" s="7">
        <v>2.5000000000000001E-3</v>
      </c>
      <c r="G5010" s="7">
        <v>-0.10100000000000001</v>
      </c>
    </row>
    <row r="5011" spans="2:7" x14ac:dyDescent="0.2">
      <c r="B5011" s="60">
        <v>42893</v>
      </c>
      <c r="C5011" s="7">
        <v>2.7200000000000002E-3</v>
      </c>
      <c r="D5011" s="7">
        <v>2.6199999999999999E-3</v>
      </c>
      <c r="E5011" s="7">
        <v>2.7300000000000002E-3</v>
      </c>
      <c r="F5011" s="7">
        <v>2.4399999999999999E-3</v>
      </c>
      <c r="G5011" s="7">
        <v>5.4300000000000001E-2</v>
      </c>
    </row>
    <row r="5012" spans="2:7" x14ac:dyDescent="0.2">
      <c r="B5012" s="60">
        <v>42894</v>
      </c>
      <c r="C5012" s="7">
        <v>2.5600000000000002E-3</v>
      </c>
      <c r="D5012" s="7">
        <v>2.64E-3</v>
      </c>
      <c r="E5012" s="7">
        <v>2.8999999999999998E-3</v>
      </c>
      <c r="F5012" s="7">
        <v>2.4399999999999999E-3</v>
      </c>
      <c r="G5012" s="7">
        <v>-5.8799999999999998E-2</v>
      </c>
    </row>
    <row r="5013" spans="2:7" x14ac:dyDescent="0.2">
      <c r="B5013" s="60">
        <v>42895</v>
      </c>
      <c r="C5013" s="7">
        <v>2.63E-3</v>
      </c>
      <c r="D5013" s="7">
        <v>2.47E-3</v>
      </c>
      <c r="E5013" s="7">
        <v>2.7800000000000004E-3</v>
      </c>
      <c r="F5013" s="7">
        <v>2.4599999999999999E-3</v>
      </c>
      <c r="G5013" s="7">
        <v>2.7300000000000001E-2</v>
      </c>
    </row>
    <row r="5014" spans="2:7" x14ac:dyDescent="0.2">
      <c r="B5014" s="60">
        <v>42898</v>
      </c>
      <c r="C5014" s="7">
        <v>2.4499999999999999E-3</v>
      </c>
      <c r="D5014" s="7">
        <v>2.66E-3</v>
      </c>
      <c r="E5014" s="7">
        <v>2.7000000000000001E-3</v>
      </c>
      <c r="F5014" s="7">
        <v>2.4299999999999999E-3</v>
      </c>
      <c r="G5014" s="7">
        <v>-6.8400000000000002E-2</v>
      </c>
    </row>
    <row r="5015" spans="2:7" x14ac:dyDescent="0.2">
      <c r="B5015" s="60">
        <v>42899</v>
      </c>
      <c r="C5015" s="7">
        <v>2.66E-3</v>
      </c>
      <c r="D5015" s="7">
        <v>2.5000000000000001E-3</v>
      </c>
      <c r="E5015" s="7">
        <v>2.8000000000000004E-3</v>
      </c>
      <c r="F5015" s="7">
        <v>2.49E-3</v>
      </c>
      <c r="G5015" s="7">
        <v>8.5699999999999998E-2</v>
      </c>
    </row>
    <row r="5016" spans="2:7" x14ac:dyDescent="0.2">
      <c r="B5016" s="60">
        <v>42900</v>
      </c>
      <c r="C5016" s="7">
        <v>2.2699999999999999E-3</v>
      </c>
      <c r="D5016" s="7">
        <v>2.5400000000000002E-3</v>
      </c>
      <c r="E5016" s="7">
        <v>2.7300000000000002E-3</v>
      </c>
      <c r="F5016" s="7">
        <v>2.2500000000000003E-3</v>
      </c>
      <c r="G5016" s="7">
        <v>-0.14660000000000001</v>
      </c>
    </row>
    <row r="5017" spans="2:7" x14ac:dyDescent="0.2">
      <c r="B5017" s="60">
        <v>42901</v>
      </c>
      <c r="C5017" s="7">
        <v>2.8599999999999997E-3</v>
      </c>
      <c r="D5017" s="7">
        <v>2.4099999999999998E-3</v>
      </c>
      <c r="E5017" s="7">
        <v>2.99E-3</v>
      </c>
      <c r="F5017" s="7">
        <v>2.3E-3</v>
      </c>
      <c r="G5017" s="7">
        <v>0.25990000000000002</v>
      </c>
    </row>
    <row r="5018" spans="2:7" x14ac:dyDescent="0.2">
      <c r="B5018" s="60">
        <v>42902</v>
      </c>
      <c r="C5018" s="7">
        <v>2.7700000000000003E-3</v>
      </c>
      <c r="D5018" s="7">
        <v>2.9099999999999998E-3</v>
      </c>
      <c r="E5018" s="7">
        <v>3.1800000000000001E-3</v>
      </c>
      <c r="F5018" s="7">
        <v>2.7400000000000002E-3</v>
      </c>
      <c r="G5018" s="7">
        <v>-3.15E-2</v>
      </c>
    </row>
    <row r="5019" spans="2:7" x14ac:dyDescent="0.2">
      <c r="B5019" s="60">
        <v>42903</v>
      </c>
      <c r="C5019" s="7">
        <v>2.7700000000000003E-3</v>
      </c>
      <c r="D5019" s="7">
        <v>2.7600000000000003E-3</v>
      </c>
      <c r="E5019" s="7">
        <v>2.7700000000000003E-3</v>
      </c>
      <c r="F5019" s="7">
        <v>2.7600000000000003E-3</v>
      </c>
      <c r="G5019" s="7">
        <v>0</v>
      </c>
    </row>
    <row r="5020" spans="2:7" x14ac:dyDescent="0.2">
      <c r="B5020" s="60">
        <v>42904</v>
      </c>
      <c r="C5020" s="7">
        <v>2.7700000000000003E-3</v>
      </c>
      <c r="D5020" s="7">
        <v>2.7700000000000003E-3</v>
      </c>
      <c r="E5020" s="7">
        <v>2.7700000000000003E-3</v>
      </c>
      <c r="F5020" s="7">
        <v>2.7700000000000003E-3</v>
      </c>
      <c r="G5020" s="7">
        <v>0</v>
      </c>
    </row>
    <row r="5021" spans="2:7" x14ac:dyDescent="0.2">
      <c r="B5021" s="60">
        <v>42905</v>
      </c>
      <c r="C5021" s="7">
        <v>2.8299999999999996E-3</v>
      </c>
      <c r="D5021" s="7">
        <v>2.7900000000000004E-3</v>
      </c>
      <c r="E5021" s="7">
        <v>2.98E-3</v>
      </c>
      <c r="F5021" s="7">
        <v>2.7200000000000002E-3</v>
      </c>
      <c r="G5021" s="7">
        <v>2.1700000000000001E-2</v>
      </c>
    </row>
    <row r="5022" spans="2:7" x14ac:dyDescent="0.2">
      <c r="B5022" s="60">
        <v>42906</v>
      </c>
      <c r="C5022" s="7">
        <v>2.5900000000000003E-3</v>
      </c>
      <c r="D5022" s="7">
        <v>2.8399999999999996E-3</v>
      </c>
      <c r="E5022" s="7">
        <v>2.8799999999999997E-3</v>
      </c>
      <c r="F5022" s="7">
        <v>2.5900000000000003E-3</v>
      </c>
      <c r="G5022" s="7">
        <v>-8.48E-2</v>
      </c>
    </row>
    <row r="5023" spans="2:7" x14ac:dyDescent="0.2">
      <c r="B5023" s="60">
        <v>42907</v>
      </c>
      <c r="C5023" s="7">
        <v>2.64E-3</v>
      </c>
      <c r="D5023" s="7">
        <v>2.6199999999999999E-3</v>
      </c>
      <c r="E5023" s="7">
        <v>2.7600000000000003E-3</v>
      </c>
      <c r="F5023" s="7">
        <v>2.4099999999999998E-3</v>
      </c>
      <c r="G5023" s="7">
        <v>1.9300000000000001E-2</v>
      </c>
    </row>
    <row r="5024" spans="2:7" x14ac:dyDescent="0.2">
      <c r="B5024" s="60">
        <v>42908</v>
      </c>
      <c r="C5024" s="7">
        <v>2.5400000000000002E-3</v>
      </c>
      <c r="D5024" s="7">
        <v>2.6099999999999999E-3</v>
      </c>
      <c r="E5024" s="7">
        <v>2.7000000000000001E-3</v>
      </c>
      <c r="F5024" s="7">
        <v>2.4299999999999999E-3</v>
      </c>
      <c r="G5024" s="7">
        <v>-3.7900000000000003E-2</v>
      </c>
    </row>
    <row r="5025" spans="2:7" x14ac:dyDescent="0.2">
      <c r="B5025" s="60">
        <v>42909</v>
      </c>
      <c r="C5025" s="7">
        <v>2.5600000000000002E-3</v>
      </c>
      <c r="D5025" s="7">
        <v>2.5400000000000002E-3</v>
      </c>
      <c r="E5025" s="7">
        <v>2.6700000000000001E-3</v>
      </c>
      <c r="F5025" s="7">
        <v>2.49E-3</v>
      </c>
      <c r="G5025" s="7">
        <v>7.9000000000000008E-3</v>
      </c>
    </row>
    <row r="5026" spans="2:7" x14ac:dyDescent="0.2">
      <c r="B5026" s="60">
        <v>42911</v>
      </c>
      <c r="C5026" s="7">
        <v>2.5800000000000003E-3</v>
      </c>
      <c r="D5026" s="7">
        <v>2.5800000000000003E-3</v>
      </c>
      <c r="E5026" s="7">
        <v>2.5800000000000003E-3</v>
      </c>
      <c r="F5026" s="7">
        <v>2.5800000000000003E-3</v>
      </c>
      <c r="G5026" s="7">
        <v>7.7999999999999996E-3</v>
      </c>
    </row>
    <row r="5027" spans="2:7" x14ac:dyDescent="0.2">
      <c r="B5027" s="60">
        <v>42912</v>
      </c>
      <c r="C5027" s="7">
        <v>2.4399999999999999E-3</v>
      </c>
      <c r="D5027" s="7">
        <v>2.5900000000000003E-3</v>
      </c>
      <c r="E5027" s="7">
        <v>2.63E-3</v>
      </c>
      <c r="F5027" s="7">
        <v>2.2899999999999999E-3</v>
      </c>
      <c r="G5027" s="7">
        <v>-5.4300000000000001E-2</v>
      </c>
    </row>
    <row r="5028" spans="2:7" x14ac:dyDescent="0.2">
      <c r="B5028" s="60">
        <v>42913</v>
      </c>
      <c r="C5028" s="7">
        <v>3.6800000000000001E-3</v>
      </c>
      <c r="D5028" s="7">
        <v>2.49E-3</v>
      </c>
      <c r="E5028" s="7">
        <v>3.7099999999999998E-3</v>
      </c>
      <c r="F5028" s="7">
        <v>2.3699999999999997E-3</v>
      </c>
      <c r="G5028" s="7">
        <v>0.50819999999999999</v>
      </c>
    </row>
    <row r="5029" spans="2:7" x14ac:dyDescent="0.2">
      <c r="B5029" s="60">
        <v>42914</v>
      </c>
      <c r="C5029" s="7">
        <v>3.6800000000000001E-3</v>
      </c>
      <c r="D5029" s="7">
        <v>3.7499999999999999E-3</v>
      </c>
      <c r="E5029" s="7">
        <v>4.0999999999999995E-3</v>
      </c>
      <c r="F5029" s="7">
        <v>3.2700000000000003E-3</v>
      </c>
      <c r="G5029" s="7">
        <v>0</v>
      </c>
    </row>
    <row r="5030" spans="2:7" x14ac:dyDescent="0.2">
      <c r="B5030" s="60">
        <v>42915</v>
      </c>
      <c r="C5030" s="7">
        <v>4.5100000000000001E-3</v>
      </c>
      <c r="D5030" s="7">
        <v>3.7399999999999998E-3</v>
      </c>
      <c r="E5030" s="7">
        <v>4.5700000000000003E-3</v>
      </c>
      <c r="F5030" s="7">
        <v>3.7399999999999998E-3</v>
      </c>
      <c r="G5030" s="7">
        <v>0.22550000000000001</v>
      </c>
    </row>
    <row r="5031" spans="2:7" x14ac:dyDescent="0.2">
      <c r="B5031" s="60">
        <v>42916</v>
      </c>
      <c r="C5031" s="7">
        <v>4.6500000000000005E-3</v>
      </c>
      <c r="D5031" s="7">
        <v>4.5999999999999999E-3</v>
      </c>
      <c r="E5031" s="7">
        <v>4.81E-3</v>
      </c>
      <c r="F5031" s="7">
        <v>4.2100000000000002E-3</v>
      </c>
      <c r="G5031" s="7">
        <v>3.1E-2</v>
      </c>
    </row>
    <row r="5032" spans="2:7" x14ac:dyDescent="0.2">
      <c r="B5032" s="60">
        <v>42917</v>
      </c>
      <c r="C5032" s="7">
        <v>4.6700000000000005E-3</v>
      </c>
      <c r="D5032" s="7">
        <v>4.6700000000000005E-3</v>
      </c>
      <c r="E5032" s="7">
        <v>4.6700000000000005E-3</v>
      </c>
      <c r="F5032" s="7">
        <v>4.6700000000000005E-3</v>
      </c>
      <c r="G5032" s="7">
        <v>4.3E-3</v>
      </c>
    </row>
    <row r="5033" spans="2:7" x14ac:dyDescent="0.2">
      <c r="B5033" s="60">
        <v>42918</v>
      </c>
      <c r="C5033" s="7">
        <v>4.6700000000000005E-3</v>
      </c>
      <c r="D5033" s="7">
        <v>4.6700000000000005E-3</v>
      </c>
      <c r="E5033" s="7">
        <v>4.6700000000000005E-3</v>
      </c>
      <c r="F5033" s="7">
        <v>4.6700000000000005E-3</v>
      </c>
      <c r="G5033" s="7">
        <v>0</v>
      </c>
    </row>
    <row r="5034" spans="2:7" x14ac:dyDescent="0.2">
      <c r="B5034" s="60">
        <v>42919</v>
      </c>
      <c r="C5034" s="7">
        <v>4.7399999999999994E-3</v>
      </c>
      <c r="D5034" s="7">
        <v>4.8900000000000002E-3</v>
      </c>
      <c r="E5034" s="7">
        <v>4.9300000000000004E-3</v>
      </c>
      <c r="F5034" s="7">
        <v>4.3899999999999998E-3</v>
      </c>
      <c r="G5034" s="7">
        <v>1.4999999999999999E-2</v>
      </c>
    </row>
    <row r="5035" spans="2:7" x14ac:dyDescent="0.2">
      <c r="B5035" s="60">
        <v>42920</v>
      </c>
      <c r="C5035" s="7">
        <v>4.7499999999999999E-3</v>
      </c>
      <c r="D5035" s="7">
        <v>4.64E-3</v>
      </c>
      <c r="E5035" s="7">
        <v>4.81E-3</v>
      </c>
      <c r="F5035" s="7">
        <v>4.5100000000000001E-3</v>
      </c>
      <c r="G5035" s="7">
        <v>2.0999999999999999E-3</v>
      </c>
    </row>
    <row r="5036" spans="2:7" x14ac:dyDescent="0.2">
      <c r="B5036" s="60">
        <v>42921</v>
      </c>
      <c r="C5036" s="7">
        <v>4.6899999999999997E-3</v>
      </c>
      <c r="D5036" s="7">
        <v>4.8199999999999996E-3</v>
      </c>
      <c r="E5036" s="7">
        <v>4.9800000000000001E-3</v>
      </c>
      <c r="F5036" s="7">
        <v>4.5700000000000003E-3</v>
      </c>
      <c r="G5036" s="7">
        <v>-1.26E-2</v>
      </c>
    </row>
    <row r="5037" spans="2:7" x14ac:dyDescent="0.2">
      <c r="B5037" s="60">
        <v>42922</v>
      </c>
      <c r="C5037" s="7">
        <v>5.6000000000000008E-3</v>
      </c>
      <c r="D5037" s="7">
        <v>4.7799999999999995E-3</v>
      </c>
      <c r="E5037" s="7">
        <v>5.7399999999999994E-3</v>
      </c>
      <c r="F5037" s="7">
        <v>4.7199999999999994E-3</v>
      </c>
      <c r="G5037" s="7">
        <v>0.19400000000000001</v>
      </c>
    </row>
    <row r="5038" spans="2:7" x14ac:dyDescent="0.2">
      <c r="B5038" s="60">
        <v>42923</v>
      </c>
      <c r="C5038" s="7">
        <v>5.7299999999999999E-3</v>
      </c>
      <c r="D5038" s="7">
        <v>5.6899999999999997E-3</v>
      </c>
      <c r="E5038" s="7">
        <v>5.7999999999999996E-3</v>
      </c>
      <c r="F5038" s="7">
        <v>5.5500000000000002E-3</v>
      </c>
      <c r="G5038" s="7">
        <v>2.3199999999999998E-2</v>
      </c>
    </row>
    <row r="5039" spans="2:7" x14ac:dyDescent="0.2">
      <c r="B5039" s="60">
        <v>42924</v>
      </c>
      <c r="C5039" s="7">
        <v>5.7199999999999994E-3</v>
      </c>
      <c r="D5039" s="7">
        <v>5.7099999999999998E-3</v>
      </c>
      <c r="E5039" s="7">
        <v>5.7199999999999994E-3</v>
      </c>
      <c r="F5039" s="7">
        <v>5.7099999999999998E-3</v>
      </c>
      <c r="G5039" s="7">
        <v>-1.6999999999999999E-3</v>
      </c>
    </row>
    <row r="5040" spans="2:7" x14ac:dyDescent="0.2">
      <c r="B5040" s="60">
        <v>42926</v>
      </c>
      <c r="C5040" s="7">
        <v>5.4300000000000008E-3</v>
      </c>
      <c r="D5040" s="7">
        <v>5.7199999999999994E-3</v>
      </c>
      <c r="E5040" s="7">
        <v>5.7599999999999995E-3</v>
      </c>
      <c r="F5040" s="7">
        <v>5.2900000000000004E-3</v>
      </c>
      <c r="G5040" s="7">
        <v>-5.0700000000000002E-2</v>
      </c>
    </row>
    <row r="5041" spans="2:7" x14ac:dyDescent="0.2">
      <c r="B5041" s="60">
        <v>42927</v>
      </c>
      <c r="C5041" s="7">
        <v>5.5200000000000006E-3</v>
      </c>
      <c r="D5041" s="7">
        <v>5.4900000000000001E-3</v>
      </c>
      <c r="E5041" s="7">
        <v>5.7299999999999999E-3</v>
      </c>
      <c r="F5041" s="7">
        <v>5.45E-3</v>
      </c>
      <c r="G5041" s="7">
        <v>1.66E-2</v>
      </c>
    </row>
    <row r="5042" spans="2:7" x14ac:dyDescent="0.2">
      <c r="B5042" s="60">
        <v>42928</v>
      </c>
      <c r="C5042" s="7">
        <v>5.79E-3</v>
      </c>
      <c r="D5042" s="7">
        <v>6.4099999999999999E-3</v>
      </c>
      <c r="E5042" s="7">
        <v>6.43E-3</v>
      </c>
      <c r="F5042" s="7">
        <v>5.77E-3</v>
      </c>
      <c r="G5042" s="7">
        <v>4.8899999999999999E-2</v>
      </c>
    </row>
    <row r="5043" spans="2:7" x14ac:dyDescent="0.2">
      <c r="B5043" s="60">
        <v>42929</v>
      </c>
      <c r="C5043" s="7">
        <v>6.0400000000000002E-3</v>
      </c>
      <c r="D5043" s="7">
        <v>5.7599999999999995E-3</v>
      </c>
      <c r="E5043" s="7">
        <v>6.0499999999999998E-3</v>
      </c>
      <c r="F5043" s="7">
        <v>5.45E-3</v>
      </c>
      <c r="G5043" s="7">
        <v>4.3200000000000002E-2</v>
      </c>
    </row>
    <row r="5044" spans="2:7" x14ac:dyDescent="0.2">
      <c r="B5044" s="60">
        <v>42930</v>
      </c>
      <c r="C5044" s="7">
        <v>5.94E-3</v>
      </c>
      <c r="D5044" s="7">
        <v>5.8999999999999999E-3</v>
      </c>
      <c r="E5044" s="7">
        <v>6.0000000000000001E-3</v>
      </c>
      <c r="F5044" s="7">
        <v>5.5800000000000008E-3</v>
      </c>
      <c r="G5044" s="7">
        <v>-1.66E-2</v>
      </c>
    </row>
    <row r="5045" spans="2:7" x14ac:dyDescent="0.2">
      <c r="B5045" s="60">
        <v>42932</v>
      </c>
      <c r="C5045" s="7">
        <v>5.94E-3</v>
      </c>
      <c r="D5045" s="7">
        <v>5.94E-3</v>
      </c>
      <c r="E5045" s="7">
        <v>5.94E-3</v>
      </c>
      <c r="F5045" s="7">
        <v>5.94E-3</v>
      </c>
      <c r="G5045" s="7">
        <v>0</v>
      </c>
    </row>
    <row r="5046" spans="2:7" x14ac:dyDescent="0.2">
      <c r="B5046" s="60">
        <v>42933</v>
      </c>
      <c r="C5046" s="7">
        <v>5.79E-3</v>
      </c>
      <c r="D5046" s="7">
        <v>6.0000000000000001E-3</v>
      </c>
      <c r="E5046" s="7">
        <v>6.0000000000000001E-3</v>
      </c>
      <c r="F5046" s="7">
        <v>5.6899999999999997E-3</v>
      </c>
      <c r="G5046" s="7">
        <v>-2.53E-2</v>
      </c>
    </row>
    <row r="5047" spans="2:7" x14ac:dyDescent="0.2">
      <c r="B5047" s="60">
        <v>42934</v>
      </c>
      <c r="C5047" s="7">
        <v>5.5400000000000007E-3</v>
      </c>
      <c r="D5047" s="7">
        <v>5.77E-3</v>
      </c>
      <c r="E5047" s="7">
        <v>5.8799999999999998E-3</v>
      </c>
      <c r="F5047" s="7">
        <v>5.4900000000000001E-3</v>
      </c>
      <c r="G5047" s="7">
        <v>-4.3200000000000002E-2</v>
      </c>
    </row>
    <row r="5048" spans="2:7" x14ac:dyDescent="0.2">
      <c r="B5048" s="60">
        <v>42935</v>
      </c>
      <c r="C5048" s="7">
        <v>5.4100000000000007E-3</v>
      </c>
      <c r="D5048" s="7">
        <v>5.6200000000000009E-3</v>
      </c>
      <c r="E5048" s="7">
        <v>5.6399999999999992E-3</v>
      </c>
      <c r="F5048" s="7">
        <v>5.3100000000000005E-3</v>
      </c>
      <c r="G5048" s="7">
        <v>-2.35E-2</v>
      </c>
    </row>
    <row r="5049" spans="2:7" x14ac:dyDescent="0.2">
      <c r="B5049" s="60">
        <v>42936</v>
      </c>
      <c r="C5049" s="7">
        <v>5.3100000000000005E-3</v>
      </c>
      <c r="D5049" s="7">
        <v>5.4600000000000004E-3</v>
      </c>
      <c r="E5049" s="7">
        <v>5.6100000000000004E-3</v>
      </c>
      <c r="F5049" s="7">
        <v>5.2399999999999999E-3</v>
      </c>
      <c r="G5049" s="7">
        <v>-1.8499999999999999E-2</v>
      </c>
    </row>
    <row r="5050" spans="2:7" x14ac:dyDescent="0.2">
      <c r="B5050" s="60">
        <v>42937</v>
      </c>
      <c r="C5050" s="7">
        <v>5.0499999999999998E-3</v>
      </c>
      <c r="D5050" s="7">
        <v>5.3300000000000005E-3</v>
      </c>
      <c r="E5050" s="7">
        <v>5.3400000000000001E-3</v>
      </c>
      <c r="F5050" s="7">
        <v>4.96E-3</v>
      </c>
      <c r="G5050" s="7">
        <v>-4.9000000000000002E-2</v>
      </c>
    </row>
    <row r="5051" spans="2:7" x14ac:dyDescent="0.2">
      <c r="B5051" s="60">
        <v>42940</v>
      </c>
      <c r="C5051" s="7">
        <v>5.0699999999999999E-3</v>
      </c>
      <c r="D5051" s="7">
        <v>5.13E-3</v>
      </c>
      <c r="E5051" s="7">
        <v>5.1600000000000005E-3</v>
      </c>
      <c r="F5051" s="7">
        <v>4.8799999999999998E-3</v>
      </c>
      <c r="G5051" s="7">
        <v>4.0000000000000001E-3</v>
      </c>
    </row>
    <row r="5052" spans="2:7" x14ac:dyDescent="0.2">
      <c r="B5052" s="60">
        <v>42941</v>
      </c>
      <c r="C5052" s="7">
        <v>5.6299999999999996E-3</v>
      </c>
      <c r="D5052" s="7">
        <v>4.9899999999999996E-3</v>
      </c>
      <c r="E5052" s="7">
        <v>5.6799999999999993E-3</v>
      </c>
      <c r="F5052" s="7">
        <v>4.9499999999999995E-3</v>
      </c>
      <c r="G5052" s="7">
        <v>0.1105</v>
      </c>
    </row>
    <row r="5053" spans="2:7" x14ac:dyDescent="0.2">
      <c r="B5053" s="60">
        <v>42942</v>
      </c>
      <c r="C5053" s="7">
        <v>5.5900000000000004E-3</v>
      </c>
      <c r="D5053" s="7">
        <v>5.5300000000000002E-3</v>
      </c>
      <c r="E5053" s="7">
        <v>5.6799999999999993E-3</v>
      </c>
      <c r="F5053" s="7">
        <v>5.4200000000000003E-3</v>
      </c>
      <c r="G5053" s="7">
        <v>-7.1000000000000004E-3</v>
      </c>
    </row>
    <row r="5054" spans="2:7" x14ac:dyDescent="0.2">
      <c r="B5054" s="60">
        <v>42943</v>
      </c>
      <c r="C5054" s="7">
        <v>5.3500000000000006E-3</v>
      </c>
      <c r="D5054" s="7">
        <v>5.4100000000000007E-3</v>
      </c>
      <c r="E5054" s="7">
        <v>5.4100000000000007E-3</v>
      </c>
      <c r="F5054" s="7">
        <v>5.0699999999999999E-3</v>
      </c>
      <c r="G5054" s="7">
        <v>-4.2900000000000001E-2</v>
      </c>
    </row>
    <row r="5055" spans="2:7" x14ac:dyDescent="0.2">
      <c r="B5055" s="60">
        <v>42944</v>
      </c>
      <c r="C5055" s="7">
        <v>5.4200000000000003E-3</v>
      </c>
      <c r="D5055" s="7">
        <v>5.2700000000000004E-3</v>
      </c>
      <c r="E5055" s="7">
        <v>5.8599999999999998E-3</v>
      </c>
      <c r="F5055" s="7">
        <v>5.1700000000000001E-3</v>
      </c>
      <c r="G5055" s="7">
        <v>1.3100000000000001E-2</v>
      </c>
    </row>
    <row r="5056" spans="2:7" x14ac:dyDescent="0.2">
      <c r="B5056" s="60">
        <v>42947</v>
      </c>
      <c r="C5056" s="7">
        <v>5.3300000000000005E-3</v>
      </c>
      <c r="D5056" s="7">
        <v>5.2900000000000004E-3</v>
      </c>
      <c r="E5056" s="7">
        <v>5.6299999999999996E-3</v>
      </c>
      <c r="F5056" s="7">
        <v>5.28E-3</v>
      </c>
      <c r="G5056" s="7">
        <v>-1.66E-2</v>
      </c>
    </row>
    <row r="5057" spans="2:7" x14ac:dyDescent="0.2">
      <c r="B5057" s="60">
        <v>42948</v>
      </c>
      <c r="C5057" s="7">
        <v>4.8900000000000002E-3</v>
      </c>
      <c r="D5057" s="7">
        <v>5.4000000000000003E-3</v>
      </c>
      <c r="E5057" s="7">
        <v>5.5700000000000003E-3</v>
      </c>
      <c r="F5057" s="7">
        <v>4.8500000000000001E-3</v>
      </c>
      <c r="G5057" s="7">
        <v>-8.2600000000000007E-2</v>
      </c>
    </row>
    <row r="5058" spans="2:7" x14ac:dyDescent="0.2">
      <c r="B5058" s="60">
        <v>42949</v>
      </c>
      <c r="C5058" s="7">
        <v>4.8799999999999998E-3</v>
      </c>
      <c r="D5058" s="7">
        <v>4.9399999999999999E-3</v>
      </c>
      <c r="E5058" s="7">
        <v>5.0299999999999997E-3</v>
      </c>
      <c r="F5058" s="7">
        <v>4.7699999999999999E-3</v>
      </c>
      <c r="G5058" s="7">
        <v>-2E-3</v>
      </c>
    </row>
    <row r="5059" spans="2:7" x14ac:dyDescent="0.2">
      <c r="B5059" s="60">
        <v>42950</v>
      </c>
      <c r="C5059" s="7">
        <v>4.5100000000000001E-3</v>
      </c>
      <c r="D5059" s="7">
        <v>4.8599999999999997E-3</v>
      </c>
      <c r="E5059" s="7">
        <v>4.9899999999999996E-3</v>
      </c>
      <c r="F5059" s="7">
        <v>4.4900000000000001E-3</v>
      </c>
      <c r="G5059" s="7">
        <v>-7.5800000000000006E-2</v>
      </c>
    </row>
    <row r="5060" spans="2:7" x14ac:dyDescent="0.2">
      <c r="B5060" s="60">
        <v>42951</v>
      </c>
      <c r="C5060" s="7">
        <v>4.7099999999999998E-3</v>
      </c>
      <c r="D5060" s="7">
        <v>4.47E-3</v>
      </c>
      <c r="E5060" s="7">
        <v>4.9100000000000003E-3</v>
      </c>
      <c r="F5060" s="7">
        <v>4.4600000000000004E-3</v>
      </c>
      <c r="G5060" s="7">
        <v>4.4299999999999999E-2</v>
      </c>
    </row>
    <row r="5061" spans="2:7" x14ac:dyDescent="0.2">
      <c r="B5061" s="60">
        <v>42953</v>
      </c>
      <c r="C5061" s="7">
        <v>4.6800000000000001E-3</v>
      </c>
      <c r="D5061" s="7">
        <v>4.6800000000000001E-3</v>
      </c>
      <c r="E5061" s="7">
        <v>4.6800000000000001E-3</v>
      </c>
      <c r="F5061" s="7">
        <v>4.6800000000000001E-3</v>
      </c>
      <c r="G5061" s="7">
        <v>-6.4000000000000003E-3</v>
      </c>
    </row>
    <row r="5062" spans="2:7" x14ac:dyDescent="0.2">
      <c r="B5062" s="60">
        <v>42954</v>
      </c>
      <c r="C5062" s="7">
        <v>4.5799999999999999E-3</v>
      </c>
      <c r="D5062" s="7">
        <v>4.6999999999999993E-3</v>
      </c>
      <c r="E5062" s="7">
        <v>4.9100000000000003E-3</v>
      </c>
      <c r="F5062" s="7">
        <v>4.5399999999999998E-3</v>
      </c>
      <c r="G5062" s="7">
        <v>-2.1399999999999999E-2</v>
      </c>
    </row>
    <row r="5063" spans="2:7" x14ac:dyDescent="0.2">
      <c r="B5063" s="60">
        <v>42955</v>
      </c>
      <c r="C5063" s="7">
        <v>4.7199999999999994E-3</v>
      </c>
      <c r="D5063" s="7">
        <v>4.5999999999999999E-3</v>
      </c>
      <c r="E5063" s="7">
        <v>4.79E-3</v>
      </c>
      <c r="F5063" s="7">
        <v>4.5199999999999997E-3</v>
      </c>
      <c r="G5063" s="7">
        <v>3.0599999999999999E-2</v>
      </c>
    </row>
    <row r="5064" spans="2:7" x14ac:dyDescent="0.2">
      <c r="B5064" s="60">
        <v>42956</v>
      </c>
      <c r="C5064" s="7">
        <v>4.2500000000000003E-3</v>
      </c>
      <c r="D5064" s="7">
        <v>4.62E-3</v>
      </c>
      <c r="E5064" s="7">
        <v>4.6500000000000005E-3</v>
      </c>
      <c r="F5064" s="7">
        <v>4.15E-3</v>
      </c>
      <c r="G5064" s="7">
        <v>-9.9599999999999994E-2</v>
      </c>
    </row>
    <row r="5065" spans="2:7" x14ac:dyDescent="0.2">
      <c r="B5065" s="60">
        <v>42957</v>
      </c>
      <c r="C5065" s="7">
        <v>4.1399999999999996E-3</v>
      </c>
      <c r="D5065" s="7">
        <v>4.3E-3</v>
      </c>
      <c r="E5065" s="7">
        <v>4.4299999999999999E-3</v>
      </c>
      <c r="F5065" s="7">
        <v>3.9700000000000004E-3</v>
      </c>
      <c r="G5065" s="7">
        <v>-2.5899999999999999E-2</v>
      </c>
    </row>
    <row r="5066" spans="2:7" x14ac:dyDescent="0.2">
      <c r="B5066" s="60">
        <v>42958</v>
      </c>
      <c r="C5066" s="7">
        <v>3.8500000000000001E-3</v>
      </c>
      <c r="D5066" s="7">
        <v>3.9900000000000005E-3</v>
      </c>
      <c r="E5066" s="7">
        <v>4.0699999999999998E-3</v>
      </c>
      <c r="F5066" s="7">
        <v>3.7199999999999998E-3</v>
      </c>
      <c r="G5066" s="7">
        <v>-7.0000000000000007E-2</v>
      </c>
    </row>
    <row r="5067" spans="2:7" x14ac:dyDescent="0.2">
      <c r="B5067" s="60">
        <v>42961</v>
      </c>
      <c r="C5067" s="7">
        <v>4.0500000000000006E-3</v>
      </c>
      <c r="D5067" s="7">
        <v>3.9100000000000003E-3</v>
      </c>
      <c r="E5067" s="7">
        <v>4.3E-3</v>
      </c>
      <c r="F5067" s="7">
        <v>3.9100000000000003E-3</v>
      </c>
      <c r="G5067" s="7">
        <v>5.1900000000000002E-2</v>
      </c>
    </row>
    <row r="5068" spans="2:7" x14ac:dyDescent="0.2">
      <c r="B5068" s="60">
        <v>42962</v>
      </c>
      <c r="C5068" s="7">
        <v>4.3200000000000001E-3</v>
      </c>
      <c r="D5068" s="7">
        <v>4.2699999999999995E-3</v>
      </c>
      <c r="E5068" s="7">
        <v>4.62E-3</v>
      </c>
      <c r="F5068" s="7">
        <v>4.1599999999999996E-3</v>
      </c>
      <c r="G5068" s="7">
        <v>6.6699999999999995E-2</v>
      </c>
    </row>
    <row r="5069" spans="2:7" x14ac:dyDescent="0.2">
      <c r="B5069" s="60">
        <v>42963</v>
      </c>
      <c r="C5069" s="7">
        <v>4.45E-3</v>
      </c>
      <c r="D5069" s="7">
        <v>4.4000000000000003E-3</v>
      </c>
      <c r="E5069" s="7">
        <v>4.6600000000000001E-3</v>
      </c>
      <c r="F5069" s="7">
        <v>4.2300000000000003E-3</v>
      </c>
      <c r="G5069" s="7">
        <v>3.0099999999999998E-2</v>
      </c>
    </row>
    <row r="5070" spans="2:7" x14ac:dyDescent="0.2">
      <c r="B5070" s="60">
        <v>42964</v>
      </c>
      <c r="C5070" s="7">
        <v>4.2300000000000003E-3</v>
      </c>
      <c r="D5070" s="7">
        <v>4.2699999999999995E-3</v>
      </c>
      <c r="E5070" s="7">
        <v>4.4600000000000004E-3</v>
      </c>
      <c r="F5070" s="7">
        <v>4.1999999999999997E-3</v>
      </c>
      <c r="G5070" s="7">
        <v>-4.9399999999999999E-2</v>
      </c>
    </row>
    <row r="5071" spans="2:7" x14ac:dyDescent="0.2">
      <c r="B5071" s="60">
        <v>42965</v>
      </c>
      <c r="C5071" s="7">
        <v>4.1599999999999996E-3</v>
      </c>
      <c r="D5071" s="7">
        <v>4.15E-3</v>
      </c>
      <c r="E5071" s="7">
        <v>4.1799999999999997E-3</v>
      </c>
      <c r="F5071" s="7">
        <v>3.9500000000000004E-3</v>
      </c>
      <c r="G5071" s="7">
        <v>-1.6500000000000001E-2</v>
      </c>
    </row>
    <row r="5072" spans="2:7" x14ac:dyDescent="0.2">
      <c r="B5072" s="60">
        <v>42968</v>
      </c>
      <c r="C5072" s="7">
        <v>4.0400000000000002E-3</v>
      </c>
      <c r="D5072" s="7">
        <v>4.2199999999999998E-3</v>
      </c>
      <c r="E5072" s="7">
        <v>4.2699999999999995E-3</v>
      </c>
      <c r="F5072" s="7">
        <v>3.9199999999999999E-3</v>
      </c>
      <c r="G5072" s="7">
        <v>-2.8799999999999999E-2</v>
      </c>
    </row>
    <row r="5073" spans="2:7" x14ac:dyDescent="0.2">
      <c r="B5073" s="60">
        <v>42969</v>
      </c>
      <c r="C5073" s="7">
        <v>4.0200000000000001E-3</v>
      </c>
      <c r="D5073" s="7">
        <v>4.0500000000000006E-3</v>
      </c>
      <c r="E5073" s="7">
        <v>4.2100000000000002E-3</v>
      </c>
      <c r="F5073" s="7">
        <v>3.96E-3</v>
      </c>
      <c r="G5073" s="7">
        <v>-5.0000000000000001E-3</v>
      </c>
    </row>
    <row r="5074" spans="2:7" x14ac:dyDescent="0.2">
      <c r="B5074" s="60">
        <v>42970</v>
      </c>
      <c r="C5074" s="7">
        <v>3.7699999999999999E-3</v>
      </c>
      <c r="D5074" s="7">
        <v>4.0699999999999998E-3</v>
      </c>
      <c r="E5074" s="7">
        <v>4.1599999999999996E-3</v>
      </c>
      <c r="F5074" s="7">
        <v>3.7000000000000002E-3</v>
      </c>
      <c r="G5074" s="7">
        <v>-6.2199999999999998E-2</v>
      </c>
    </row>
    <row r="5075" spans="2:7" x14ac:dyDescent="0.2">
      <c r="B5075" s="60">
        <v>42971</v>
      </c>
      <c r="C5075" s="7">
        <v>3.7499999999999999E-3</v>
      </c>
      <c r="D5075" s="7">
        <v>3.7299999999999998E-3</v>
      </c>
      <c r="E5075" s="7">
        <v>3.8600000000000001E-3</v>
      </c>
      <c r="F5075" s="7">
        <v>3.6900000000000001E-3</v>
      </c>
      <c r="G5075" s="7">
        <v>-5.3E-3</v>
      </c>
    </row>
    <row r="5076" spans="2:7" x14ac:dyDescent="0.2">
      <c r="B5076" s="60">
        <v>42972</v>
      </c>
      <c r="C5076" s="7">
        <v>3.8E-3</v>
      </c>
      <c r="D5076" s="7">
        <v>3.8400000000000001E-3</v>
      </c>
      <c r="E5076" s="7">
        <v>4.0799999999999994E-3</v>
      </c>
      <c r="F5076" s="7">
        <v>3.7799999999999999E-3</v>
      </c>
      <c r="G5076" s="7">
        <v>1.3299999999999999E-2</v>
      </c>
    </row>
    <row r="5077" spans="2:7" x14ac:dyDescent="0.2">
      <c r="B5077" s="60">
        <v>42975</v>
      </c>
      <c r="C5077" s="7">
        <v>3.7399999999999998E-3</v>
      </c>
      <c r="D5077" s="7">
        <v>3.81E-3</v>
      </c>
      <c r="E5077" s="7">
        <v>3.9199999999999999E-3</v>
      </c>
      <c r="F5077" s="7">
        <v>3.64E-3</v>
      </c>
      <c r="G5077" s="7">
        <v>-1.5800000000000002E-2</v>
      </c>
    </row>
    <row r="5078" spans="2:7" x14ac:dyDescent="0.2">
      <c r="B5078" s="60">
        <v>42976</v>
      </c>
      <c r="C5078" s="7">
        <v>3.4300000000000003E-3</v>
      </c>
      <c r="D5078" s="7">
        <v>3.5999999999999999E-3</v>
      </c>
      <c r="E5078" s="7">
        <v>3.64E-3</v>
      </c>
      <c r="F5078" s="7">
        <v>3.16E-3</v>
      </c>
      <c r="G5078" s="7">
        <v>-8.2900000000000001E-2</v>
      </c>
    </row>
    <row r="5079" spans="2:7" x14ac:dyDescent="0.2">
      <c r="B5079" s="60">
        <v>42977</v>
      </c>
      <c r="C5079" s="7">
        <v>3.5899999999999999E-3</v>
      </c>
      <c r="D5079" s="7">
        <v>3.4799999999999996E-3</v>
      </c>
      <c r="E5079" s="7">
        <v>3.7399999999999998E-3</v>
      </c>
      <c r="F5079" s="7">
        <v>3.4499999999999999E-3</v>
      </c>
      <c r="G5079" s="7">
        <v>4.6600000000000003E-2</v>
      </c>
    </row>
    <row r="5080" spans="2:7" x14ac:dyDescent="0.2">
      <c r="B5080" s="60">
        <v>42978</v>
      </c>
      <c r="C5080" s="7">
        <v>3.5899999999999999E-3</v>
      </c>
      <c r="D5080" s="7">
        <v>3.63E-3</v>
      </c>
      <c r="E5080" s="7">
        <v>3.79E-3</v>
      </c>
      <c r="F5080" s="7">
        <v>3.4899999999999996E-3</v>
      </c>
      <c r="G5080" s="7">
        <v>0</v>
      </c>
    </row>
    <row r="5081" spans="2:7" x14ac:dyDescent="0.2">
      <c r="B5081" s="60">
        <v>42979</v>
      </c>
      <c r="C5081" s="7">
        <v>3.79E-3</v>
      </c>
      <c r="D5081" s="7">
        <v>3.5799999999999998E-3</v>
      </c>
      <c r="E5081" s="7">
        <v>4.0400000000000002E-3</v>
      </c>
      <c r="F5081" s="7">
        <v>3.5399999999999997E-3</v>
      </c>
      <c r="G5081" s="7">
        <v>5.57E-2</v>
      </c>
    </row>
    <row r="5082" spans="2:7" x14ac:dyDescent="0.2">
      <c r="B5082" s="60">
        <v>42982</v>
      </c>
      <c r="C5082" s="7">
        <v>3.6800000000000001E-3</v>
      </c>
      <c r="D5082" s="7">
        <v>3.7499999999999999E-3</v>
      </c>
      <c r="E5082" s="7">
        <v>3.79E-3</v>
      </c>
      <c r="F5082" s="7">
        <v>3.6099999999999999E-3</v>
      </c>
      <c r="G5082" s="7">
        <v>-2.9000000000000001E-2</v>
      </c>
    </row>
    <row r="5083" spans="2:7" x14ac:dyDescent="0.2">
      <c r="B5083" s="60">
        <v>42983</v>
      </c>
      <c r="C5083" s="7">
        <v>3.3500000000000001E-3</v>
      </c>
      <c r="D5083" s="7">
        <v>3.6800000000000001E-3</v>
      </c>
      <c r="E5083" s="7">
        <v>3.8500000000000001E-3</v>
      </c>
      <c r="F5083" s="7">
        <v>3.32E-3</v>
      </c>
      <c r="G5083" s="7">
        <v>-8.9700000000000002E-2</v>
      </c>
    </row>
    <row r="5084" spans="2:7" x14ac:dyDescent="0.2">
      <c r="B5084" s="60">
        <v>42984</v>
      </c>
      <c r="C5084" s="7">
        <v>3.4699999999999996E-3</v>
      </c>
      <c r="D5084" s="7">
        <v>3.29E-3</v>
      </c>
      <c r="E5084" s="7">
        <v>3.5599999999999998E-3</v>
      </c>
      <c r="F5084" s="7">
        <v>3.2400000000000003E-3</v>
      </c>
      <c r="G5084" s="7">
        <v>3.5799999999999998E-2</v>
      </c>
    </row>
    <row r="5085" spans="2:7" x14ac:dyDescent="0.2">
      <c r="B5085" s="60">
        <v>42985</v>
      </c>
      <c r="C5085" s="7">
        <v>3.0499999999999998E-3</v>
      </c>
      <c r="D5085" s="7">
        <v>3.62E-3</v>
      </c>
      <c r="E5085" s="7">
        <v>3.6700000000000001E-3</v>
      </c>
      <c r="F5085" s="7">
        <v>2.97E-3</v>
      </c>
      <c r="G5085" s="7">
        <v>-0.121</v>
      </c>
    </row>
    <row r="5086" spans="2:7" x14ac:dyDescent="0.2">
      <c r="B5086" s="60">
        <v>42986</v>
      </c>
      <c r="C5086" s="7">
        <v>3.1199999999999999E-3</v>
      </c>
      <c r="D5086" s="7">
        <v>2.8999999999999998E-3</v>
      </c>
      <c r="E5086" s="7">
        <v>3.2799999999999999E-3</v>
      </c>
      <c r="F5086" s="7">
        <v>2.8699999999999997E-3</v>
      </c>
      <c r="G5086" s="7">
        <v>2.3E-2</v>
      </c>
    </row>
    <row r="5087" spans="2:7" x14ac:dyDescent="0.2">
      <c r="B5087" s="60">
        <v>42989</v>
      </c>
      <c r="C5087" s="7">
        <v>3.3700000000000002E-3</v>
      </c>
      <c r="D5087" s="7">
        <v>3.29E-3</v>
      </c>
      <c r="E5087" s="7">
        <v>3.4100000000000003E-3</v>
      </c>
      <c r="F5087" s="7">
        <v>3.2200000000000002E-3</v>
      </c>
      <c r="G5087" s="7">
        <v>8.0100000000000005E-2</v>
      </c>
    </row>
    <row r="5088" spans="2:7" x14ac:dyDescent="0.2">
      <c r="B5088" s="60">
        <v>42990</v>
      </c>
      <c r="C5088" s="7">
        <v>4.0200000000000001E-3</v>
      </c>
      <c r="D5088" s="7">
        <v>3.3700000000000002E-3</v>
      </c>
      <c r="E5088" s="7">
        <v>4.0699999999999998E-3</v>
      </c>
      <c r="F5088" s="7">
        <v>3.3500000000000001E-3</v>
      </c>
      <c r="G5088" s="7">
        <v>0.19289999999999999</v>
      </c>
    </row>
    <row r="5089" spans="2:7" x14ac:dyDescent="0.2">
      <c r="B5089" s="60">
        <v>42991</v>
      </c>
      <c r="C5089" s="7">
        <v>4.0300000000000006E-3</v>
      </c>
      <c r="D5089" s="7">
        <v>3.8400000000000001E-3</v>
      </c>
      <c r="E5089" s="7">
        <v>4.13E-3</v>
      </c>
      <c r="F5089" s="7">
        <v>3.8300000000000001E-3</v>
      </c>
      <c r="G5089" s="7">
        <v>2.5000000000000001E-3</v>
      </c>
    </row>
    <row r="5090" spans="2:7" x14ac:dyDescent="0.2">
      <c r="B5090" s="60">
        <v>42992</v>
      </c>
      <c r="C5090" s="7">
        <v>4.15E-3</v>
      </c>
      <c r="D5090" s="7">
        <v>4.0799999999999994E-3</v>
      </c>
      <c r="E5090" s="7">
        <v>4.3200000000000001E-3</v>
      </c>
      <c r="F5090" s="7">
        <v>3.8600000000000001E-3</v>
      </c>
      <c r="G5090" s="7">
        <v>2.98E-2</v>
      </c>
    </row>
    <row r="5091" spans="2:7" x14ac:dyDescent="0.2">
      <c r="B5091" s="60">
        <v>42993</v>
      </c>
      <c r="C5091" s="7">
        <v>4.3200000000000001E-3</v>
      </c>
      <c r="D5091" s="7">
        <v>4.0300000000000006E-3</v>
      </c>
      <c r="E5091" s="7">
        <v>4.5599999999999998E-3</v>
      </c>
      <c r="F5091" s="7">
        <v>4.0100000000000005E-3</v>
      </c>
      <c r="G5091" s="7">
        <v>4.1000000000000002E-2</v>
      </c>
    </row>
    <row r="5092" spans="2:7" x14ac:dyDescent="0.2">
      <c r="B5092" s="60">
        <v>42996</v>
      </c>
      <c r="C5092" s="7">
        <v>4.5599999999999998E-3</v>
      </c>
      <c r="D5092" s="7">
        <v>4.4200000000000003E-3</v>
      </c>
      <c r="E5092" s="7">
        <v>4.6700000000000005E-3</v>
      </c>
      <c r="F5092" s="7">
        <v>4.2699999999999995E-3</v>
      </c>
      <c r="G5092" s="7">
        <v>5.5599999999999997E-2</v>
      </c>
    </row>
    <row r="5093" spans="2:7" x14ac:dyDescent="0.2">
      <c r="B5093" s="60">
        <v>42997</v>
      </c>
      <c r="C5093" s="7">
        <v>4.5000000000000005E-3</v>
      </c>
      <c r="D5093" s="7">
        <v>4.5399999999999998E-3</v>
      </c>
      <c r="E5093" s="7">
        <v>4.6300000000000004E-3</v>
      </c>
      <c r="F5093" s="7">
        <v>4.3099999999999996E-3</v>
      </c>
      <c r="G5093" s="7">
        <v>-1.32E-2</v>
      </c>
    </row>
    <row r="5094" spans="2:7" x14ac:dyDescent="0.2">
      <c r="B5094" s="60">
        <v>42998</v>
      </c>
      <c r="C5094" s="7">
        <v>4.4200000000000003E-3</v>
      </c>
      <c r="D5094" s="7">
        <v>4.5000000000000005E-3</v>
      </c>
      <c r="E5094" s="7">
        <v>4.5700000000000003E-3</v>
      </c>
      <c r="F5094" s="7">
        <v>4.3E-3</v>
      </c>
      <c r="G5094" s="7">
        <v>-1.78E-2</v>
      </c>
    </row>
    <row r="5095" spans="2:7" x14ac:dyDescent="0.2">
      <c r="B5095" s="60">
        <v>42999</v>
      </c>
      <c r="C5095" s="7">
        <v>4.5399999999999998E-3</v>
      </c>
      <c r="D5095" s="7">
        <v>4.6600000000000001E-3</v>
      </c>
      <c r="E5095" s="7">
        <v>4.8500000000000001E-3</v>
      </c>
      <c r="F5095" s="7">
        <v>4.47E-3</v>
      </c>
      <c r="G5095" s="7">
        <v>2.7099999999999999E-2</v>
      </c>
    </row>
    <row r="5096" spans="2:7" x14ac:dyDescent="0.2">
      <c r="B5096" s="60">
        <v>43000</v>
      </c>
      <c r="C5096" s="7">
        <v>4.47E-3</v>
      </c>
      <c r="D5096" s="7">
        <v>4.47E-3</v>
      </c>
      <c r="E5096" s="7">
        <v>4.6999999999999993E-3</v>
      </c>
      <c r="F5096" s="7">
        <v>4.4200000000000003E-3</v>
      </c>
      <c r="G5096" s="7">
        <v>-1.54E-2</v>
      </c>
    </row>
    <row r="5097" spans="2:7" x14ac:dyDescent="0.2">
      <c r="B5097" s="60">
        <v>43003</v>
      </c>
      <c r="C5097" s="7">
        <v>4.0100000000000005E-3</v>
      </c>
      <c r="D5097" s="7">
        <v>4.4400000000000004E-3</v>
      </c>
      <c r="E5097" s="7">
        <v>4.5300000000000002E-3</v>
      </c>
      <c r="F5097" s="7">
        <v>3.9399999999999999E-3</v>
      </c>
      <c r="G5097" s="7">
        <v>-0.10290000000000001</v>
      </c>
    </row>
    <row r="5098" spans="2:7" x14ac:dyDescent="0.2">
      <c r="B5098" s="60">
        <v>43004</v>
      </c>
      <c r="C5098" s="7">
        <v>4.0699999999999998E-3</v>
      </c>
      <c r="D5098" s="7">
        <v>3.98E-3</v>
      </c>
      <c r="E5098" s="7">
        <v>4.1999999999999997E-3</v>
      </c>
      <c r="F5098" s="7">
        <v>3.96E-3</v>
      </c>
      <c r="G5098" s="7">
        <v>1.4999999999999999E-2</v>
      </c>
    </row>
    <row r="5099" spans="2:7" x14ac:dyDescent="0.2">
      <c r="B5099" s="60">
        <v>43005</v>
      </c>
      <c r="C5099" s="7">
        <v>4.6600000000000001E-3</v>
      </c>
      <c r="D5099" s="7">
        <v>4.1700000000000001E-3</v>
      </c>
      <c r="E5099" s="7">
        <v>4.8799999999999998E-3</v>
      </c>
      <c r="F5099" s="7">
        <v>4.13E-3</v>
      </c>
      <c r="G5099" s="7">
        <v>0.14499999999999999</v>
      </c>
    </row>
    <row r="5100" spans="2:7" x14ac:dyDescent="0.2">
      <c r="B5100" s="60">
        <v>43006</v>
      </c>
      <c r="C5100" s="7">
        <v>4.7599999999999995E-3</v>
      </c>
      <c r="D5100" s="7">
        <v>4.9899999999999996E-3</v>
      </c>
      <c r="E5100" s="7">
        <v>5.1800000000000006E-3</v>
      </c>
      <c r="F5100" s="7">
        <v>4.6999999999999993E-3</v>
      </c>
      <c r="G5100" s="7">
        <v>2.1499999999999998E-2</v>
      </c>
    </row>
    <row r="5101" spans="2:7" x14ac:dyDescent="0.2">
      <c r="B5101" s="60">
        <v>43007</v>
      </c>
      <c r="C5101" s="7">
        <v>4.64E-3</v>
      </c>
      <c r="D5101" s="7">
        <v>4.7199999999999994E-3</v>
      </c>
      <c r="E5101" s="7">
        <v>4.81E-3</v>
      </c>
      <c r="F5101" s="7">
        <v>4.47E-3</v>
      </c>
      <c r="G5101" s="7">
        <v>-2.52E-2</v>
      </c>
    </row>
    <row r="5102" spans="2:7" x14ac:dyDescent="0.2">
      <c r="B5102" s="60">
        <v>43010</v>
      </c>
      <c r="C5102" s="7">
        <v>4.5300000000000002E-3</v>
      </c>
      <c r="D5102" s="7">
        <v>4.7099999999999998E-3</v>
      </c>
      <c r="E5102" s="7">
        <v>4.9300000000000004E-3</v>
      </c>
      <c r="F5102" s="7">
        <v>4.4099999999999999E-3</v>
      </c>
      <c r="G5102" s="7">
        <v>-2.3699999999999999E-2</v>
      </c>
    </row>
    <row r="5103" spans="2:7" x14ac:dyDescent="0.2">
      <c r="B5103" s="60">
        <v>43011</v>
      </c>
      <c r="C5103" s="7">
        <v>4.6300000000000004E-3</v>
      </c>
      <c r="D5103" s="7">
        <v>4.62E-3</v>
      </c>
      <c r="E5103" s="7">
        <v>4.9499999999999995E-3</v>
      </c>
      <c r="F5103" s="7">
        <v>4.5100000000000001E-3</v>
      </c>
      <c r="G5103" s="7">
        <v>2.2100000000000002E-2</v>
      </c>
    </row>
    <row r="5104" spans="2:7" x14ac:dyDescent="0.2">
      <c r="B5104" s="60">
        <v>43012</v>
      </c>
      <c r="C5104" s="7">
        <v>4.5300000000000002E-3</v>
      </c>
      <c r="D5104" s="7">
        <v>4.47E-3</v>
      </c>
      <c r="E5104" s="7">
        <v>4.5700000000000003E-3</v>
      </c>
      <c r="F5104" s="7">
        <v>4.0999999999999995E-3</v>
      </c>
      <c r="G5104" s="7">
        <v>-2.1600000000000001E-2</v>
      </c>
    </row>
    <row r="5105" spans="2:7" x14ac:dyDescent="0.2">
      <c r="B5105" s="60">
        <v>43013</v>
      </c>
      <c r="C5105" s="7">
        <v>4.5799999999999999E-3</v>
      </c>
      <c r="D5105" s="7">
        <v>4.5700000000000003E-3</v>
      </c>
      <c r="E5105" s="7">
        <v>4.6999999999999993E-3</v>
      </c>
      <c r="F5105" s="7">
        <v>4.1999999999999997E-3</v>
      </c>
      <c r="G5105" s="7">
        <v>1.0999999999999999E-2</v>
      </c>
    </row>
    <row r="5106" spans="2:7" x14ac:dyDescent="0.2">
      <c r="B5106" s="60">
        <v>43014</v>
      </c>
      <c r="C5106" s="7">
        <v>4.5999999999999999E-3</v>
      </c>
      <c r="D5106" s="7">
        <v>4.4800000000000005E-3</v>
      </c>
      <c r="E5106" s="7">
        <v>5.0499999999999998E-3</v>
      </c>
      <c r="F5106" s="7">
        <v>4.47E-3</v>
      </c>
      <c r="G5106" s="7">
        <v>4.4000000000000003E-3</v>
      </c>
    </row>
    <row r="5107" spans="2:7" x14ac:dyDescent="0.2">
      <c r="B5107" s="60">
        <v>43017</v>
      </c>
      <c r="C5107" s="7">
        <v>4.4400000000000004E-3</v>
      </c>
      <c r="D5107" s="7">
        <v>4.6800000000000001E-3</v>
      </c>
      <c r="E5107" s="7">
        <v>4.6999999999999993E-3</v>
      </c>
      <c r="F5107" s="7">
        <v>4.4200000000000003E-3</v>
      </c>
      <c r="G5107" s="7">
        <v>-3.4799999999999998E-2</v>
      </c>
    </row>
    <row r="5108" spans="2:7" x14ac:dyDescent="0.2">
      <c r="B5108" s="60">
        <v>43018</v>
      </c>
      <c r="C5108" s="7">
        <v>4.4200000000000003E-3</v>
      </c>
      <c r="D5108" s="7">
        <v>4.5100000000000001E-3</v>
      </c>
      <c r="E5108" s="7">
        <v>4.6700000000000005E-3</v>
      </c>
      <c r="F5108" s="7">
        <v>4.3200000000000001E-3</v>
      </c>
      <c r="G5108" s="7">
        <v>-4.4999999999999997E-3</v>
      </c>
    </row>
    <row r="5109" spans="2:7" x14ac:dyDescent="0.2">
      <c r="B5109" s="60">
        <v>43019</v>
      </c>
      <c r="C5109" s="7">
        <v>4.6600000000000001E-3</v>
      </c>
      <c r="D5109" s="7">
        <v>4.5599999999999998E-3</v>
      </c>
      <c r="E5109" s="7">
        <v>4.6999999999999993E-3</v>
      </c>
      <c r="F5109" s="7">
        <v>4.4800000000000005E-3</v>
      </c>
      <c r="G5109" s="7">
        <v>5.4300000000000001E-2</v>
      </c>
    </row>
    <row r="5110" spans="2:7" x14ac:dyDescent="0.2">
      <c r="B5110" s="60">
        <v>43020</v>
      </c>
      <c r="C5110" s="7">
        <v>4.4600000000000004E-3</v>
      </c>
      <c r="D5110" s="7">
        <v>4.5999999999999999E-3</v>
      </c>
      <c r="E5110" s="7">
        <v>4.6700000000000005E-3</v>
      </c>
      <c r="F5110" s="7">
        <v>4.3800000000000002E-3</v>
      </c>
      <c r="G5110" s="7">
        <v>-4.2900000000000001E-2</v>
      </c>
    </row>
    <row r="5111" spans="2:7" x14ac:dyDescent="0.2">
      <c r="B5111" s="60">
        <v>43021</v>
      </c>
      <c r="C5111" s="7">
        <v>4.0500000000000006E-3</v>
      </c>
      <c r="D5111" s="7">
        <v>4.4900000000000001E-3</v>
      </c>
      <c r="E5111" s="7">
        <v>4.4900000000000001E-3</v>
      </c>
      <c r="F5111" s="7">
        <v>4.0100000000000005E-3</v>
      </c>
      <c r="G5111" s="7">
        <v>-9.1899999999999996E-2</v>
      </c>
    </row>
    <row r="5112" spans="2:7" x14ac:dyDescent="0.2">
      <c r="B5112" s="60">
        <v>43024</v>
      </c>
      <c r="C5112" s="7">
        <v>3.7000000000000002E-3</v>
      </c>
      <c r="D5112" s="7">
        <v>4.0500000000000006E-3</v>
      </c>
      <c r="E5112" s="7">
        <v>4.1700000000000001E-3</v>
      </c>
      <c r="F5112" s="7">
        <v>3.6900000000000001E-3</v>
      </c>
      <c r="G5112" s="7">
        <v>-8.6400000000000005E-2</v>
      </c>
    </row>
    <row r="5113" spans="2:7" x14ac:dyDescent="0.2">
      <c r="B5113" s="60">
        <v>43025</v>
      </c>
      <c r="C5113" s="7">
        <v>3.6700000000000001E-3</v>
      </c>
      <c r="D5113" s="7">
        <v>3.79E-3</v>
      </c>
      <c r="E5113" s="7">
        <v>3.8700000000000002E-3</v>
      </c>
      <c r="F5113" s="7">
        <v>3.5599999999999998E-3</v>
      </c>
      <c r="G5113" s="7">
        <v>-8.0999999999999996E-3</v>
      </c>
    </row>
    <row r="5114" spans="2:7" x14ac:dyDescent="0.2">
      <c r="B5114" s="60">
        <v>43026</v>
      </c>
      <c r="C5114" s="7">
        <v>4.0600000000000002E-3</v>
      </c>
      <c r="D5114" s="7">
        <v>3.6600000000000001E-3</v>
      </c>
      <c r="E5114" s="7">
        <v>4.0600000000000002E-3</v>
      </c>
      <c r="F5114" s="7">
        <v>3.5599999999999998E-3</v>
      </c>
      <c r="G5114" s="7">
        <v>0.10630000000000001</v>
      </c>
    </row>
    <row r="5115" spans="2:7" x14ac:dyDescent="0.2">
      <c r="B5115" s="60">
        <v>43027</v>
      </c>
      <c r="C5115" s="7">
        <v>3.96E-3</v>
      </c>
      <c r="D5115" s="7">
        <v>4.0200000000000001E-3</v>
      </c>
      <c r="E5115" s="7">
        <v>4.1099999999999999E-3</v>
      </c>
      <c r="F5115" s="7">
        <v>3.7199999999999998E-3</v>
      </c>
      <c r="G5115" s="7">
        <v>-2.46E-2</v>
      </c>
    </row>
    <row r="5116" spans="2:7" x14ac:dyDescent="0.2">
      <c r="B5116" s="60">
        <v>43028</v>
      </c>
      <c r="C5116" s="7">
        <v>4.5500000000000002E-3</v>
      </c>
      <c r="D5116" s="7">
        <v>4.0100000000000005E-3</v>
      </c>
      <c r="E5116" s="7">
        <v>4.6100000000000004E-3</v>
      </c>
      <c r="F5116" s="7">
        <v>4.0100000000000005E-3</v>
      </c>
      <c r="G5116" s="7">
        <v>0.14899999999999999</v>
      </c>
    </row>
    <row r="5117" spans="2:7" x14ac:dyDescent="0.2">
      <c r="B5117" s="60">
        <v>43029</v>
      </c>
      <c r="C5117" s="7">
        <v>4.4900000000000001E-3</v>
      </c>
      <c r="D5117" s="7">
        <v>4.5000000000000005E-3</v>
      </c>
      <c r="E5117" s="7">
        <v>4.5000000000000005E-3</v>
      </c>
      <c r="F5117" s="7">
        <v>4.4900000000000001E-3</v>
      </c>
      <c r="G5117" s="7">
        <v>-1.32E-2</v>
      </c>
    </row>
    <row r="5118" spans="2:7" x14ac:dyDescent="0.2">
      <c r="B5118" s="60">
        <v>43030</v>
      </c>
      <c r="C5118" s="7">
        <v>4.4900000000000001E-3</v>
      </c>
      <c r="D5118" s="7">
        <v>4.4900000000000001E-3</v>
      </c>
      <c r="E5118" s="7">
        <v>4.4900000000000001E-3</v>
      </c>
      <c r="F5118" s="7">
        <v>4.4900000000000001E-3</v>
      </c>
      <c r="G5118" s="7">
        <v>0</v>
      </c>
    </row>
    <row r="5119" spans="2:7" x14ac:dyDescent="0.2">
      <c r="B5119" s="60">
        <v>43031</v>
      </c>
      <c r="C5119" s="7">
        <v>4.3400000000000001E-3</v>
      </c>
      <c r="D5119" s="7">
        <v>4.4600000000000004E-3</v>
      </c>
      <c r="E5119" s="7">
        <v>4.4900000000000001E-3</v>
      </c>
      <c r="F5119" s="7">
        <v>4.2699999999999995E-3</v>
      </c>
      <c r="G5119" s="7">
        <v>-3.3399999999999999E-2</v>
      </c>
    </row>
    <row r="5120" spans="2:7" x14ac:dyDescent="0.2">
      <c r="B5120" s="60">
        <v>43032</v>
      </c>
      <c r="C5120" s="7">
        <v>4.7799999999999995E-3</v>
      </c>
      <c r="D5120" s="7">
        <v>4.3499999999999997E-3</v>
      </c>
      <c r="E5120" s="7">
        <v>4.8500000000000001E-3</v>
      </c>
      <c r="F5120" s="7">
        <v>4.3200000000000001E-3</v>
      </c>
      <c r="G5120" s="7">
        <v>0.1014</v>
      </c>
    </row>
    <row r="5121" spans="2:7" x14ac:dyDescent="0.2">
      <c r="B5121" s="60">
        <v>43033</v>
      </c>
      <c r="C5121" s="7">
        <v>4.81E-3</v>
      </c>
      <c r="D5121" s="7">
        <v>4.79E-3</v>
      </c>
      <c r="E5121" s="7">
        <v>5.0200000000000002E-3</v>
      </c>
      <c r="F5121" s="7">
        <v>4.6100000000000004E-3</v>
      </c>
      <c r="G5121" s="7">
        <v>6.3E-3</v>
      </c>
    </row>
    <row r="5122" spans="2:7" x14ac:dyDescent="0.2">
      <c r="B5122" s="60">
        <v>43034</v>
      </c>
      <c r="C5122" s="7">
        <v>4.1700000000000001E-3</v>
      </c>
      <c r="D5122" s="7">
        <v>4.7499999999999999E-3</v>
      </c>
      <c r="E5122" s="7">
        <v>4.8900000000000002E-3</v>
      </c>
      <c r="F5122" s="7">
        <v>4.15E-3</v>
      </c>
      <c r="G5122" s="7">
        <v>-0.1331</v>
      </c>
    </row>
    <row r="5123" spans="2:7" x14ac:dyDescent="0.2">
      <c r="B5123" s="60">
        <v>43035</v>
      </c>
      <c r="C5123" s="7">
        <v>3.8400000000000001E-3</v>
      </c>
      <c r="D5123" s="7">
        <v>4.3E-3</v>
      </c>
      <c r="E5123" s="7">
        <v>4.4000000000000003E-3</v>
      </c>
      <c r="F5123" s="7">
        <v>3.82E-3</v>
      </c>
      <c r="G5123" s="7">
        <v>-7.9100000000000004E-2</v>
      </c>
    </row>
    <row r="5124" spans="2:7" x14ac:dyDescent="0.2">
      <c r="B5124" s="60">
        <v>43037</v>
      </c>
      <c r="C5124" s="7">
        <v>3.9100000000000003E-3</v>
      </c>
      <c r="D5124" s="7">
        <v>3.9100000000000003E-3</v>
      </c>
      <c r="E5124" s="7">
        <v>3.9100000000000003E-3</v>
      </c>
      <c r="F5124" s="7">
        <v>3.9100000000000003E-3</v>
      </c>
      <c r="G5124" s="7">
        <v>1.8200000000000001E-2</v>
      </c>
    </row>
    <row r="5125" spans="2:7" x14ac:dyDescent="0.2">
      <c r="B5125" s="60">
        <v>43038</v>
      </c>
      <c r="C5125" s="7">
        <v>3.6800000000000001E-3</v>
      </c>
      <c r="D5125" s="7">
        <v>3.8600000000000001E-3</v>
      </c>
      <c r="E5125" s="7">
        <v>3.9900000000000005E-3</v>
      </c>
      <c r="F5125" s="7">
        <v>3.63E-3</v>
      </c>
      <c r="G5125" s="7">
        <v>-5.8799999999999998E-2</v>
      </c>
    </row>
    <row r="5126" spans="2:7" x14ac:dyDescent="0.2">
      <c r="B5126" s="60">
        <v>43039</v>
      </c>
      <c r="C5126" s="7">
        <v>3.64E-3</v>
      </c>
      <c r="D5126" s="7">
        <v>3.63E-3</v>
      </c>
      <c r="E5126" s="7">
        <v>3.8600000000000001E-3</v>
      </c>
      <c r="F5126" s="7">
        <v>3.5899999999999999E-3</v>
      </c>
      <c r="G5126" s="7">
        <v>-1.09E-2</v>
      </c>
    </row>
    <row r="5127" spans="2:7" x14ac:dyDescent="0.2">
      <c r="B5127" s="60">
        <v>43040</v>
      </c>
      <c r="C5127" s="7">
        <v>3.7000000000000002E-3</v>
      </c>
      <c r="D5127" s="7">
        <v>3.7199999999999998E-3</v>
      </c>
      <c r="E5127" s="7">
        <v>3.9000000000000003E-3</v>
      </c>
      <c r="F5127" s="7">
        <v>3.6099999999999999E-3</v>
      </c>
      <c r="G5127" s="7">
        <v>1.6500000000000001E-2</v>
      </c>
    </row>
    <row r="5128" spans="2:7" x14ac:dyDescent="0.2">
      <c r="B5128" s="60">
        <v>43041</v>
      </c>
      <c r="C5128" s="7">
        <v>3.7099999999999998E-3</v>
      </c>
      <c r="D5128" s="7">
        <v>3.7799999999999999E-3</v>
      </c>
      <c r="E5128" s="7">
        <v>4.0000000000000001E-3</v>
      </c>
      <c r="F5128" s="7">
        <v>3.6700000000000001E-3</v>
      </c>
      <c r="G5128" s="7">
        <v>2.7000000000000001E-3</v>
      </c>
    </row>
    <row r="5129" spans="2:7" x14ac:dyDescent="0.2">
      <c r="B5129" s="60">
        <v>43042</v>
      </c>
      <c r="C5129" s="7">
        <v>3.64E-3</v>
      </c>
      <c r="D5129" s="7">
        <v>3.7000000000000002E-3</v>
      </c>
      <c r="E5129" s="7">
        <v>3.7499999999999999E-3</v>
      </c>
      <c r="F5129" s="7">
        <v>3.5299999999999997E-3</v>
      </c>
      <c r="G5129" s="7">
        <v>-1.89E-2</v>
      </c>
    </row>
    <row r="5130" spans="2:7" x14ac:dyDescent="0.2">
      <c r="B5130" s="60">
        <v>43045</v>
      </c>
      <c r="C5130" s="7">
        <v>3.3700000000000002E-3</v>
      </c>
      <c r="D5130" s="7">
        <v>3.5999999999999999E-3</v>
      </c>
      <c r="E5130" s="7">
        <v>3.65E-3</v>
      </c>
      <c r="F5130" s="7">
        <v>3.31E-3</v>
      </c>
      <c r="G5130" s="7">
        <v>-7.4200000000000002E-2</v>
      </c>
    </row>
    <row r="5131" spans="2:7" x14ac:dyDescent="0.2">
      <c r="B5131" s="60">
        <v>43046</v>
      </c>
      <c r="C5131" s="7">
        <v>3.3E-3</v>
      </c>
      <c r="D5131" s="7">
        <v>3.4799999999999996E-3</v>
      </c>
      <c r="E5131" s="7">
        <v>3.5699999999999998E-3</v>
      </c>
      <c r="F5131" s="7">
        <v>3.2600000000000003E-3</v>
      </c>
      <c r="G5131" s="7">
        <v>-2.0799999999999999E-2</v>
      </c>
    </row>
    <row r="5132" spans="2:7" x14ac:dyDescent="0.2">
      <c r="B5132" s="60">
        <v>43047</v>
      </c>
      <c r="C5132" s="7">
        <v>3.29E-3</v>
      </c>
      <c r="D5132" s="7">
        <v>3.3300000000000001E-3</v>
      </c>
      <c r="E5132" s="7">
        <v>3.3800000000000002E-3</v>
      </c>
      <c r="F5132" s="7">
        <v>3.0799999999999998E-3</v>
      </c>
      <c r="G5132" s="7">
        <v>-3.0000000000000001E-3</v>
      </c>
    </row>
    <row r="5133" spans="2:7" x14ac:dyDescent="0.2">
      <c r="B5133" s="60">
        <v>43048</v>
      </c>
      <c r="C5133" s="7">
        <v>3.7399999999999998E-3</v>
      </c>
      <c r="D5133" s="7">
        <v>3.3300000000000001E-3</v>
      </c>
      <c r="E5133" s="7">
        <v>3.9100000000000003E-3</v>
      </c>
      <c r="F5133" s="7">
        <v>3.2500000000000003E-3</v>
      </c>
      <c r="G5133" s="7">
        <v>0.1368</v>
      </c>
    </row>
    <row r="5134" spans="2:7" x14ac:dyDescent="0.2">
      <c r="B5134" s="60">
        <v>43049</v>
      </c>
      <c r="C5134" s="7">
        <v>4.0999999999999995E-3</v>
      </c>
      <c r="D5134" s="7">
        <v>3.9900000000000005E-3</v>
      </c>
      <c r="E5134" s="7">
        <v>4.1399999999999996E-3</v>
      </c>
      <c r="F5134" s="7">
        <v>3.8500000000000001E-3</v>
      </c>
      <c r="G5134" s="7">
        <v>9.6299999999999997E-2</v>
      </c>
    </row>
    <row r="5135" spans="2:7" x14ac:dyDescent="0.2">
      <c r="B5135" s="60">
        <v>43052</v>
      </c>
      <c r="C5135" s="7">
        <v>4.1799999999999997E-3</v>
      </c>
      <c r="D5135" s="7">
        <v>4.0500000000000006E-3</v>
      </c>
      <c r="E5135" s="7">
        <v>4.2100000000000002E-3</v>
      </c>
      <c r="F5135" s="7">
        <v>3.8400000000000001E-3</v>
      </c>
      <c r="G5135" s="7">
        <v>1.95E-2</v>
      </c>
    </row>
    <row r="5136" spans="2:7" x14ac:dyDescent="0.2">
      <c r="B5136" s="60">
        <v>43053</v>
      </c>
      <c r="C5136" s="7">
        <v>3.98E-3</v>
      </c>
      <c r="D5136" s="7">
        <v>4.1700000000000001E-3</v>
      </c>
      <c r="E5136" s="7">
        <v>4.3099999999999996E-3</v>
      </c>
      <c r="F5136" s="7">
        <v>3.9199999999999999E-3</v>
      </c>
      <c r="G5136" s="7">
        <v>-4.7800000000000002E-2</v>
      </c>
    </row>
    <row r="5137" spans="2:7" x14ac:dyDescent="0.2">
      <c r="B5137" s="60">
        <v>43054</v>
      </c>
      <c r="C5137" s="7">
        <v>3.7599999999999999E-3</v>
      </c>
      <c r="D5137" s="7">
        <v>3.8300000000000001E-3</v>
      </c>
      <c r="E5137" s="7">
        <v>3.8900000000000002E-3</v>
      </c>
      <c r="F5137" s="7">
        <v>3.4899999999999996E-3</v>
      </c>
      <c r="G5137" s="7">
        <v>-5.5300000000000002E-2</v>
      </c>
    </row>
    <row r="5138" spans="2:7" x14ac:dyDescent="0.2">
      <c r="B5138" s="60">
        <v>43055</v>
      </c>
      <c r="C5138" s="7">
        <v>3.7499999999999999E-3</v>
      </c>
      <c r="D5138" s="7">
        <v>3.7499999999999999E-3</v>
      </c>
      <c r="E5138" s="7">
        <v>3.98E-3</v>
      </c>
      <c r="F5138" s="7">
        <v>3.6600000000000001E-3</v>
      </c>
      <c r="G5138" s="7">
        <v>-2.7000000000000001E-3</v>
      </c>
    </row>
    <row r="5139" spans="2:7" x14ac:dyDescent="0.2">
      <c r="B5139" s="60">
        <v>43056</v>
      </c>
      <c r="C5139" s="7">
        <v>3.62E-3</v>
      </c>
      <c r="D5139" s="7">
        <v>3.7499999999999999E-3</v>
      </c>
      <c r="E5139" s="7">
        <v>3.9100000000000003E-3</v>
      </c>
      <c r="F5139" s="7">
        <v>3.5899999999999999E-3</v>
      </c>
      <c r="G5139" s="7">
        <v>-3.4700000000000002E-2</v>
      </c>
    </row>
    <row r="5140" spans="2:7" x14ac:dyDescent="0.2">
      <c r="B5140" s="60">
        <v>43059</v>
      </c>
      <c r="C5140" s="7">
        <v>3.62E-3</v>
      </c>
      <c r="D5140" s="7">
        <v>3.5299999999999997E-3</v>
      </c>
      <c r="E5140" s="7">
        <v>3.7199999999999998E-3</v>
      </c>
      <c r="F5140" s="7">
        <v>3.4599999999999995E-3</v>
      </c>
      <c r="G5140" s="7">
        <v>0</v>
      </c>
    </row>
    <row r="5141" spans="2:7" x14ac:dyDescent="0.2">
      <c r="B5141" s="60">
        <v>43060</v>
      </c>
      <c r="C5141" s="7">
        <v>3.5199999999999997E-3</v>
      </c>
      <c r="D5141" s="7">
        <v>3.6600000000000001E-3</v>
      </c>
      <c r="E5141" s="7">
        <v>3.6800000000000001E-3</v>
      </c>
      <c r="F5141" s="7">
        <v>3.3500000000000001E-3</v>
      </c>
      <c r="G5141" s="7">
        <v>-2.76E-2</v>
      </c>
    </row>
    <row r="5142" spans="2:7" x14ac:dyDescent="0.2">
      <c r="B5142" s="60">
        <v>43061</v>
      </c>
      <c r="C5142" s="7">
        <v>3.4999999999999996E-3</v>
      </c>
      <c r="D5142" s="7">
        <v>3.4000000000000002E-3</v>
      </c>
      <c r="E5142" s="7">
        <v>3.8300000000000001E-3</v>
      </c>
      <c r="F5142" s="7">
        <v>3.3600000000000001E-3</v>
      </c>
      <c r="G5142" s="7">
        <v>-5.7000000000000002E-3</v>
      </c>
    </row>
    <row r="5143" spans="2:7" x14ac:dyDescent="0.2">
      <c r="B5143" s="60">
        <v>43062</v>
      </c>
      <c r="C5143" s="7">
        <v>3.4699999999999996E-3</v>
      </c>
      <c r="D5143" s="7">
        <v>3.5099999999999997E-3</v>
      </c>
      <c r="E5143" s="7">
        <v>3.65E-3</v>
      </c>
      <c r="F5143" s="7">
        <v>3.4599999999999995E-3</v>
      </c>
      <c r="G5143" s="7">
        <v>-8.6E-3</v>
      </c>
    </row>
    <row r="5144" spans="2:7" x14ac:dyDescent="0.2">
      <c r="B5144" s="60">
        <v>43063</v>
      </c>
      <c r="C5144" s="7">
        <v>3.6099999999999999E-3</v>
      </c>
      <c r="D5144" s="7">
        <v>3.5699999999999998E-3</v>
      </c>
      <c r="E5144" s="7">
        <v>3.81E-3</v>
      </c>
      <c r="F5144" s="7">
        <v>3.5099999999999997E-3</v>
      </c>
      <c r="G5144" s="7">
        <v>4.0300000000000002E-2</v>
      </c>
    </row>
    <row r="5145" spans="2:7" x14ac:dyDescent="0.2">
      <c r="B5145" s="60">
        <v>43064</v>
      </c>
      <c r="C5145" s="7">
        <v>3.62E-3</v>
      </c>
      <c r="D5145" s="7">
        <v>3.6099999999999999E-3</v>
      </c>
      <c r="E5145" s="7">
        <v>3.62E-3</v>
      </c>
      <c r="F5145" s="7">
        <v>3.6099999999999999E-3</v>
      </c>
      <c r="G5145" s="7">
        <v>2.8E-3</v>
      </c>
    </row>
    <row r="5146" spans="2:7" x14ac:dyDescent="0.2">
      <c r="B5146" s="60">
        <v>43066</v>
      </c>
      <c r="C5146" s="7">
        <v>3.4300000000000003E-3</v>
      </c>
      <c r="D5146" s="7">
        <v>3.6600000000000001E-3</v>
      </c>
      <c r="E5146" s="7">
        <v>3.7000000000000002E-3</v>
      </c>
      <c r="F5146" s="7">
        <v>3.3500000000000001E-3</v>
      </c>
      <c r="G5146" s="7">
        <v>-5.2499999999999998E-2</v>
      </c>
    </row>
    <row r="5147" spans="2:7" x14ac:dyDescent="0.2">
      <c r="B5147" s="60">
        <v>43067</v>
      </c>
      <c r="C5147" s="7">
        <v>3.4000000000000002E-3</v>
      </c>
      <c r="D5147" s="7">
        <v>3.4000000000000002E-3</v>
      </c>
      <c r="E5147" s="7">
        <v>3.4899999999999996E-3</v>
      </c>
      <c r="F5147" s="7">
        <v>3.29E-3</v>
      </c>
      <c r="G5147" s="7">
        <v>-8.6999999999999994E-3</v>
      </c>
    </row>
    <row r="5148" spans="2:7" x14ac:dyDescent="0.2">
      <c r="B5148" s="60">
        <v>43068</v>
      </c>
      <c r="C5148" s="7">
        <v>3.8700000000000002E-3</v>
      </c>
      <c r="D5148" s="7">
        <v>3.4999999999999996E-3</v>
      </c>
      <c r="E5148" s="7">
        <v>3.9700000000000004E-3</v>
      </c>
      <c r="F5148" s="7">
        <v>3.4499999999999999E-3</v>
      </c>
      <c r="G5148" s="7">
        <v>0.13819999999999999</v>
      </c>
    </row>
    <row r="5149" spans="2:7" x14ac:dyDescent="0.2">
      <c r="B5149" s="60">
        <v>43069</v>
      </c>
      <c r="C5149" s="7">
        <v>3.6700000000000001E-3</v>
      </c>
      <c r="D5149" s="7">
        <v>3.8400000000000001E-3</v>
      </c>
      <c r="E5149" s="7">
        <v>4.15E-3</v>
      </c>
      <c r="F5149" s="7">
        <v>3.62E-3</v>
      </c>
      <c r="G5149" s="7">
        <v>-5.1700000000000003E-2</v>
      </c>
    </row>
    <row r="5150" spans="2:7" x14ac:dyDescent="0.2">
      <c r="B5150" s="60">
        <v>43070</v>
      </c>
      <c r="C5150" s="7">
        <v>3.0699999999999998E-3</v>
      </c>
      <c r="D5150" s="7">
        <v>3.79E-3</v>
      </c>
      <c r="E5150" s="7">
        <v>3.81E-3</v>
      </c>
      <c r="F5150" s="7">
        <v>2.8599999999999997E-3</v>
      </c>
      <c r="G5150" s="7">
        <v>-0.16350000000000001</v>
      </c>
    </row>
    <row r="5151" spans="2:7" x14ac:dyDescent="0.2">
      <c r="B5151" s="60">
        <v>43073</v>
      </c>
      <c r="C5151" s="7">
        <v>3.4399999999999999E-3</v>
      </c>
      <c r="D5151" s="7">
        <v>3.3800000000000002E-3</v>
      </c>
      <c r="E5151" s="7">
        <v>3.4699999999999996E-3</v>
      </c>
      <c r="F5151" s="7">
        <v>3.2600000000000003E-3</v>
      </c>
      <c r="G5151" s="7">
        <v>0.1205</v>
      </c>
    </row>
    <row r="5152" spans="2:7" x14ac:dyDescent="0.2">
      <c r="B5152" s="60">
        <v>43074</v>
      </c>
      <c r="C5152" s="7">
        <v>3.1700000000000001E-3</v>
      </c>
      <c r="D5152" s="7">
        <v>3.4000000000000002E-3</v>
      </c>
      <c r="E5152" s="7">
        <v>3.5199999999999997E-3</v>
      </c>
      <c r="F5152" s="7">
        <v>3.1700000000000001E-3</v>
      </c>
      <c r="G5152" s="7">
        <v>-7.85E-2</v>
      </c>
    </row>
    <row r="5153" spans="2:7" x14ac:dyDescent="0.2">
      <c r="B5153" s="60">
        <v>43075</v>
      </c>
      <c r="C5153" s="7">
        <v>2.96E-3</v>
      </c>
      <c r="D5153" s="7">
        <v>3.0899999999999999E-3</v>
      </c>
      <c r="E5153" s="7">
        <v>3.1900000000000001E-3</v>
      </c>
      <c r="F5153" s="7">
        <v>2.8799999999999997E-3</v>
      </c>
      <c r="G5153" s="7">
        <v>-6.6199999999999995E-2</v>
      </c>
    </row>
    <row r="5154" spans="2:7" x14ac:dyDescent="0.2">
      <c r="B5154" s="60">
        <v>43076</v>
      </c>
      <c r="C5154" s="7">
        <v>2.9499999999999999E-3</v>
      </c>
      <c r="D5154" s="7">
        <v>3.0899999999999999E-3</v>
      </c>
      <c r="E5154" s="7">
        <v>3.2000000000000002E-3</v>
      </c>
      <c r="F5154" s="7">
        <v>2.8899999999999998E-3</v>
      </c>
      <c r="G5154" s="7">
        <v>-3.3999999999999998E-3</v>
      </c>
    </row>
    <row r="5155" spans="2:7" x14ac:dyDescent="0.2">
      <c r="B5155" s="60">
        <v>43077</v>
      </c>
      <c r="C5155" s="7">
        <v>3.0899999999999999E-3</v>
      </c>
      <c r="D5155" s="7">
        <v>3.1199999999999999E-3</v>
      </c>
      <c r="E5155" s="7">
        <v>3.2700000000000003E-3</v>
      </c>
      <c r="F5155" s="7">
        <v>2.9499999999999999E-3</v>
      </c>
      <c r="G5155" s="7">
        <v>4.7500000000000001E-2</v>
      </c>
    </row>
    <row r="5156" spans="2:7" x14ac:dyDescent="0.2">
      <c r="B5156" s="60">
        <v>43080</v>
      </c>
      <c r="C5156" s="7">
        <v>2.9299999999999999E-3</v>
      </c>
      <c r="D5156" s="7">
        <v>3.0599999999999998E-3</v>
      </c>
      <c r="E5156" s="7">
        <v>3.1199999999999999E-3</v>
      </c>
      <c r="F5156" s="7">
        <v>2.7600000000000003E-3</v>
      </c>
      <c r="G5156" s="7">
        <v>-5.1799999999999999E-2</v>
      </c>
    </row>
    <row r="5157" spans="2:7" x14ac:dyDescent="0.2">
      <c r="B5157" s="60">
        <v>43081</v>
      </c>
      <c r="C5157" s="7">
        <v>3.1800000000000001E-3</v>
      </c>
      <c r="D5157" s="7">
        <v>2.9399999999999999E-3</v>
      </c>
      <c r="E5157" s="7">
        <v>3.2000000000000002E-3</v>
      </c>
      <c r="F5157" s="7">
        <v>2.8899999999999998E-3</v>
      </c>
      <c r="G5157" s="7">
        <v>8.5300000000000001E-2</v>
      </c>
    </row>
    <row r="5158" spans="2:7" x14ac:dyDescent="0.2">
      <c r="B5158" s="60">
        <v>43082</v>
      </c>
      <c r="C5158" s="7">
        <v>3.14E-3</v>
      </c>
      <c r="D5158" s="7">
        <v>3.1700000000000001E-3</v>
      </c>
      <c r="E5158" s="7">
        <v>3.4000000000000002E-3</v>
      </c>
      <c r="F5158" s="7">
        <v>3.0100000000000001E-3</v>
      </c>
      <c r="G5158" s="7">
        <v>-1.26E-2</v>
      </c>
    </row>
    <row r="5159" spans="2:7" x14ac:dyDescent="0.2">
      <c r="B5159" s="60">
        <v>43083</v>
      </c>
      <c r="C5159" s="7">
        <v>3.1099999999999999E-3</v>
      </c>
      <c r="D5159" s="7">
        <v>3.14E-3</v>
      </c>
      <c r="E5159" s="7">
        <v>3.3900000000000002E-3</v>
      </c>
      <c r="F5159" s="7">
        <v>3.0299999999999997E-3</v>
      </c>
      <c r="G5159" s="7">
        <v>-9.5999999999999992E-3</v>
      </c>
    </row>
    <row r="5160" spans="2:7" x14ac:dyDescent="0.2">
      <c r="B5160" s="60">
        <v>43084</v>
      </c>
      <c r="C5160" s="7">
        <v>3.0200000000000001E-3</v>
      </c>
      <c r="D5160" s="7">
        <v>3.0599999999999998E-3</v>
      </c>
      <c r="E5160" s="7">
        <v>3.0999999999999999E-3</v>
      </c>
      <c r="F5160" s="7">
        <v>2.8699999999999997E-3</v>
      </c>
      <c r="G5160" s="7">
        <v>-2.8899999999999999E-2</v>
      </c>
    </row>
    <row r="5161" spans="2:7" x14ac:dyDescent="0.2">
      <c r="B5161" s="60">
        <v>43085</v>
      </c>
      <c r="C5161" s="7">
        <v>3.0100000000000001E-3</v>
      </c>
      <c r="D5161" s="7">
        <v>3.0100000000000001E-3</v>
      </c>
      <c r="E5161" s="7">
        <v>3.0100000000000001E-3</v>
      </c>
      <c r="F5161" s="7">
        <v>3.0100000000000001E-3</v>
      </c>
      <c r="G5161" s="7">
        <v>-3.3E-3</v>
      </c>
    </row>
    <row r="5162" spans="2:7" x14ac:dyDescent="0.2">
      <c r="B5162" s="60">
        <v>43087</v>
      </c>
      <c r="C5162" s="7">
        <v>3.0799999999999998E-3</v>
      </c>
      <c r="D5162" s="7">
        <v>3.0299999999999997E-3</v>
      </c>
      <c r="E5162" s="7">
        <v>3.15E-3</v>
      </c>
      <c r="F5162" s="7">
        <v>2.9399999999999999E-3</v>
      </c>
      <c r="G5162" s="7">
        <v>2.3300000000000001E-2</v>
      </c>
    </row>
    <row r="5163" spans="2:7" x14ac:dyDescent="0.2">
      <c r="B5163" s="60">
        <v>43088</v>
      </c>
      <c r="C5163" s="7">
        <v>3.8E-3</v>
      </c>
      <c r="D5163" s="7">
        <v>3.1099999999999999E-3</v>
      </c>
      <c r="E5163" s="7">
        <v>3.8400000000000001E-3</v>
      </c>
      <c r="F5163" s="7">
        <v>2.99E-3</v>
      </c>
      <c r="G5163" s="7">
        <v>0.23380000000000001</v>
      </c>
    </row>
    <row r="5164" spans="2:7" x14ac:dyDescent="0.2">
      <c r="B5164" s="60">
        <v>43089</v>
      </c>
      <c r="C5164" s="7">
        <v>4.0400000000000002E-3</v>
      </c>
      <c r="D5164" s="7">
        <v>3.8600000000000001E-3</v>
      </c>
      <c r="E5164" s="7">
        <v>4.2599999999999999E-3</v>
      </c>
      <c r="F5164" s="7">
        <v>3.5899999999999999E-3</v>
      </c>
      <c r="G5164" s="7">
        <v>6.3200000000000006E-2</v>
      </c>
    </row>
    <row r="5165" spans="2:7" x14ac:dyDescent="0.2">
      <c r="B5165" s="60">
        <v>43090</v>
      </c>
      <c r="C5165" s="7">
        <v>4.1700000000000001E-3</v>
      </c>
      <c r="D5165" s="7">
        <v>4.1799999999999997E-3</v>
      </c>
      <c r="E5165" s="7">
        <v>4.3200000000000001E-3</v>
      </c>
      <c r="F5165" s="7">
        <v>4.0300000000000006E-3</v>
      </c>
      <c r="G5165" s="7">
        <v>3.2199999999999999E-2</v>
      </c>
    </row>
    <row r="5166" spans="2:7" x14ac:dyDescent="0.2">
      <c r="B5166" s="60">
        <v>43091</v>
      </c>
      <c r="C5166" s="7">
        <v>4.2199999999999998E-3</v>
      </c>
      <c r="D5166" s="7">
        <v>4.1199999999999995E-3</v>
      </c>
      <c r="E5166" s="7">
        <v>4.2699999999999995E-3</v>
      </c>
      <c r="F5166" s="7">
        <v>4.0799999999999994E-3</v>
      </c>
      <c r="G5166" s="7">
        <v>1.2E-2</v>
      </c>
    </row>
    <row r="5167" spans="2:7" x14ac:dyDescent="0.2">
      <c r="B5167" s="60">
        <v>43094</v>
      </c>
      <c r="C5167" s="7">
        <v>4.2199999999999998E-3</v>
      </c>
      <c r="D5167" s="7">
        <v>4.2100000000000002E-3</v>
      </c>
      <c r="E5167" s="7">
        <v>4.2199999999999998E-3</v>
      </c>
      <c r="F5167" s="7">
        <v>4.1799999999999997E-3</v>
      </c>
      <c r="G5167" s="7">
        <v>0</v>
      </c>
    </row>
    <row r="5168" spans="2:7" x14ac:dyDescent="0.2">
      <c r="B5168" s="60">
        <v>43095</v>
      </c>
      <c r="C5168" s="7">
        <v>4.2199999999999998E-3</v>
      </c>
      <c r="D5168" s="7">
        <v>4.2100000000000002E-3</v>
      </c>
      <c r="E5168" s="7">
        <v>4.2199999999999998E-3</v>
      </c>
      <c r="F5168" s="7">
        <v>4.2100000000000002E-3</v>
      </c>
      <c r="G5168" s="7">
        <v>0</v>
      </c>
    </row>
    <row r="5169" spans="2:7" x14ac:dyDescent="0.2">
      <c r="B5169" s="60">
        <v>43096</v>
      </c>
      <c r="C5169" s="7">
        <v>3.8E-3</v>
      </c>
      <c r="D5169" s="7">
        <v>4.2100000000000002E-3</v>
      </c>
      <c r="E5169" s="7">
        <v>4.2399999999999998E-3</v>
      </c>
      <c r="F5169" s="7">
        <v>3.7699999999999999E-3</v>
      </c>
      <c r="G5169" s="7">
        <v>-9.9500000000000005E-2</v>
      </c>
    </row>
    <row r="5170" spans="2:7" x14ac:dyDescent="0.2">
      <c r="B5170" s="60">
        <v>43097</v>
      </c>
      <c r="C5170" s="7">
        <v>4.2300000000000003E-3</v>
      </c>
      <c r="D5170" s="7">
        <v>3.9000000000000003E-3</v>
      </c>
      <c r="E5170" s="7">
        <v>4.2599999999999999E-3</v>
      </c>
      <c r="F5170" s="7">
        <v>3.79E-3</v>
      </c>
      <c r="G5170" s="7">
        <v>0.1132</v>
      </c>
    </row>
    <row r="5171" spans="2:7" x14ac:dyDescent="0.2">
      <c r="B5171" s="60">
        <v>43098</v>
      </c>
      <c r="C5171" s="7">
        <v>4.2699999999999995E-3</v>
      </c>
      <c r="D5171" s="7">
        <v>4.2599999999999999E-3</v>
      </c>
      <c r="E5171" s="7">
        <v>4.4200000000000003E-3</v>
      </c>
      <c r="F5171" s="7">
        <v>4.1599999999999996E-3</v>
      </c>
      <c r="G5171" s="7">
        <v>9.4999999999999998E-3</v>
      </c>
    </row>
    <row r="5172" spans="2:7" x14ac:dyDescent="0.2">
      <c r="B5172" s="60">
        <v>43101</v>
      </c>
      <c r="C5172" s="7">
        <v>4.2599999999999999E-3</v>
      </c>
      <c r="D5172" s="7">
        <v>4.2399999999999998E-3</v>
      </c>
      <c r="E5172" s="7">
        <v>4.2699999999999995E-3</v>
      </c>
      <c r="F5172" s="7">
        <v>4.2399999999999998E-3</v>
      </c>
      <c r="G5172" s="7">
        <v>-2.3E-3</v>
      </c>
    </row>
    <row r="5173" spans="2:7" x14ac:dyDescent="0.2">
      <c r="B5173" s="60">
        <v>43102</v>
      </c>
      <c r="C5173" s="7">
        <v>4.64E-3</v>
      </c>
      <c r="D5173" s="7">
        <v>4.3200000000000001E-3</v>
      </c>
      <c r="E5173" s="7">
        <v>4.6700000000000005E-3</v>
      </c>
      <c r="F5173" s="7">
        <v>4.2399999999999998E-3</v>
      </c>
      <c r="G5173" s="7">
        <v>8.9200000000000002E-2</v>
      </c>
    </row>
    <row r="5174" spans="2:7" x14ac:dyDescent="0.2">
      <c r="B5174" s="60">
        <v>43103</v>
      </c>
      <c r="C5174" s="7">
        <v>4.3899999999999998E-3</v>
      </c>
      <c r="D5174" s="7">
        <v>4.64E-3</v>
      </c>
      <c r="E5174" s="7">
        <v>4.6999999999999993E-3</v>
      </c>
      <c r="F5174" s="7">
        <v>4.2599999999999999E-3</v>
      </c>
      <c r="G5174" s="7">
        <v>-5.3900000000000003E-2</v>
      </c>
    </row>
    <row r="5175" spans="2:7" x14ac:dyDescent="0.2">
      <c r="B5175" s="60">
        <v>43104</v>
      </c>
      <c r="C5175" s="7">
        <v>4.3299999999999996E-3</v>
      </c>
      <c r="D5175" s="7">
        <v>4.5300000000000002E-3</v>
      </c>
      <c r="E5175" s="7">
        <v>4.6300000000000004E-3</v>
      </c>
      <c r="F5175" s="7">
        <v>4.3200000000000001E-3</v>
      </c>
      <c r="G5175" s="7">
        <v>-1.37E-2</v>
      </c>
    </row>
    <row r="5176" spans="2:7" x14ac:dyDescent="0.2">
      <c r="B5176" s="60">
        <v>43105</v>
      </c>
      <c r="C5176" s="7">
        <v>4.4000000000000003E-3</v>
      </c>
      <c r="D5176" s="7">
        <v>4.3600000000000002E-3</v>
      </c>
      <c r="E5176" s="7">
        <v>4.47E-3</v>
      </c>
      <c r="F5176" s="7">
        <v>4.2300000000000003E-3</v>
      </c>
      <c r="G5176" s="7">
        <v>1.6199999999999999E-2</v>
      </c>
    </row>
    <row r="5177" spans="2:7" x14ac:dyDescent="0.2">
      <c r="B5177" s="60">
        <v>43108</v>
      </c>
      <c r="C5177" s="7">
        <v>4.3400000000000001E-3</v>
      </c>
      <c r="D5177" s="7">
        <v>4.3699999999999998E-3</v>
      </c>
      <c r="E5177" s="7">
        <v>4.5700000000000003E-3</v>
      </c>
      <c r="F5177" s="7">
        <v>4.0899999999999999E-3</v>
      </c>
      <c r="G5177" s="7">
        <v>-1.3599999999999999E-2</v>
      </c>
    </row>
    <row r="5178" spans="2:7" x14ac:dyDescent="0.2">
      <c r="B5178" s="60">
        <v>43109</v>
      </c>
      <c r="C5178" s="7">
        <v>4.6600000000000001E-3</v>
      </c>
      <c r="D5178" s="7">
        <v>4.4000000000000003E-3</v>
      </c>
      <c r="E5178" s="7">
        <v>4.6600000000000001E-3</v>
      </c>
      <c r="F5178" s="7">
        <v>4.1399999999999996E-3</v>
      </c>
      <c r="G5178" s="7">
        <v>7.3700000000000002E-2</v>
      </c>
    </row>
    <row r="5179" spans="2:7" x14ac:dyDescent="0.2">
      <c r="B5179" s="60">
        <v>43110</v>
      </c>
      <c r="C5179" s="7">
        <v>4.7299999999999998E-3</v>
      </c>
      <c r="D5179" s="7">
        <v>4.7299999999999998E-3</v>
      </c>
      <c r="E5179" s="7">
        <v>4.8599999999999997E-3</v>
      </c>
      <c r="F5179" s="7">
        <v>4.5900000000000003E-3</v>
      </c>
      <c r="G5179" s="7">
        <v>1.4999999999999999E-2</v>
      </c>
    </row>
    <row r="5180" spans="2:7" x14ac:dyDescent="0.2">
      <c r="B5180" s="60">
        <v>43111</v>
      </c>
      <c r="C5180" s="7">
        <v>5.1800000000000006E-3</v>
      </c>
      <c r="D5180" s="7">
        <v>4.5999999999999999E-3</v>
      </c>
      <c r="E5180" s="7">
        <v>5.3300000000000005E-3</v>
      </c>
      <c r="F5180" s="7">
        <v>4.47E-3</v>
      </c>
      <c r="G5180" s="7">
        <v>9.5100000000000004E-2</v>
      </c>
    </row>
    <row r="5181" spans="2:7" x14ac:dyDescent="0.2">
      <c r="B5181" s="60">
        <v>43112</v>
      </c>
      <c r="C5181" s="7">
        <v>5.1500000000000001E-3</v>
      </c>
      <c r="D5181" s="7">
        <v>5.2599999999999999E-3</v>
      </c>
      <c r="E5181" s="7">
        <v>5.4300000000000008E-3</v>
      </c>
      <c r="F5181" s="7">
        <v>5.0699999999999999E-3</v>
      </c>
      <c r="G5181" s="7">
        <v>-5.7999999999999996E-3</v>
      </c>
    </row>
    <row r="5182" spans="2:7" x14ac:dyDescent="0.2">
      <c r="B5182" s="60">
        <v>43115</v>
      </c>
      <c r="C5182" s="7">
        <v>5.8699999999999994E-3</v>
      </c>
      <c r="D5182" s="7">
        <v>5.7999999999999996E-3</v>
      </c>
      <c r="E5182" s="7">
        <v>5.94E-3</v>
      </c>
      <c r="F5182" s="7">
        <v>5.6299999999999996E-3</v>
      </c>
      <c r="G5182" s="7">
        <v>0.13980000000000001</v>
      </c>
    </row>
    <row r="5183" spans="2:7" x14ac:dyDescent="0.2">
      <c r="B5183" s="60">
        <v>43116</v>
      </c>
      <c r="C5183" s="7">
        <v>5.5900000000000004E-3</v>
      </c>
      <c r="D5183" s="7">
        <v>5.8499999999999993E-3</v>
      </c>
      <c r="E5183" s="7">
        <v>5.8599999999999998E-3</v>
      </c>
      <c r="F5183" s="7">
        <v>5.45E-3</v>
      </c>
      <c r="G5183" s="7">
        <v>-4.7699999999999999E-2</v>
      </c>
    </row>
    <row r="5184" spans="2:7" x14ac:dyDescent="0.2">
      <c r="B5184" s="60">
        <v>43117</v>
      </c>
      <c r="C5184" s="7">
        <v>5.6200000000000009E-3</v>
      </c>
      <c r="D5184" s="7">
        <v>5.5900000000000004E-3</v>
      </c>
      <c r="E5184" s="7">
        <v>5.6499999999999996E-3</v>
      </c>
      <c r="F5184" s="7">
        <v>5.47E-3</v>
      </c>
      <c r="G5184" s="7">
        <v>5.4000000000000003E-3</v>
      </c>
    </row>
    <row r="5185" spans="2:7" x14ac:dyDescent="0.2">
      <c r="B5185" s="60">
        <v>43118</v>
      </c>
      <c r="C5185" s="7">
        <v>5.7099999999999998E-3</v>
      </c>
      <c r="D5185" s="7">
        <v>5.7499999999999999E-3</v>
      </c>
      <c r="E5185" s="7">
        <v>5.9499999999999996E-3</v>
      </c>
      <c r="F5185" s="7">
        <v>5.6699999999999997E-3</v>
      </c>
      <c r="G5185" s="7">
        <v>1.6E-2</v>
      </c>
    </row>
    <row r="5186" spans="2:7" x14ac:dyDescent="0.2">
      <c r="B5186" s="60">
        <v>43119</v>
      </c>
      <c r="C5186" s="7">
        <v>5.6799999999999993E-3</v>
      </c>
      <c r="D5186" s="7">
        <v>5.8799999999999998E-3</v>
      </c>
      <c r="E5186" s="7">
        <v>5.96E-3</v>
      </c>
      <c r="F5186" s="7">
        <v>5.5900000000000004E-3</v>
      </c>
      <c r="G5186" s="7">
        <v>-5.3E-3</v>
      </c>
    </row>
    <row r="5187" spans="2:7" x14ac:dyDescent="0.2">
      <c r="B5187" s="60">
        <v>43122</v>
      </c>
      <c r="C5187" s="7">
        <v>5.6699999999999997E-3</v>
      </c>
      <c r="D5187" s="7">
        <v>5.77E-3</v>
      </c>
      <c r="E5187" s="7">
        <v>5.9099999999999995E-3</v>
      </c>
      <c r="F5187" s="7">
        <v>5.6100000000000004E-3</v>
      </c>
      <c r="G5187" s="7">
        <v>-1.8E-3</v>
      </c>
    </row>
    <row r="5188" spans="2:7" x14ac:dyDescent="0.2">
      <c r="B5188" s="60">
        <v>43123</v>
      </c>
      <c r="C5188" s="7">
        <v>5.6000000000000008E-3</v>
      </c>
      <c r="D5188" s="7">
        <v>5.6899999999999997E-3</v>
      </c>
      <c r="E5188" s="7">
        <v>5.6899999999999997E-3</v>
      </c>
      <c r="F5188" s="7">
        <v>5.3900000000000007E-3</v>
      </c>
      <c r="G5188" s="7">
        <v>-1.23E-2</v>
      </c>
    </row>
    <row r="5189" spans="2:7" x14ac:dyDescent="0.2">
      <c r="B5189" s="60">
        <v>43124</v>
      </c>
      <c r="C5189" s="7">
        <v>5.8499999999999993E-3</v>
      </c>
      <c r="D5189" s="7">
        <v>5.6499999999999996E-3</v>
      </c>
      <c r="E5189" s="7">
        <v>5.96E-3</v>
      </c>
      <c r="F5189" s="7">
        <v>5.6499999999999996E-3</v>
      </c>
      <c r="G5189" s="7">
        <v>4.4600000000000001E-2</v>
      </c>
    </row>
    <row r="5190" spans="2:7" x14ac:dyDescent="0.2">
      <c r="B5190" s="60">
        <v>43125</v>
      </c>
      <c r="C5190" s="7">
        <v>6.0899999999999999E-3</v>
      </c>
      <c r="D5190" s="7">
        <v>5.7399999999999994E-3</v>
      </c>
      <c r="E5190" s="7">
        <v>6.4000000000000003E-3</v>
      </c>
      <c r="F5190" s="7">
        <v>5.6999999999999993E-3</v>
      </c>
      <c r="G5190" s="7">
        <v>4.1000000000000002E-2</v>
      </c>
    </row>
    <row r="5191" spans="2:7" x14ac:dyDescent="0.2">
      <c r="B5191" s="60">
        <v>43126</v>
      </c>
      <c r="C5191" s="7">
        <v>6.2599999999999999E-3</v>
      </c>
      <c r="D5191" s="7">
        <v>6.0799999999999995E-3</v>
      </c>
      <c r="E5191" s="7">
        <v>6.3400000000000001E-3</v>
      </c>
      <c r="F5191" s="7">
        <v>5.9299999999999995E-3</v>
      </c>
      <c r="G5191" s="7">
        <v>2.7900000000000001E-2</v>
      </c>
    </row>
    <row r="5192" spans="2:7" x14ac:dyDescent="0.2">
      <c r="B5192" s="60">
        <v>43127</v>
      </c>
      <c r="C5192" s="7">
        <v>6.3200000000000001E-3</v>
      </c>
      <c r="D5192" s="7">
        <v>6.2700000000000004E-3</v>
      </c>
      <c r="E5192" s="7">
        <v>6.3200000000000001E-3</v>
      </c>
      <c r="F5192" s="7">
        <v>6.2700000000000004E-3</v>
      </c>
      <c r="G5192" s="7">
        <v>9.5999999999999992E-3</v>
      </c>
    </row>
    <row r="5193" spans="2:7" x14ac:dyDescent="0.2">
      <c r="B5193" s="60">
        <v>43129</v>
      </c>
      <c r="C5193" s="7">
        <v>6.9099999999999995E-3</v>
      </c>
      <c r="D5193" s="7">
        <v>6.5400000000000007E-3</v>
      </c>
      <c r="E5193" s="7">
        <v>7.0699999999999999E-3</v>
      </c>
      <c r="F5193" s="7">
        <v>6.3899999999999998E-3</v>
      </c>
      <c r="G5193" s="7">
        <v>9.3399999999999997E-2</v>
      </c>
    </row>
    <row r="5194" spans="2:7" x14ac:dyDescent="0.2">
      <c r="B5194" s="60">
        <v>43130</v>
      </c>
      <c r="C5194" s="7">
        <v>6.8500000000000002E-3</v>
      </c>
      <c r="D5194" s="7">
        <v>6.9799999999999992E-3</v>
      </c>
      <c r="E5194" s="7">
        <v>6.9999999999999993E-3</v>
      </c>
      <c r="F5194" s="7">
        <v>6.6800000000000002E-3</v>
      </c>
      <c r="G5194" s="7">
        <v>-8.6999999999999994E-3</v>
      </c>
    </row>
    <row r="5195" spans="2:7" x14ac:dyDescent="0.2">
      <c r="B5195" s="60">
        <v>43131</v>
      </c>
      <c r="C5195" s="7">
        <v>6.9699999999999996E-3</v>
      </c>
      <c r="D5195" s="7">
        <v>6.8200000000000005E-3</v>
      </c>
      <c r="E5195" s="7">
        <v>6.9899999999999997E-3</v>
      </c>
      <c r="F5195" s="7">
        <v>6.5599999999999999E-3</v>
      </c>
      <c r="G5195" s="7">
        <v>1.7500000000000002E-2</v>
      </c>
    </row>
    <row r="5196" spans="2:7" x14ac:dyDescent="0.2">
      <c r="B5196" s="60">
        <v>43132</v>
      </c>
      <c r="C5196" s="7">
        <v>7.2099999999999994E-3</v>
      </c>
      <c r="D5196" s="7">
        <v>7.0599999999999994E-3</v>
      </c>
      <c r="E5196" s="7">
        <v>7.3800000000000003E-3</v>
      </c>
      <c r="F5196" s="7">
        <v>6.9299999999999995E-3</v>
      </c>
      <c r="G5196" s="7">
        <v>3.44E-2</v>
      </c>
    </row>
    <row r="5197" spans="2:7" x14ac:dyDescent="0.2">
      <c r="B5197" s="60">
        <v>43133</v>
      </c>
      <c r="C5197" s="7">
        <v>7.6800000000000002E-3</v>
      </c>
      <c r="D5197" s="7">
        <v>7.3600000000000002E-3</v>
      </c>
      <c r="E5197" s="7">
        <v>7.7099999999999998E-3</v>
      </c>
      <c r="F5197" s="7">
        <v>7.2399999999999999E-3</v>
      </c>
      <c r="G5197" s="7">
        <v>6.5199999999999994E-2</v>
      </c>
    </row>
    <row r="5198" spans="2:7" x14ac:dyDescent="0.2">
      <c r="B5198" s="60">
        <v>43136</v>
      </c>
      <c r="C5198" s="7">
        <v>7.3499999999999998E-3</v>
      </c>
      <c r="D5198" s="7">
        <v>7.7099999999999998E-3</v>
      </c>
      <c r="E5198" s="7">
        <v>7.7400000000000004E-3</v>
      </c>
      <c r="F5198" s="7">
        <v>7.1999999999999998E-3</v>
      </c>
      <c r="G5198" s="7">
        <v>-4.2999999999999997E-2</v>
      </c>
    </row>
    <row r="5199" spans="2:7" x14ac:dyDescent="0.2">
      <c r="B5199" s="60">
        <v>43137</v>
      </c>
      <c r="C5199" s="7">
        <v>6.9399999999999991E-3</v>
      </c>
      <c r="D5199" s="7">
        <v>7.0399999999999994E-3</v>
      </c>
      <c r="E5199" s="7">
        <v>7.1699999999999993E-3</v>
      </c>
      <c r="F5199" s="7">
        <v>6.6400000000000001E-3</v>
      </c>
      <c r="G5199" s="7">
        <v>-5.5800000000000002E-2</v>
      </c>
    </row>
    <row r="5200" spans="2:7" x14ac:dyDescent="0.2">
      <c r="B5200" s="60">
        <v>43138</v>
      </c>
      <c r="C5200" s="7">
        <v>7.4399999999999996E-3</v>
      </c>
      <c r="D5200" s="7">
        <v>7.0699999999999999E-3</v>
      </c>
      <c r="E5200" s="7">
        <v>7.4799999999999997E-3</v>
      </c>
      <c r="F5200" s="7">
        <v>6.8600000000000006E-3</v>
      </c>
      <c r="G5200" s="7">
        <v>7.1999999999999995E-2</v>
      </c>
    </row>
    <row r="5201" spans="2:7" x14ac:dyDescent="0.2">
      <c r="B5201" s="60">
        <v>43139</v>
      </c>
      <c r="C5201" s="7">
        <v>7.62E-3</v>
      </c>
      <c r="D5201" s="7">
        <v>7.5799999999999999E-3</v>
      </c>
      <c r="E5201" s="7">
        <v>8.0800000000000004E-3</v>
      </c>
      <c r="F5201" s="7">
        <v>7.3800000000000003E-3</v>
      </c>
      <c r="G5201" s="7">
        <v>2.4199999999999999E-2</v>
      </c>
    </row>
    <row r="5202" spans="2:7" x14ac:dyDescent="0.2">
      <c r="B5202" s="60">
        <v>43140</v>
      </c>
      <c r="C5202" s="7">
        <v>7.4700000000000001E-3</v>
      </c>
      <c r="D5202" s="7">
        <v>7.5300000000000002E-3</v>
      </c>
      <c r="E5202" s="7">
        <v>7.7600000000000004E-3</v>
      </c>
      <c r="F5202" s="7">
        <v>7.2299999999999994E-3</v>
      </c>
      <c r="G5202" s="7">
        <v>-1.9699999999999999E-2</v>
      </c>
    </row>
    <row r="5203" spans="2:7" x14ac:dyDescent="0.2">
      <c r="B5203" s="60">
        <v>43143</v>
      </c>
      <c r="C5203" s="7">
        <v>7.5799999999999999E-3</v>
      </c>
      <c r="D5203" s="7">
        <v>7.5100000000000002E-3</v>
      </c>
      <c r="E5203" s="7">
        <v>7.8600000000000007E-3</v>
      </c>
      <c r="F5203" s="7">
        <v>7.3800000000000003E-3</v>
      </c>
      <c r="G5203" s="7">
        <v>1.47E-2</v>
      </c>
    </row>
    <row r="5204" spans="2:7" x14ac:dyDescent="0.2">
      <c r="B5204" s="60">
        <v>43144</v>
      </c>
      <c r="C5204" s="7">
        <v>7.4999999999999997E-3</v>
      </c>
      <c r="D5204" s="7">
        <v>7.5100000000000002E-3</v>
      </c>
      <c r="E5204" s="7">
        <v>7.5700000000000003E-3</v>
      </c>
      <c r="F5204" s="7">
        <v>7.1799999999999998E-3</v>
      </c>
      <c r="G5204" s="7">
        <v>-1.06E-2</v>
      </c>
    </row>
    <row r="5205" spans="2:7" x14ac:dyDescent="0.2">
      <c r="B5205" s="60">
        <v>43145</v>
      </c>
      <c r="C5205" s="7">
        <v>7.6E-3</v>
      </c>
      <c r="D5205" s="7">
        <v>7.3800000000000003E-3</v>
      </c>
      <c r="E5205" s="7">
        <v>7.7400000000000004E-3</v>
      </c>
      <c r="F5205" s="7">
        <v>7.2399999999999999E-3</v>
      </c>
      <c r="G5205" s="7">
        <v>1.3299999999999999E-2</v>
      </c>
    </row>
    <row r="5206" spans="2:7" x14ac:dyDescent="0.2">
      <c r="B5206" s="60">
        <v>43146</v>
      </c>
      <c r="C5206" s="7">
        <v>7.6500000000000005E-3</v>
      </c>
      <c r="D5206" s="7">
        <v>7.7200000000000003E-3</v>
      </c>
      <c r="E5206" s="7">
        <v>7.9600000000000001E-3</v>
      </c>
      <c r="F5206" s="7">
        <v>7.5100000000000002E-3</v>
      </c>
      <c r="G5206" s="7">
        <v>6.6E-3</v>
      </c>
    </row>
    <row r="5207" spans="2:7" x14ac:dyDescent="0.2">
      <c r="B5207" s="60">
        <v>43147</v>
      </c>
      <c r="C5207" s="7">
        <v>7.0699999999999999E-3</v>
      </c>
      <c r="D5207" s="7">
        <v>7.7400000000000004E-3</v>
      </c>
      <c r="E5207" s="7">
        <v>7.79E-3</v>
      </c>
      <c r="F5207" s="7">
        <v>6.9899999999999997E-3</v>
      </c>
      <c r="G5207" s="7">
        <v>-7.5800000000000006E-2</v>
      </c>
    </row>
    <row r="5208" spans="2:7" x14ac:dyDescent="0.2">
      <c r="B5208" s="60">
        <v>43149</v>
      </c>
      <c r="C5208" s="7">
        <v>7.0699999999999999E-3</v>
      </c>
      <c r="D5208" s="7">
        <v>7.0699999999999999E-3</v>
      </c>
      <c r="E5208" s="7">
        <v>7.0699999999999999E-3</v>
      </c>
      <c r="F5208" s="7">
        <v>7.0699999999999999E-3</v>
      </c>
      <c r="G5208" s="7">
        <v>0</v>
      </c>
    </row>
    <row r="5209" spans="2:7" x14ac:dyDescent="0.2">
      <c r="B5209" s="60">
        <v>43150</v>
      </c>
      <c r="C5209" s="7">
        <v>7.3400000000000002E-3</v>
      </c>
      <c r="D5209" s="7">
        <v>7.2099999999999994E-3</v>
      </c>
      <c r="E5209" s="7">
        <v>7.43E-3</v>
      </c>
      <c r="F5209" s="7">
        <v>7.1599999999999997E-3</v>
      </c>
      <c r="G5209" s="7">
        <v>3.8199999999999998E-2</v>
      </c>
    </row>
    <row r="5210" spans="2:7" x14ac:dyDescent="0.2">
      <c r="B5210" s="60">
        <v>43151</v>
      </c>
      <c r="C5210" s="7">
        <v>7.3699999999999998E-3</v>
      </c>
      <c r="D5210" s="7">
        <v>7.4700000000000001E-3</v>
      </c>
      <c r="E5210" s="7">
        <v>7.6400000000000001E-3</v>
      </c>
      <c r="F5210" s="7">
        <v>7.1599999999999997E-3</v>
      </c>
      <c r="G5210" s="7">
        <v>4.1000000000000003E-3</v>
      </c>
    </row>
    <row r="5211" spans="2:7" x14ac:dyDescent="0.2">
      <c r="B5211" s="60">
        <v>43152</v>
      </c>
      <c r="C5211" s="7">
        <v>7.2299999999999994E-3</v>
      </c>
      <c r="D5211" s="7">
        <v>7.2899999999999996E-3</v>
      </c>
      <c r="E5211" s="7">
        <v>7.2899999999999996E-3</v>
      </c>
      <c r="F5211" s="7">
        <v>6.9699999999999996E-3</v>
      </c>
      <c r="G5211" s="7">
        <v>-1.9E-2</v>
      </c>
    </row>
    <row r="5212" spans="2:7" x14ac:dyDescent="0.2">
      <c r="B5212" s="60">
        <v>43153</v>
      </c>
      <c r="C5212" s="7">
        <v>7.0799999999999995E-3</v>
      </c>
      <c r="D5212" s="7">
        <v>7.4900000000000001E-3</v>
      </c>
      <c r="E5212" s="7">
        <v>7.4999999999999997E-3</v>
      </c>
      <c r="F5212" s="7">
        <v>6.9799999999999992E-3</v>
      </c>
      <c r="G5212" s="7">
        <v>-2.07E-2</v>
      </c>
    </row>
    <row r="5213" spans="2:7" x14ac:dyDescent="0.2">
      <c r="B5213" s="60">
        <v>43154</v>
      </c>
      <c r="C5213" s="7">
        <v>6.5400000000000007E-3</v>
      </c>
      <c r="D5213" s="7">
        <v>7.0699999999999999E-3</v>
      </c>
      <c r="E5213" s="7">
        <v>7.0699999999999999E-3</v>
      </c>
      <c r="F5213" s="7">
        <v>6.5100000000000002E-3</v>
      </c>
      <c r="G5213" s="7">
        <v>-7.6300000000000007E-2</v>
      </c>
    </row>
    <row r="5214" spans="2:7" x14ac:dyDescent="0.2">
      <c r="B5214" s="60">
        <v>43157</v>
      </c>
      <c r="C5214" s="7">
        <v>6.5300000000000002E-3</v>
      </c>
      <c r="D5214" s="7">
        <v>6.4400000000000004E-3</v>
      </c>
      <c r="E5214" s="7">
        <v>6.7100000000000007E-3</v>
      </c>
      <c r="F5214" s="7">
        <v>6.3899999999999998E-3</v>
      </c>
      <c r="G5214" s="7">
        <v>-1.5E-3</v>
      </c>
    </row>
    <row r="5215" spans="2:7" x14ac:dyDescent="0.2">
      <c r="B5215" s="60">
        <v>43158</v>
      </c>
      <c r="C5215" s="7">
        <v>6.7700000000000008E-3</v>
      </c>
      <c r="D5215" s="7">
        <v>6.6300000000000005E-3</v>
      </c>
      <c r="E5215" s="7">
        <v>6.8500000000000002E-3</v>
      </c>
      <c r="F5215" s="7">
        <v>6.5300000000000002E-3</v>
      </c>
      <c r="G5215" s="7">
        <v>3.6799999999999999E-2</v>
      </c>
    </row>
    <row r="5216" spans="2:7" x14ac:dyDescent="0.2">
      <c r="B5216" s="60">
        <v>43159</v>
      </c>
      <c r="C5216" s="7">
        <v>6.5400000000000007E-3</v>
      </c>
      <c r="D5216" s="7">
        <v>6.7700000000000008E-3</v>
      </c>
      <c r="E5216" s="7">
        <v>6.8899999999999994E-3</v>
      </c>
      <c r="F5216" s="7">
        <v>6.5400000000000007E-3</v>
      </c>
      <c r="G5216" s="7">
        <v>-3.4000000000000002E-2</v>
      </c>
    </row>
    <row r="5217" spans="2:7" x14ac:dyDescent="0.2">
      <c r="B5217" s="60">
        <v>43160</v>
      </c>
      <c r="C5217" s="7">
        <v>6.4200000000000004E-3</v>
      </c>
      <c r="D5217" s="7">
        <v>6.5500000000000003E-3</v>
      </c>
      <c r="E5217" s="7">
        <v>6.5799999999999999E-3</v>
      </c>
      <c r="F5217" s="7">
        <v>6.2100000000000002E-3</v>
      </c>
      <c r="G5217" s="7">
        <v>-1.83E-2</v>
      </c>
    </row>
    <row r="5218" spans="2:7" x14ac:dyDescent="0.2">
      <c r="B5218" s="60">
        <v>43161</v>
      </c>
      <c r="C5218" s="7">
        <v>6.4700000000000001E-3</v>
      </c>
      <c r="D5218" s="7">
        <v>6.3E-3</v>
      </c>
      <c r="E5218" s="7">
        <v>6.5300000000000002E-3</v>
      </c>
      <c r="F5218" s="7">
        <v>6.0599999999999994E-3</v>
      </c>
      <c r="G5218" s="7">
        <v>7.7999999999999996E-3</v>
      </c>
    </row>
    <row r="5219" spans="2:7" x14ac:dyDescent="0.2">
      <c r="B5219" s="60">
        <v>43164</v>
      </c>
      <c r="C5219" s="7">
        <v>6.4600000000000005E-3</v>
      </c>
      <c r="D5219" s="7">
        <v>6.1799999999999997E-3</v>
      </c>
      <c r="E5219" s="7">
        <v>6.4600000000000005E-3</v>
      </c>
      <c r="F5219" s="7">
        <v>5.96E-3</v>
      </c>
      <c r="G5219" s="7">
        <v>-1.5E-3</v>
      </c>
    </row>
    <row r="5220" spans="2:7" x14ac:dyDescent="0.2">
      <c r="B5220" s="60">
        <v>43165</v>
      </c>
      <c r="C5220" s="7">
        <v>6.7600000000000004E-3</v>
      </c>
      <c r="D5220" s="7">
        <v>6.62E-3</v>
      </c>
      <c r="E5220" s="7">
        <v>7.0199999999999993E-3</v>
      </c>
      <c r="F5220" s="7">
        <v>6.4000000000000003E-3</v>
      </c>
      <c r="G5220" s="7">
        <v>4.6399999999999997E-2</v>
      </c>
    </row>
    <row r="5221" spans="2:7" x14ac:dyDescent="0.2">
      <c r="B5221" s="60">
        <v>43166</v>
      </c>
      <c r="C5221" s="7">
        <v>6.5400000000000007E-3</v>
      </c>
      <c r="D5221" s="7">
        <v>6.6100000000000004E-3</v>
      </c>
      <c r="E5221" s="7">
        <v>6.7600000000000004E-3</v>
      </c>
      <c r="F5221" s="7">
        <v>6.4700000000000001E-3</v>
      </c>
      <c r="G5221" s="7">
        <v>-3.2500000000000001E-2</v>
      </c>
    </row>
    <row r="5222" spans="2:7" x14ac:dyDescent="0.2">
      <c r="B5222" s="60">
        <v>43167</v>
      </c>
      <c r="C5222" s="7">
        <v>6.3E-3</v>
      </c>
      <c r="D5222" s="7">
        <v>6.6700000000000006E-3</v>
      </c>
      <c r="E5222" s="7">
        <v>7.0299999999999998E-3</v>
      </c>
      <c r="F5222" s="7">
        <v>6.2599999999999999E-3</v>
      </c>
      <c r="G5222" s="7">
        <v>-3.6700000000000003E-2</v>
      </c>
    </row>
    <row r="5223" spans="2:7" x14ac:dyDescent="0.2">
      <c r="B5223" s="60">
        <v>43168</v>
      </c>
      <c r="C5223" s="7">
        <v>6.4400000000000004E-3</v>
      </c>
      <c r="D5223" s="7">
        <v>6.3699999999999998E-3</v>
      </c>
      <c r="E5223" s="7">
        <v>6.6E-3</v>
      </c>
      <c r="F5223" s="7">
        <v>6.3099999999999996E-3</v>
      </c>
      <c r="G5223" s="7">
        <v>2.2200000000000001E-2</v>
      </c>
    </row>
    <row r="5224" spans="2:7" x14ac:dyDescent="0.2">
      <c r="B5224" s="60">
        <v>43171</v>
      </c>
      <c r="C5224" s="7">
        <v>6.3499999999999997E-3</v>
      </c>
      <c r="D5224" s="7">
        <v>6.5500000000000003E-3</v>
      </c>
      <c r="E5224" s="7">
        <v>6.5700000000000003E-3</v>
      </c>
      <c r="F5224" s="7">
        <v>6.2300000000000003E-3</v>
      </c>
      <c r="G5224" s="7">
        <v>-1.4E-2</v>
      </c>
    </row>
    <row r="5225" spans="2:7" x14ac:dyDescent="0.2">
      <c r="B5225" s="60">
        <v>43172</v>
      </c>
      <c r="C5225" s="7">
        <v>6.1999999999999998E-3</v>
      </c>
      <c r="D5225" s="7">
        <v>6.2900000000000005E-3</v>
      </c>
      <c r="E5225" s="7">
        <v>6.4000000000000003E-3</v>
      </c>
      <c r="F5225" s="7">
        <v>6.0799999999999995E-3</v>
      </c>
      <c r="G5225" s="7">
        <v>-2.3599999999999999E-2</v>
      </c>
    </row>
    <row r="5226" spans="2:7" x14ac:dyDescent="0.2">
      <c r="B5226" s="60">
        <v>43173</v>
      </c>
      <c r="C5226" s="7">
        <v>5.9199999999999999E-3</v>
      </c>
      <c r="D5226" s="7">
        <v>6.0999999999999995E-3</v>
      </c>
      <c r="E5226" s="7">
        <v>6.3E-3</v>
      </c>
      <c r="F5226" s="7">
        <v>5.8299999999999992E-3</v>
      </c>
      <c r="G5226" s="7">
        <v>-4.5199999999999997E-2</v>
      </c>
    </row>
    <row r="5227" spans="2:7" x14ac:dyDescent="0.2">
      <c r="B5227" s="60">
        <v>43174</v>
      </c>
      <c r="C5227" s="7">
        <v>5.7399999999999994E-3</v>
      </c>
      <c r="D5227" s="7">
        <v>5.94E-3</v>
      </c>
      <c r="E5227" s="7">
        <v>5.9699999999999996E-3</v>
      </c>
      <c r="F5227" s="7">
        <v>5.6599999999999992E-3</v>
      </c>
      <c r="G5227" s="7">
        <v>-3.04E-2</v>
      </c>
    </row>
    <row r="5228" spans="2:7" x14ac:dyDescent="0.2">
      <c r="B5228" s="60">
        <v>43175</v>
      </c>
      <c r="C5228" s="7">
        <v>5.7099999999999998E-3</v>
      </c>
      <c r="D5228" s="7">
        <v>5.6699999999999997E-3</v>
      </c>
      <c r="E5228" s="7">
        <v>5.8499999999999993E-3</v>
      </c>
      <c r="F5228" s="7">
        <v>5.5900000000000004E-3</v>
      </c>
      <c r="G5228" s="7">
        <v>-5.1999999999999998E-3</v>
      </c>
    </row>
    <row r="5229" spans="2:7" x14ac:dyDescent="0.2">
      <c r="B5229" s="60">
        <v>43178</v>
      </c>
      <c r="C5229" s="7">
        <v>5.6899999999999997E-3</v>
      </c>
      <c r="D5229" s="7">
        <v>5.7099999999999998E-3</v>
      </c>
      <c r="E5229" s="7">
        <v>6.0699999999999999E-3</v>
      </c>
      <c r="F5229" s="7">
        <v>5.6299999999999996E-3</v>
      </c>
      <c r="G5229" s="7">
        <v>-3.5000000000000001E-3</v>
      </c>
    </row>
    <row r="5230" spans="2:7" x14ac:dyDescent="0.2">
      <c r="B5230" s="60">
        <v>43179</v>
      </c>
      <c r="C5230" s="7">
        <v>5.8399999999999997E-3</v>
      </c>
      <c r="D5230" s="7">
        <v>5.77E-3</v>
      </c>
      <c r="E5230" s="7">
        <v>5.9199999999999999E-3</v>
      </c>
      <c r="F5230" s="7">
        <v>5.7399999999999994E-3</v>
      </c>
      <c r="G5230" s="7">
        <v>2.64E-2</v>
      </c>
    </row>
    <row r="5231" spans="2:7" x14ac:dyDescent="0.2">
      <c r="B5231" s="60">
        <v>43180</v>
      </c>
      <c r="C5231" s="7">
        <v>5.9199999999999999E-3</v>
      </c>
      <c r="D5231" s="7">
        <v>5.8699999999999994E-3</v>
      </c>
      <c r="E5231" s="7">
        <v>6.0400000000000002E-3</v>
      </c>
      <c r="F5231" s="7">
        <v>5.7999999999999996E-3</v>
      </c>
      <c r="G5231" s="7">
        <v>1.37E-2</v>
      </c>
    </row>
    <row r="5232" spans="2:7" x14ac:dyDescent="0.2">
      <c r="B5232" s="60">
        <v>43181</v>
      </c>
      <c r="C5232" s="7">
        <v>5.2900000000000004E-3</v>
      </c>
      <c r="D5232" s="7">
        <v>5.79E-3</v>
      </c>
      <c r="E5232" s="7">
        <v>5.8199999999999997E-3</v>
      </c>
      <c r="F5232" s="7">
        <v>5.1600000000000005E-3</v>
      </c>
      <c r="G5232" s="7">
        <v>-0.10639999999999999</v>
      </c>
    </row>
    <row r="5233" spans="2:7" x14ac:dyDescent="0.2">
      <c r="B5233" s="60">
        <v>43182</v>
      </c>
      <c r="C5233" s="7">
        <v>5.2500000000000003E-3</v>
      </c>
      <c r="D5233" s="7">
        <v>5.2500000000000003E-3</v>
      </c>
      <c r="E5233" s="7">
        <v>5.5000000000000005E-3</v>
      </c>
      <c r="F5233" s="7">
        <v>5.1700000000000001E-3</v>
      </c>
      <c r="G5233" s="7">
        <v>-7.6E-3</v>
      </c>
    </row>
    <row r="5234" spans="2:7" x14ac:dyDescent="0.2">
      <c r="B5234" s="60">
        <v>43183</v>
      </c>
      <c r="C5234" s="7">
        <v>5.28E-3</v>
      </c>
      <c r="D5234" s="7">
        <v>5.2500000000000003E-3</v>
      </c>
      <c r="E5234" s="7">
        <v>5.28E-3</v>
      </c>
      <c r="F5234" s="7">
        <v>5.2500000000000003E-3</v>
      </c>
      <c r="G5234" s="7">
        <v>5.7000000000000002E-3</v>
      </c>
    </row>
    <row r="5235" spans="2:7" x14ac:dyDescent="0.2">
      <c r="B5235" s="60">
        <v>43185</v>
      </c>
      <c r="C5235" s="7">
        <v>5.2199999999999998E-3</v>
      </c>
      <c r="D5235" s="7">
        <v>5.3100000000000005E-3</v>
      </c>
      <c r="E5235" s="7">
        <v>5.4800000000000005E-3</v>
      </c>
      <c r="F5235" s="7">
        <v>5.1999999999999998E-3</v>
      </c>
      <c r="G5235" s="7">
        <v>-1.14E-2</v>
      </c>
    </row>
    <row r="5236" spans="2:7" x14ac:dyDescent="0.2">
      <c r="B5236" s="60">
        <v>43186</v>
      </c>
      <c r="C5236" s="7">
        <v>5.0200000000000002E-3</v>
      </c>
      <c r="D5236" s="7">
        <v>5.3200000000000001E-3</v>
      </c>
      <c r="E5236" s="7">
        <v>5.3900000000000007E-3</v>
      </c>
      <c r="F5236" s="7">
        <v>5.0000000000000001E-3</v>
      </c>
      <c r="G5236" s="7">
        <v>-3.8300000000000001E-2</v>
      </c>
    </row>
    <row r="5237" spans="2:7" x14ac:dyDescent="0.2">
      <c r="B5237" s="60">
        <v>43187</v>
      </c>
      <c r="C5237" s="7">
        <v>5.0299999999999997E-3</v>
      </c>
      <c r="D5237" s="7">
        <v>4.96E-3</v>
      </c>
      <c r="E5237" s="7">
        <v>5.0600000000000003E-3</v>
      </c>
      <c r="F5237" s="7">
        <v>4.7299999999999998E-3</v>
      </c>
      <c r="G5237" s="7">
        <v>2E-3</v>
      </c>
    </row>
    <row r="5238" spans="2:7" x14ac:dyDescent="0.2">
      <c r="B5238" s="60">
        <v>43188</v>
      </c>
      <c r="C5238" s="7">
        <v>4.9300000000000004E-3</v>
      </c>
      <c r="D5238" s="7">
        <v>5.0499999999999998E-3</v>
      </c>
      <c r="E5238" s="7">
        <v>5.13E-3</v>
      </c>
      <c r="F5238" s="7">
        <v>4.8999999999999998E-3</v>
      </c>
      <c r="G5238" s="7">
        <v>-1.9900000000000001E-2</v>
      </c>
    </row>
    <row r="5239" spans="2:7" x14ac:dyDescent="0.2">
      <c r="B5239" s="60">
        <v>43189</v>
      </c>
      <c r="C5239" s="7">
        <v>4.9399999999999999E-3</v>
      </c>
      <c r="D5239" s="7">
        <v>4.9699999999999996E-3</v>
      </c>
      <c r="E5239" s="7">
        <v>4.9699999999999996E-3</v>
      </c>
      <c r="F5239" s="7">
        <v>4.9399999999999999E-3</v>
      </c>
      <c r="G5239" s="7">
        <v>2E-3</v>
      </c>
    </row>
    <row r="5240" spans="2:7" x14ac:dyDescent="0.2">
      <c r="B5240" s="60">
        <v>43193</v>
      </c>
      <c r="C5240" s="7">
        <v>5.0200000000000002E-3</v>
      </c>
      <c r="D5240" s="7">
        <v>4.7999999999999996E-3</v>
      </c>
      <c r="E5240" s="7">
        <v>5.2100000000000002E-3</v>
      </c>
      <c r="F5240" s="7">
        <v>4.79E-3</v>
      </c>
      <c r="G5240" s="7">
        <v>1.6199999999999999E-2</v>
      </c>
    </row>
    <row r="5241" spans="2:7" x14ac:dyDescent="0.2">
      <c r="B5241" s="60">
        <v>43194</v>
      </c>
      <c r="C5241" s="7">
        <v>5.0200000000000002E-3</v>
      </c>
      <c r="D5241" s="7">
        <v>5.0899999999999999E-3</v>
      </c>
      <c r="E5241" s="7">
        <v>5.11E-3</v>
      </c>
      <c r="F5241" s="7">
        <v>4.79E-3</v>
      </c>
      <c r="G5241" s="7">
        <v>0</v>
      </c>
    </row>
    <row r="5242" spans="2:7" x14ac:dyDescent="0.2">
      <c r="B5242" s="60">
        <v>43195</v>
      </c>
      <c r="C5242" s="7">
        <v>5.2599999999999999E-3</v>
      </c>
      <c r="D5242" s="7">
        <v>5.1000000000000004E-3</v>
      </c>
      <c r="E5242" s="7">
        <v>5.3800000000000002E-3</v>
      </c>
      <c r="F5242" s="7">
        <v>5.0800000000000003E-3</v>
      </c>
      <c r="G5242" s="7">
        <v>4.7800000000000002E-2</v>
      </c>
    </row>
    <row r="5243" spans="2:7" x14ac:dyDescent="0.2">
      <c r="B5243" s="60">
        <v>43196</v>
      </c>
      <c r="C5243" s="7">
        <v>5.0000000000000001E-3</v>
      </c>
      <c r="D5243" s="7">
        <v>5.1600000000000005E-3</v>
      </c>
      <c r="E5243" s="7">
        <v>5.1999999999999998E-3</v>
      </c>
      <c r="F5243" s="7">
        <v>4.9199999999999999E-3</v>
      </c>
      <c r="G5243" s="7">
        <v>-4.9399999999999999E-2</v>
      </c>
    </row>
    <row r="5244" spans="2:7" x14ac:dyDescent="0.2">
      <c r="B5244" s="60">
        <v>43199</v>
      </c>
      <c r="C5244" s="7">
        <v>5.0499999999999998E-3</v>
      </c>
      <c r="D5244" s="7">
        <v>5.0000000000000001E-3</v>
      </c>
      <c r="E5244" s="7">
        <v>5.1200000000000004E-3</v>
      </c>
      <c r="F5244" s="7">
        <v>4.9399999999999999E-3</v>
      </c>
      <c r="G5244" s="7">
        <v>0.01</v>
      </c>
    </row>
    <row r="5245" spans="2:7" x14ac:dyDescent="0.2">
      <c r="B5245" s="60">
        <v>43200</v>
      </c>
      <c r="C5245" s="7">
        <v>5.1600000000000005E-3</v>
      </c>
      <c r="D5245" s="7">
        <v>5.0699999999999999E-3</v>
      </c>
      <c r="E5245" s="7">
        <v>5.2900000000000004E-3</v>
      </c>
      <c r="F5245" s="7">
        <v>4.8799999999999998E-3</v>
      </c>
      <c r="G5245" s="7">
        <v>2.18E-2</v>
      </c>
    </row>
    <row r="5246" spans="2:7" x14ac:dyDescent="0.2">
      <c r="B5246" s="60">
        <v>43201</v>
      </c>
      <c r="C5246" s="7">
        <v>5.0099999999999997E-3</v>
      </c>
      <c r="D5246" s="7">
        <v>5.1500000000000001E-3</v>
      </c>
      <c r="E5246" s="7">
        <v>5.1600000000000005E-3</v>
      </c>
      <c r="F5246" s="7">
        <v>4.8300000000000001E-3</v>
      </c>
      <c r="G5246" s="7">
        <v>-2.9100000000000001E-2</v>
      </c>
    </row>
    <row r="5247" spans="2:7" x14ac:dyDescent="0.2">
      <c r="B5247" s="60">
        <v>43202</v>
      </c>
      <c r="C5247" s="7">
        <v>5.1500000000000001E-3</v>
      </c>
      <c r="D5247" s="7">
        <v>5.0200000000000002E-3</v>
      </c>
      <c r="E5247" s="7">
        <v>5.1800000000000006E-3</v>
      </c>
      <c r="F5247" s="7">
        <v>4.9300000000000004E-3</v>
      </c>
      <c r="G5247" s="7">
        <v>2.7900000000000001E-2</v>
      </c>
    </row>
    <row r="5248" spans="2:7" x14ac:dyDescent="0.2">
      <c r="B5248" s="60">
        <v>43203</v>
      </c>
      <c r="C5248" s="7">
        <v>5.11E-3</v>
      </c>
      <c r="D5248" s="7">
        <v>5.1200000000000004E-3</v>
      </c>
      <c r="E5248" s="7">
        <v>5.3700000000000006E-3</v>
      </c>
      <c r="F5248" s="7">
        <v>5.0600000000000003E-3</v>
      </c>
      <c r="G5248" s="7">
        <v>-7.7999999999999996E-3</v>
      </c>
    </row>
    <row r="5249" spans="2:7" x14ac:dyDescent="0.2">
      <c r="B5249" s="60">
        <v>43204</v>
      </c>
      <c r="C5249" s="7">
        <v>5.1200000000000004E-3</v>
      </c>
      <c r="D5249" s="7">
        <v>5.11E-3</v>
      </c>
      <c r="E5249" s="7">
        <v>5.1200000000000004E-3</v>
      </c>
      <c r="F5249" s="7">
        <v>5.11E-3</v>
      </c>
      <c r="G5249" s="7">
        <v>2E-3</v>
      </c>
    </row>
    <row r="5250" spans="2:7" x14ac:dyDescent="0.2">
      <c r="B5250" s="60">
        <v>43206</v>
      </c>
      <c r="C5250" s="7">
        <v>5.2399999999999999E-3</v>
      </c>
      <c r="D5250" s="7">
        <v>5.1600000000000005E-3</v>
      </c>
      <c r="E5250" s="7">
        <v>5.5100000000000001E-3</v>
      </c>
      <c r="F5250" s="7">
        <v>5.1500000000000001E-3</v>
      </c>
      <c r="G5250" s="7">
        <v>2.3400000000000001E-2</v>
      </c>
    </row>
    <row r="5251" spans="2:7" x14ac:dyDescent="0.2">
      <c r="B5251" s="60">
        <v>43207</v>
      </c>
      <c r="C5251" s="7">
        <v>5.0699999999999999E-3</v>
      </c>
      <c r="D5251" s="7">
        <v>5.2700000000000004E-3</v>
      </c>
      <c r="E5251" s="7">
        <v>5.3900000000000007E-3</v>
      </c>
      <c r="F5251" s="7">
        <v>5.0600000000000003E-3</v>
      </c>
      <c r="G5251" s="7">
        <v>-3.2399999999999998E-2</v>
      </c>
    </row>
    <row r="5252" spans="2:7" x14ac:dyDescent="0.2">
      <c r="B5252" s="60">
        <v>43208</v>
      </c>
      <c r="C5252" s="7">
        <v>5.3200000000000001E-3</v>
      </c>
      <c r="D5252" s="7">
        <v>5.13E-3</v>
      </c>
      <c r="E5252" s="7">
        <v>5.3500000000000006E-3</v>
      </c>
      <c r="F5252" s="7">
        <v>4.96E-3</v>
      </c>
      <c r="G5252" s="7">
        <v>4.9299999999999997E-2</v>
      </c>
    </row>
    <row r="5253" spans="2:7" x14ac:dyDescent="0.2">
      <c r="B5253" s="60">
        <v>43209</v>
      </c>
      <c r="C5253" s="7">
        <v>5.9800000000000001E-3</v>
      </c>
      <c r="D5253" s="7">
        <v>5.3800000000000002E-3</v>
      </c>
      <c r="E5253" s="7">
        <v>6.0400000000000002E-3</v>
      </c>
      <c r="F5253" s="7">
        <v>5.3800000000000002E-3</v>
      </c>
      <c r="G5253" s="7">
        <v>0.1241</v>
      </c>
    </row>
    <row r="5254" spans="2:7" x14ac:dyDescent="0.2">
      <c r="B5254" s="60">
        <v>43210</v>
      </c>
      <c r="C5254" s="7">
        <v>5.8999999999999999E-3</v>
      </c>
      <c r="D5254" s="7">
        <v>5.8799999999999998E-3</v>
      </c>
      <c r="E5254" s="7">
        <v>6.13E-3</v>
      </c>
      <c r="F5254" s="7">
        <v>5.7999999999999996E-3</v>
      </c>
      <c r="G5254" s="7">
        <v>-1.34E-2</v>
      </c>
    </row>
    <row r="5255" spans="2:7" x14ac:dyDescent="0.2">
      <c r="B5255" s="60">
        <v>43213</v>
      </c>
      <c r="C5255" s="7">
        <v>6.3499999999999997E-3</v>
      </c>
      <c r="D5255" s="7">
        <v>6.13E-3</v>
      </c>
      <c r="E5255" s="7">
        <v>6.3899999999999998E-3</v>
      </c>
      <c r="F5255" s="7">
        <v>6.0999999999999995E-3</v>
      </c>
      <c r="G5255" s="7">
        <v>7.6300000000000007E-2</v>
      </c>
    </row>
    <row r="5256" spans="2:7" x14ac:dyDescent="0.2">
      <c r="B5256" s="60">
        <v>43214</v>
      </c>
      <c r="C5256" s="7">
        <v>6.2900000000000005E-3</v>
      </c>
      <c r="D5256" s="7">
        <v>6.2599999999999999E-3</v>
      </c>
      <c r="E5256" s="7">
        <v>6.5500000000000003E-3</v>
      </c>
      <c r="F5256" s="7">
        <v>6.0999999999999995E-3</v>
      </c>
      <c r="G5256" s="7">
        <v>-9.4000000000000004E-3</v>
      </c>
    </row>
    <row r="5257" spans="2:7" x14ac:dyDescent="0.2">
      <c r="B5257" s="60">
        <v>43215</v>
      </c>
      <c r="C5257" s="7">
        <v>6.3299999999999997E-3</v>
      </c>
      <c r="D5257" s="7">
        <v>6.28E-3</v>
      </c>
      <c r="E5257" s="7">
        <v>6.5500000000000003E-3</v>
      </c>
      <c r="F5257" s="7">
        <v>6.2500000000000003E-3</v>
      </c>
      <c r="G5257" s="7">
        <v>6.4000000000000003E-3</v>
      </c>
    </row>
    <row r="5258" spans="2:7" x14ac:dyDescent="0.2">
      <c r="B5258" s="60">
        <v>43216</v>
      </c>
      <c r="C5258" s="7">
        <v>5.9499999999999996E-3</v>
      </c>
      <c r="D5258" s="7">
        <v>6.3299999999999997E-3</v>
      </c>
      <c r="E5258" s="7">
        <v>6.3600000000000002E-3</v>
      </c>
      <c r="F5258" s="7">
        <v>5.8499999999999993E-3</v>
      </c>
      <c r="G5258" s="7">
        <v>-0.06</v>
      </c>
    </row>
    <row r="5259" spans="2:7" x14ac:dyDescent="0.2">
      <c r="B5259" s="60">
        <v>43217</v>
      </c>
      <c r="C5259" s="7">
        <v>5.6999999999999993E-3</v>
      </c>
      <c r="D5259" s="7">
        <v>5.9199999999999999E-3</v>
      </c>
      <c r="E5259" s="7">
        <v>5.9199999999999999E-3</v>
      </c>
      <c r="F5259" s="7">
        <v>5.6399999999999992E-3</v>
      </c>
      <c r="G5259" s="7">
        <v>-4.2000000000000003E-2</v>
      </c>
    </row>
    <row r="5260" spans="2:7" x14ac:dyDescent="0.2">
      <c r="B5260" s="60">
        <v>43220</v>
      </c>
      <c r="C5260" s="7">
        <v>5.6200000000000009E-3</v>
      </c>
      <c r="D5260" s="7">
        <v>5.7799999999999995E-3</v>
      </c>
      <c r="E5260" s="7">
        <v>5.9299999999999995E-3</v>
      </c>
      <c r="F5260" s="7">
        <v>5.5700000000000003E-3</v>
      </c>
      <c r="G5260" s="7">
        <v>-1.4E-2</v>
      </c>
    </row>
    <row r="5261" spans="2:7" x14ac:dyDescent="0.2">
      <c r="B5261" s="60">
        <v>43222</v>
      </c>
      <c r="C5261" s="7">
        <v>5.8199999999999997E-3</v>
      </c>
      <c r="D5261" s="7">
        <v>5.7099999999999998E-3</v>
      </c>
      <c r="E5261" s="7">
        <v>5.8999999999999999E-3</v>
      </c>
      <c r="F5261" s="7">
        <v>5.6799999999999993E-3</v>
      </c>
      <c r="G5261" s="7">
        <v>3.56E-2</v>
      </c>
    </row>
    <row r="5262" spans="2:7" x14ac:dyDescent="0.2">
      <c r="B5262" s="60">
        <v>43223</v>
      </c>
      <c r="C5262" s="7">
        <v>5.3400000000000001E-3</v>
      </c>
      <c r="D5262" s="7">
        <v>5.7799999999999995E-3</v>
      </c>
      <c r="E5262" s="7">
        <v>5.9199999999999999E-3</v>
      </c>
      <c r="F5262" s="7">
        <v>5.2500000000000003E-3</v>
      </c>
      <c r="G5262" s="7">
        <v>-8.2500000000000004E-2</v>
      </c>
    </row>
    <row r="5263" spans="2:7" x14ac:dyDescent="0.2">
      <c r="B5263" s="60">
        <v>43224</v>
      </c>
      <c r="C5263" s="7">
        <v>5.45E-3</v>
      </c>
      <c r="D5263" s="7">
        <v>5.3800000000000002E-3</v>
      </c>
      <c r="E5263" s="7">
        <v>5.47E-3</v>
      </c>
      <c r="F5263" s="7">
        <v>5.2199999999999998E-3</v>
      </c>
      <c r="G5263" s="7">
        <v>2.06E-2</v>
      </c>
    </row>
    <row r="5264" spans="2:7" x14ac:dyDescent="0.2">
      <c r="B5264" s="60">
        <v>43227</v>
      </c>
      <c r="C5264" s="7">
        <v>5.3E-3</v>
      </c>
      <c r="D5264" s="7">
        <v>5.4400000000000004E-3</v>
      </c>
      <c r="E5264" s="7">
        <v>5.4400000000000004E-3</v>
      </c>
      <c r="F5264" s="7">
        <v>5.1800000000000006E-3</v>
      </c>
      <c r="G5264" s="7">
        <v>-2.75E-2</v>
      </c>
    </row>
    <row r="5265" spans="2:7" x14ac:dyDescent="0.2">
      <c r="B5265" s="60">
        <v>43228</v>
      </c>
      <c r="C5265" s="7">
        <v>5.6100000000000004E-3</v>
      </c>
      <c r="D5265" s="7">
        <v>5.3200000000000001E-3</v>
      </c>
      <c r="E5265" s="7">
        <v>5.6499999999999996E-3</v>
      </c>
      <c r="F5265" s="7">
        <v>5.28E-3</v>
      </c>
      <c r="G5265" s="7">
        <v>5.8500000000000003E-2</v>
      </c>
    </row>
    <row r="5266" spans="2:7" x14ac:dyDescent="0.2">
      <c r="B5266" s="60">
        <v>43229</v>
      </c>
      <c r="C5266" s="7">
        <v>5.6000000000000008E-3</v>
      </c>
      <c r="D5266" s="7">
        <v>5.6699999999999997E-3</v>
      </c>
      <c r="E5266" s="7">
        <v>5.8599999999999998E-3</v>
      </c>
      <c r="F5266" s="7">
        <v>5.5800000000000008E-3</v>
      </c>
      <c r="G5266" s="7">
        <v>-1.8E-3</v>
      </c>
    </row>
    <row r="5267" spans="2:7" x14ac:dyDescent="0.2">
      <c r="B5267" s="60">
        <v>43230</v>
      </c>
      <c r="C5267" s="7">
        <v>5.5800000000000008E-3</v>
      </c>
      <c r="D5267" s="7">
        <v>5.5700000000000003E-3</v>
      </c>
      <c r="E5267" s="7">
        <v>5.6499999999999996E-3</v>
      </c>
      <c r="F5267" s="7">
        <v>5.3300000000000005E-3</v>
      </c>
      <c r="G5267" s="7">
        <v>-3.5999999999999999E-3</v>
      </c>
    </row>
    <row r="5268" spans="2:7" x14ac:dyDescent="0.2">
      <c r="B5268" s="60">
        <v>43231</v>
      </c>
      <c r="C5268" s="7">
        <v>5.5900000000000004E-3</v>
      </c>
      <c r="D5268" s="7">
        <v>5.5600000000000007E-3</v>
      </c>
      <c r="E5268" s="7">
        <v>5.6899999999999997E-3</v>
      </c>
      <c r="F5268" s="7">
        <v>5.4100000000000007E-3</v>
      </c>
      <c r="G5268" s="7">
        <v>1.8E-3</v>
      </c>
    </row>
    <row r="5269" spans="2:7" x14ac:dyDescent="0.2">
      <c r="B5269" s="60">
        <v>43234</v>
      </c>
      <c r="C5269" s="7">
        <v>6.1199999999999996E-3</v>
      </c>
      <c r="D5269" s="7">
        <v>5.5700000000000003E-3</v>
      </c>
      <c r="E5269" s="7">
        <v>6.1900000000000002E-3</v>
      </c>
      <c r="F5269" s="7">
        <v>5.5100000000000001E-3</v>
      </c>
      <c r="G5269" s="7">
        <v>9.4799999999999995E-2</v>
      </c>
    </row>
    <row r="5270" spans="2:7" x14ac:dyDescent="0.2">
      <c r="B5270" s="60">
        <v>43235</v>
      </c>
      <c r="C5270" s="7">
        <v>6.4700000000000001E-3</v>
      </c>
      <c r="D5270" s="7">
        <v>6.1700000000000001E-3</v>
      </c>
      <c r="E5270" s="7">
        <v>6.5000000000000006E-3</v>
      </c>
      <c r="F5270" s="7">
        <v>6.13E-3</v>
      </c>
      <c r="G5270" s="7">
        <v>5.7200000000000001E-2</v>
      </c>
    </row>
    <row r="5271" spans="2:7" x14ac:dyDescent="0.2">
      <c r="B5271" s="60">
        <v>43236</v>
      </c>
      <c r="C5271" s="7">
        <v>6.0599999999999994E-3</v>
      </c>
      <c r="D5271" s="7">
        <v>6.3499999999999997E-3</v>
      </c>
      <c r="E5271" s="7">
        <v>6.3899999999999998E-3</v>
      </c>
      <c r="F5271" s="7">
        <v>5.8899999999999994E-3</v>
      </c>
      <c r="G5271" s="7">
        <v>-6.3399999999999998E-2</v>
      </c>
    </row>
    <row r="5272" spans="2:7" x14ac:dyDescent="0.2">
      <c r="B5272" s="60">
        <v>43237</v>
      </c>
      <c r="C5272" s="7">
        <v>6.3699999999999998E-3</v>
      </c>
      <c r="D5272" s="7">
        <v>6.3600000000000002E-3</v>
      </c>
      <c r="E5272" s="7">
        <v>6.4700000000000001E-3</v>
      </c>
      <c r="F5272" s="7">
        <v>5.9800000000000001E-3</v>
      </c>
      <c r="G5272" s="7">
        <v>5.1200000000000002E-2</v>
      </c>
    </row>
    <row r="5273" spans="2:7" x14ac:dyDescent="0.2">
      <c r="B5273" s="60">
        <v>43238</v>
      </c>
      <c r="C5273" s="7">
        <v>5.7599999999999995E-3</v>
      </c>
      <c r="D5273" s="7">
        <v>6.3699999999999998E-3</v>
      </c>
      <c r="E5273" s="7">
        <v>6.3899999999999998E-3</v>
      </c>
      <c r="F5273" s="7">
        <v>5.7299999999999999E-3</v>
      </c>
      <c r="G5273" s="7">
        <v>-9.5799999999999996E-2</v>
      </c>
    </row>
    <row r="5274" spans="2:7" x14ac:dyDescent="0.2">
      <c r="B5274" s="60">
        <v>43240</v>
      </c>
      <c r="C5274" s="7">
        <v>5.6999999999999993E-3</v>
      </c>
      <c r="D5274" s="7">
        <v>5.6999999999999993E-3</v>
      </c>
      <c r="E5274" s="7">
        <v>5.6999999999999993E-3</v>
      </c>
      <c r="F5274" s="7">
        <v>5.6999999999999993E-3</v>
      </c>
      <c r="G5274" s="7">
        <v>-1.04E-2</v>
      </c>
    </row>
    <row r="5275" spans="2:7" x14ac:dyDescent="0.2">
      <c r="B5275" s="60">
        <v>43241</v>
      </c>
      <c r="C5275" s="7">
        <v>5.2100000000000002E-3</v>
      </c>
      <c r="D5275" s="7">
        <v>5.8099999999999992E-3</v>
      </c>
      <c r="E5275" s="7">
        <v>5.8099999999999992E-3</v>
      </c>
      <c r="F5275" s="7">
        <v>5.1800000000000006E-3</v>
      </c>
      <c r="G5275" s="7">
        <v>-8.5999999999999993E-2</v>
      </c>
    </row>
    <row r="5276" spans="2:7" x14ac:dyDescent="0.2">
      <c r="B5276" s="60">
        <v>43242</v>
      </c>
      <c r="C5276" s="7">
        <v>5.6000000000000008E-3</v>
      </c>
      <c r="D5276" s="7">
        <v>5.2300000000000003E-3</v>
      </c>
      <c r="E5276" s="7">
        <v>5.7299999999999999E-3</v>
      </c>
      <c r="F5276" s="7">
        <v>5.2300000000000003E-3</v>
      </c>
      <c r="G5276" s="7">
        <v>7.4899999999999994E-2</v>
      </c>
    </row>
    <row r="5277" spans="2:7" x14ac:dyDescent="0.2">
      <c r="B5277" s="60">
        <v>43243</v>
      </c>
      <c r="C5277" s="7">
        <v>5.0600000000000003E-3</v>
      </c>
      <c r="D5277" s="7">
        <v>5.47E-3</v>
      </c>
      <c r="E5277" s="7">
        <v>5.5100000000000001E-3</v>
      </c>
      <c r="F5277" s="7">
        <v>4.96E-3</v>
      </c>
      <c r="G5277" s="7">
        <v>-9.64E-2</v>
      </c>
    </row>
    <row r="5278" spans="2:7" x14ac:dyDescent="0.2">
      <c r="B5278" s="60">
        <v>43244</v>
      </c>
      <c r="C5278" s="7">
        <v>4.6999999999999993E-3</v>
      </c>
      <c r="D5278" s="7">
        <v>5.1000000000000004E-3</v>
      </c>
      <c r="E5278" s="7">
        <v>5.3300000000000005E-3</v>
      </c>
      <c r="F5278" s="7">
        <v>4.6100000000000004E-3</v>
      </c>
      <c r="G5278" s="7">
        <v>-7.1099999999999997E-2</v>
      </c>
    </row>
    <row r="5279" spans="2:7" x14ac:dyDescent="0.2">
      <c r="B5279" s="60">
        <v>43245</v>
      </c>
      <c r="C5279" s="7">
        <v>4.0600000000000002E-3</v>
      </c>
      <c r="D5279" s="7">
        <v>4.7399999999999994E-3</v>
      </c>
      <c r="E5279" s="7">
        <v>4.79E-3</v>
      </c>
      <c r="F5279" s="7">
        <v>3.8600000000000001E-3</v>
      </c>
      <c r="G5279" s="7">
        <v>-0.13619999999999999</v>
      </c>
    </row>
    <row r="5280" spans="2:7" x14ac:dyDescent="0.2">
      <c r="B5280" s="60">
        <v>43248</v>
      </c>
      <c r="C5280" s="7">
        <v>3.4499999999999999E-3</v>
      </c>
      <c r="D5280" s="7">
        <v>4.4000000000000003E-3</v>
      </c>
      <c r="E5280" s="7">
        <v>4.6100000000000004E-3</v>
      </c>
      <c r="F5280" s="7">
        <v>3.3900000000000002E-3</v>
      </c>
      <c r="G5280" s="7">
        <v>-0.1502</v>
      </c>
    </row>
    <row r="5281" spans="2:7" x14ac:dyDescent="0.2">
      <c r="B5281" s="60">
        <v>43249</v>
      </c>
      <c r="C5281" s="7">
        <v>2.5700000000000002E-3</v>
      </c>
      <c r="D5281" s="7">
        <v>3.4300000000000003E-3</v>
      </c>
      <c r="E5281" s="7">
        <v>3.4300000000000003E-3</v>
      </c>
      <c r="F5281" s="7">
        <v>1.92E-3</v>
      </c>
      <c r="G5281" s="7">
        <v>-0.25509999999999999</v>
      </c>
    </row>
    <row r="5282" spans="2:7" x14ac:dyDescent="0.2">
      <c r="B5282" s="60">
        <v>43250</v>
      </c>
      <c r="C5282" s="7">
        <v>3.7000000000000002E-3</v>
      </c>
      <c r="D5282" s="7">
        <v>2.8999999999999998E-3</v>
      </c>
      <c r="E5282" s="7">
        <v>3.7299999999999998E-3</v>
      </c>
      <c r="F5282" s="7">
        <v>2.8199999999999996E-3</v>
      </c>
      <c r="G5282" s="7">
        <v>0.43969999999999998</v>
      </c>
    </row>
    <row r="5283" spans="2:7" x14ac:dyDescent="0.2">
      <c r="B5283" s="60">
        <v>43251</v>
      </c>
      <c r="C5283" s="7">
        <v>3.4000000000000002E-3</v>
      </c>
      <c r="D5283" s="7">
        <v>3.5699999999999998E-3</v>
      </c>
      <c r="E5283" s="7">
        <v>4.1199999999999995E-3</v>
      </c>
      <c r="F5283" s="7">
        <v>3.2200000000000002E-3</v>
      </c>
      <c r="G5283" s="7">
        <v>-8.1100000000000005E-2</v>
      </c>
    </row>
    <row r="5284" spans="2:7" x14ac:dyDescent="0.2">
      <c r="B5284" s="60">
        <v>43252</v>
      </c>
      <c r="C5284" s="7">
        <v>3.8500000000000001E-3</v>
      </c>
      <c r="D5284" s="7">
        <v>3.6600000000000001E-3</v>
      </c>
      <c r="E5284" s="7">
        <v>4.0999999999999995E-3</v>
      </c>
      <c r="F5284" s="7">
        <v>3.5299999999999997E-3</v>
      </c>
      <c r="G5284" s="7">
        <v>0.13239999999999999</v>
      </c>
    </row>
    <row r="5285" spans="2:7" x14ac:dyDescent="0.2">
      <c r="B5285" s="60">
        <v>43255</v>
      </c>
      <c r="C5285" s="7">
        <v>4.1999999999999997E-3</v>
      </c>
      <c r="D5285" s="7">
        <v>3.9100000000000003E-3</v>
      </c>
      <c r="E5285" s="7">
        <v>4.2399999999999998E-3</v>
      </c>
      <c r="F5285" s="7">
        <v>3.82E-3</v>
      </c>
      <c r="G5285" s="7">
        <v>9.0899999999999995E-2</v>
      </c>
    </row>
    <row r="5286" spans="2:7" x14ac:dyDescent="0.2">
      <c r="B5286" s="60">
        <v>43256</v>
      </c>
      <c r="C5286" s="7">
        <v>3.8700000000000002E-3</v>
      </c>
      <c r="D5286" s="7">
        <v>4.1799999999999997E-3</v>
      </c>
      <c r="E5286" s="7">
        <v>4.1799999999999997E-3</v>
      </c>
      <c r="F5286" s="7">
        <v>3.6099999999999999E-3</v>
      </c>
      <c r="G5286" s="7">
        <v>-7.8600000000000003E-2</v>
      </c>
    </row>
    <row r="5287" spans="2:7" x14ac:dyDescent="0.2">
      <c r="B5287" s="60">
        <v>43257</v>
      </c>
      <c r="C5287" s="7">
        <v>4.64E-3</v>
      </c>
      <c r="D5287" s="7">
        <v>4.0100000000000005E-3</v>
      </c>
      <c r="E5287" s="7">
        <v>4.6800000000000001E-3</v>
      </c>
      <c r="F5287" s="7">
        <v>3.8600000000000001E-3</v>
      </c>
      <c r="G5287" s="7">
        <v>0.19900000000000001</v>
      </c>
    </row>
    <row r="5288" spans="2:7" x14ac:dyDescent="0.2">
      <c r="B5288" s="60">
        <v>43258</v>
      </c>
      <c r="C5288" s="7">
        <v>4.7799999999999995E-3</v>
      </c>
      <c r="D5288" s="7">
        <v>4.8300000000000001E-3</v>
      </c>
      <c r="E5288" s="7">
        <v>5.1700000000000001E-3</v>
      </c>
      <c r="F5288" s="7">
        <v>4.7799999999999995E-3</v>
      </c>
      <c r="G5288" s="7">
        <v>3.0200000000000001E-2</v>
      </c>
    </row>
    <row r="5289" spans="2:7" x14ac:dyDescent="0.2">
      <c r="B5289" s="60">
        <v>43259</v>
      </c>
      <c r="C5289" s="7">
        <v>4.4600000000000004E-3</v>
      </c>
      <c r="D5289" s="7">
        <v>4.5100000000000001E-3</v>
      </c>
      <c r="E5289" s="7">
        <v>4.62E-3</v>
      </c>
      <c r="F5289" s="7">
        <v>3.9700000000000004E-3</v>
      </c>
      <c r="G5289" s="7">
        <v>-6.6900000000000001E-2</v>
      </c>
    </row>
    <row r="5290" spans="2:7" x14ac:dyDescent="0.2">
      <c r="B5290" s="60">
        <v>43262</v>
      </c>
      <c r="C5290" s="7">
        <v>4.9399999999999999E-3</v>
      </c>
      <c r="D5290" s="7">
        <v>4.7499999999999999E-3</v>
      </c>
      <c r="E5290" s="7">
        <v>5.0800000000000003E-3</v>
      </c>
      <c r="F5290" s="7">
        <v>4.6100000000000004E-3</v>
      </c>
      <c r="G5290" s="7">
        <v>0.1076</v>
      </c>
    </row>
    <row r="5291" spans="2:7" x14ac:dyDescent="0.2">
      <c r="B5291" s="60">
        <v>43263</v>
      </c>
      <c r="C5291" s="7">
        <v>4.8999999999999998E-3</v>
      </c>
      <c r="D5291" s="7">
        <v>4.9499999999999995E-3</v>
      </c>
      <c r="E5291" s="7">
        <v>5.1900000000000002E-3</v>
      </c>
      <c r="F5291" s="7">
        <v>4.8599999999999997E-3</v>
      </c>
      <c r="G5291" s="7">
        <v>-8.0999999999999996E-3</v>
      </c>
    </row>
    <row r="5292" spans="2:7" x14ac:dyDescent="0.2">
      <c r="B5292" s="60">
        <v>43264</v>
      </c>
      <c r="C5292" s="7">
        <v>4.8399999999999997E-3</v>
      </c>
      <c r="D5292" s="7">
        <v>4.9300000000000004E-3</v>
      </c>
      <c r="E5292" s="7">
        <v>4.9699999999999996E-3</v>
      </c>
      <c r="F5292" s="7">
        <v>4.62E-3</v>
      </c>
      <c r="G5292" s="7">
        <v>-1.2200000000000001E-2</v>
      </c>
    </row>
    <row r="5293" spans="2:7" x14ac:dyDescent="0.2">
      <c r="B5293" s="60">
        <v>43265</v>
      </c>
      <c r="C5293" s="7">
        <v>4.3099999999999996E-3</v>
      </c>
      <c r="D5293" s="7">
        <v>4.81E-3</v>
      </c>
      <c r="E5293" s="7">
        <v>5.13E-3</v>
      </c>
      <c r="F5293" s="7">
        <v>4.2300000000000003E-3</v>
      </c>
      <c r="G5293" s="7">
        <v>-0.1095</v>
      </c>
    </row>
    <row r="5294" spans="2:7" x14ac:dyDescent="0.2">
      <c r="B5294" s="60">
        <v>43266</v>
      </c>
      <c r="C5294" s="7">
        <v>4.0300000000000006E-3</v>
      </c>
      <c r="D5294" s="7">
        <v>4.2500000000000003E-3</v>
      </c>
      <c r="E5294" s="7">
        <v>4.28E-3</v>
      </c>
      <c r="F5294" s="7">
        <v>3.7599999999999999E-3</v>
      </c>
      <c r="G5294" s="7">
        <v>-6.5000000000000002E-2</v>
      </c>
    </row>
    <row r="5295" spans="2:7" x14ac:dyDescent="0.2">
      <c r="B5295" s="60">
        <v>43267</v>
      </c>
      <c r="C5295" s="7">
        <v>4.0200000000000001E-3</v>
      </c>
      <c r="D5295" s="7">
        <v>4.0200000000000001E-3</v>
      </c>
      <c r="E5295" s="7">
        <v>4.0200000000000001E-3</v>
      </c>
      <c r="F5295" s="7">
        <v>4.0200000000000001E-3</v>
      </c>
      <c r="G5295" s="7">
        <v>-2.5000000000000001E-3</v>
      </c>
    </row>
    <row r="5296" spans="2:7" x14ac:dyDescent="0.2">
      <c r="B5296" s="60">
        <v>43269</v>
      </c>
      <c r="C5296" s="7">
        <v>4.0000000000000001E-3</v>
      </c>
      <c r="D5296" s="7">
        <v>3.96E-3</v>
      </c>
      <c r="E5296" s="7">
        <v>4.0899999999999999E-3</v>
      </c>
      <c r="F5296" s="7">
        <v>3.81E-3</v>
      </c>
      <c r="G5296" s="7">
        <v>-5.0000000000000001E-3</v>
      </c>
    </row>
    <row r="5297" spans="2:7" x14ac:dyDescent="0.2">
      <c r="B5297" s="60">
        <v>43270</v>
      </c>
      <c r="C5297" s="7">
        <v>3.7299999999999998E-3</v>
      </c>
      <c r="D5297" s="7">
        <v>3.8900000000000002E-3</v>
      </c>
      <c r="E5297" s="7">
        <v>3.8900000000000002E-3</v>
      </c>
      <c r="F5297" s="7">
        <v>3.4999999999999996E-3</v>
      </c>
      <c r="G5297" s="7">
        <v>-6.7500000000000004E-2</v>
      </c>
    </row>
    <row r="5298" spans="2:7" x14ac:dyDescent="0.2">
      <c r="B5298" s="60">
        <v>43271</v>
      </c>
      <c r="C5298" s="7">
        <v>3.7699999999999999E-3</v>
      </c>
      <c r="D5298" s="7">
        <v>3.8400000000000001E-3</v>
      </c>
      <c r="E5298" s="7">
        <v>3.8800000000000002E-3</v>
      </c>
      <c r="F5298" s="7">
        <v>3.62E-3</v>
      </c>
      <c r="G5298" s="7">
        <v>1.0699999999999999E-2</v>
      </c>
    </row>
    <row r="5299" spans="2:7" x14ac:dyDescent="0.2">
      <c r="B5299" s="60">
        <v>43272</v>
      </c>
      <c r="C5299" s="7">
        <v>3.3400000000000001E-3</v>
      </c>
      <c r="D5299" s="7">
        <v>3.8800000000000002E-3</v>
      </c>
      <c r="E5299" s="7">
        <v>3.8800000000000002E-3</v>
      </c>
      <c r="F5299" s="7">
        <v>3.1700000000000001E-3</v>
      </c>
      <c r="G5299" s="7">
        <v>-0.11409999999999999</v>
      </c>
    </row>
    <row r="5300" spans="2:7" x14ac:dyDescent="0.2">
      <c r="B5300" s="60">
        <v>43273</v>
      </c>
      <c r="C5300" s="7">
        <v>3.3600000000000001E-3</v>
      </c>
      <c r="D5300" s="7">
        <v>3.31E-3</v>
      </c>
      <c r="E5300" s="7">
        <v>3.5599999999999998E-3</v>
      </c>
      <c r="F5300" s="7">
        <v>3.2600000000000003E-3</v>
      </c>
      <c r="G5300" s="7">
        <v>6.0000000000000001E-3</v>
      </c>
    </row>
    <row r="5301" spans="2:7" x14ac:dyDescent="0.2">
      <c r="B5301" s="60">
        <v>43274</v>
      </c>
      <c r="C5301" s="7">
        <v>3.3600000000000001E-3</v>
      </c>
      <c r="D5301" s="7">
        <v>3.3600000000000001E-3</v>
      </c>
      <c r="E5301" s="7">
        <v>3.3600000000000001E-3</v>
      </c>
      <c r="F5301" s="7">
        <v>3.3600000000000001E-3</v>
      </c>
      <c r="G5301" s="7">
        <v>0</v>
      </c>
    </row>
    <row r="5302" spans="2:7" x14ac:dyDescent="0.2">
      <c r="B5302" s="60">
        <v>43276</v>
      </c>
      <c r="C5302" s="7">
        <v>3.2700000000000003E-3</v>
      </c>
      <c r="D5302" s="7">
        <v>3.1900000000000001E-3</v>
      </c>
      <c r="E5302" s="7">
        <v>3.4300000000000003E-3</v>
      </c>
      <c r="F5302" s="7">
        <v>3.0399999999999997E-3</v>
      </c>
      <c r="G5302" s="7">
        <v>-2.6800000000000001E-2</v>
      </c>
    </row>
    <row r="5303" spans="2:7" x14ac:dyDescent="0.2">
      <c r="B5303" s="60">
        <v>43277</v>
      </c>
      <c r="C5303" s="7">
        <v>3.4200000000000003E-3</v>
      </c>
      <c r="D5303" s="7">
        <v>3.3400000000000001E-3</v>
      </c>
      <c r="E5303" s="7">
        <v>3.5899999999999999E-3</v>
      </c>
      <c r="F5303" s="7">
        <v>3.1700000000000001E-3</v>
      </c>
      <c r="G5303" s="7">
        <v>4.5900000000000003E-2</v>
      </c>
    </row>
    <row r="5304" spans="2:7" x14ac:dyDescent="0.2">
      <c r="B5304" s="60">
        <v>43278</v>
      </c>
      <c r="C5304" s="7">
        <v>3.2400000000000003E-3</v>
      </c>
      <c r="D5304" s="7">
        <v>3.3600000000000001E-3</v>
      </c>
      <c r="E5304" s="7">
        <v>3.4100000000000003E-3</v>
      </c>
      <c r="F5304" s="7">
        <v>3.0499999999999998E-3</v>
      </c>
      <c r="G5304" s="7">
        <v>-5.2600000000000001E-2</v>
      </c>
    </row>
    <row r="5305" spans="2:7" x14ac:dyDescent="0.2">
      <c r="B5305" s="60">
        <v>43279</v>
      </c>
      <c r="C5305" s="7">
        <v>3.1900000000000001E-3</v>
      </c>
      <c r="D5305" s="7">
        <v>3.16E-3</v>
      </c>
      <c r="E5305" s="7">
        <v>3.32E-3</v>
      </c>
      <c r="F5305" s="7">
        <v>2.99E-3</v>
      </c>
      <c r="G5305" s="7">
        <v>-1.54E-2</v>
      </c>
    </row>
    <row r="5306" spans="2:7" x14ac:dyDescent="0.2">
      <c r="B5306" s="60">
        <v>43280</v>
      </c>
      <c r="C5306" s="7">
        <v>3.0299999999999997E-3</v>
      </c>
      <c r="D5306" s="7">
        <v>3.3900000000000002E-3</v>
      </c>
      <c r="E5306" s="7">
        <v>3.5399999999999997E-3</v>
      </c>
      <c r="F5306" s="7">
        <v>3.0000000000000001E-3</v>
      </c>
      <c r="G5306" s="7">
        <v>-5.0200000000000002E-2</v>
      </c>
    </row>
    <row r="5307" spans="2:7" x14ac:dyDescent="0.2">
      <c r="B5307" s="60">
        <v>43283</v>
      </c>
      <c r="C5307" s="7">
        <v>3.0499999999999998E-3</v>
      </c>
      <c r="D5307" s="7">
        <v>3.0200000000000001E-3</v>
      </c>
      <c r="E5307" s="7">
        <v>3.15E-3</v>
      </c>
      <c r="F5307" s="7">
        <v>2.8399999999999996E-3</v>
      </c>
      <c r="G5307" s="7">
        <v>6.6E-3</v>
      </c>
    </row>
    <row r="5308" spans="2:7" x14ac:dyDescent="0.2">
      <c r="B5308" s="60">
        <v>43284</v>
      </c>
      <c r="C5308" s="7">
        <v>2.9299999999999999E-3</v>
      </c>
      <c r="D5308" s="7">
        <v>3.16E-3</v>
      </c>
      <c r="E5308" s="7">
        <v>3.31E-3</v>
      </c>
      <c r="F5308" s="7">
        <v>2.8899999999999998E-3</v>
      </c>
      <c r="G5308" s="7">
        <v>-3.9300000000000002E-2</v>
      </c>
    </row>
    <row r="5309" spans="2:7" x14ac:dyDescent="0.2">
      <c r="B5309" s="60">
        <v>43285</v>
      </c>
      <c r="C5309" s="7">
        <v>3.0599999999999998E-3</v>
      </c>
      <c r="D5309" s="7">
        <v>3.0000000000000001E-3</v>
      </c>
      <c r="E5309" s="7">
        <v>3.13E-3</v>
      </c>
      <c r="F5309" s="7">
        <v>2.8599999999999997E-3</v>
      </c>
      <c r="G5309" s="7">
        <v>4.4400000000000002E-2</v>
      </c>
    </row>
    <row r="5310" spans="2:7" x14ac:dyDescent="0.2">
      <c r="B5310" s="60">
        <v>43286</v>
      </c>
      <c r="C5310" s="7">
        <v>2.97E-3</v>
      </c>
      <c r="D5310" s="7">
        <v>3.2100000000000002E-3</v>
      </c>
      <c r="E5310" s="7">
        <v>3.4300000000000003E-3</v>
      </c>
      <c r="F5310" s="7">
        <v>2.9199999999999999E-3</v>
      </c>
      <c r="G5310" s="7">
        <v>-2.9399999999999999E-2</v>
      </c>
    </row>
    <row r="5311" spans="2:7" x14ac:dyDescent="0.2">
      <c r="B5311" s="60">
        <v>43287</v>
      </c>
      <c r="C5311" s="7">
        <v>2.96E-3</v>
      </c>
      <c r="D5311" s="7">
        <v>3.1099999999999999E-3</v>
      </c>
      <c r="E5311" s="7">
        <v>3.15E-3</v>
      </c>
      <c r="F5311" s="7">
        <v>2.8100000000000004E-3</v>
      </c>
      <c r="G5311" s="7">
        <v>-3.3999999999999998E-3</v>
      </c>
    </row>
    <row r="5312" spans="2:7" x14ac:dyDescent="0.2">
      <c r="B5312" s="60">
        <v>43290</v>
      </c>
      <c r="C5312" s="7">
        <v>3.0200000000000001E-3</v>
      </c>
      <c r="D5312" s="7">
        <v>2.97E-3</v>
      </c>
      <c r="E5312" s="7">
        <v>3.2400000000000003E-3</v>
      </c>
      <c r="F5312" s="7">
        <v>2.9499999999999999E-3</v>
      </c>
      <c r="G5312" s="7">
        <v>2.0299999999999999E-2</v>
      </c>
    </row>
    <row r="5313" spans="2:7" x14ac:dyDescent="0.2">
      <c r="B5313" s="60">
        <v>43291</v>
      </c>
      <c r="C5313" s="7">
        <v>3.1900000000000001E-3</v>
      </c>
      <c r="D5313" s="7">
        <v>3.1199999999999999E-3</v>
      </c>
      <c r="E5313" s="7">
        <v>3.3E-3</v>
      </c>
      <c r="F5313" s="7">
        <v>3.0599999999999998E-3</v>
      </c>
      <c r="G5313" s="7">
        <v>5.6300000000000003E-2</v>
      </c>
    </row>
    <row r="5314" spans="2:7" x14ac:dyDescent="0.2">
      <c r="B5314" s="60">
        <v>43292</v>
      </c>
      <c r="C5314" s="7">
        <v>3.1099999999999999E-3</v>
      </c>
      <c r="D5314" s="7">
        <v>3.0299999999999997E-3</v>
      </c>
      <c r="E5314" s="7">
        <v>3.1900000000000001E-3</v>
      </c>
      <c r="F5314" s="7">
        <v>2.9199999999999999E-3</v>
      </c>
      <c r="G5314" s="7">
        <v>-2.5100000000000001E-2</v>
      </c>
    </row>
    <row r="5315" spans="2:7" x14ac:dyDescent="0.2">
      <c r="B5315" s="60">
        <v>43293</v>
      </c>
      <c r="C5315" s="7">
        <v>2.96E-3</v>
      </c>
      <c r="D5315" s="7">
        <v>3.15E-3</v>
      </c>
      <c r="E5315" s="7">
        <v>3.1700000000000001E-3</v>
      </c>
      <c r="F5315" s="7">
        <v>2.8899999999999998E-3</v>
      </c>
      <c r="G5315" s="7">
        <v>-4.82E-2</v>
      </c>
    </row>
    <row r="5316" spans="2:7" x14ac:dyDescent="0.2">
      <c r="B5316" s="60">
        <v>43294</v>
      </c>
      <c r="C5316" s="7">
        <v>2.8399999999999996E-3</v>
      </c>
      <c r="D5316" s="7">
        <v>3.0100000000000001E-3</v>
      </c>
      <c r="E5316" s="7">
        <v>3.0200000000000001E-3</v>
      </c>
      <c r="F5316" s="7">
        <v>2.63E-3</v>
      </c>
      <c r="G5316" s="7">
        <v>-4.0500000000000001E-2</v>
      </c>
    </row>
    <row r="5317" spans="2:7" x14ac:dyDescent="0.2">
      <c r="B5317" s="60">
        <v>43297</v>
      </c>
      <c r="C5317" s="7">
        <v>3.0399999999999997E-3</v>
      </c>
      <c r="D5317" s="7">
        <v>2.8199999999999996E-3</v>
      </c>
      <c r="E5317" s="7">
        <v>3.16E-3</v>
      </c>
      <c r="F5317" s="7">
        <v>2.8000000000000004E-3</v>
      </c>
      <c r="G5317" s="7">
        <v>7.0400000000000004E-2</v>
      </c>
    </row>
    <row r="5318" spans="2:7" x14ac:dyDescent="0.2">
      <c r="B5318" s="60">
        <v>43298</v>
      </c>
      <c r="C5318" s="7">
        <v>3.4599999999999995E-3</v>
      </c>
      <c r="D5318" s="7">
        <v>3.64E-3</v>
      </c>
      <c r="E5318" s="7">
        <v>3.7000000000000002E-3</v>
      </c>
      <c r="F5318" s="7">
        <v>3.4399999999999999E-3</v>
      </c>
      <c r="G5318" s="7">
        <v>0.13819999999999999</v>
      </c>
    </row>
    <row r="5319" spans="2:7" x14ac:dyDescent="0.2">
      <c r="B5319" s="60">
        <v>43299</v>
      </c>
      <c r="C5319" s="7">
        <v>3.4300000000000003E-3</v>
      </c>
      <c r="D5319" s="7">
        <v>3.5399999999999997E-3</v>
      </c>
      <c r="E5319" s="7">
        <v>3.5499999999999998E-3</v>
      </c>
      <c r="F5319" s="7">
        <v>3.2400000000000003E-3</v>
      </c>
      <c r="G5319" s="7">
        <v>-8.6999999999999994E-3</v>
      </c>
    </row>
    <row r="5320" spans="2:7" x14ac:dyDescent="0.2">
      <c r="B5320" s="60">
        <v>43300</v>
      </c>
      <c r="C5320" s="7">
        <v>3.32E-3</v>
      </c>
      <c r="D5320" s="7">
        <v>3.5499999999999998E-3</v>
      </c>
      <c r="E5320" s="7">
        <v>3.6099999999999999E-3</v>
      </c>
      <c r="F5320" s="7">
        <v>3.29E-3</v>
      </c>
      <c r="G5320" s="7">
        <v>-3.2099999999999997E-2</v>
      </c>
    </row>
    <row r="5321" spans="2:7" x14ac:dyDescent="0.2">
      <c r="B5321" s="60">
        <v>43301</v>
      </c>
      <c r="C5321" s="7">
        <v>3.7299999999999998E-3</v>
      </c>
      <c r="D5321" s="7">
        <v>3.32E-3</v>
      </c>
      <c r="E5321" s="7">
        <v>3.7699999999999999E-3</v>
      </c>
      <c r="F5321" s="7">
        <v>3.13E-3</v>
      </c>
      <c r="G5321" s="7">
        <v>0.1235</v>
      </c>
    </row>
    <row r="5322" spans="2:7" x14ac:dyDescent="0.2">
      <c r="B5322" s="60">
        <v>43304</v>
      </c>
      <c r="C5322" s="7">
        <v>4.0799999999999994E-3</v>
      </c>
      <c r="D5322" s="7">
        <v>3.81E-3</v>
      </c>
      <c r="E5322" s="7">
        <v>4.0999999999999995E-3</v>
      </c>
      <c r="F5322" s="7">
        <v>3.7099999999999998E-3</v>
      </c>
      <c r="G5322" s="7">
        <v>9.3799999999999994E-2</v>
      </c>
    </row>
    <row r="5323" spans="2:7" x14ac:dyDescent="0.2">
      <c r="B5323" s="60">
        <v>43305</v>
      </c>
      <c r="C5323" s="7">
        <v>3.98E-3</v>
      </c>
      <c r="D5323" s="7">
        <v>4.0500000000000006E-3</v>
      </c>
      <c r="E5323" s="7">
        <v>4.2399999999999998E-3</v>
      </c>
      <c r="F5323" s="7">
        <v>3.8900000000000002E-3</v>
      </c>
      <c r="G5323" s="7">
        <v>-2.4500000000000001E-2</v>
      </c>
    </row>
    <row r="5324" spans="2:7" x14ac:dyDescent="0.2">
      <c r="B5324" s="60">
        <v>43306</v>
      </c>
      <c r="C5324" s="7">
        <v>3.96E-3</v>
      </c>
      <c r="D5324" s="7">
        <v>3.8800000000000002E-3</v>
      </c>
      <c r="E5324" s="7">
        <v>3.98E-3</v>
      </c>
      <c r="F5324" s="7">
        <v>3.8E-3</v>
      </c>
      <c r="G5324" s="7">
        <v>-5.0000000000000001E-3</v>
      </c>
    </row>
    <row r="5325" spans="2:7" x14ac:dyDescent="0.2">
      <c r="B5325" s="60">
        <v>43307</v>
      </c>
      <c r="C5325" s="7">
        <v>4.0699999999999998E-3</v>
      </c>
      <c r="D5325" s="7">
        <v>4.1999999999999997E-3</v>
      </c>
      <c r="E5325" s="7">
        <v>4.2399999999999998E-3</v>
      </c>
      <c r="F5325" s="7">
        <v>3.8900000000000002E-3</v>
      </c>
      <c r="G5325" s="7">
        <v>2.7799999999999998E-2</v>
      </c>
    </row>
    <row r="5326" spans="2:7" x14ac:dyDescent="0.2">
      <c r="B5326" s="60">
        <v>43308</v>
      </c>
      <c r="C5326" s="7">
        <v>4.0500000000000006E-3</v>
      </c>
      <c r="D5326" s="7">
        <v>4.13E-3</v>
      </c>
      <c r="E5326" s="7">
        <v>4.1799999999999997E-3</v>
      </c>
      <c r="F5326" s="7">
        <v>3.9700000000000004E-3</v>
      </c>
      <c r="G5326" s="7">
        <v>-4.8999999999999998E-3</v>
      </c>
    </row>
    <row r="5327" spans="2:7" x14ac:dyDescent="0.2">
      <c r="B5327" s="60">
        <v>43309</v>
      </c>
      <c r="C5327" s="7">
        <v>4.0000000000000001E-3</v>
      </c>
      <c r="D5327" s="7">
        <v>4.0000000000000001E-3</v>
      </c>
      <c r="E5327" s="7">
        <v>4.0000000000000001E-3</v>
      </c>
      <c r="F5327" s="7">
        <v>4.0000000000000001E-3</v>
      </c>
      <c r="G5327" s="7">
        <v>-1.23E-2</v>
      </c>
    </row>
    <row r="5328" spans="2:7" x14ac:dyDescent="0.2">
      <c r="B5328" s="60">
        <v>43311</v>
      </c>
      <c r="C5328" s="7">
        <v>4.47E-3</v>
      </c>
      <c r="D5328" s="7">
        <v>4.0600000000000002E-3</v>
      </c>
      <c r="E5328" s="7">
        <v>4.6100000000000004E-3</v>
      </c>
      <c r="F5328" s="7">
        <v>3.9300000000000003E-3</v>
      </c>
      <c r="G5328" s="7">
        <v>0.11749999999999999</v>
      </c>
    </row>
    <row r="5329" spans="2:7" x14ac:dyDescent="0.2">
      <c r="B5329" s="60">
        <v>43312</v>
      </c>
      <c r="C5329" s="7">
        <v>4.45E-3</v>
      </c>
      <c r="D5329" s="7">
        <v>4.1700000000000001E-3</v>
      </c>
      <c r="E5329" s="7">
        <v>4.5599999999999998E-3</v>
      </c>
      <c r="F5329" s="7">
        <v>4.0899999999999999E-3</v>
      </c>
      <c r="G5329" s="7">
        <v>-4.4999999999999997E-3</v>
      </c>
    </row>
    <row r="5330" spans="2:7" x14ac:dyDescent="0.2">
      <c r="B5330" s="60">
        <v>43313</v>
      </c>
      <c r="C5330" s="7">
        <v>4.7799999999999995E-3</v>
      </c>
      <c r="D5330" s="7">
        <v>4.5500000000000002E-3</v>
      </c>
      <c r="E5330" s="7">
        <v>4.9499999999999995E-3</v>
      </c>
      <c r="F5330" s="7">
        <v>4.5500000000000002E-3</v>
      </c>
      <c r="G5330" s="7">
        <v>7.4200000000000002E-2</v>
      </c>
    </row>
    <row r="5331" spans="2:7" x14ac:dyDescent="0.2">
      <c r="B5331" s="60">
        <v>43314</v>
      </c>
      <c r="C5331" s="7">
        <v>4.6100000000000004E-3</v>
      </c>
      <c r="D5331" s="7">
        <v>4.7499999999999999E-3</v>
      </c>
      <c r="E5331" s="7">
        <v>4.8199999999999996E-3</v>
      </c>
      <c r="F5331" s="7">
        <v>4.4600000000000004E-3</v>
      </c>
      <c r="G5331" s="7">
        <v>-3.56E-2</v>
      </c>
    </row>
    <row r="5332" spans="2:7" x14ac:dyDescent="0.2">
      <c r="B5332" s="60">
        <v>43315</v>
      </c>
      <c r="C5332" s="7">
        <v>4.0999999999999995E-3</v>
      </c>
      <c r="D5332" s="7">
        <v>4.5199999999999997E-3</v>
      </c>
      <c r="E5332" s="7">
        <v>4.5999999999999999E-3</v>
      </c>
      <c r="F5332" s="7">
        <v>4.0600000000000002E-3</v>
      </c>
      <c r="G5332" s="7">
        <v>-0.1106</v>
      </c>
    </row>
    <row r="5333" spans="2:7" x14ac:dyDescent="0.2">
      <c r="B5333" s="60">
        <v>43316</v>
      </c>
      <c r="C5333" s="7">
        <v>4.0799999999999994E-3</v>
      </c>
      <c r="D5333" s="7">
        <v>4.0799999999999994E-3</v>
      </c>
      <c r="E5333" s="7">
        <v>4.0799999999999994E-3</v>
      </c>
      <c r="F5333" s="7">
        <v>4.0799999999999994E-3</v>
      </c>
      <c r="G5333" s="7">
        <v>-4.8999999999999998E-3</v>
      </c>
    </row>
    <row r="5334" spans="2:7" x14ac:dyDescent="0.2">
      <c r="B5334" s="60">
        <v>43318</v>
      </c>
      <c r="C5334" s="7">
        <v>3.9199999999999999E-3</v>
      </c>
      <c r="D5334" s="7">
        <v>4.1399999999999996E-3</v>
      </c>
      <c r="E5334" s="7">
        <v>4.2699999999999995E-3</v>
      </c>
      <c r="F5334" s="7">
        <v>3.8600000000000001E-3</v>
      </c>
      <c r="G5334" s="7">
        <v>-3.9199999999999999E-2</v>
      </c>
    </row>
    <row r="5335" spans="2:7" x14ac:dyDescent="0.2">
      <c r="B5335" s="60">
        <v>43319</v>
      </c>
      <c r="C5335" s="7">
        <v>4.0999999999999995E-3</v>
      </c>
      <c r="D5335" s="7">
        <v>4.0000000000000001E-3</v>
      </c>
      <c r="E5335" s="7">
        <v>4.1700000000000001E-3</v>
      </c>
      <c r="F5335" s="7">
        <v>3.8700000000000002E-3</v>
      </c>
      <c r="G5335" s="7">
        <v>4.5900000000000003E-2</v>
      </c>
    </row>
    <row r="5336" spans="2:7" x14ac:dyDescent="0.2">
      <c r="B5336" s="60">
        <v>43320</v>
      </c>
      <c r="C5336" s="7">
        <v>3.9900000000000005E-3</v>
      </c>
      <c r="D5336" s="7">
        <v>4.0899999999999999E-3</v>
      </c>
      <c r="E5336" s="7">
        <v>4.1900000000000001E-3</v>
      </c>
      <c r="F5336" s="7">
        <v>3.96E-3</v>
      </c>
      <c r="G5336" s="7">
        <v>-2.6800000000000001E-2</v>
      </c>
    </row>
    <row r="5337" spans="2:7" x14ac:dyDescent="0.2">
      <c r="B5337" s="60">
        <v>43321</v>
      </c>
      <c r="C5337" s="7">
        <v>3.7699999999999999E-3</v>
      </c>
      <c r="D5337" s="7">
        <v>3.98E-3</v>
      </c>
      <c r="E5337" s="7">
        <v>4.0100000000000005E-3</v>
      </c>
      <c r="F5337" s="7">
        <v>3.7199999999999998E-3</v>
      </c>
      <c r="G5337" s="7">
        <v>-5.5100000000000003E-2</v>
      </c>
    </row>
    <row r="5338" spans="2:7" x14ac:dyDescent="0.2">
      <c r="B5338" s="60">
        <v>43322</v>
      </c>
      <c r="C5338" s="7">
        <v>3.2100000000000002E-3</v>
      </c>
      <c r="D5338" s="7">
        <v>3.5999999999999999E-3</v>
      </c>
      <c r="E5338" s="7">
        <v>3.5999999999999999E-3</v>
      </c>
      <c r="F5338" s="7">
        <v>3.16E-3</v>
      </c>
      <c r="G5338" s="7">
        <v>-0.14849999999999999</v>
      </c>
    </row>
    <row r="5339" spans="2:7" x14ac:dyDescent="0.2">
      <c r="B5339" s="60">
        <v>43325</v>
      </c>
      <c r="C5339" s="7">
        <v>3.13E-3</v>
      </c>
      <c r="D5339" s="7">
        <v>3.1800000000000001E-3</v>
      </c>
      <c r="E5339" s="7">
        <v>3.31E-3</v>
      </c>
      <c r="F5339" s="7">
        <v>3.0100000000000001E-3</v>
      </c>
      <c r="G5339" s="7">
        <v>-2.4899999999999999E-2</v>
      </c>
    </row>
    <row r="5340" spans="2:7" x14ac:dyDescent="0.2">
      <c r="B5340" s="60">
        <v>43326</v>
      </c>
      <c r="C5340" s="7">
        <v>3.2799999999999999E-3</v>
      </c>
      <c r="D5340" s="7">
        <v>3.2300000000000002E-3</v>
      </c>
      <c r="E5340" s="7">
        <v>3.3900000000000002E-3</v>
      </c>
      <c r="F5340" s="7">
        <v>3.16E-3</v>
      </c>
      <c r="G5340" s="7">
        <v>4.7899999999999998E-2</v>
      </c>
    </row>
    <row r="5341" spans="2:7" x14ac:dyDescent="0.2">
      <c r="B5341" s="60">
        <v>43327</v>
      </c>
      <c r="C5341" s="7">
        <v>3.0499999999999998E-3</v>
      </c>
      <c r="D5341" s="7">
        <v>3.2400000000000003E-3</v>
      </c>
      <c r="E5341" s="7">
        <v>3.3900000000000002E-3</v>
      </c>
      <c r="F5341" s="7">
        <v>2.8999999999999998E-3</v>
      </c>
      <c r="G5341" s="7">
        <v>-7.0099999999999996E-2</v>
      </c>
    </row>
    <row r="5342" spans="2:7" x14ac:dyDescent="0.2">
      <c r="B5342" s="60">
        <v>43328</v>
      </c>
      <c r="C5342" s="7">
        <v>3.2000000000000002E-3</v>
      </c>
      <c r="D5342" s="7">
        <v>3.13E-3</v>
      </c>
      <c r="E5342" s="7">
        <v>3.2200000000000002E-3</v>
      </c>
      <c r="F5342" s="7">
        <v>3.0100000000000001E-3</v>
      </c>
      <c r="G5342" s="7">
        <v>4.9200000000000001E-2</v>
      </c>
    </row>
    <row r="5343" spans="2:7" x14ac:dyDescent="0.2">
      <c r="B5343" s="60">
        <v>43329</v>
      </c>
      <c r="C5343" s="7">
        <v>3.0599999999999998E-3</v>
      </c>
      <c r="D5343" s="7">
        <v>3.1199999999999999E-3</v>
      </c>
      <c r="E5343" s="7">
        <v>3.1800000000000001E-3</v>
      </c>
      <c r="F5343" s="7">
        <v>2.8699999999999997E-3</v>
      </c>
      <c r="G5343" s="7">
        <v>-4.3700000000000003E-2</v>
      </c>
    </row>
    <row r="5344" spans="2:7" x14ac:dyDescent="0.2">
      <c r="B5344" s="60">
        <v>43330</v>
      </c>
      <c r="C5344" s="7">
        <v>3.1199999999999999E-3</v>
      </c>
      <c r="D5344" s="7">
        <v>3.1199999999999999E-3</v>
      </c>
      <c r="E5344" s="7">
        <v>3.1199999999999999E-3</v>
      </c>
      <c r="F5344" s="7">
        <v>3.1199999999999999E-3</v>
      </c>
      <c r="G5344" s="7">
        <v>1.9599999999999999E-2</v>
      </c>
    </row>
    <row r="5345" spans="2:7" x14ac:dyDescent="0.2">
      <c r="B5345" s="60">
        <v>43332</v>
      </c>
      <c r="C5345" s="7">
        <v>3.0599999999999998E-3</v>
      </c>
      <c r="D5345" s="7">
        <v>3.0200000000000001E-3</v>
      </c>
      <c r="E5345" s="7">
        <v>3.2000000000000002E-3</v>
      </c>
      <c r="F5345" s="7">
        <v>2.98E-3</v>
      </c>
      <c r="G5345" s="7">
        <v>-1.9199999999999998E-2</v>
      </c>
    </row>
    <row r="5346" spans="2:7" x14ac:dyDescent="0.2">
      <c r="B5346" s="60">
        <v>43333</v>
      </c>
      <c r="C5346" s="7">
        <v>3.3500000000000001E-3</v>
      </c>
      <c r="D5346" s="7">
        <v>3.0999999999999999E-3</v>
      </c>
      <c r="E5346" s="7">
        <v>3.3500000000000001E-3</v>
      </c>
      <c r="F5346" s="7">
        <v>3.0000000000000001E-3</v>
      </c>
      <c r="G5346" s="7">
        <v>9.4799999999999995E-2</v>
      </c>
    </row>
    <row r="5347" spans="2:7" x14ac:dyDescent="0.2">
      <c r="B5347" s="60">
        <v>43334</v>
      </c>
      <c r="C5347" s="7">
        <v>3.4499999999999999E-3</v>
      </c>
      <c r="D5347" s="7">
        <v>3.2400000000000003E-3</v>
      </c>
      <c r="E5347" s="7">
        <v>3.5699999999999998E-3</v>
      </c>
      <c r="F5347" s="7">
        <v>3.1900000000000001E-3</v>
      </c>
      <c r="G5347" s="7">
        <v>2.9899999999999999E-2</v>
      </c>
    </row>
    <row r="5348" spans="2:7" x14ac:dyDescent="0.2">
      <c r="B5348" s="60">
        <v>43335</v>
      </c>
      <c r="C5348" s="7">
        <v>3.4100000000000003E-3</v>
      </c>
      <c r="D5348" s="7">
        <v>3.3900000000000002E-3</v>
      </c>
      <c r="E5348" s="7">
        <v>3.5599999999999998E-3</v>
      </c>
      <c r="F5348" s="7">
        <v>3.3700000000000002E-3</v>
      </c>
      <c r="G5348" s="7">
        <v>-1.1599999999999999E-2</v>
      </c>
    </row>
    <row r="5349" spans="2:7" x14ac:dyDescent="0.2">
      <c r="B5349" s="60">
        <v>43336</v>
      </c>
      <c r="C5349" s="7">
        <v>3.4399999999999999E-3</v>
      </c>
      <c r="D5349" s="7">
        <v>3.4699999999999996E-3</v>
      </c>
      <c r="E5349" s="7">
        <v>3.64E-3</v>
      </c>
      <c r="F5349" s="7">
        <v>3.3800000000000002E-3</v>
      </c>
      <c r="G5349" s="7">
        <v>8.8000000000000005E-3</v>
      </c>
    </row>
    <row r="5350" spans="2:7" x14ac:dyDescent="0.2">
      <c r="B5350" s="60">
        <v>43337</v>
      </c>
      <c r="C5350" s="7">
        <v>3.4999999999999996E-3</v>
      </c>
      <c r="D5350" s="7">
        <v>3.4999999999999996E-3</v>
      </c>
      <c r="E5350" s="7">
        <v>3.4999999999999996E-3</v>
      </c>
      <c r="F5350" s="7">
        <v>3.4999999999999996E-3</v>
      </c>
      <c r="G5350" s="7">
        <v>1.7399999999999999E-2</v>
      </c>
    </row>
    <row r="5351" spans="2:7" x14ac:dyDescent="0.2">
      <c r="B5351" s="60">
        <v>43339</v>
      </c>
      <c r="C5351" s="7">
        <v>3.7799999999999999E-3</v>
      </c>
      <c r="D5351" s="7">
        <v>3.3800000000000002E-3</v>
      </c>
      <c r="E5351" s="7">
        <v>3.82E-3</v>
      </c>
      <c r="F5351" s="7">
        <v>3.2400000000000003E-3</v>
      </c>
      <c r="G5351" s="7">
        <v>0.08</v>
      </c>
    </row>
    <row r="5352" spans="2:7" x14ac:dyDescent="0.2">
      <c r="B5352" s="60">
        <v>43340</v>
      </c>
      <c r="C5352" s="7">
        <v>3.81E-3</v>
      </c>
      <c r="D5352" s="7">
        <v>3.7299999999999998E-3</v>
      </c>
      <c r="E5352" s="7">
        <v>3.9700000000000004E-3</v>
      </c>
      <c r="F5352" s="7">
        <v>3.5899999999999999E-3</v>
      </c>
      <c r="G5352" s="7">
        <v>7.9000000000000008E-3</v>
      </c>
    </row>
    <row r="5353" spans="2:7" x14ac:dyDescent="0.2">
      <c r="B5353" s="60">
        <v>43341</v>
      </c>
      <c r="C5353" s="7">
        <v>4.0600000000000002E-3</v>
      </c>
      <c r="D5353" s="7">
        <v>3.82E-3</v>
      </c>
      <c r="E5353" s="7">
        <v>4.1399999999999996E-3</v>
      </c>
      <c r="F5353" s="7">
        <v>3.7299999999999998E-3</v>
      </c>
      <c r="G5353" s="7">
        <v>6.5600000000000006E-2</v>
      </c>
    </row>
    <row r="5354" spans="2:7" x14ac:dyDescent="0.2">
      <c r="B5354" s="60">
        <v>43342</v>
      </c>
      <c r="C5354" s="7">
        <v>3.4599999999999995E-3</v>
      </c>
      <c r="D5354" s="7">
        <v>4.0500000000000006E-3</v>
      </c>
      <c r="E5354" s="7">
        <v>4.1199999999999995E-3</v>
      </c>
      <c r="F5354" s="7">
        <v>3.4499999999999999E-3</v>
      </c>
      <c r="G5354" s="7">
        <v>-0.14779999999999999</v>
      </c>
    </row>
    <row r="5355" spans="2:7" x14ac:dyDescent="0.2">
      <c r="B5355" s="60">
        <v>43343</v>
      </c>
      <c r="C5355" s="7">
        <v>3.31E-3</v>
      </c>
      <c r="D5355" s="7">
        <v>3.5699999999999998E-3</v>
      </c>
      <c r="E5355" s="7">
        <v>3.64E-3</v>
      </c>
      <c r="F5355" s="7">
        <v>3.2799999999999999E-3</v>
      </c>
      <c r="G5355" s="7">
        <v>-4.3400000000000001E-2</v>
      </c>
    </row>
    <row r="5356" spans="2:7" x14ac:dyDescent="0.2">
      <c r="B5356" s="60">
        <v>43346</v>
      </c>
      <c r="C5356" s="7">
        <v>3.3700000000000002E-3</v>
      </c>
      <c r="D5356" s="7">
        <v>3.4100000000000003E-3</v>
      </c>
      <c r="E5356" s="7">
        <v>3.4699999999999996E-3</v>
      </c>
      <c r="F5356" s="7">
        <v>3.14E-3</v>
      </c>
      <c r="G5356" s="7">
        <v>1.8100000000000002E-2</v>
      </c>
    </row>
    <row r="5357" spans="2:7" x14ac:dyDescent="0.2">
      <c r="B5357" s="60">
        <v>43347</v>
      </c>
      <c r="C5357" s="7">
        <v>3.5999999999999999E-3</v>
      </c>
      <c r="D5357" s="7">
        <v>3.3900000000000002E-3</v>
      </c>
      <c r="E5357" s="7">
        <v>3.63E-3</v>
      </c>
      <c r="F5357" s="7">
        <v>3.3300000000000001E-3</v>
      </c>
      <c r="G5357" s="7">
        <v>6.8199999999999997E-2</v>
      </c>
    </row>
    <row r="5358" spans="2:7" x14ac:dyDescent="0.2">
      <c r="B5358" s="60">
        <v>43348</v>
      </c>
      <c r="C5358" s="7">
        <v>3.82E-3</v>
      </c>
      <c r="D5358" s="7">
        <v>3.5599999999999998E-3</v>
      </c>
      <c r="E5358" s="7">
        <v>4.0100000000000005E-3</v>
      </c>
      <c r="F5358" s="7">
        <v>3.4499999999999999E-3</v>
      </c>
      <c r="G5358" s="7">
        <v>6.1100000000000002E-2</v>
      </c>
    </row>
    <row r="5359" spans="2:7" x14ac:dyDescent="0.2">
      <c r="B5359" s="60">
        <v>43349</v>
      </c>
      <c r="C5359" s="7">
        <v>3.5599999999999998E-3</v>
      </c>
      <c r="D5359" s="7">
        <v>3.8800000000000002E-3</v>
      </c>
      <c r="E5359" s="7">
        <v>3.9100000000000003E-3</v>
      </c>
      <c r="F5359" s="7">
        <v>3.4899999999999996E-3</v>
      </c>
      <c r="G5359" s="7">
        <v>-6.8099999999999994E-2</v>
      </c>
    </row>
    <row r="5360" spans="2:7" x14ac:dyDescent="0.2">
      <c r="B5360" s="60">
        <v>43350</v>
      </c>
      <c r="C5360" s="7">
        <v>3.9100000000000003E-3</v>
      </c>
      <c r="D5360" s="7">
        <v>3.5799999999999998E-3</v>
      </c>
      <c r="E5360" s="7">
        <v>3.96E-3</v>
      </c>
      <c r="F5360" s="7">
        <v>3.5099999999999997E-3</v>
      </c>
      <c r="G5360" s="7">
        <v>9.8299999999999998E-2</v>
      </c>
    </row>
    <row r="5361" spans="2:7" x14ac:dyDescent="0.2">
      <c r="B5361" s="60">
        <v>43353</v>
      </c>
      <c r="C5361" s="7">
        <v>4.0300000000000006E-3</v>
      </c>
      <c r="D5361" s="7">
        <v>3.8700000000000002E-3</v>
      </c>
      <c r="E5361" s="7">
        <v>4.1700000000000001E-3</v>
      </c>
      <c r="F5361" s="7">
        <v>3.7499999999999999E-3</v>
      </c>
      <c r="G5361" s="7">
        <v>3.0700000000000002E-2</v>
      </c>
    </row>
    <row r="5362" spans="2:7" x14ac:dyDescent="0.2">
      <c r="B5362" s="60">
        <v>43354</v>
      </c>
      <c r="C5362" s="7">
        <v>4.3E-3</v>
      </c>
      <c r="D5362" s="7">
        <v>4.0999999999999995E-3</v>
      </c>
      <c r="E5362" s="7">
        <v>4.4099999999999999E-3</v>
      </c>
      <c r="F5362" s="7">
        <v>4.0600000000000002E-3</v>
      </c>
      <c r="G5362" s="7">
        <v>6.7000000000000004E-2</v>
      </c>
    </row>
    <row r="5363" spans="2:7" x14ac:dyDescent="0.2">
      <c r="B5363" s="60">
        <v>43355</v>
      </c>
      <c r="C5363" s="7">
        <v>4.0899999999999999E-3</v>
      </c>
      <c r="D5363" s="7">
        <v>4.3E-3</v>
      </c>
      <c r="E5363" s="7">
        <v>4.3200000000000001E-3</v>
      </c>
      <c r="F5363" s="7">
        <v>3.98E-3</v>
      </c>
      <c r="G5363" s="7">
        <v>-4.8800000000000003E-2</v>
      </c>
    </row>
    <row r="5364" spans="2:7" x14ac:dyDescent="0.2">
      <c r="B5364" s="60">
        <v>43356</v>
      </c>
      <c r="C5364" s="7">
        <v>4.2399999999999998E-3</v>
      </c>
      <c r="D5364" s="7">
        <v>4.0899999999999999E-3</v>
      </c>
      <c r="E5364" s="7">
        <v>4.4299999999999999E-3</v>
      </c>
      <c r="F5364" s="7">
        <v>4.0200000000000001E-3</v>
      </c>
      <c r="G5364" s="7">
        <v>3.6700000000000003E-2</v>
      </c>
    </row>
    <row r="5365" spans="2:7" x14ac:dyDescent="0.2">
      <c r="B5365" s="60">
        <v>43357</v>
      </c>
      <c r="C5365" s="7">
        <v>4.45E-3</v>
      </c>
      <c r="D5365" s="7">
        <v>4.2399999999999998E-3</v>
      </c>
      <c r="E5365" s="7">
        <v>4.5999999999999999E-3</v>
      </c>
      <c r="F5365" s="7">
        <v>4.2100000000000002E-3</v>
      </c>
      <c r="G5365" s="7">
        <v>4.9500000000000002E-2</v>
      </c>
    </row>
    <row r="5366" spans="2:7" x14ac:dyDescent="0.2">
      <c r="B5366" s="60">
        <v>43359</v>
      </c>
      <c r="C5366" s="7">
        <v>4.1399999999999996E-3</v>
      </c>
      <c r="D5366" s="7">
        <v>4.15E-3</v>
      </c>
      <c r="E5366" s="7">
        <v>4.1599999999999996E-3</v>
      </c>
      <c r="F5366" s="7">
        <v>4.0899999999999999E-3</v>
      </c>
      <c r="G5366" s="7">
        <v>-6.9699999999999998E-2</v>
      </c>
    </row>
    <row r="5367" spans="2:7" x14ac:dyDescent="0.2">
      <c r="B5367" s="60">
        <v>43360</v>
      </c>
      <c r="C5367" s="7">
        <v>4.5799999999999999E-3</v>
      </c>
      <c r="D5367" s="7">
        <v>4.4200000000000003E-3</v>
      </c>
      <c r="E5367" s="7">
        <v>4.7299999999999998E-3</v>
      </c>
      <c r="F5367" s="7">
        <v>4.4000000000000003E-3</v>
      </c>
      <c r="G5367" s="7">
        <v>0.10630000000000001</v>
      </c>
    </row>
    <row r="5368" spans="2:7" x14ac:dyDescent="0.2">
      <c r="B5368" s="60">
        <v>43361</v>
      </c>
      <c r="C5368" s="7">
        <v>4.8199999999999996E-3</v>
      </c>
      <c r="D5368" s="7">
        <v>4.5500000000000002E-3</v>
      </c>
      <c r="E5368" s="7">
        <v>4.8500000000000001E-3</v>
      </c>
      <c r="F5368" s="7">
        <v>4.4200000000000003E-3</v>
      </c>
      <c r="G5368" s="7">
        <v>5.2400000000000002E-2</v>
      </c>
    </row>
    <row r="5369" spans="2:7" x14ac:dyDescent="0.2">
      <c r="B5369" s="60">
        <v>43362</v>
      </c>
      <c r="C5369" s="7">
        <v>4.8900000000000002E-3</v>
      </c>
      <c r="D5369" s="7">
        <v>4.8500000000000001E-3</v>
      </c>
      <c r="E5369" s="7">
        <v>5.0200000000000002E-3</v>
      </c>
      <c r="F5369" s="7">
        <v>4.6999999999999993E-3</v>
      </c>
      <c r="G5369" s="7">
        <v>1.4500000000000001E-2</v>
      </c>
    </row>
    <row r="5370" spans="2:7" x14ac:dyDescent="0.2">
      <c r="B5370" s="60">
        <v>43363</v>
      </c>
      <c r="C5370" s="7">
        <v>4.7199999999999994E-3</v>
      </c>
      <c r="D5370" s="7">
        <v>4.7999999999999996E-3</v>
      </c>
      <c r="E5370" s="7">
        <v>5.0600000000000003E-3</v>
      </c>
      <c r="F5370" s="7">
        <v>4.7199999999999994E-3</v>
      </c>
      <c r="G5370" s="7">
        <v>-3.4799999999999998E-2</v>
      </c>
    </row>
    <row r="5371" spans="2:7" x14ac:dyDescent="0.2">
      <c r="B5371" s="60">
        <v>43364</v>
      </c>
      <c r="C5371" s="7">
        <v>4.6100000000000004E-3</v>
      </c>
      <c r="D5371" s="7">
        <v>4.7699999999999999E-3</v>
      </c>
      <c r="E5371" s="7">
        <v>4.8500000000000001E-3</v>
      </c>
      <c r="F5371" s="7">
        <v>4.5399999999999998E-3</v>
      </c>
      <c r="G5371" s="7">
        <v>-2.3300000000000001E-2</v>
      </c>
    </row>
    <row r="5372" spans="2:7" x14ac:dyDescent="0.2">
      <c r="B5372" s="60">
        <v>43367</v>
      </c>
      <c r="C5372" s="7">
        <v>5.0899999999999999E-3</v>
      </c>
      <c r="D5372" s="7">
        <v>4.5999999999999999E-3</v>
      </c>
      <c r="E5372" s="7">
        <v>5.1400000000000005E-3</v>
      </c>
      <c r="F5372" s="7">
        <v>4.5100000000000001E-3</v>
      </c>
      <c r="G5372" s="7">
        <v>0.1041</v>
      </c>
    </row>
    <row r="5373" spans="2:7" x14ac:dyDescent="0.2">
      <c r="B5373" s="60">
        <v>43368</v>
      </c>
      <c r="C5373" s="7">
        <v>5.4200000000000003E-3</v>
      </c>
      <c r="D5373" s="7">
        <v>5.1800000000000006E-3</v>
      </c>
      <c r="E5373" s="7">
        <v>5.5000000000000005E-3</v>
      </c>
      <c r="F5373" s="7">
        <v>5.1800000000000006E-3</v>
      </c>
      <c r="G5373" s="7">
        <v>6.4799999999999996E-2</v>
      </c>
    </row>
    <row r="5374" spans="2:7" x14ac:dyDescent="0.2">
      <c r="B5374" s="60">
        <v>43369</v>
      </c>
      <c r="C5374" s="7">
        <v>5.2399999999999999E-3</v>
      </c>
      <c r="D5374" s="7">
        <v>5.3900000000000007E-3</v>
      </c>
      <c r="E5374" s="7">
        <v>5.4200000000000003E-3</v>
      </c>
      <c r="F5374" s="7">
        <v>5.2300000000000003E-3</v>
      </c>
      <c r="G5374" s="7">
        <v>-3.32E-2</v>
      </c>
    </row>
    <row r="5375" spans="2:7" x14ac:dyDescent="0.2">
      <c r="B5375" s="60">
        <v>43370</v>
      </c>
      <c r="C5375" s="7">
        <v>5.2700000000000004E-3</v>
      </c>
      <c r="D5375" s="7">
        <v>4.9199999999999999E-3</v>
      </c>
      <c r="E5375" s="7">
        <v>5.3300000000000005E-3</v>
      </c>
      <c r="F5375" s="7">
        <v>4.7799999999999995E-3</v>
      </c>
      <c r="G5375" s="7">
        <v>5.7000000000000002E-3</v>
      </c>
    </row>
    <row r="5376" spans="2:7" x14ac:dyDescent="0.2">
      <c r="B5376" s="60">
        <v>43371</v>
      </c>
      <c r="C5376" s="7">
        <v>4.7199999999999994E-3</v>
      </c>
      <c r="D5376" s="7">
        <v>4.9100000000000003E-3</v>
      </c>
      <c r="E5376" s="7">
        <v>5.0499999999999998E-3</v>
      </c>
      <c r="F5376" s="7">
        <v>4.47E-3</v>
      </c>
      <c r="G5376" s="7">
        <v>-0.10440000000000001</v>
      </c>
    </row>
    <row r="5377" spans="2:7" x14ac:dyDescent="0.2">
      <c r="B5377" s="60">
        <v>43374</v>
      </c>
      <c r="C5377" s="7">
        <v>4.7499999999999999E-3</v>
      </c>
      <c r="D5377" s="7">
        <v>4.7499999999999999E-3</v>
      </c>
      <c r="E5377" s="7">
        <v>5.0800000000000003E-3</v>
      </c>
      <c r="F5377" s="7">
        <v>4.6800000000000001E-3</v>
      </c>
      <c r="G5377" s="7">
        <v>6.4000000000000003E-3</v>
      </c>
    </row>
    <row r="5378" spans="2:7" x14ac:dyDescent="0.2">
      <c r="B5378" s="60">
        <v>43375</v>
      </c>
      <c r="C5378" s="7">
        <v>4.2300000000000003E-3</v>
      </c>
      <c r="D5378" s="7">
        <v>4.7199999999999994E-3</v>
      </c>
      <c r="E5378" s="7">
        <v>4.7199999999999994E-3</v>
      </c>
      <c r="F5378" s="7">
        <v>4.0899999999999999E-3</v>
      </c>
      <c r="G5378" s="7">
        <v>-0.1095</v>
      </c>
    </row>
    <row r="5379" spans="2:7" x14ac:dyDescent="0.2">
      <c r="B5379" s="60">
        <v>43376</v>
      </c>
      <c r="C5379" s="7">
        <v>4.7599999999999995E-3</v>
      </c>
      <c r="D5379" s="7">
        <v>4.5700000000000003E-3</v>
      </c>
      <c r="E5379" s="7">
        <v>4.8300000000000001E-3</v>
      </c>
      <c r="F5379" s="7">
        <v>4.3299999999999996E-3</v>
      </c>
      <c r="G5379" s="7">
        <v>0.12529999999999999</v>
      </c>
    </row>
    <row r="5380" spans="2:7" x14ac:dyDescent="0.2">
      <c r="B5380" s="60">
        <v>43377</v>
      </c>
      <c r="C5380" s="7">
        <v>5.3E-3</v>
      </c>
      <c r="D5380" s="7">
        <v>5.5100000000000001E-3</v>
      </c>
      <c r="E5380" s="7">
        <v>5.5100000000000001E-3</v>
      </c>
      <c r="F5380" s="7">
        <v>5.0400000000000002E-3</v>
      </c>
      <c r="G5380" s="7">
        <v>0.1134</v>
      </c>
    </row>
    <row r="5381" spans="2:7" x14ac:dyDescent="0.2">
      <c r="B5381" s="60">
        <v>43378</v>
      </c>
      <c r="C5381" s="7">
        <v>5.77E-3</v>
      </c>
      <c r="D5381" s="7">
        <v>5.3500000000000006E-3</v>
      </c>
      <c r="E5381" s="7">
        <v>5.7799999999999995E-3</v>
      </c>
      <c r="F5381" s="7">
        <v>5.3E-3</v>
      </c>
      <c r="G5381" s="7">
        <v>8.8700000000000001E-2</v>
      </c>
    </row>
    <row r="5382" spans="2:7" x14ac:dyDescent="0.2">
      <c r="B5382" s="60">
        <v>43381</v>
      </c>
      <c r="C5382" s="7">
        <v>5.2700000000000004E-3</v>
      </c>
      <c r="D5382" s="7">
        <v>5.6999999999999993E-3</v>
      </c>
      <c r="E5382" s="7">
        <v>5.7599999999999995E-3</v>
      </c>
      <c r="F5382" s="7">
        <v>5.2100000000000002E-3</v>
      </c>
      <c r="G5382" s="7">
        <v>-8.6699999999999999E-2</v>
      </c>
    </row>
    <row r="5383" spans="2:7" x14ac:dyDescent="0.2">
      <c r="B5383" s="60">
        <v>43382</v>
      </c>
      <c r="C5383" s="7">
        <v>5.5100000000000001E-3</v>
      </c>
      <c r="D5383" s="7">
        <v>5.4800000000000005E-3</v>
      </c>
      <c r="E5383" s="7">
        <v>5.7099999999999998E-3</v>
      </c>
      <c r="F5383" s="7">
        <v>5.3100000000000005E-3</v>
      </c>
      <c r="G5383" s="7">
        <v>4.5499999999999999E-2</v>
      </c>
    </row>
    <row r="5384" spans="2:7" x14ac:dyDescent="0.2">
      <c r="B5384" s="60">
        <v>43383</v>
      </c>
      <c r="C5384" s="7">
        <v>5.5500000000000002E-3</v>
      </c>
      <c r="D5384" s="7">
        <v>5.3400000000000001E-3</v>
      </c>
      <c r="E5384" s="7">
        <v>5.8099999999999992E-3</v>
      </c>
      <c r="F5384" s="7">
        <v>5.3E-3</v>
      </c>
      <c r="G5384" s="7">
        <v>7.3000000000000001E-3</v>
      </c>
    </row>
    <row r="5385" spans="2:7" x14ac:dyDescent="0.2">
      <c r="B5385" s="60">
        <v>43384</v>
      </c>
      <c r="C5385" s="7">
        <v>5.2100000000000002E-3</v>
      </c>
      <c r="D5385" s="7">
        <v>5.0200000000000002E-3</v>
      </c>
      <c r="E5385" s="7">
        <v>5.3400000000000001E-3</v>
      </c>
      <c r="F5385" s="7">
        <v>4.9100000000000003E-3</v>
      </c>
      <c r="G5385" s="7">
        <v>-6.13E-2</v>
      </c>
    </row>
    <row r="5386" spans="2:7" x14ac:dyDescent="0.2">
      <c r="B5386" s="60">
        <v>43385</v>
      </c>
      <c r="C5386" s="7">
        <v>4.9800000000000001E-3</v>
      </c>
      <c r="D5386" s="7">
        <v>5.2900000000000004E-3</v>
      </c>
      <c r="E5386" s="7">
        <v>5.45E-3</v>
      </c>
      <c r="F5386" s="7">
        <v>4.9399999999999999E-3</v>
      </c>
      <c r="G5386" s="7">
        <v>-4.41E-2</v>
      </c>
    </row>
    <row r="5387" spans="2:7" x14ac:dyDescent="0.2">
      <c r="B5387" s="60">
        <v>43388</v>
      </c>
      <c r="C5387" s="7">
        <v>4.9899999999999996E-3</v>
      </c>
      <c r="D5387" s="7">
        <v>4.9100000000000003E-3</v>
      </c>
      <c r="E5387" s="7">
        <v>5.1000000000000004E-3</v>
      </c>
      <c r="F5387" s="7">
        <v>4.7799999999999995E-3</v>
      </c>
      <c r="G5387" s="7">
        <v>2E-3</v>
      </c>
    </row>
    <row r="5388" spans="2:7" x14ac:dyDescent="0.2">
      <c r="B5388" s="60">
        <v>43389</v>
      </c>
      <c r="C5388" s="7">
        <v>4.9100000000000003E-3</v>
      </c>
      <c r="D5388" s="7">
        <v>5.0600000000000003E-3</v>
      </c>
      <c r="E5388" s="7">
        <v>5.1800000000000006E-3</v>
      </c>
      <c r="F5388" s="7">
        <v>4.8199999999999996E-3</v>
      </c>
      <c r="G5388" s="7">
        <v>-1.6E-2</v>
      </c>
    </row>
    <row r="5389" spans="2:7" x14ac:dyDescent="0.2">
      <c r="B5389" s="60">
        <v>43390</v>
      </c>
      <c r="C5389" s="7">
        <v>4.6300000000000004E-3</v>
      </c>
      <c r="D5389" s="7">
        <v>4.8700000000000002E-3</v>
      </c>
      <c r="E5389" s="7">
        <v>4.8900000000000002E-3</v>
      </c>
      <c r="F5389" s="7">
        <v>4.5000000000000005E-3</v>
      </c>
      <c r="G5389" s="7">
        <v>-5.7000000000000002E-2</v>
      </c>
    </row>
    <row r="5390" spans="2:7" x14ac:dyDescent="0.2">
      <c r="B5390" s="60">
        <v>43391</v>
      </c>
      <c r="C5390" s="7">
        <v>4.1399999999999996E-3</v>
      </c>
      <c r="D5390" s="7">
        <v>4.7599999999999995E-3</v>
      </c>
      <c r="E5390" s="7">
        <v>4.8399999999999997E-3</v>
      </c>
      <c r="F5390" s="7">
        <v>4.1199999999999995E-3</v>
      </c>
      <c r="G5390" s="7">
        <v>-0.10580000000000001</v>
      </c>
    </row>
    <row r="5391" spans="2:7" x14ac:dyDescent="0.2">
      <c r="B5391" s="60">
        <v>43392</v>
      </c>
      <c r="C5391" s="7">
        <v>4.5900000000000003E-3</v>
      </c>
      <c r="D5391" s="7">
        <v>4.1700000000000001E-3</v>
      </c>
      <c r="E5391" s="7">
        <v>4.6500000000000005E-3</v>
      </c>
      <c r="F5391" s="7">
        <v>3.8900000000000002E-3</v>
      </c>
      <c r="G5391" s="7">
        <v>0.1087</v>
      </c>
    </row>
    <row r="5392" spans="2:7" x14ac:dyDescent="0.2">
      <c r="B5392" s="60">
        <v>43393</v>
      </c>
      <c r="C5392" s="7">
        <v>4.4400000000000004E-3</v>
      </c>
      <c r="D5392" s="7">
        <v>4.4400000000000004E-3</v>
      </c>
      <c r="E5392" s="7">
        <v>4.4400000000000004E-3</v>
      </c>
      <c r="F5392" s="7">
        <v>4.4400000000000004E-3</v>
      </c>
      <c r="G5392" s="7">
        <v>-3.27E-2</v>
      </c>
    </row>
    <row r="5393" spans="2:7" x14ac:dyDescent="0.2">
      <c r="B5393" s="60">
        <v>43395</v>
      </c>
      <c r="C5393" s="7">
        <v>4.4900000000000001E-3</v>
      </c>
      <c r="D5393" s="7">
        <v>4.6300000000000004E-3</v>
      </c>
      <c r="E5393" s="7">
        <v>4.8199999999999996E-3</v>
      </c>
      <c r="F5393" s="7">
        <v>4.3699999999999998E-3</v>
      </c>
      <c r="G5393" s="7">
        <v>1.1299999999999999E-2</v>
      </c>
    </row>
    <row r="5394" spans="2:7" x14ac:dyDescent="0.2">
      <c r="B5394" s="60">
        <v>43396</v>
      </c>
      <c r="C5394" s="7">
        <v>4.0999999999999995E-3</v>
      </c>
      <c r="D5394" s="7">
        <v>4.3099999999999996E-3</v>
      </c>
      <c r="E5394" s="7">
        <v>4.4200000000000003E-3</v>
      </c>
      <c r="F5394" s="7">
        <v>4.0200000000000001E-3</v>
      </c>
      <c r="G5394" s="7">
        <v>-8.6900000000000005E-2</v>
      </c>
    </row>
    <row r="5395" spans="2:7" x14ac:dyDescent="0.2">
      <c r="B5395" s="60">
        <v>43397</v>
      </c>
      <c r="C5395" s="7">
        <v>3.9500000000000004E-3</v>
      </c>
      <c r="D5395" s="7">
        <v>4.1999999999999997E-3</v>
      </c>
      <c r="E5395" s="7">
        <v>4.2300000000000003E-3</v>
      </c>
      <c r="F5395" s="7">
        <v>3.8500000000000001E-3</v>
      </c>
      <c r="G5395" s="7">
        <v>-3.6600000000000001E-2</v>
      </c>
    </row>
    <row r="5396" spans="2:7" x14ac:dyDescent="0.2">
      <c r="B5396" s="60">
        <v>43398</v>
      </c>
      <c r="C5396" s="7">
        <v>3.9900000000000005E-3</v>
      </c>
      <c r="D5396" s="7">
        <v>3.82E-3</v>
      </c>
      <c r="E5396" s="7">
        <v>4.15E-3</v>
      </c>
      <c r="F5396" s="7">
        <v>3.7799999999999999E-3</v>
      </c>
      <c r="G5396" s="7">
        <v>1.01E-2</v>
      </c>
    </row>
    <row r="5397" spans="2:7" x14ac:dyDescent="0.2">
      <c r="B5397" s="60">
        <v>43399</v>
      </c>
      <c r="C5397" s="7">
        <v>3.5699999999999998E-3</v>
      </c>
      <c r="D5397" s="7">
        <v>3.8E-3</v>
      </c>
      <c r="E5397" s="7">
        <v>3.8800000000000002E-3</v>
      </c>
      <c r="F5397" s="7">
        <v>3.3900000000000002E-3</v>
      </c>
      <c r="G5397" s="7">
        <v>-0.1053</v>
      </c>
    </row>
    <row r="5398" spans="2:7" x14ac:dyDescent="0.2">
      <c r="B5398" s="60">
        <v>43402</v>
      </c>
      <c r="C5398" s="7">
        <v>3.81E-3</v>
      </c>
      <c r="D5398" s="7">
        <v>3.5699999999999998E-3</v>
      </c>
      <c r="E5398" s="7">
        <v>3.9900000000000005E-3</v>
      </c>
      <c r="F5398" s="7">
        <v>3.4699999999999996E-3</v>
      </c>
      <c r="G5398" s="7">
        <v>6.7199999999999996E-2</v>
      </c>
    </row>
    <row r="5399" spans="2:7" x14ac:dyDescent="0.2">
      <c r="B5399" s="60">
        <v>43403</v>
      </c>
      <c r="C5399" s="7">
        <v>3.6900000000000001E-3</v>
      </c>
      <c r="D5399" s="7">
        <v>3.8E-3</v>
      </c>
      <c r="E5399" s="7">
        <v>4.0699999999999998E-3</v>
      </c>
      <c r="F5399" s="7">
        <v>3.6600000000000001E-3</v>
      </c>
      <c r="G5399" s="7">
        <v>-3.15E-2</v>
      </c>
    </row>
    <row r="5400" spans="2:7" x14ac:dyDescent="0.2">
      <c r="B5400" s="60">
        <v>43404</v>
      </c>
      <c r="C5400" s="7">
        <v>3.8600000000000001E-3</v>
      </c>
      <c r="D5400" s="7">
        <v>3.9199999999999999E-3</v>
      </c>
      <c r="E5400" s="7">
        <v>4.0300000000000006E-3</v>
      </c>
      <c r="F5400" s="7">
        <v>3.7699999999999999E-3</v>
      </c>
      <c r="G5400" s="7">
        <v>4.6100000000000002E-2</v>
      </c>
    </row>
    <row r="5401" spans="2:7" x14ac:dyDescent="0.2">
      <c r="B5401" s="60">
        <v>43405</v>
      </c>
      <c r="C5401" s="7">
        <v>4.0000000000000001E-3</v>
      </c>
      <c r="D5401" s="7">
        <v>3.8700000000000002E-3</v>
      </c>
      <c r="E5401" s="7">
        <v>4.2199999999999998E-3</v>
      </c>
      <c r="F5401" s="7">
        <v>3.8500000000000001E-3</v>
      </c>
      <c r="G5401" s="7">
        <v>3.6299999999999999E-2</v>
      </c>
    </row>
    <row r="5402" spans="2:7" x14ac:dyDescent="0.2">
      <c r="B5402" s="60">
        <v>43406</v>
      </c>
      <c r="C5402" s="7">
        <v>4.2599999999999999E-3</v>
      </c>
      <c r="D5402" s="7">
        <v>3.9900000000000005E-3</v>
      </c>
      <c r="E5402" s="7">
        <v>4.4000000000000003E-3</v>
      </c>
      <c r="F5402" s="7">
        <v>3.9900000000000005E-3</v>
      </c>
      <c r="G5402" s="7">
        <v>6.5000000000000002E-2</v>
      </c>
    </row>
    <row r="5403" spans="2:7" x14ac:dyDescent="0.2">
      <c r="B5403" s="60">
        <v>43409</v>
      </c>
      <c r="C5403" s="7">
        <v>4.2500000000000003E-3</v>
      </c>
      <c r="D5403" s="7">
        <v>4.3499999999999997E-3</v>
      </c>
      <c r="E5403" s="7">
        <v>4.3800000000000002E-3</v>
      </c>
      <c r="F5403" s="7">
        <v>4.1199999999999995E-3</v>
      </c>
      <c r="G5403" s="7">
        <v>-2.3E-3</v>
      </c>
    </row>
    <row r="5404" spans="2:7" x14ac:dyDescent="0.2">
      <c r="B5404" s="60">
        <v>43410</v>
      </c>
      <c r="C5404" s="7">
        <v>4.3200000000000001E-3</v>
      </c>
      <c r="D5404" s="7">
        <v>4.28E-3</v>
      </c>
      <c r="E5404" s="7">
        <v>4.3699999999999998E-3</v>
      </c>
      <c r="F5404" s="7">
        <v>4.0500000000000006E-3</v>
      </c>
      <c r="G5404" s="7">
        <v>1.6500000000000001E-2</v>
      </c>
    </row>
    <row r="5405" spans="2:7" x14ac:dyDescent="0.2">
      <c r="B5405" s="60">
        <v>43411</v>
      </c>
      <c r="C5405" s="7">
        <v>4.47E-3</v>
      </c>
      <c r="D5405" s="7">
        <v>4.2599999999999999E-3</v>
      </c>
      <c r="E5405" s="7">
        <v>4.5900000000000003E-3</v>
      </c>
      <c r="F5405" s="7">
        <v>4.1700000000000001E-3</v>
      </c>
      <c r="G5405" s="7">
        <v>3.4700000000000002E-2</v>
      </c>
    </row>
    <row r="5406" spans="2:7" x14ac:dyDescent="0.2">
      <c r="B5406" s="60">
        <v>43412</v>
      </c>
      <c r="C5406" s="7">
        <v>4.5900000000000003E-3</v>
      </c>
      <c r="D5406" s="7">
        <v>4.5900000000000003E-3</v>
      </c>
      <c r="E5406" s="7">
        <v>4.6899999999999997E-3</v>
      </c>
      <c r="F5406" s="7">
        <v>4.45E-3</v>
      </c>
      <c r="G5406" s="7">
        <v>2.6800000000000001E-2</v>
      </c>
    </row>
    <row r="5407" spans="2:7" x14ac:dyDescent="0.2">
      <c r="B5407" s="60">
        <v>43413</v>
      </c>
      <c r="C5407" s="7">
        <v>4.0699999999999998E-3</v>
      </c>
      <c r="D5407" s="7">
        <v>4.4600000000000004E-3</v>
      </c>
      <c r="E5407" s="7">
        <v>4.47E-3</v>
      </c>
      <c r="F5407" s="7">
        <v>4.0600000000000002E-3</v>
      </c>
      <c r="G5407" s="7">
        <v>-0.1133</v>
      </c>
    </row>
    <row r="5408" spans="2:7" x14ac:dyDescent="0.2">
      <c r="B5408" s="60">
        <v>43415</v>
      </c>
      <c r="C5408" s="7">
        <v>4.0799999999999994E-3</v>
      </c>
      <c r="D5408" s="7">
        <v>4.0799999999999994E-3</v>
      </c>
      <c r="E5408" s="7">
        <v>4.0799999999999994E-3</v>
      </c>
      <c r="F5408" s="7">
        <v>4.0799999999999994E-3</v>
      </c>
      <c r="G5408" s="7">
        <v>2.5000000000000001E-3</v>
      </c>
    </row>
    <row r="5409" spans="2:7" x14ac:dyDescent="0.2">
      <c r="B5409" s="60">
        <v>43416</v>
      </c>
      <c r="C5409" s="7">
        <v>4.0000000000000001E-3</v>
      </c>
      <c r="D5409" s="7">
        <v>4.1399999999999996E-3</v>
      </c>
      <c r="E5409" s="7">
        <v>4.1599999999999996E-3</v>
      </c>
      <c r="F5409" s="7">
        <v>3.7799999999999999E-3</v>
      </c>
      <c r="G5409" s="7">
        <v>-1.9599999999999999E-2</v>
      </c>
    </row>
    <row r="5410" spans="2:7" x14ac:dyDescent="0.2">
      <c r="B5410" s="60">
        <v>43417</v>
      </c>
      <c r="C5410" s="7">
        <v>4.0999999999999995E-3</v>
      </c>
      <c r="D5410" s="7">
        <v>3.98E-3</v>
      </c>
      <c r="E5410" s="7">
        <v>4.1199999999999995E-3</v>
      </c>
      <c r="F5410" s="7">
        <v>3.82E-3</v>
      </c>
      <c r="G5410" s="7">
        <v>2.5000000000000001E-2</v>
      </c>
    </row>
    <row r="5411" spans="2:7" x14ac:dyDescent="0.2">
      <c r="B5411" s="60">
        <v>43418</v>
      </c>
      <c r="C5411" s="7">
        <v>3.9900000000000005E-3</v>
      </c>
      <c r="D5411" s="7">
        <v>3.9100000000000003E-3</v>
      </c>
      <c r="E5411" s="7">
        <v>4.15E-3</v>
      </c>
      <c r="F5411" s="7">
        <v>3.8300000000000001E-3</v>
      </c>
      <c r="G5411" s="7">
        <v>-2.6800000000000001E-2</v>
      </c>
    </row>
    <row r="5412" spans="2:7" x14ac:dyDescent="0.2">
      <c r="B5412" s="60">
        <v>43419</v>
      </c>
      <c r="C5412" s="7">
        <v>3.5999999999999999E-3</v>
      </c>
      <c r="D5412" s="7">
        <v>4.0200000000000001E-3</v>
      </c>
      <c r="E5412" s="7">
        <v>4.0699999999999998E-3</v>
      </c>
      <c r="F5412" s="7">
        <v>3.4799999999999996E-3</v>
      </c>
      <c r="G5412" s="7">
        <v>-9.7699999999999995E-2</v>
      </c>
    </row>
    <row r="5413" spans="2:7" x14ac:dyDescent="0.2">
      <c r="B5413" s="60">
        <v>43420</v>
      </c>
      <c r="C5413" s="7">
        <v>3.6700000000000001E-3</v>
      </c>
      <c r="D5413" s="7">
        <v>3.6900000000000001E-3</v>
      </c>
      <c r="E5413" s="7">
        <v>3.7599999999999999E-3</v>
      </c>
      <c r="F5413" s="7">
        <v>3.5999999999999999E-3</v>
      </c>
      <c r="G5413" s="7">
        <v>1.9400000000000001E-2</v>
      </c>
    </row>
    <row r="5414" spans="2:7" x14ac:dyDescent="0.2">
      <c r="B5414" s="60">
        <v>43423</v>
      </c>
      <c r="C5414" s="7">
        <v>3.7199999999999998E-3</v>
      </c>
      <c r="D5414" s="7">
        <v>3.7000000000000002E-3</v>
      </c>
      <c r="E5414" s="7">
        <v>3.98E-3</v>
      </c>
      <c r="F5414" s="7">
        <v>3.6800000000000001E-3</v>
      </c>
      <c r="G5414" s="7">
        <v>1.3599999999999999E-2</v>
      </c>
    </row>
    <row r="5415" spans="2:7" x14ac:dyDescent="0.2">
      <c r="B5415" s="60">
        <v>43424</v>
      </c>
      <c r="C5415" s="7">
        <v>3.4999999999999996E-3</v>
      </c>
      <c r="D5415" s="7">
        <v>3.7099999999999998E-3</v>
      </c>
      <c r="E5415" s="7">
        <v>3.7699999999999999E-3</v>
      </c>
      <c r="F5415" s="7">
        <v>3.4100000000000003E-3</v>
      </c>
      <c r="G5415" s="7">
        <v>-5.91E-2</v>
      </c>
    </row>
    <row r="5416" spans="2:7" x14ac:dyDescent="0.2">
      <c r="B5416" s="60">
        <v>43425</v>
      </c>
      <c r="C5416" s="7">
        <v>3.7699999999999999E-3</v>
      </c>
      <c r="D5416" s="7">
        <v>3.62E-3</v>
      </c>
      <c r="E5416" s="7">
        <v>3.81E-3</v>
      </c>
      <c r="F5416" s="7">
        <v>3.5899999999999999E-3</v>
      </c>
      <c r="G5416" s="7">
        <v>7.7100000000000002E-2</v>
      </c>
    </row>
    <row r="5417" spans="2:7" x14ac:dyDescent="0.2">
      <c r="B5417" s="60">
        <v>43426</v>
      </c>
      <c r="C5417" s="7">
        <v>3.7000000000000002E-3</v>
      </c>
      <c r="D5417" s="7">
        <v>3.7000000000000002E-3</v>
      </c>
      <c r="E5417" s="7">
        <v>3.7799999999999999E-3</v>
      </c>
      <c r="F5417" s="7">
        <v>3.5299999999999997E-3</v>
      </c>
      <c r="G5417" s="7">
        <v>-1.8599999999999998E-2</v>
      </c>
    </row>
    <row r="5418" spans="2:7" x14ac:dyDescent="0.2">
      <c r="B5418" s="60">
        <v>43427</v>
      </c>
      <c r="C5418" s="7">
        <v>3.4000000000000002E-3</v>
      </c>
      <c r="D5418" s="7">
        <v>3.6600000000000001E-3</v>
      </c>
      <c r="E5418" s="7">
        <v>3.8E-3</v>
      </c>
      <c r="F5418" s="7">
        <v>3.31E-3</v>
      </c>
      <c r="G5418" s="7">
        <v>-8.1100000000000005E-2</v>
      </c>
    </row>
    <row r="5419" spans="2:7" x14ac:dyDescent="0.2">
      <c r="B5419" s="60">
        <v>43430</v>
      </c>
      <c r="C5419" s="7">
        <v>3.62E-3</v>
      </c>
      <c r="D5419" s="7">
        <v>3.4999999999999996E-3</v>
      </c>
      <c r="E5419" s="7">
        <v>3.7099999999999998E-3</v>
      </c>
      <c r="F5419" s="7">
        <v>3.4499999999999999E-3</v>
      </c>
      <c r="G5419" s="7">
        <v>6.4699999999999994E-2</v>
      </c>
    </row>
    <row r="5420" spans="2:7" x14ac:dyDescent="0.2">
      <c r="B5420" s="60">
        <v>43431</v>
      </c>
      <c r="C5420" s="7">
        <v>3.5099999999999997E-3</v>
      </c>
      <c r="D5420" s="7">
        <v>3.4699999999999996E-3</v>
      </c>
      <c r="E5420" s="7">
        <v>3.5899999999999999E-3</v>
      </c>
      <c r="F5420" s="7">
        <v>3.3E-3</v>
      </c>
      <c r="G5420" s="7">
        <v>-3.04E-2</v>
      </c>
    </row>
    <row r="5421" spans="2:7" x14ac:dyDescent="0.2">
      <c r="B5421" s="60">
        <v>43432</v>
      </c>
      <c r="C5421" s="7">
        <v>3.4799999999999996E-3</v>
      </c>
      <c r="D5421" s="7">
        <v>3.4599999999999995E-3</v>
      </c>
      <c r="E5421" s="7">
        <v>3.5799999999999998E-3</v>
      </c>
      <c r="F5421" s="7">
        <v>3.32E-3</v>
      </c>
      <c r="G5421" s="7">
        <v>-8.5000000000000006E-3</v>
      </c>
    </row>
    <row r="5422" spans="2:7" x14ac:dyDescent="0.2">
      <c r="B5422" s="60">
        <v>43433</v>
      </c>
      <c r="C5422" s="7">
        <v>3.2100000000000002E-3</v>
      </c>
      <c r="D5422" s="7">
        <v>3.4499999999999999E-3</v>
      </c>
      <c r="E5422" s="7">
        <v>3.4499999999999999E-3</v>
      </c>
      <c r="F5422" s="7">
        <v>3.16E-3</v>
      </c>
      <c r="G5422" s="7">
        <v>-7.7600000000000002E-2</v>
      </c>
    </row>
    <row r="5423" spans="2:7" x14ac:dyDescent="0.2">
      <c r="B5423" s="60">
        <v>43434</v>
      </c>
      <c r="C5423" s="7">
        <v>3.15E-3</v>
      </c>
      <c r="D5423" s="7">
        <v>3.2300000000000002E-3</v>
      </c>
      <c r="E5423" s="7">
        <v>3.29E-3</v>
      </c>
      <c r="F5423" s="7">
        <v>3.0499999999999998E-3</v>
      </c>
      <c r="G5423" s="7">
        <v>-1.8700000000000001E-2</v>
      </c>
    </row>
    <row r="5424" spans="2:7" x14ac:dyDescent="0.2">
      <c r="B5424" s="60">
        <v>43435</v>
      </c>
      <c r="C5424" s="7">
        <v>3.2200000000000002E-3</v>
      </c>
      <c r="D5424" s="7">
        <v>3.2200000000000002E-3</v>
      </c>
      <c r="E5424" s="7">
        <v>3.2200000000000002E-3</v>
      </c>
      <c r="F5424" s="7">
        <v>3.2200000000000002E-3</v>
      </c>
      <c r="G5424" s="7">
        <v>2.2200000000000001E-2</v>
      </c>
    </row>
    <row r="5425" spans="2:7" x14ac:dyDescent="0.2">
      <c r="B5425" s="60">
        <v>43437</v>
      </c>
      <c r="C5425" s="7">
        <v>3.0499999999999998E-3</v>
      </c>
      <c r="D5425" s="7">
        <v>3.3800000000000002E-3</v>
      </c>
      <c r="E5425" s="7">
        <v>3.4699999999999996E-3</v>
      </c>
      <c r="F5425" s="7">
        <v>3.0399999999999997E-3</v>
      </c>
      <c r="G5425" s="7">
        <v>-5.28E-2</v>
      </c>
    </row>
    <row r="5426" spans="2:7" x14ac:dyDescent="0.2">
      <c r="B5426" s="60">
        <v>43438</v>
      </c>
      <c r="C5426" s="7">
        <v>2.6199999999999999E-3</v>
      </c>
      <c r="D5426" s="7">
        <v>2.7900000000000004E-3</v>
      </c>
      <c r="E5426" s="7">
        <v>3.0100000000000001E-3</v>
      </c>
      <c r="F5426" s="7">
        <v>2.6099999999999999E-3</v>
      </c>
      <c r="G5426" s="7">
        <v>-0.14099999999999999</v>
      </c>
    </row>
    <row r="5427" spans="2:7" x14ac:dyDescent="0.2">
      <c r="B5427" s="60">
        <v>43439</v>
      </c>
      <c r="C5427" s="7">
        <v>2.7600000000000003E-3</v>
      </c>
      <c r="D5427" s="7">
        <v>2.5300000000000001E-3</v>
      </c>
      <c r="E5427" s="7">
        <v>2.7800000000000004E-3</v>
      </c>
      <c r="F5427" s="7">
        <v>2.4199999999999998E-3</v>
      </c>
      <c r="G5427" s="7">
        <v>5.3400000000000003E-2</v>
      </c>
    </row>
    <row r="5428" spans="2:7" x14ac:dyDescent="0.2">
      <c r="B5428" s="60">
        <v>43440</v>
      </c>
      <c r="C5428" s="7">
        <v>2.3599999999999997E-3</v>
      </c>
      <c r="D5428" s="7">
        <v>2.5200000000000001E-3</v>
      </c>
      <c r="E5428" s="7">
        <v>2.7100000000000002E-3</v>
      </c>
      <c r="F5428" s="7">
        <v>2.2400000000000002E-3</v>
      </c>
      <c r="G5428" s="7">
        <v>-0.1449</v>
      </c>
    </row>
    <row r="5429" spans="2:7" x14ac:dyDescent="0.2">
      <c r="B5429" s="60">
        <v>43441</v>
      </c>
      <c r="C5429" s="7">
        <v>2.5100000000000001E-3</v>
      </c>
      <c r="D5429" s="7">
        <v>2.48E-3</v>
      </c>
      <c r="E5429" s="7">
        <v>2.7000000000000001E-3</v>
      </c>
      <c r="F5429" s="7">
        <v>2.3499999999999997E-3</v>
      </c>
      <c r="G5429" s="7">
        <v>6.3600000000000004E-2</v>
      </c>
    </row>
    <row r="5430" spans="2:7" x14ac:dyDescent="0.2">
      <c r="B5430" s="60">
        <v>43444</v>
      </c>
      <c r="C5430" s="7">
        <v>2.4599999999999999E-3</v>
      </c>
      <c r="D5430" s="7">
        <v>2.3499999999999997E-3</v>
      </c>
      <c r="E5430" s="7">
        <v>2.6700000000000001E-3</v>
      </c>
      <c r="F5430" s="7">
        <v>2.32E-3</v>
      </c>
      <c r="G5430" s="7">
        <v>-1.9900000000000001E-2</v>
      </c>
    </row>
    <row r="5431" spans="2:7" x14ac:dyDescent="0.2">
      <c r="B5431" s="60">
        <v>43445</v>
      </c>
      <c r="C5431" s="7">
        <v>2.33E-3</v>
      </c>
      <c r="D5431" s="7">
        <v>2.5500000000000002E-3</v>
      </c>
      <c r="E5431" s="7">
        <v>2.7700000000000003E-3</v>
      </c>
      <c r="F5431" s="7">
        <v>2.2400000000000002E-3</v>
      </c>
      <c r="G5431" s="7">
        <v>-5.28E-2</v>
      </c>
    </row>
    <row r="5432" spans="2:7" x14ac:dyDescent="0.2">
      <c r="B5432" s="60">
        <v>43446</v>
      </c>
      <c r="C5432" s="7">
        <v>2.7700000000000003E-3</v>
      </c>
      <c r="D5432" s="7">
        <v>2.4199999999999998E-3</v>
      </c>
      <c r="E5432" s="7">
        <v>2.8000000000000004E-3</v>
      </c>
      <c r="F5432" s="7">
        <v>2.2899999999999999E-3</v>
      </c>
      <c r="G5432" s="7">
        <v>0.1888</v>
      </c>
    </row>
    <row r="5433" spans="2:7" x14ac:dyDescent="0.2">
      <c r="B5433" s="60">
        <v>43447</v>
      </c>
      <c r="C5433" s="7">
        <v>2.8499999999999997E-3</v>
      </c>
      <c r="D5433" s="7">
        <v>2.7900000000000004E-3</v>
      </c>
      <c r="E5433" s="7">
        <v>2.98E-3</v>
      </c>
      <c r="F5433" s="7">
        <v>2.5500000000000002E-3</v>
      </c>
      <c r="G5433" s="7">
        <v>2.8899999999999999E-2</v>
      </c>
    </row>
    <row r="5434" spans="2:7" x14ac:dyDescent="0.2">
      <c r="B5434" s="60">
        <v>43448</v>
      </c>
      <c r="C5434" s="7">
        <v>2.5600000000000002E-3</v>
      </c>
      <c r="D5434" s="7">
        <v>2.6800000000000001E-3</v>
      </c>
      <c r="E5434" s="7">
        <v>2.7200000000000002E-3</v>
      </c>
      <c r="F5434" s="7">
        <v>2.4599999999999999E-3</v>
      </c>
      <c r="G5434" s="7">
        <v>-0.1018</v>
      </c>
    </row>
    <row r="5435" spans="2:7" x14ac:dyDescent="0.2">
      <c r="B5435" s="60">
        <v>43451</v>
      </c>
      <c r="C5435" s="7">
        <v>2.5700000000000002E-3</v>
      </c>
      <c r="D5435" s="7">
        <v>2.64E-3</v>
      </c>
      <c r="E5435" s="7">
        <v>2.7100000000000002E-3</v>
      </c>
      <c r="F5435" s="7">
        <v>2.47E-3</v>
      </c>
      <c r="G5435" s="7">
        <v>3.8999999999999998E-3</v>
      </c>
    </row>
    <row r="5436" spans="2:7" x14ac:dyDescent="0.2">
      <c r="B5436" s="60">
        <v>43452</v>
      </c>
      <c r="C5436" s="7">
        <v>2.4299999999999999E-3</v>
      </c>
      <c r="D5436" s="7">
        <v>2.4599999999999999E-3</v>
      </c>
      <c r="E5436" s="7">
        <v>2.5400000000000002E-3</v>
      </c>
      <c r="F5436" s="7">
        <v>2.2899999999999999E-3</v>
      </c>
      <c r="G5436" s="7">
        <v>-5.45E-2</v>
      </c>
    </row>
    <row r="5437" spans="2:7" x14ac:dyDescent="0.2">
      <c r="B5437" s="60">
        <v>43453</v>
      </c>
      <c r="C5437" s="7">
        <v>2.4099999999999998E-3</v>
      </c>
      <c r="D5437" s="7">
        <v>2.4199999999999998E-3</v>
      </c>
      <c r="E5437" s="7">
        <v>2.5400000000000002E-3</v>
      </c>
      <c r="F5437" s="7">
        <v>2.33E-3</v>
      </c>
      <c r="G5437" s="7">
        <v>-8.2000000000000007E-3</v>
      </c>
    </row>
    <row r="5438" spans="2:7" x14ac:dyDescent="0.2">
      <c r="B5438" s="60">
        <v>43454</v>
      </c>
      <c r="C5438" s="7">
        <v>2.32E-3</v>
      </c>
      <c r="D5438" s="7">
        <v>2.2400000000000002E-3</v>
      </c>
      <c r="E5438" s="7">
        <v>2.4399999999999999E-3</v>
      </c>
      <c r="F5438" s="7">
        <v>2.0300000000000001E-3</v>
      </c>
      <c r="G5438" s="7">
        <v>-3.73E-2</v>
      </c>
    </row>
    <row r="5439" spans="2:7" x14ac:dyDescent="0.2">
      <c r="B5439" s="60">
        <v>43455</v>
      </c>
      <c r="C5439" s="7">
        <v>2.5000000000000001E-3</v>
      </c>
      <c r="D5439" s="7">
        <v>2.5300000000000001E-3</v>
      </c>
      <c r="E5439" s="7">
        <v>2.5500000000000002E-3</v>
      </c>
      <c r="F5439" s="7">
        <v>2.3599999999999997E-3</v>
      </c>
      <c r="G5439" s="7">
        <v>7.7600000000000002E-2</v>
      </c>
    </row>
    <row r="5440" spans="2:7" x14ac:dyDescent="0.2">
      <c r="B5440" s="60">
        <v>43458</v>
      </c>
      <c r="C5440" s="7">
        <v>2.49E-3</v>
      </c>
      <c r="D5440" s="7">
        <v>2.49E-3</v>
      </c>
      <c r="E5440" s="7">
        <v>2.49E-3</v>
      </c>
      <c r="F5440" s="7">
        <v>2.49E-3</v>
      </c>
      <c r="G5440" s="7">
        <v>-4.0000000000000001E-3</v>
      </c>
    </row>
    <row r="5441" spans="2:7" x14ac:dyDescent="0.2">
      <c r="B5441" s="60">
        <v>43459</v>
      </c>
      <c r="C5441" s="7">
        <v>2.48E-3</v>
      </c>
      <c r="D5441" s="7">
        <v>2.5000000000000001E-3</v>
      </c>
      <c r="E5441" s="7">
        <v>2.5000000000000001E-3</v>
      </c>
      <c r="F5441" s="7">
        <v>2.48E-3</v>
      </c>
      <c r="G5441" s="7">
        <v>-4.0000000000000001E-3</v>
      </c>
    </row>
    <row r="5442" spans="2:7" x14ac:dyDescent="0.2">
      <c r="B5442" s="60">
        <v>43460</v>
      </c>
      <c r="C5442" s="7">
        <v>2.5000000000000001E-3</v>
      </c>
      <c r="D5442" s="7">
        <v>2.5000000000000001E-3</v>
      </c>
      <c r="E5442" s="7">
        <v>2.5000000000000001E-3</v>
      </c>
      <c r="F5442" s="7">
        <v>2.5000000000000001E-3</v>
      </c>
      <c r="G5442" s="7">
        <v>8.0999999999999996E-3</v>
      </c>
    </row>
    <row r="5443" spans="2:7" x14ac:dyDescent="0.2">
      <c r="B5443" s="60">
        <v>43461</v>
      </c>
      <c r="C5443" s="7">
        <v>2.2500000000000003E-3</v>
      </c>
      <c r="D5443" s="7">
        <v>2.5100000000000001E-3</v>
      </c>
      <c r="E5443" s="7">
        <v>2.5100000000000001E-3</v>
      </c>
      <c r="F5443" s="7">
        <v>2.1800000000000001E-3</v>
      </c>
      <c r="G5443" s="7">
        <v>-0.1</v>
      </c>
    </row>
    <row r="5444" spans="2:7" x14ac:dyDescent="0.2">
      <c r="B5444" s="60">
        <v>43462</v>
      </c>
      <c r="C5444" s="7">
        <v>2.3400000000000001E-3</v>
      </c>
      <c r="D5444" s="7">
        <v>2.3599999999999997E-3</v>
      </c>
      <c r="E5444" s="7">
        <v>2.5000000000000001E-3</v>
      </c>
      <c r="F5444" s="7">
        <v>2.2100000000000002E-3</v>
      </c>
      <c r="G5444" s="7">
        <v>0.04</v>
      </c>
    </row>
    <row r="5445" spans="2:7" x14ac:dyDescent="0.2">
      <c r="B5445" s="60">
        <v>43465</v>
      </c>
      <c r="C5445" s="7">
        <v>2.4599999999999999E-3</v>
      </c>
      <c r="D5445" s="7">
        <v>2.4299999999999999E-3</v>
      </c>
      <c r="E5445" s="7">
        <v>2.4599999999999999E-3</v>
      </c>
      <c r="F5445" s="7">
        <v>2.4299999999999999E-3</v>
      </c>
      <c r="G5445" s="7">
        <v>5.1299999999999998E-2</v>
      </c>
    </row>
    <row r="5446" spans="2:7" x14ac:dyDescent="0.2">
      <c r="B5446" s="60">
        <v>43466</v>
      </c>
      <c r="C5446" s="7">
        <v>2.4199999999999998E-3</v>
      </c>
      <c r="D5446" s="7">
        <v>2.4199999999999998E-3</v>
      </c>
      <c r="E5446" s="7">
        <v>2.4199999999999998E-3</v>
      </c>
      <c r="F5446" s="7">
        <v>2.4199999999999998E-3</v>
      </c>
      <c r="G5446" s="7">
        <v>-1.6299999999999999E-2</v>
      </c>
    </row>
    <row r="5447" spans="2:7" x14ac:dyDescent="0.2">
      <c r="B5447" s="60">
        <v>43467</v>
      </c>
      <c r="C5447" s="7">
        <v>1.65E-3</v>
      </c>
      <c r="D5447" s="7">
        <v>2.2699999999999999E-3</v>
      </c>
      <c r="E5447" s="7">
        <v>2.31E-3</v>
      </c>
      <c r="F5447" s="7">
        <v>1.48E-3</v>
      </c>
      <c r="G5447" s="7">
        <v>-0.31819999999999998</v>
      </c>
    </row>
    <row r="5448" spans="2:7" x14ac:dyDescent="0.2">
      <c r="B5448" s="60">
        <v>43468</v>
      </c>
      <c r="C5448" s="7">
        <v>1.5199999999999999E-3</v>
      </c>
      <c r="D5448" s="7">
        <v>1.5199999999999999E-3</v>
      </c>
      <c r="E5448" s="7">
        <v>1.89E-3</v>
      </c>
      <c r="F5448" s="7">
        <v>1.4599999999999999E-3</v>
      </c>
      <c r="G5448" s="7">
        <v>-7.8799999999999995E-2</v>
      </c>
    </row>
    <row r="5449" spans="2:7" x14ac:dyDescent="0.2">
      <c r="B5449" s="60">
        <v>43469</v>
      </c>
      <c r="C5449" s="7">
        <v>2.0599999999999998E-3</v>
      </c>
      <c r="D5449" s="7">
        <v>1.6300000000000002E-3</v>
      </c>
      <c r="E5449" s="7">
        <v>2.2100000000000002E-3</v>
      </c>
      <c r="F5449" s="7">
        <v>1.5900000000000001E-3</v>
      </c>
      <c r="G5449" s="7">
        <v>0.3553</v>
      </c>
    </row>
    <row r="5450" spans="2:7" x14ac:dyDescent="0.2">
      <c r="B5450" s="60">
        <v>43472</v>
      </c>
      <c r="C5450" s="7">
        <v>2.2100000000000002E-3</v>
      </c>
      <c r="D5450" s="7">
        <v>2.15E-3</v>
      </c>
      <c r="E5450" s="7">
        <v>2.2400000000000002E-3</v>
      </c>
      <c r="F5450" s="7">
        <v>1.9E-3</v>
      </c>
      <c r="G5450" s="7">
        <v>7.2800000000000004E-2</v>
      </c>
    </row>
    <row r="5451" spans="2:7" x14ac:dyDescent="0.2">
      <c r="B5451" s="60">
        <v>43473</v>
      </c>
      <c r="C5451" s="7">
        <v>2.2599999999999999E-3</v>
      </c>
      <c r="D5451" s="7">
        <v>2.2100000000000002E-3</v>
      </c>
      <c r="E5451" s="7">
        <v>2.47E-3</v>
      </c>
      <c r="F5451" s="7">
        <v>2.1800000000000001E-3</v>
      </c>
      <c r="G5451" s="7">
        <v>2.2599999999999999E-2</v>
      </c>
    </row>
    <row r="5452" spans="2:7" x14ac:dyDescent="0.2">
      <c r="B5452" s="60">
        <v>43474</v>
      </c>
      <c r="C5452" s="7">
        <v>2.1900000000000001E-3</v>
      </c>
      <c r="D5452" s="7">
        <v>2.2500000000000003E-3</v>
      </c>
      <c r="E5452" s="7">
        <v>2.47E-3</v>
      </c>
      <c r="F5452" s="7">
        <v>2.0399999999999997E-3</v>
      </c>
      <c r="G5452" s="7">
        <v>-3.1E-2</v>
      </c>
    </row>
    <row r="5453" spans="2:7" x14ac:dyDescent="0.2">
      <c r="B5453" s="60">
        <v>43475</v>
      </c>
      <c r="C5453" s="7">
        <v>1.97E-3</v>
      </c>
      <c r="D5453" s="7">
        <v>2.0100000000000001E-3</v>
      </c>
      <c r="E5453" s="7">
        <v>2.1299999999999999E-3</v>
      </c>
      <c r="F5453" s="7">
        <v>1.8500000000000001E-3</v>
      </c>
      <c r="G5453" s="7">
        <v>-0.10050000000000001</v>
      </c>
    </row>
    <row r="5454" spans="2:7" x14ac:dyDescent="0.2">
      <c r="B5454" s="60">
        <v>43476</v>
      </c>
      <c r="C5454" s="7">
        <v>1.83E-3</v>
      </c>
      <c r="D5454" s="7">
        <v>1.9300000000000001E-3</v>
      </c>
      <c r="E5454" s="7">
        <v>1.99E-3</v>
      </c>
      <c r="F5454" s="7">
        <v>1.67E-3</v>
      </c>
      <c r="G5454" s="7">
        <v>-7.1099999999999997E-2</v>
      </c>
    </row>
    <row r="5455" spans="2:7" x14ac:dyDescent="0.2">
      <c r="B5455" s="60">
        <v>43479</v>
      </c>
      <c r="C5455" s="7">
        <v>2.33E-3</v>
      </c>
      <c r="D5455" s="7">
        <v>2.3899999999999998E-3</v>
      </c>
      <c r="E5455" s="7">
        <v>2.3899999999999998E-3</v>
      </c>
      <c r="F5455" s="7">
        <v>2.0399999999999997E-3</v>
      </c>
      <c r="G5455" s="7">
        <v>0.2732</v>
      </c>
    </row>
    <row r="5456" spans="2:7" x14ac:dyDescent="0.2">
      <c r="B5456" s="60">
        <v>43480</v>
      </c>
      <c r="C5456" s="7">
        <v>2.0799999999999998E-3</v>
      </c>
      <c r="D5456" s="7">
        <v>2.3899999999999998E-3</v>
      </c>
      <c r="E5456" s="7">
        <v>2.4099999999999998E-3</v>
      </c>
      <c r="F5456" s="7">
        <v>1.99E-3</v>
      </c>
      <c r="G5456" s="7">
        <v>-0.10730000000000001</v>
      </c>
    </row>
    <row r="5457" spans="2:7" x14ac:dyDescent="0.2">
      <c r="B5457" s="60">
        <v>43481</v>
      </c>
      <c r="C5457" s="7">
        <v>2.2400000000000002E-3</v>
      </c>
      <c r="D5457" s="7">
        <v>2.0799999999999998E-3</v>
      </c>
      <c r="E5457" s="7">
        <v>2.3899999999999998E-3</v>
      </c>
      <c r="F5457" s="7">
        <v>2.0699999999999998E-3</v>
      </c>
      <c r="G5457" s="7">
        <v>7.6899999999999996E-2</v>
      </c>
    </row>
    <row r="5458" spans="2:7" x14ac:dyDescent="0.2">
      <c r="B5458" s="60">
        <v>43482</v>
      </c>
      <c r="C5458" s="7">
        <v>2.4299999999999999E-3</v>
      </c>
      <c r="D5458" s="7">
        <v>2.1800000000000001E-3</v>
      </c>
      <c r="E5458" s="7">
        <v>2.4599999999999999E-3</v>
      </c>
      <c r="F5458" s="7">
        <v>2.0499999999999997E-3</v>
      </c>
      <c r="G5458" s="7">
        <v>8.48E-2</v>
      </c>
    </row>
    <row r="5459" spans="2:7" x14ac:dyDescent="0.2">
      <c r="B5459" s="60">
        <v>43483</v>
      </c>
      <c r="C5459" s="7">
        <v>2.63E-3</v>
      </c>
      <c r="D5459" s="7">
        <v>2.4599999999999999E-3</v>
      </c>
      <c r="E5459" s="7">
        <v>2.7600000000000003E-3</v>
      </c>
      <c r="F5459" s="7">
        <v>2.3999999999999998E-3</v>
      </c>
      <c r="G5459" s="7">
        <v>8.2299999999999998E-2</v>
      </c>
    </row>
    <row r="5460" spans="2:7" x14ac:dyDescent="0.2">
      <c r="B5460" s="60">
        <v>43486</v>
      </c>
      <c r="C5460" s="7">
        <v>2.5400000000000002E-3</v>
      </c>
      <c r="D5460" s="7">
        <v>2.5500000000000002E-3</v>
      </c>
      <c r="E5460" s="7">
        <v>2.64E-3</v>
      </c>
      <c r="F5460" s="7">
        <v>2.47E-3</v>
      </c>
      <c r="G5460" s="7">
        <v>-3.4200000000000001E-2</v>
      </c>
    </row>
    <row r="5461" spans="2:7" x14ac:dyDescent="0.2">
      <c r="B5461" s="60">
        <v>43487</v>
      </c>
      <c r="C5461" s="7">
        <v>2.3499999999999997E-3</v>
      </c>
      <c r="D5461" s="7">
        <v>2.48E-3</v>
      </c>
      <c r="E5461" s="7">
        <v>2.6099999999999999E-3</v>
      </c>
      <c r="F5461" s="7">
        <v>2.2500000000000003E-3</v>
      </c>
      <c r="G5461" s="7">
        <v>-7.4800000000000005E-2</v>
      </c>
    </row>
    <row r="5462" spans="2:7" x14ac:dyDescent="0.2">
      <c r="B5462" s="60">
        <v>43488</v>
      </c>
      <c r="C5462" s="7">
        <v>2.2400000000000002E-3</v>
      </c>
      <c r="D5462" s="7">
        <v>2.3499999999999997E-3</v>
      </c>
      <c r="E5462" s="7">
        <v>2.49E-3</v>
      </c>
      <c r="F5462" s="7">
        <v>2.1800000000000001E-3</v>
      </c>
      <c r="G5462" s="7">
        <v>-4.6800000000000001E-2</v>
      </c>
    </row>
    <row r="5463" spans="2:7" x14ac:dyDescent="0.2">
      <c r="B5463" s="60">
        <v>43489</v>
      </c>
      <c r="C5463" s="7">
        <v>1.8E-3</v>
      </c>
      <c r="D5463" s="7">
        <v>2.2500000000000003E-3</v>
      </c>
      <c r="E5463" s="7">
        <v>2.2899999999999999E-3</v>
      </c>
      <c r="F5463" s="7">
        <v>1.7799999999999999E-3</v>
      </c>
      <c r="G5463" s="7">
        <v>-0.19639999999999999</v>
      </c>
    </row>
    <row r="5464" spans="2:7" x14ac:dyDescent="0.2">
      <c r="B5464" s="60">
        <v>43490</v>
      </c>
      <c r="C5464" s="7">
        <v>1.92E-3</v>
      </c>
      <c r="D5464" s="7">
        <v>1.8599999999999999E-3</v>
      </c>
      <c r="E5464" s="7">
        <v>2.0499999999999997E-3</v>
      </c>
      <c r="F5464" s="7">
        <v>1.7699999999999999E-3</v>
      </c>
      <c r="G5464" s="7">
        <v>6.6699999999999995E-2</v>
      </c>
    </row>
    <row r="5465" spans="2:7" x14ac:dyDescent="0.2">
      <c r="B5465" s="60">
        <v>43491</v>
      </c>
      <c r="C5465" s="7">
        <v>1.9E-3</v>
      </c>
      <c r="D5465" s="7">
        <v>1.9E-3</v>
      </c>
      <c r="E5465" s="7">
        <v>1.9E-3</v>
      </c>
      <c r="F5465" s="7">
        <v>1.9E-3</v>
      </c>
      <c r="G5465" s="7">
        <v>-1.04E-2</v>
      </c>
    </row>
    <row r="5466" spans="2:7" x14ac:dyDescent="0.2">
      <c r="B5466" s="60">
        <v>43493</v>
      </c>
      <c r="C5466" s="7">
        <v>2.0499999999999997E-3</v>
      </c>
      <c r="D5466" s="7">
        <v>1.8599999999999999E-3</v>
      </c>
      <c r="E5466" s="7">
        <v>2.2500000000000003E-3</v>
      </c>
      <c r="F5466" s="7">
        <v>1.8599999999999999E-3</v>
      </c>
      <c r="G5466" s="7">
        <v>7.8899999999999998E-2</v>
      </c>
    </row>
    <row r="5467" spans="2:7" x14ac:dyDescent="0.2">
      <c r="B5467" s="60">
        <v>43494</v>
      </c>
      <c r="C5467" s="7">
        <v>1.99E-3</v>
      </c>
      <c r="D5467" s="7">
        <v>2.0999999999999999E-3</v>
      </c>
      <c r="E5467" s="7">
        <v>2.15E-3</v>
      </c>
      <c r="F5467" s="7">
        <v>1.9599999999999999E-3</v>
      </c>
      <c r="G5467" s="7">
        <v>-2.93E-2</v>
      </c>
    </row>
    <row r="5468" spans="2:7" x14ac:dyDescent="0.2">
      <c r="B5468" s="60">
        <v>43495</v>
      </c>
      <c r="C5468" s="7">
        <v>1.89E-3</v>
      </c>
      <c r="D5468" s="7">
        <v>1.9599999999999999E-3</v>
      </c>
      <c r="E5468" s="7">
        <v>2.0599999999999998E-3</v>
      </c>
      <c r="F5468" s="7">
        <v>1.8500000000000001E-3</v>
      </c>
      <c r="G5468" s="7">
        <v>-5.0299999999999997E-2</v>
      </c>
    </row>
    <row r="5469" spans="2:7" x14ac:dyDescent="0.2">
      <c r="B5469" s="60">
        <v>43496</v>
      </c>
      <c r="C5469" s="7">
        <v>1.49E-3</v>
      </c>
      <c r="D5469" s="7">
        <v>1.72E-3</v>
      </c>
      <c r="E5469" s="7">
        <v>1.83E-3</v>
      </c>
      <c r="F5469" s="7">
        <v>1.48E-3</v>
      </c>
      <c r="G5469" s="7">
        <v>-0.21160000000000001</v>
      </c>
    </row>
    <row r="5470" spans="2:7" x14ac:dyDescent="0.2">
      <c r="B5470" s="60">
        <v>43497</v>
      </c>
      <c r="C5470" s="7">
        <v>1.66E-3</v>
      </c>
      <c r="D5470" s="7">
        <v>1.5100000000000001E-3</v>
      </c>
      <c r="E5470" s="7">
        <v>1.7000000000000001E-3</v>
      </c>
      <c r="F5470" s="7">
        <v>1.47E-3</v>
      </c>
      <c r="G5470" s="7">
        <v>0.11409999999999999</v>
      </c>
    </row>
    <row r="5471" spans="2:7" x14ac:dyDescent="0.2">
      <c r="B5471" s="60">
        <v>43500</v>
      </c>
      <c r="C5471" s="7">
        <v>1.7599999999999998E-3</v>
      </c>
      <c r="D5471" s="7">
        <v>1.6800000000000001E-3</v>
      </c>
      <c r="E5471" s="7">
        <v>1.8500000000000001E-3</v>
      </c>
      <c r="F5471" s="7">
        <v>1.6000000000000001E-3</v>
      </c>
      <c r="G5471" s="7">
        <v>6.0199999999999997E-2</v>
      </c>
    </row>
    <row r="5472" spans="2:7" x14ac:dyDescent="0.2">
      <c r="B5472" s="60">
        <v>43501</v>
      </c>
      <c r="C5472" s="7">
        <v>1.7000000000000001E-3</v>
      </c>
      <c r="D5472" s="7">
        <v>1.7399999999999998E-3</v>
      </c>
      <c r="E5472" s="7">
        <v>2.0599999999999998E-3</v>
      </c>
      <c r="F5472" s="7">
        <v>1.64E-3</v>
      </c>
      <c r="G5472" s="7">
        <v>-3.4099999999999998E-2</v>
      </c>
    </row>
    <row r="5473" spans="2:7" x14ac:dyDescent="0.2">
      <c r="B5473" s="60">
        <v>43502</v>
      </c>
      <c r="C5473" s="7">
        <v>1.6200000000000001E-3</v>
      </c>
      <c r="D5473" s="7">
        <v>1.66E-3</v>
      </c>
      <c r="E5473" s="7">
        <v>1.7499999999999998E-3</v>
      </c>
      <c r="F5473" s="7">
        <v>1.5399999999999999E-3</v>
      </c>
      <c r="G5473" s="7">
        <v>-4.7100000000000003E-2</v>
      </c>
    </row>
    <row r="5474" spans="2:7" x14ac:dyDescent="0.2">
      <c r="B5474" s="60">
        <v>43503</v>
      </c>
      <c r="C5474" s="7">
        <v>1.16E-3</v>
      </c>
      <c r="D5474" s="7">
        <v>1.58E-3</v>
      </c>
      <c r="E5474" s="7">
        <v>1.66E-3</v>
      </c>
      <c r="F5474" s="7">
        <v>1.0499999999999999E-3</v>
      </c>
      <c r="G5474" s="7">
        <v>-0.28399999999999997</v>
      </c>
    </row>
    <row r="5475" spans="2:7" x14ac:dyDescent="0.2">
      <c r="B5475" s="60">
        <v>43504</v>
      </c>
      <c r="C5475" s="7">
        <v>8.7999999999999992E-4</v>
      </c>
      <c r="D5475" s="7">
        <v>1.0299999999999999E-3</v>
      </c>
      <c r="E5475" s="7">
        <v>1.1799999999999998E-3</v>
      </c>
      <c r="F5475" s="7">
        <v>7.6999999999999996E-4</v>
      </c>
      <c r="G5475" s="7">
        <v>-0.2414</v>
      </c>
    </row>
    <row r="5476" spans="2:7" x14ac:dyDescent="0.2">
      <c r="B5476" s="60">
        <v>43507</v>
      </c>
      <c r="C5476" s="7">
        <v>1.1899999999999999E-3</v>
      </c>
      <c r="D5476" s="7">
        <v>9.3999999999999997E-4</v>
      </c>
      <c r="E5476" s="7">
        <v>1.2199999999999999E-3</v>
      </c>
      <c r="F5476" s="7">
        <v>8.9999999999999998E-4</v>
      </c>
      <c r="G5476" s="7">
        <v>0.3523</v>
      </c>
    </row>
    <row r="5477" spans="2:7" x14ac:dyDescent="0.2">
      <c r="B5477" s="60">
        <v>43508</v>
      </c>
      <c r="C5477" s="7">
        <v>1.32E-3</v>
      </c>
      <c r="D5477" s="7">
        <v>1.2800000000000001E-3</v>
      </c>
      <c r="E5477" s="7">
        <v>1.4599999999999999E-3</v>
      </c>
      <c r="F5477" s="7">
        <v>1.1799999999999998E-3</v>
      </c>
      <c r="G5477" s="7">
        <v>0.10920000000000001</v>
      </c>
    </row>
    <row r="5478" spans="2:7" x14ac:dyDescent="0.2">
      <c r="B5478" s="60">
        <v>43509</v>
      </c>
      <c r="C5478" s="7">
        <v>1.23E-3</v>
      </c>
      <c r="D5478" s="7">
        <v>1.4000000000000002E-3</v>
      </c>
      <c r="E5478" s="7">
        <v>1.4499999999999999E-3</v>
      </c>
      <c r="F5478" s="7">
        <v>1.1899999999999999E-3</v>
      </c>
      <c r="G5478" s="7">
        <v>-6.8199999999999997E-2</v>
      </c>
    </row>
    <row r="5479" spans="2:7" x14ac:dyDescent="0.2">
      <c r="B5479" s="60">
        <v>43510</v>
      </c>
      <c r="C5479" s="7">
        <v>1.0499999999999999E-3</v>
      </c>
      <c r="D5479" s="7">
        <v>1.33E-3</v>
      </c>
      <c r="E5479" s="7">
        <v>1.33E-3</v>
      </c>
      <c r="F5479" s="7">
        <v>8.5999999999999998E-4</v>
      </c>
      <c r="G5479" s="7">
        <v>-0.14630000000000001</v>
      </c>
    </row>
    <row r="5480" spans="2:7" x14ac:dyDescent="0.2">
      <c r="B5480" s="60">
        <v>43511</v>
      </c>
      <c r="C5480" s="7">
        <v>1.0399999999999999E-3</v>
      </c>
      <c r="D5480" s="7">
        <v>1.01E-3</v>
      </c>
      <c r="E5480" s="7">
        <v>1.17E-3</v>
      </c>
      <c r="F5480" s="7">
        <v>9.2000000000000003E-4</v>
      </c>
      <c r="G5480" s="7">
        <v>-9.4999999999999998E-3</v>
      </c>
    </row>
    <row r="5481" spans="2:7" x14ac:dyDescent="0.2">
      <c r="B5481" s="60">
        <v>43512</v>
      </c>
      <c r="C5481" s="7">
        <v>9.8999999999999999E-4</v>
      </c>
      <c r="D5481" s="7">
        <v>9.8999999999999999E-4</v>
      </c>
      <c r="E5481" s="7">
        <v>9.8999999999999999E-4</v>
      </c>
      <c r="F5481" s="7">
        <v>9.8999999999999999E-4</v>
      </c>
      <c r="G5481" s="7">
        <v>-4.8099999999999997E-2</v>
      </c>
    </row>
    <row r="5482" spans="2:7" x14ac:dyDescent="0.2">
      <c r="B5482" s="60">
        <v>43514</v>
      </c>
      <c r="C5482" s="7">
        <v>1.1200000000000001E-3</v>
      </c>
      <c r="D5482" s="7">
        <v>1.0399999999999999E-3</v>
      </c>
      <c r="E5482" s="7">
        <v>1.1799999999999998E-3</v>
      </c>
      <c r="F5482" s="7">
        <v>9.7000000000000005E-4</v>
      </c>
      <c r="G5482" s="7">
        <v>0.1313</v>
      </c>
    </row>
    <row r="5483" spans="2:7" x14ac:dyDescent="0.2">
      <c r="B5483" s="60">
        <v>43515</v>
      </c>
      <c r="C5483" s="7">
        <v>1.0499999999999999E-3</v>
      </c>
      <c r="D5483" s="7">
        <v>1.07E-3</v>
      </c>
      <c r="E5483" s="7">
        <v>1.1899999999999999E-3</v>
      </c>
      <c r="F5483" s="7">
        <v>8.4000000000000003E-4</v>
      </c>
      <c r="G5483" s="7">
        <v>-6.25E-2</v>
      </c>
    </row>
    <row r="5484" spans="2:7" x14ac:dyDescent="0.2">
      <c r="B5484" s="60">
        <v>43516</v>
      </c>
      <c r="C5484" s="7">
        <v>9.8999999999999999E-4</v>
      </c>
      <c r="D5484" s="7">
        <v>1.0399999999999999E-3</v>
      </c>
      <c r="E5484" s="7">
        <v>1.1200000000000001E-3</v>
      </c>
      <c r="F5484" s="7">
        <v>8.8999999999999995E-4</v>
      </c>
      <c r="G5484" s="7">
        <v>-5.7099999999999998E-2</v>
      </c>
    </row>
    <row r="5485" spans="2:7" x14ac:dyDescent="0.2">
      <c r="B5485" s="60">
        <v>43517</v>
      </c>
      <c r="C5485" s="7">
        <v>1.2900000000000001E-3</v>
      </c>
      <c r="D5485" s="7">
        <v>1.0499999999999999E-3</v>
      </c>
      <c r="E5485" s="7">
        <v>1.4599999999999999E-3</v>
      </c>
      <c r="F5485" s="7">
        <v>9.7999999999999997E-4</v>
      </c>
      <c r="G5485" s="7">
        <v>0.30299999999999999</v>
      </c>
    </row>
    <row r="5486" spans="2:7" x14ac:dyDescent="0.2">
      <c r="B5486" s="60">
        <v>43518</v>
      </c>
      <c r="C5486" s="7">
        <v>9.3999999999999997E-4</v>
      </c>
      <c r="D5486" s="7">
        <v>1.25E-3</v>
      </c>
      <c r="E5486" s="7">
        <v>1.2700000000000001E-3</v>
      </c>
      <c r="F5486" s="7">
        <v>9.2000000000000003E-4</v>
      </c>
      <c r="G5486" s="7">
        <v>-0.27129999999999999</v>
      </c>
    </row>
    <row r="5487" spans="2:7" x14ac:dyDescent="0.2">
      <c r="B5487" s="60">
        <v>43521</v>
      </c>
      <c r="C5487" s="7">
        <v>1.09E-3</v>
      </c>
      <c r="D5487" s="7">
        <v>1E-3</v>
      </c>
      <c r="E5487" s="7">
        <v>1.23E-3</v>
      </c>
      <c r="F5487" s="7">
        <v>1E-3</v>
      </c>
      <c r="G5487" s="7">
        <v>0.15959999999999999</v>
      </c>
    </row>
    <row r="5488" spans="2:7" x14ac:dyDescent="0.2">
      <c r="B5488" s="60">
        <v>43522</v>
      </c>
      <c r="C5488" s="7">
        <v>1.1899999999999999E-3</v>
      </c>
      <c r="D5488" s="7">
        <v>1.0399999999999999E-3</v>
      </c>
      <c r="E5488" s="7">
        <v>1.2700000000000001E-3</v>
      </c>
      <c r="F5488" s="7">
        <v>9.1E-4</v>
      </c>
      <c r="G5488" s="7">
        <v>9.1700000000000004E-2</v>
      </c>
    </row>
    <row r="5489" spans="2:7" x14ac:dyDescent="0.2">
      <c r="B5489" s="60">
        <v>43523</v>
      </c>
      <c r="C5489" s="7">
        <v>1.48E-3</v>
      </c>
      <c r="D5489" s="7">
        <v>1.1000000000000001E-3</v>
      </c>
      <c r="E5489" s="7">
        <v>1.6800000000000001E-3</v>
      </c>
      <c r="F5489" s="7">
        <v>1.0299999999999999E-3</v>
      </c>
      <c r="G5489" s="7">
        <v>0.2437</v>
      </c>
    </row>
    <row r="5490" spans="2:7" x14ac:dyDescent="0.2">
      <c r="B5490" s="60">
        <v>43524</v>
      </c>
      <c r="C5490" s="7">
        <v>1.82E-3</v>
      </c>
      <c r="D5490" s="7">
        <v>1.4599999999999999E-3</v>
      </c>
      <c r="E5490" s="7">
        <v>1.9500000000000001E-3</v>
      </c>
      <c r="F5490" s="7">
        <v>1.3800000000000002E-3</v>
      </c>
      <c r="G5490" s="7">
        <v>0.22969999999999999</v>
      </c>
    </row>
    <row r="5491" spans="2:7" x14ac:dyDescent="0.2">
      <c r="B5491" s="60">
        <v>43525</v>
      </c>
      <c r="C5491" s="7">
        <v>1.8400000000000001E-3</v>
      </c>
      <c r="D5491" s="7">
        <v>1.89E-3</v>
      </c>
      <c r="E5491" s="7">
        <v>2.0799999999999998E-3</v>
      </c>
      <c r="F5491" s="7">
        <v>1.7899999999999999E-3</v>
      </c>
      <c r="G5491" s="7">
        <v>1.0999999999999999E-2</v>
      </c>
    </row>
    <row r="5492" spans="2:7" x14ac:dyDescent="0.2">
      <c r="B5492" s="60">
        <v>43526</v>
      </c>
      <c r="C5492" s="7">
        <v>1.89E-3</v>
      </c>
      <c r="D5492" s="7">
        <v>1.89E-3</v>
      </c>
      <c r="E5492" s="7">
        <v>1.89E-3</v>
      </c>
      <c r="F5492" s="7">
        <v>1.89E-3</v>
      </c>
      <c r="G5492" s="7">
        <v>2.7199999999999998E-2</v>
      </c>
    </row>
    <row r="5493" spans="2:7" x14ac:dyDescent="0.2">
      <c r="B5493" s="60">
        <v>43528</v>
      </c>
      <c r="C5493" s="7">
        <v>1.64E-3</v>
      </c>
      <c r="D5493" s="7">
        <v>1.9300000000000001E-3</v>
      </c>
      <c r="E5493" s="7">
        <v>1.9500000000000001E-3</v>
      </c>
      <c r="F5493" s="7">
        <v>1.5399999999999999E-3</v>
      </c>
      <c r="G5493" s="7">
        <v>-0.1323</v>
      </c>
    </row>
    <row r="5494" spans="2:7" x14ac:dyDescent="0.2">
      <c r="B5494" s="60">
        <v>43529</v>
      </c>
      <c r="C5494" s="7">
        <v>1.67E-3</v>
      </c>
      <c r="D5494" s="7">
        <v>1.66E-3</v>
      </c>
      <c r="E5494" s="7">
        <v>1.8699999999999999E-3</v>
      </c>
      <c r="F5494" s="7">
        <v>1.58E-3</v>
      </c>
      <c r="G5494" s="7">
        <v>1.83E-2</v>
      </c>
    </row>
    <row r="5495" spans="2:7" x14ac:dyDescent="0.2">
      <c r="B5495" s="60">
        <v>43530</v>
      </c>
      <c r="C5495" s="7">
        <v>1.2800000000000001E-3</v>
      </c>
      <c r="D5495" s="7">
        <v>1.7000000000000001E-3</v>
      </c>
      <c r="E5495" s="7">
        <v>1.7000000000000001E-3</v>
      </c>
      <c r="F5495" s="7">
        <v>1.23E-3</v>
      </c>
      <c r="G5495" s="7">
        <v>-0.23350000000000001</v>
      </c>
    </row>
    <row r="5496" spans="2:7" x14ac:dyDescent="0.2">
      <c r="B5496" s="60">
        <v>43531</v>
      </c>
      <c r="C5496" s="7">
        <v>6.6E-4</v>
      </c>
      <c r="D5496" s="7">
        <v>1.23E-3</v>
      </c>
      <c r="E5496" s="7">
        <v>1.3900000000000002E-3</v>
      </c>
      <c r="F5496" s="7">
        <v>6.0999999999999997E-4</v>
      </c>
      <c r="G5496" s="7">
        <v>-0.4844</v>
      </c>
    </row>
    <row r="5497" spans="2:7" x14ac:dyDescent="0.2">
      <c r="B5497" s="60">
        <v>43532</v>
      </c>
      <c r="C5497" s="7">
        <v>7.0999999999999991E-4</v>
      </c>
      <c r="D5497" s="7">
        <v>5.9999999999999995E-4</v>
      </c>
      <c r="E5497" s="7">
        <v>7.9000000000000001E-4</v>
      </c>
      <c r="F5497" s="7">
        <v>4.8000000000000001E-4</v>
      </c>
      <c r="G5497" s="7">
        <v>7.5800000000000006E-2</v>
      </c>
    </row>
    <row r="5498" spans="2:7" x14ac:dyDescent="0.2">
      <c r="B5498" s="60">
        <v>43533</v>
      </c>
      <c r="C5498" s="7">
        <v>7.0999999999999991E-4</v>
      </c>
      <c r="D5498" s="7">
        <v>7.0999999999999991E-4</v>
      </c>
      <c r="E5498" s="7">
        <v>7.0999999999999991E-4</v>
      </c>
      <c r="F5498" s="7">
        <v>7.0999999999999991E-4</v>
      </c>
      <c r="G5498" s="7">
        <v>0</v>
      </c>
    </row>
    <row r="5499" spans="2:7" x14ac:dyDescent="0.2">
      <c r="B5499" s="60">
        <v>43535</v>
      </c>
      <c r="C5499" s="7">
        <v>6.7000000000000002E-4</v>
      </c>
      <c r="D5499" s="7">
        <v>6.4999999999999997E-4</v>
      </c>
      <c r="E5499" s="7">
        <v>7.7999999999999999E-4</v>
      </c>
      <c r="F5499" s="7">
        <v>5.5000000000000003E-4</v>
      </c>
      <c r="G5499" s="7">
        <v>-5.6300000000000003E-2</v>
      </c>
    </row>
    <row r="5500" spans="2:7" x14ac:dyDescent="0.2">
      <c r="B5500" s="60">
        <v>43536</v>
      </c>
      <c r="C5500" s="7">
        <v>5.4000000000000001E-4</v>
      </c>
      <c r="D5500" s="7">
        <v>8.0000000000000004E-4</v>
      </c>
      <c r="E5500" s="7">
        <v>1.07E-3</v>
      </c>
      <c r="F5500" s="7">
        <v>5.1999999999999995E-4</v>
      </c>
      <c r="G5500" s="7">
        <v>-0.19400000000000001</v>
      </c>
    </row>
    <row r="5501" spans="2:7" x14ac:dyDescent="0.2">
      <c r="B5501" s="60">
        <v>43537</v>
      </c>
      <c r="C5501" s="7">
        <v>6.3000000000000003E-4</v>
      </c>
      <c r="D5501" s="7">
        <v>5.5000000000000003E-4</v>
      </c>
      <c r="E5501" s="7">
        <v>7.5999999999999993E-4</v>
      </c>
      <c r="F5501" s="7">
        <v>5.4000000000000001E-4</v>
      </c>
      <c r="G5501" s="7">
        <v>0.16669999999999999</v>
      </c>
    </row>
    <row r="5502" spans="2:7" x14ac:dyDescent="0.2">
      <c r="B5502" s="60">
        <v>43538</v>
      </c>
      <c r="C5502" s="7">
        <v>8.5000000000000006E-4</v>
      </c>
      <c r="D5502" s="7">
        <v>7.7999999999999999E-4</v>
      </c>
      <c r="E5502" s="7">
        <v>9.6000000000000002E-4</v>
      </c>
      <c r="F5502" s="7">
        <v>6.6E-4</v>
      </c>
      <c r="G5502" s="7">
        <v>0.34920000000000001</v>
      </c>
    </row>
    <row r="5503" spans="2:7" x14ac:dyDescent="0.2">
      <c r="B5503" s="60">
        <v>43539</v>
      </c>
      <c r="C5503" s="7">
        <v>8.3000000000000001E-4</v>
      </c>
      <c r="D5503" s="7">
        <v>7.6999999999999996E-4</v>
      </c>
      <c r="E5503" s="7">
        <v>1.0399999999999999E-3</v>
      </c>
      <c r="F5503" s="7">
        <v>6.6E-4</v>
      </c>
      <c r="G5503" s="7">
        <v>-2.35E-2</v>
      </c>
    </row>
    <row r="5504" spans="2:7" x14ac:dyDescent="0.2">
      <c r="B5504" s="60">
        <v>43540</v>
      </c>
      <c r="C5504" s="7">
        <v>8.4000000000000003E-4</v>
      </c>
      <c r="D5504" s="7">
        <v>8.4000000000000003E-4</v>
      </c>
      <c r="E5504" s="7">
        <v>8.4000000000000003E-4</v>
      </c>
      <c r="F5504" s="7">
        <v>8.4000000000000003E-4</v>
      </c>
      <c r="G5504" s="7">
        <v>1.2E-2</v>
      </c>
    </row>
    <row r="5505" spans="2:7" x14ac:dyDescent="0.2">
      <c r="B5505" s="60">
        <v>43542</v>
      </c>
      <c r="C5505" s="7">
        <v>8.5000000000000006E-4</v>
      </c>
      <c r="D5505" s="7">
        <v>8.5999999999999998E-4</v>
      </c>
      <c r="E5505" s="7">
        <v>1.0199999999999999E-3</v>
      </c>
      <c r="F5505" s="7">
        <v>7.1999999999999994E-4</v>
      </c>
      <c r="G5505" s="7">
        <v>1.1900000000000001E-2</v>
      </c>
    </row>
    <row r="5506" spans="2:7" x14ac:dyDescent="0.2">
      <c r="B5506" s="60">
        <v>43543</v>
      </c>
      <c r="C5506" s="7">
        <v>1.01E-3</v>
      </c>
      <c r="D5506" s="7">
        <v>8.1999999999999998E-4</v>
      </c>
      <c r="E5506" s="7">
        <v>1.24E-3</v>
      </c>
      <c r="F5506" s="7">
        <v>7.3999999999999999E-4</v>
      </c>
      <c r="G5506" s="7">
        <v>0.18820000000000001</v>
      </c>
    </row>
    <row r="5507" spans="2:7" x14ac:dyDescent="0.2">
      <c r="B5507" s="60">
        <v>43544</v>
      </c>
      <c r="C5507" s="7">
        <v>8.3000000000000001E-4</v>
      </c>
      <c r="D5507" s="7">
        <v>1.0199999999999999E-3</v>
      </c>
      <c r="E5507" s="7">
        <v>1.1100000000000001E-3</v>
      </c>
      <c r="F5507" s="7">
        <v>7.5999999999999993E-4</v>
      </c>
      <c r="G5507" s="7">
        <v>-0.1782</v>
      </c>
    </row>
    <row r="5508" spans="2:7" x14ac:dyDescent="0.2">
      <c r="B5508" s="60">
        <v>43545</v>
      </c>
      <c r="C5508" s="7">
        <v>4.2000000000000002E-4</v>
      </c>
      <c r="D5508" s="7">
        <v>6.9000000000000008E-4</v>
      </c>
      <c r="E5508" s="7">
        <v>7.1999999999999994E-4</v>
      </c>
      <c r="F5508" s="7">
        <v>3.4000000000000002E-4</v>
      </c>
      <c r="G5508" s="7">
        <v>-0.49399999999999999</v>
      </c>
    </row>
    <row r="5509" spans="2:7" x14ac:dyDescent="0.2">
      <c r="B5509" s="60">
        <v>43546</v>
      </c>
      <c r="C5509" s="7">
        <v>-1.2E-4</v>
      </c>
      <c r="D5509" s="7">
        <v>4.8999999999999998E-4</v>
      </c>
      <c r="E5509" s="7">
        <v>5.4000000000000001E-4</v>
      </c>
      <c r="F5509" s="7">
        <v>-3.3E-4</v>
      </c>
      <c r="G5509" s="7">
        <v>-1.2857000000000001</v>
      </c>
    </row>
    <row r="5510" spans="2:7" x14ac:dyDescent="0.2">
      <c r="B5510" s="60">
        <v>43549</v>
      </c>
      <c r="C5510" s="7">
        <v>-2.8000000000000003E-4</v>
      </c>
      <c r="D5510" s="7">
        <v>-2.0000000000000001E-4</v>
      </c>
      <c r="E5510" s="7">
        <v>4.0000000000000003E-5</v>
      </c>
      <c r="F5510" s="7">
        <v>-3.2000000000000003E-4</v>
      </c>
      <c r="G5510" s="7">
        <v>1.3332999999999999</v>
      </c>
    </row>
    <row r="5511" spans="2:7" x14ac:dyDescent="0.2">
      <c r="B5511" s="60">
        <v>43550</v>
      </c>
      <c r="C5511" s="7">
        <v>-1.4999999999999999E-4</v>
      </c>
      <c r="D5511" s="7">
        <v>-1.4000000000000001E-4</v>
      </c>
      <c r="E5511" s="7">
        <v>-4.0000000000000003E-5</v>
      </c>
      <c r="F5511" s="7">
        <v>-3.2000000000000003E-4</v>
      </c>
      <c r="G5511" s="7">
        <v>-0.46429999999999999</v>
      </c>
    </row>
    <row r="5512" spans="2:7" x14ac:dyDescent="0.2">
      <c r="B5512" s="60">
        <v>43551</v>
      </c>
      <c r="C5512" s="7">
        <v>-8.1000000000000006E-4</v>
      </c>
      <c r="D5512" s="7">
        <v>-3.1E-4</v>
      </c>
      <c r="E5512" s="7">
        <v>-2.9E-4</v>
      </c>
      <c r="F5512" s="7">
        <v>-9.3999999999999997E-4</v>
      </c>
      <c r="G5512" s="7">
        <v>4.4000000000000004</v>
      </c>
    </row>
    <row r="5513" spans="2:7" x14ac:dyDescent="0.2">
      <c r="B5513" s="60">
        <v>43552</v>
      </c>
      <c r="C5513" s="7">
        <v>-7.0999999999999991E-4</v>
      </c>
      <c r="D5513" s="7">
        <v>-8.699999999999999E-4</v>
      </c>
      <c r="E5513" s="7">
        <v>-5.8999999999999992E-4</v>
      </c>
      <c r="F5513" s="7">
        <v>-9.2000000000000003E-4</v>
      </c>
      <c r="G5513" s="7">
        <v>-0.1235</v>
      </c>
    </row>
    <row r="5514" spans="2:7" x14ac:dyDescent="0.2">
      <c r="B5514" s="60">
        <v>43553</v>
      </c>
      <c r="C5514" s="7">
        <v>-7.0999999999999991E-4</v>
      </c>
      <c r="D5514" s="7">
        <v>-6.0999999999999997E-4</v>
      </c>
      <c r="E5514" s="7">
        <v>-4.4999999999999999E-4</v>
      </c>
      <c r="F5514" s="7">
        <v>-7.5000000000000002E-4</v>
      </c>
      <c r="G5514" s="7">
        <v>0</v>
      </c>
    </row>
    <row r="5515" spans="2:7" x14ac:dyDescent="0.2">
      <c r="B5515" s="60">
        <v>43554</v>
      </c>
      <c r="C5515" s="7">
        <v>-6.8000000000000005E-4</v>
      </c>
      <c r="D5515" s="7">
        <v>-6.8000000000000005E-4</v>
      </c>
      <c r="E5515" s="7">
        <v>-6.8000000000000005E-4</v>
      </c>
      <c r="F5515" s="7">
        <v>-6.8000000000000005E-4</v>
      </c>
      <c r="G5515" s="7">
        <v>-4.2299999999999997E-2</v>
      </c>
    </row>
    <row r="5516" spans="2:7" x14ac:dyDescent="0.2">
      <c r="B5516" s="60">
        <v>43556</v>
      </c>
      <c r="C5516" s="7">
        <v>-2.7E-4</v>
      </c>
      <c r="D5516" s="7">
        <v>-4.8999999999999998E-4</v>
      </c>
      <c r="E5516" s="7">
        <v>-1.7999999999999998E-4</v>
      </c>
      <c r="F5516" s="7">
        <v>-5.2999999999999998E-4</v>
      </c>
      <c r="G5516" s="7">
        <v>-0.60289999999999999</v>
      </c>
    </row>
    <row r="5517" spans="2:7" x14ac:dyDescent="0.2">
      <c r="B5517" s="60">
        <v>43557</v>
      </c>
      <c r="C5517" s="7">
        <v>-4.8999999999999998E-4</v>
      </c>
      <c r="D5517" s="7">
        <v>-3.6999999999999999E-4</v>
      </c>
      <c r="E5517" s="7">
        <v>-2.4000000000000001E-4</v>
      </c>
      <c r="F5517" s="7">
        <v>-5.5000000000000003E-4</v>
      </c>
      <c r="G5517" s="7">
        <v>0.81479999999999997</v>
      </c>
    </row>
    <row r="5518" spans="2:7" x14ac:dyDescent="0.2">
      <c r="B5518" s="60">
        <v>43558</v>
      </c>
      <c r="C5518" s="7">
        <v>8.0000000000000007E-5</v>
      </c>
      <c r="D5518" s="7">
        <v>-2.3000000000000001E-4</v>
      </c>
      <c r="E5518" s="7">
        <v>1.2999999999999999E-4</v>
      </c>
      <c r="F5518" s="7">
        <v>-2.4000000000000001E-4</v>
      </c>
      <c r="G5518" s="7">
        <v>-1.1633</v>
      </c>
    </row>
    <row r="5519" spans="2:7" x14ac:dyDescent="0.2">
      <c r="B5519" s="60">
        <v>43559</v>
      </c>
      <c r="C5519" s="7">
        <v>-6.0000000000000002E-5</v>
      </c>
      <c r="D5519" s="7">
        <v>6.0000000000000002E-5</v>
      </c>
      <c r="E5519" s="7">
        <v>7.0000000000000007E-5</v>
      </c>
      <c r="F5519" s="7">
        <v>-1.6000000000000001E-4</v>
      </c>
      <c r="G5519" s="7">
        <v>-1.75</v>
      </c>
    </row>
    <row r="5520" spans="2:7" x14ac:dyDescent="0.2">
      <c r="B5520" s="60">
        <v>43560</v>
      </c>
      <c r="C5520" s="7">
        <v>6.0000000000000002E-5</v>
      </c>
      <c r="D5520" s="7">
        <v>1.6000000000000001E-4</v>
      </c>
      <c r="E5520" s="7">
        <v>2.4000000000000001E-4</v>
      </c>
      <c r="F5520" s="7">
        <v>-7.0000000000000007E-5</v>
      </c>
      <c r="G5520" s="7">
        <v>-2</v>
      </c>
    </row>
    <row r="5521" spans="2:7" x14ac:dyDescent="0.2">
      <c r="B5521" s="60">
        <v>43563</v>
      </c>
      <c r="C5521" s="7">
        <v>6.0000000000000002E-5</v>
      </c>
      <c r="D5521" s="7">
        <v>-2.0000000000000002E-5</v>
      </c>
      <c r="E5521" s="7">
        <v>1.2E-4</v>
      </c>
      <c r="F5521" s="7">
        <v>-7.0000000000000007E-5</v>
      </c>
      <c r="G5521" s="7">
        <v>0</v>
      </c>
    </row>
    <row r="5522" spans="2:7" x14ac:dyDescent="0.2">
      <c r="B5522" s="60">
        <v>43564</v>
      </c>
      <c r="C5522" s="7">
        <v>-8.9999999999999992E-5</v>
      </c>
      <c r="D5522" s="7">
        <v>8.9999999999999992E-5</v>
      </c>
      <c r="E5522" s="7">
        <v>2.1000000000000001E-4</v>
      </c>
      <c r="F5522" s="7">
        <v>-1.4999999999999999E-4</v>
      </c>
      <c r="G5522" s="7">
        <v>-2.5</v>
      </c>
    </row>
    <row r="5523" spans="2:7" x14ac:dyDescent="0.2">
      <c r="B5523" s="60">
        <v>43565</v>
      </c>
      <c r="C5523" s="7">
        <v>-2.5999999999999998E-4</v>
      </c>
      <c r="D5523" s="7">
        <v>-1E-4</v>
      </c>
      <c r="E5523" s="7">
        <v>2.0000000000000002E-5</v>
      </c>
      <c r="F5523" s="7">
        <v>-3.8999999999999999E-4</v>
      </c>
      <c r="G5523" s="7">
        <v>1.8889</v>
      </c>
    </row>
    <row r="5524" spans="2:7" x14ac:dyDescent="0.2">
      <c r="B5524" s="60">
        <v>43566</v>
      </c>
      <c r="C5524" s="7">
        <v>-8.0000000000000007E-5</v>
      </c>
      <c r="D5524" s="7">
        <v>-2.5999999999999998E-4</v>
      </c>
      <c r="E5524" s="7">
        <v>-4.0000000000000003E-5</v>
      </c>
      <c r="F5524" s="7">
        <v>-3.2000000000000003E-4</v>
      </c>
      <c r="G5524" s="7">
        <v>-0.69230000000000003</v>
      </c>
    </row>
    <row r="5525" spans="2:7" x14ac:dyDescent="0.2">
      <c r="B5525" s="60">
        <v>43567</v>
      </c>
      <c r="C5525" s="7">
        <v>5.6999999999999998E-4</v>
      </c>
      <c r="D5525" s="7">
        <v>-1E-4</v>
      </c>
      <c r="E5525" s="7">
        <v>6.0999999999999997E-4</v>
      </c>
      <c r="F5525" s="7">
        <v>-2.4000000000000001E-4</v>
      </c>
      <c r="G5525" s="7">
        <v>-8.125</v>
      </c>
    </row>
    <row r="5526" spans="2:7" x14ac:dyDescent="0.2">
      <c r="B5526" s="60">
        <v>43570</v>
      </c>
      <c r="C5526" s="7">
        <v>5.6999999999999998E-4</v>
      </c>
      <c r="D5526" s="7">
        <v>5.8E-4</v>
      </c>
      <c r="E5526" s="7">
        <v>8.0000000000000004E-4</v>
      </c>
      <c r="F5526" s="7">
        <v>4.8000000000000001E-4</v>
      </c>
      <c r="G5526" s="7">
        <v>0</v>
      </c>
    </row>
    <row r="5527" spans="2:7" x14ac:dyDescent="0.2">
      <c r="B5527" s="60">
        <v>43571</v>
      </c>
      <c r="C5527" s="7">
        <v>6.4999999999999997E-4</v>
      </c>
      <c r="D5527" s="7">
        <v>5.9999999999999995E-4</v>
      </c>
      <c r="E5527" s="7">
        <v>7.2999999999999996E-4</v>
      </c>
      <c r="F5527" s="7">
        <v>3.6999999999999999E-4</v>
      </c>
      <c r="G5527" s="7">
        <v>0.1404</v>
      </c>
    </row>
    <row r="5528" spans="2:7" x14ac:dyDescent="0.2">
      <c r="B5528" s="60">
        <v>43572</v>
      </c>
      <c r="C5528" s="7">
        <v>8.1000000000000006E-4</v>
      </c>
      <c r="D5528" s="7">
        <v>8.5999999999999998E-4</v>
      </c>
      <c r="E5528" s="7">
        <v>1.0199999999999999E-3</v>
      </c>
      <c r="F5528" s="7">
        <v>7.1999999999999994E-4</v>
      </c>
      <c r="G5528" s="7">
        <v>0.2462</v>
      </c>
    </row>
    <row r="5529" spans="2:7" x14ac:dyDescent="0.2">
      <c r="B5529" s="60">
        <v>43573</v>
      </c>
      <c r="C5529" s="7">
        <v>2.3000000000000001E-4</v>
      </c>
      <c r="D5529" s="7">
        <v>7.5999999999999993E-4</v>
      </c>
      <c r="E5529" s="7">
        <v>8.5000000000000006E-4</v>
      </c>
      <c r="F5529" s="7">
        <v>1.7000000000000001E-4</v>
      </c>
      <c r="G5529" s="7">
        <v>-0.71599999999999997</v>
      </c>
    </row>
    <row r="5530" spans="2:7" x14ac:dyDescent="0.2">
      <c r="B5530" s="60">
        <v>43574</v>
      </c>
      <c r="C5530" s="7">
        <v>2.3000000000000001E-4</v>
      </c>
      <c r="D5530" s="7">
        <v>2.4000000000000001E-4</v>
      </c>
      <c r="E5530" s="7">
        <v>2.4000000000000001E-4</v>
      </c>
      <c r="F5530" s="7">
        <v>2.3000000000000001E-4</v>
      </c>
      <c r="G5530" s="7">
        <v>0</v>
      </c>
    </row>
    <row r="5531" spans="2:7" x14ac:dyDescent="0.2">
      <c r="B5531" s="60">
        <v>43577</v>
      </c>
      <c r="C5531" s="7">
        <v>2.4000000000000001E-4</v>
      </c>
      <c r="D5531" s="7">
        <v>2.4000000000000001E-4</v>
      </c>
      <c r="E5531" s="7">
        <v>2.4000000000000001E-4</v>
      </c>
      <c r="F5531" s="7">
        <v>2.4000000000000001E-4</v>
      </c>
      <c r="G5531" s="7">
        <v>4.3499999999999997E-2</v>
      </c>
    </row>
    <row r="5532" spans="2:7" x14ac:dyDescent="0.2">
      <c r="B5532" s="60">
        <v>43578</v>
      </c>
      <c r="C5532" s="7">
        <v>4.0000000000000002E-4</v>
      </c>
      <c r="D5532" s="7">
        <v>3.3E-4</v>
      </c>
      <c r="E5532" s="7">
        <v>5.8E-4</v>
      </c>
      <c r="F5532" s="7">
        <v>2.8000000000000003E-4</v>
      </c>
      <c r="G5532" s="7">
        <v>0.66669999999999996</v>
      </c>
    </row>
    <row r="5533" spans="2:7" x14ac:dyDescent="0.2">
      <c r="B5533" s="60">
        <v>43579</v>
      </c>
      <c r="C5533" s="7">
        <v>-1.2999999999999999E-4</v>
      </c>
      <c r="D5533" s="7">
        <v>2.3000000000000001E-4</v>
      </c>
      <c r="E5533" s="7">
        <v>3.5999999999999997E-4</v>
      </c>
      <c r="F5533" s="7">
        <v>-1.7999999999999998E-4</v>
      </c>
      <c r="G5533" s="7">
        <v>-1.325</v>
      </c>
    </row>
    <row r="5534" spans="2:7" x14ac:dyDescent="0.2">
      <c r="B5534" s="60">
        <v>43580</v>
      </c>
      <c r="C5534" s="7">
        <v>-8.9999999999999992E-5</v>
      </c>
      <c r="D5534" s="7">
        <v>-1.0999999999999999E-4</v>
      </c>
      <c r="E5534" s="7">
        <v>0</v>
      </c>
      <c r="F5534" s="7">
        <v>-1.8999999999999998E-4</v>
      </c>
      <c r="G5534" s="7">
        <v>-0.30769999999999997</v>
      </c>
    </row>
    <row r="5535" spans="2:7" x14ac:dyDescent="0.2">
      <c r="B5535" s="60">
        <v>43581</v>
      </c>
      <c r="C5535" s="7">
        <v>-2.1000000000000001E-4</v>
      </c>
      <c r="D5535" s="7">
        <v>-1.2E-4</v>
      </c>
      <c r="E5535" s="7">
        <v>-3.0000000000000001E-5</v>
      </c>
      <c r="F5535" s="7">
        <v>-2.7E-4</v>
      </c>
      <c r="G5535" s="7">
        <v>1.3332999999999999</v>
      </c>
    </row>
    <row r="5536" spans="2:7" x14ac:dyDescent="0.2">
      <c r="B5536" s="60">
        <v>43584</v>
      </c>
      <c r="C5536" s="7">
        <v>4.0000000000000003E-5</v>
      </c>
      <c r="D5536" s="7">
        <v>-1.2E-4</v>
      </c>
      <c r="E5536" s="7">
        <v>1.7000000000000001E-4</v>
      </c>
      <c r="F5536" s="7">
        <v>-1.4999999999999999E-4</v>
      </c>
      <c r="G5536" s="7">
        <v>-1.1904999999999999</v>
      </c>
    </row>
    <row r="5537" spans="2:7" x14ac:dyDescent="0.2">
      <c r="B5537" s="60">
        <v>43585</v>
      </c>
      <c r="C5537" s="7">
        <v>1.2999999999999999E-4</v>
      </c>
      <c r="D5537" s="7">
        <v>-5.0000000000000002E-5</v>
      </c>
      <c r="E5537" s="7">
        <v>5.0999999999999993E-4</v>
      </c>
      <c r="F5537" s="7">
        <v>-1E-4</v>
      </c>
      <c r="G5537" s="7">
        <v>2.25</v>
      </c>
    </row>
    <row r="5538" spans="2:7" x14ac:dyDescent="0.2">
      <c r="B5538" s="60">
        <v>43586</v>
      </c>
      <c r="C5538" s="7">
        <v>1.2999999999999999E-4</v>
      </c>
      <c r="D5538" s="7">
        <v>1.2999999999999999E-4</v>
      </c>
      <c r="E5538" s="7">
        <v>1.2999999999999999E-4</v>
      </c>
      <c r="F5538" s="7">
        <v>1.2999999999999999E-4</v>
      </c>
      <c r="G5538" s="7">
        <v>0</v>
      </c>
    </row>
    <row r="5539" spans="2:7" x14ac:dyDescent="0.2">
      <c r="B5539" s="60">
        <v>43587</v>
      </c>
      <c r="C5539" s="7">
        <v>2.9E-4</v>
      </c>
      <c r="D5539" s="7">
        <v>2.9999999999999997E-4</v>
      </c>
      <c r="E5539" s="7">
        <v>4.2000000000000002E-4</v>
      </c>
      <c r="F5539" s="7">
        <v>4.0000000000000003E-5</v>
      </c>
      <c r="G5539" s="7">
        <v>1.2307999999999999</v>
      </c>
    </row>
    <row r="5540" spans="2:7" x14ac:dyDescent="0.2">
      <c r="B5540" s="60">
        <v>43588</v>
      </c>
      <c r="C5540" s="7">
        <v>2.4000000000000001E-4</v>
      </c>
      <c r="D5540" s="7">
        <v>2.8000000000000003E-4</v>
      </c>
      <c r="E5540" s="7">
        <v>5.0000000000000001E-4</v>
      </c>
      <c r="F5540" s="7">
        <v>8.9999999999999992E-5</v>
      </c>
      <c r="G5540" s="7">
        <v>-0.1724</v>
      </c>
    </row>
    <row r="5541" spans="2:7" x14ac:dyDescent="0.2">
      <c r="B5541" s="60">
        <v>43589</v>
      </c>
      <c r="C5541" s="7">
        <v>1.7999999999999998E-4</v>
      </c>
      <c r="D5541" s="7">
        <v>1.7999999999999998E-4</v>
      </c>
      <c r="E5541" s="7">
        <v>1.7999999999999998E-4</v>
      </c>
      <c r="F5541" s="7">
        <v>1.7999999999999998E-4</v>
      </c>
      <c r="G5541" s="7">
        <v>-0.25</v>
      </c>
    </row>
    <row r="5542" spans="2:7" x14ac:dyDescent="0.2">
      <c r="B5542" s="60">
        <v>43591</v>
      </c>
      <c r="C5542" s="7">
        <v>6.0000000000000002E-5</v>
      </c>
      <c r="D5542" s="7">
        <v>-3.0000000000000001E-5</v>
      </c>
      <c r="E5542" s="7">
        <v>2.0000000000000001E-4</v>
      </c>
      <c r="F5542" s="7">
        <v>-8.0000000000000007E-5</v>
      </c>
      <c r="G5542" s="7">
        <v>-0.66669999999999996</v>
      </c>
    </row>
    <row r="5543" spans="2:7" x14ac:dyDescent="0.2">
      <c r="B5543" s="60">
        <v>43592</v>
      </c>
      <c r="C5543" s="7">
        <v>-4.0000000000000002E-4</v>
      </c>
      <c r="D5543" s="7">
        <v>4.0000000000000003E-5</v>
      </c>
      <c r="E5543" s="7">
        <v>2.5000000000000001E-4</v>
      </c>
      <c r="F5543" s="7">
        <v>-4.0000000000000002E-4</v>
      </c>
      <c r="G5543" s="7">
        <v>-7.6666999999999996</v>
      </c>
    </row>
    <row r="5544" spans="2:7" x14ac:dyDescent="0.2">
      <c r="B5544" s="60">
        <v>43593</v>
      </c>
      <c r="C5544" s="7">
        <v>-4.6000000000000001E-4</v>
      </c>
      <c r="D5544" s="7">
        <v>-2.9E-4</v>
      </c>
      <c r="E5544" s="7">
        <v>-2.3000000000000001E-4</v>
      </c>
      <c r="F5544" s="7">
        <v>-6.3000000000000003E-4</v>
      </c>
      <c r="G5544" s="7">
        <v>0.15</v>
      </c>
    </row>
    <row r="5545" spans="2:7" x14ac:dyDescent="0.2">
      <c r="B5545" s="60">
        <v>43594</v>
      </c>
      <c r="C5545" s="7">
        <v>-4.8000000000000001E-4</v>
      </c>
      <c r="D5545" s="7">
        <v>-4.6000000000000001E-4</v>
      </c>
      <c r="E5545" s="7">
        <v>-3.8999999999999999E-4</v>
      </c>
      <c r="F5545" s="7">
        <v>-6.9000000000000008E-4</v>
      </c>
      <c r="G5545" s="7">
        <v>4.3499999999999997E-2</v>
      </c>
    </row>
    <row r="5546" spans="2:7" x14ac:dyDescent="0.2">
      <c r="B5546" s="60">
        <v>43595</v>
      </c>
      <c r="C5546" s="7">
        <v>-4.3999999999999996E-4</v>
      </c>
      <c r="D5546" s="7">
        <v>-5.0999999999999993E-4</v>
      </c>
      <c r="E5546" s="7">
        <v>-2.4000000000000001E-4</v>
      </c>
      <c r="F5546" s="7">
        <v>-5.4000000000000001E-4</v>
      </c>
      <c r="G5546" s="7">
        <v>-8.3299999999999999E-2</v>
      </c>
    </row>
    <row r="5547" spans="2:7" x14ac:dyDescent="0.2">
      <c r="B5547" s="60">
        <v>43596</v>
      </c>
      <c r="C5547" s="7">
        <v>-4.8999999999999998E-4</v>
      </c>
      <c r="D5547" s="7">
        <v>-4.8999999999999998E-4</v>
      </c>
      <c r="E5547" s="7">
        <v>-4.8999999999999998E-4</v>
      </c>
      <c r="F5547" s="7">
        <v>-4.8999999999999998E-4</v>
      </c>
      <c r="G5547" s="7">
        <v>0.11360000000000001</v>
      </c>
    </row>
    <row r="5548" spans="2:7" x14ac:dyDescent="0.2">
      <c r="B5548" s="60">
        <v>43598</v>
      </c>
      <c r="C5548" s="7">
        <v>-7.1999999999999994E-4</v>
      </c>
      <c r="D5548" s="7">
        <v>-4.8999999999999998E-4</v>
      </c>
      <c r="E5548" s="7">
        <v>-3.4000000000000002E-4</v>
      </c>
      <c r="F5548" s="7">
        <v>-7.5000000000000002E-4</v>
      </c>
      <c r="G5548" s="7">
        <v>0.46939999999999998</v>
      </c>
    </row>
    <row r="5549" spans="2:7" x14ac:dyDescent="0.2">
      <c r="B5549" s="60">
        <v>43599</v>
      </c>
      <c r="C5549" s="7">
        <v>-7.000000000000001E-4</v>
      </c>
      <c r="D5549" s="7">
        <v>-5.8999999999999992E-4</v>
      </c>
      <c r="E5549" s="7">
        <v>-5.1999999999999995E-4</v>
      </c>
      <c r="F5549" s="7">
        <v>-8.3000000000000001E-4</v>
      </c>
      <c r="G5549" s="7">
        <v>-2.7799999999999998E-2</v>
      </c>
    </row>
    <row r="5550" spans="2:7" x14ac:dyDescent="0.2">
      <c r="B5550" s="60">
        <v>43600</v>
      </c>
      <c r="C5550" s="7">
        <v>-9.8999999999999999E-4</v>
      </c>
      <c r="D5550" s="7">
        <v>-7.3999999999999999E-4</v>
      </c>
      <c r="E5550" s="7">
        <v>-6.9000000000000008E-4</v>
      </c>
      <c r="F5550" s="7">
        <v>-1.32E-3</v>
      </c>
      <c r="G5550" s="7">
        <v>0.4143</v>
      </c>
    </row>
    <row r="5551" spans="2:7" x14ac:dyDescent="0.2">
      <c r="B5551" s="60">
        <v>43601</v>
      </c>
      <c r="C5551" s="7">
        <v>-9.2000000000000003E-4</v>
      </c>
      <c r="D5551" s="7">
        <v>-1.08E-3</v>
      </c>
      <c r="E5551" s="7">
        <v>-8.3000000000000001E-4</v>
      </c>
      <c r="F5551" s="7">
        <v>-1.1999999999999999E-3</v>
      </c>
      <c r="G5551" s="7">
        <v>-7.0699999999999999E-2</v>
      </c>
    </row>
    <row r="5552" spans="2:7" x14ac:dyDescent="0.2">
      <c r="B5552" s="60">
        <v>43602</v>
      </c>
      <c r="C5552" s="7">
        <v>-1.0299999999999999E-3</v>
      </c>
      <c r="D5552" s="7">
        <v>-1.1100000000000001E-3</v>
      </c>
      <c r="E5552" s="7">
        <v>-8.8999999999999995E-4</v>
      </c>
      <c r="F5552" s="7">
        <v>-1.2900000000000001E-3</v>
      </c>
      <c r="G5552" s="7">
        <v>0.1196</v>
      </c>
    </row>
    <row r="5553" spans="2:7" x14ac:dyDescent="0.2">
      <c r="B5553" s="60">
        <v>43605</v>
      </c>
      <c r="C5553" s="7">
        <v>-8.7999999999999992E-4</v>
      </c>
      <c r="D5553" s="7">
        <v>-9.7000000000000005E-4</v>
      </c>
      <c r="E5553" s="7">
        <v>-7.1999999999999994E-4</v>
      </c>
      <c r="F5553" s="7">
        <v>-1.06E-3</v>
      </c>
      <c r="G5553" s="7">
        <v>-0.14560000000000001</v>
      </c>
    </row>
    <row r="5554" spans="2:7" x14ac:dyDescent="0.2">
      <c r="B5554" s="60">
        <v>43606</v>
      </c>
      <c r="C5554" s="7">
        <v>-5.8E-4</v>
      </c>
      <c r="D5554" s="7">
        <v>-8.1999999999999998E-4</v>
      </c>
      <c r="E5554" s="7">
        <v>-5.0999999999999993E-4</v>
      </c>
      <c r="F5554" s="7">
        <v>-9.2999999999999995E-4</v>
      </c>
      <c r="G5554" s="7">
        <v>-0.34089999999999998</v>
      </c>
    </row>
    <row r="5555" spans="2:7" x14ac:dyDescent="0.2">
      <c r="B5555" s="60">
        <v>43607</v>
      </c>
      <c r="C5555" s="7">
        <v>-8.3000000000000001E-4</v>
      </c>
      <c r="D5555" s="7">
        <v>-6.4999999999999997E-4</v>
      </c>
      <c r="E5555" s="7">
        <v>-5.8E-4</v>
      </c>
      <c r="F5555" s="7">
        <v>-8.8999999999999995E-4</v>
      </c>
      <c r="G5555" s="7">
        <v>0.43099999999999999</v>
      </c>
    </row>
    <row r="5556" spans="2:7" x14ac:dyDescent="0.2">
      <c r="B5556" s="60">
        <v>43608</v>
      </c>
      <c r="C5556" s="7">
        <v>-1.1999999999999999E-3</v>
      </c>
      <c r="D5556" s="7">
        <v>-9.7000000000000005E-4</v>
      </c>
      <c r="E5556" s="7">
        <v>-8.5999999999999998E-4</v>
      </c>
      <c r="F5556" s="7">
        <v>-1.2099999999999999E-3</v>
      </c>
      <c r="G5556" s="7">
        <v>0.44579999999999997</v>
      </c>
    </row>
    <row r="5557" spans="2:7" x14ac:dyDescent="0.2">
      <c r="B5557" s="60">
        <v>43609</v>
      </c>
      <c r="C5557" s="7">
        <v>-1.16E-3</v>
      </c>
      <c r="D5557" s="7">
        <v>-1.1299999999999999E-3</v>
      </c>
      <c r="E5557" s="7">
        <v>-1.0399999999999999E-3</v>
      </c>
      <c r="F5557" s="7">
        <v>-1.2199999999999999E-3</v>
      </c>
      <c r="G5557" s="7">
        <v>-3.3300000000000003E-2</v>
      </c>
    </row>
    <row r="5558" spans="2:7" x14ac:dyDescent="0.2">
      <c r="B5558" s="60">
        <v>43610</v>
      </c>
      <c r="C5558" s="7">
        <v>-1.16E-3</v>
      </c>
      <c r="D5558" s="7">
        <v>-1.1100000000000001E-3</v>
      </c>
      <c r="E5558" s="7">
        <v>-1.1100000000000001E-3</v>
      </c>
      <c r="F5558" s="7">
        <v>-1.17E-3</v>
      </c>
      <c r="G5558" s="7">
        <v>0</v>
      </c>
    </row>
    <row r="5559" spans="2:7" x14ac:dyDescent="0.2">
      <c r="B5559" s="60">
        <v>43612</v>
      </c>
      <c r="C5559" s="7">
        <v>-1.4199999999999998E-3</v>
      </c>
      <c r="D5559" s="7">
        <v>-1.14E-3</v>
      </c>
      <c r="E5559" s="7">
        <v>-1.1000000000000001E-3</v>
      </c>
      <c r="F5559" s="7">
        <v>-1.47E-3</v>
      </c>
      <c r="G5559" s="7">
        <v>0.22409999999999999</v>
      </c>
    </row>
    <row r="5560" spans="2:7" x14ac:dyDescent="0.2">
      <c r="B5560" s="60">
        <v>43613</v>
      </c>
      <c r="C5560" s="7">
        <v>-1.6000000000000001E-3</v>
      </c>
      <c r="D5560" s="7">
        <v>-1.4000000000000002E-3</v>
      </c>
      <c r="E5560" s="7">
        <v>-1.3500000000000001E-3</v>
      </c>
      <c r="F5560" s="7">
        <v>-1.64E-3</v>
      </c>
      <c r="G5560" s="7">
        <v>0.1268</v>
      </c>
    </row>
    <row r="5561" spans="2:7" x14ac:dyDescent="0.2">
      <c r="B5561" s="60">
        <v>43614</v>
      </c>
      <c r="C5561" s="7">
        <v>-1.7599999999999998E-3</v>
      </c>
      <c r="D5561" s="7">
        <v>-1.6100000000000001E-3</v>
      </c>
      <c r="E5561" s="7">
        <v>-1.57E-3</v>
      </c>
      <c r="F5561" s="7">
        <v>-1.7899999999999999E-3</v>
      </c>
      <c r="G5561" s="7">
        <v>0.1</v>
      </c>
    </row>
    <row r="5562" spans="2:7" x14ac:dyDescent="0.2">
      <c r="B5562" s="60">
        <v>43615</v>
      </c>
      <c r="C5562" s="7">
        <v>-1.7499999999999998E-3</v>
      </c>
      <c r="D5562" s="7">
        <v>-1.6100000000000001E-3</v>
      </c>
      <c r="E5562" s="7">
        <v>-1.48E-3</v>
      </c>
      <c r="F5562" s="7">
        <v>-1.7899999999999999E-3</v>
      </c>
      <c r="G5562" s="7">
        <v>-5.7000000000000002E-3</v>
      </c>
    </row>
    <row r="5563" spans="2:7" x14ac:dyDescent="0.2">
      <c r="B5563" s="60">
        <v>43616</v>
      </c>
      <c r="C5563" s="7">
        <v>-2.0300000000000001E-3</v>
      </c>
      <c r="D5563" s="7">
        <v>-1.91E-3</v>
      </c>
      <c r="E5563" s="7">
        <v>-1.8799999999999999E-3</v>
      </c>
      <c r="F5563" s="7">
        <v>-2.1299999999999999E-3</v>
      </c>
      <c r="G5563" s="7">
        <v>0.16</v>
      </c>
    </row>
    <row r="5564" spans="2:7" x14ac:dyDescent="0.2">
      <c r="B5564" s="60">
        <v>43619</v>
      </c>
      <c r="C5564" s="7">
        <v>-2.0100000000000001E-3</v>
      </c>
      <c r="D5564" s="7">
        <v>-2.0599999999999998E-3</v>
      </c>
      <c r="E5564" s="7">
        <v>-1.92E-3</v>
      </c>
      <c r="F5564" s="7">
        <v>-2.1900000000000001E-3</v>
      </c>
      <c r="G5564" s="7">
        <v>-9.9000000000000008E-3</v>
      </c>
    </row>
    <row r="5565" spans="2:7" x14ac:dyDescent="0.2">
      <c r="B5565" s="60">
        <v>43620</v>
      </c>
      <c r="C5565" s="7">
        <v>-2.0799999999999998E-3</v>
      </c>
      <c r="D5565" s="7">
        <v>-2.0100000000000001E-3</v>
      </c>
      <c r="E5565" s="7">
        <v>-2E-3</v>
      </c>
      <c r="F5565" s="7">
        <v>-2.1900000000000001E-3</v>
      </c>
      <c r="G5565" s="7">
        <v>3.4799999999999998E-2</v>
      </c>
    </row>
    <row r="5566" spans="2:7" x14ac:dyDescent="0.2">
      <c r="B5566" s="60">
        <v>43621</v>
      </c>
      <c r="C5566" s="7">
        <v>-2.2699999999999999E-3</v>
      </c>
      <c r="D5566" s="7">
        <v>-2.0599999999999998E-3</v>
      </c>
      <c r="E5566" s="7">
        <v>-2.0100000000000001E-3</v>
      </c>
      <c r="F5566" s="7">
        <v>-2.3E-3</v>
      </c>
      <c r="G5566" s="7">
        <v>9.1300000000000006E-2</v>
      </c>
    </row>
    <row r="5567" spans="2:7" x14ac:dyDescent="0.2">
      <c r="B5567" s="60">
        <v>43622</v>
      </c>
      <c r="C5567" s="7">
        <v>-2.3999999999999998E-3</v>
      </c>
      <c r="D5567" s="7">
        <v>-2.2599999999999999E-3</v>
      </c>
      <c r="E5567" s="7">
        <v>-1.89E-3</v>
      </c>
      <c r="F5567" s="7">
        <v>-2.3999999999999998E-3</v>
      </c>
      <c r="G5567" s="7">
        <v>5.7299999999999997E-2</v>
      </c>
    </row>
    <row r="5568" spans="2:7" x14ac:dyDescent="0.2">
      <c r="B5568" s="60">
        <v>43623</v>
      </c>
      <c r="C5568" s="7">
        <v>-2.5700000000000002E-3</v>
      </c>
      <c r="D5568" s="7">
        <v>-2.3E-3</v>
      </c>
      <c r="E5568" s="7">
        <v>-2.2500000000000003E-3</v>
      </c>
      <c r="F5568" s="7">
        <v>-2.6199999999999999E-3</v>
      </c>
      <c r="G5568" s="7">
        <v>7.0800000000000002E-2</v>
      </c>
    </row>
    <row r="5569" spans="2:7" x14ac:dyDescent="0.2">
      <c r="B5569" s="60">
        <v>43626</v>
      </c>
      <c r="C5569" s="7">
        <v>-2.1900000000000001E-3</v>
      </c>
      <c r="D5569" s="7">
        <v>-2.47E-3</v>
      </c>
      <c r="E5569" s="7">
        <v>-2.1099999999999999E-3</v>
      </c>
      <c r="F5569" s="7">
        <v>-2.48E-3</v>
      </c>
      <c r="G5569" s="7">
        <v>-0.1479</v>
      </c>
    </row>
    <row r="5570" spans="2:7" x14ac:dyDescent="0.2">
      <c r="B5570" s="60">
        <v>43627</v>
      </c>
      <c r="C5570" s="7">
        <v>-2.33E-3</v>
      </c>
      <c r="D5570" s="7">
        <v>-2.15E-3</v>
      </c>
      <c r="E5570" s="7">
        <v>-2.14E-3</v>
      </c>
      <c r="F5570" s="7">
        <v>-2.3599999999999997E-3</v>
      </c>
      <c r="G5570" s="7">
        <v>6.3899999999999998E-2</v>
      </c>
    </row>
    <row r="5571" spans="2:7" x14ac:dyDescent="0.2">
      <c r="B5571" s="60">
        <v>43628</v>
      </c>
      <c r="C5571" s="7">
        <v>-2.3699999999999997E-3</v>
      </c>
      <c r="D5571" s="7">
        <v>-2.3699999999999997E-3</v>
      </c>
      <c r="E5571" s="7">
        <v>-2.2799999999999999E-3</v>
      </c>
      <c r="F5571" s="7">
        <v>-2.48E-3</v>
      </c>
      <c r="G5571" s="7">
        <v>1.72E-2</v>
      </c>
    </row>
    <row r="5572" spans="2:7" x14ac:dyDescent="0.2">
      <c r="B5572" s="60">
        <v>43629</v>
      </c>
      <c r="C5572" s="7">
        <v>-2.4199999999999998E-3</v>
      </c>
      <c r="D5572" s="7">
        <v>-2.3999999999999998E-3</v>
      </c>
      <c r="E5572" s="7">
        <v>-2.32E-3</v>
      </c>
      <c r="F5572" s="7">
        <v>-2.5200000000000001E-3</v>
      </c>
      <c r="G5572" s="7">
        <v>2.1100000000000001E-2</v>
      </c>
    </row>
    <row r="5573" spans="2:7" x14ac:dyDescent="0.2">
      <c r="B5573" s="60">
        <v>43630</v>
      </c>
      <c r="C5573" s="7">
        <v>-2.5600000000000002E-3</v>
      </c>
      <c r="D5573" s="7">
        <v>-2.5000000000000001E-3</v>
      </c>
      <c r="E5573" s="7">
        <v>-2.4099999999999998E-3</v>
      </c>
      <c r="F5573" s="7">
        <v>-2.7100000000000002E-3</v>
      </c>
      <c r="G5573" s="7">
        <v>5.79E-2</v>
      </c>
    </row>
    <row r="5574" spans="2:7" x14ac:dyDescent="0.2">
      <c r="B5574" s="60">
        <v>43633</v>
      </c>
      <c r="C5574" s="7">
        <v>-2.4499999999999999E-3</v>
      </c>
      <c r="D5574" s="7">
        <v>-2.5000000000000001E-3</v>
      </c>
      <c r="E5574" s="7">
        <v>-2.33E-3</v>
      </c>
      <c r="F5574" s="7">
        <v>-2.5600000000000002E-3</v>
      </c>
      <c r="G5574" s="7">
        <v>-4.2999999999999997E-2</v>
      </c>
    </row>
    <row r="5575" spans="2:7" x14ac:dyDescent="0.2">
      <c r="B5575" s="60">
        <v>43634</v>
      </c>
      <c r="C5575" s="7">
        <v>-3.1700000000000001E-3</v>
      </c>
      <c r="D5575" s="7">
        <v>-2.49E-3</v>
      </c>
      <c r="E5575" s="7">
        <v>-2.4399999999999999E-3</v>
      </c>
      <c r="F5575" s="7">
        <v>-3.29E-3</v>
      </c>
      <c r="G5575" s="7">
        <v>0.29389999999999999</v>
      </c>
    </row>
    <row r="5576" spans="2:7" x14ac:dyDescent="0.2">
      <c r="B5576" s="60">
        <v>43635</v>
      </c>
      <c r="C5576" s="7">
        <v>-2.8899999999999998E-3</v>
      </c>
      <c r="D5576" s="7">
        <v>-3.13E-3</v>
      </c>
      <c r="E5576" s="7">
        <v>-2.8000000000000004E-3</v>
      </c>
      <c r="F5576" s="7">
        <v>-3.2000000000000002E-3</v>
      </c>
      <c r="G5576" s="7">
        <v>-8.8300000000000003E-2</v>
      </c>
    </row>
    <row r="5577" spans="2:7" x14ac:dyDescent="0.2">
      <c r="B5577" s="60">
        <v>43636</v>
      </c>
      <c r="C5577" s="7">
        <v>-3.16E-3</v>
      </c>
      <c r="D5577" s="7">
        <v>-3.13E-3</v>
      </c>
      <c r="E5577" s="7">
        <v>-3.0000000000000001E-3</v>
      </c>
      <c r="F5577" s="7">
        <v>-3.2300000000000002E-3</v>
      </c>
      <c r="G5577" s="7">
        <v>9.3399999999999997E-2</v>
      </c>
    </row>
    <row r="5578" spans="2:7" x14ac:dyDescent="0.2">
      <c r="B5578" s="60">
        <v>43637</v>
      </c>
      <c r="C5578" s="7">
        <v>-2.8399999999999996E-3</v>
      </c>
      <c r="D5578" s="7">
        <v>-3.1099999999999999E-3</v>
      </c>
      <c r="E5578" s="7">
        <v>-2.7300000000000002E-3</v>
      </c>
      <c r="F5578" s="7">
        <v>-3.2200000000000002E-3</v>
      </c>
      <c r="G5578" s="7">
        <v>-0.1013</v>
      </c>
    </row>
    <row r="5579" spans="2:7" x14ac:dyDescent="0.2">
      <c r="B5579" s="60">
        <v>43640</v>
      </c>
      <c r="C5579" s="7">
        <v>-3.0599999999999998E-3</v>
      </c>
      <c r="D5579" s="7">
        <v>-2.8699999999999997E-3</v>
      </c>
      <c r="E5579" s="7">
        <v>-2.8499999999999997E-3</v>
      </c>
      <c r="F5579" s="7">
        <v>-3.14E-3</v>
      </c>
      <c r="G5579" s="7">
        <v>7.7499999999999999E-2</v>
      </c>
    </row>
    <row r="5580" spans="2:7" x14ac:dyDescent="0.2">
      <c r="B5580" s="60">
        <v>43641</v>
      </c>
      <c r="C5580" s="7">
        <v>-3.31E-3</v>
      </c>
      <c r="D5580" s="7">
        <v>-3.1199999999999999E-3</v>
      </c>
      <c r="E5580" s="7">
        <v>-3.0399999999999997E-3</v>
      </c>
      <c r="F5580" s="7">
        <v>-3.3600000000000001E-3</v>
      </c>
      <c r="G5580" s="7">
        <v>8.1699999999999995E-2</v>
      </c>
    </row>
    <row r="5581" spans="2:7" x14ac:dyDescent="0.2">
      <c r="B5581" s="60">
        <v>43642</v>
      </c>
      <c r="C5581" s="7">
        <v>-3.0299999999999997E-3</v>
      </c>
      <c r="D5581" s="7">
        <v>-3.1900000000000001E-3</v>
      </c>
      <c r="E5581" s="7">
        <v>-2.99E-3</v>
      </c>
      <c r="F5581" s="7">
        <v>-3.31E-3</v>
      </c>
      <c r="G5581" s="7">
        <v>-8.4599999999999995E-2</v>
      </c>
    </row>
    <row r="5582" spans="2:7" x14ac:dyDescent="0.2">
      <c r="B5582" s="60">
        <v>43643</v>
      </c>
      <c r="C5582" s="7">
        <v>-3.2000000000000002E-3</v>
      </c>
      <c r="D5582" s="7">
        <v>-2.9299999999999999E-3</v>
      </c>
      <c r="E5582" s="7">
        <v>-2.7000000000000001E-3</v>
      </c>
      <c r="F5582" s="7">
        <v>-3.2100000000000002E-3</v>
      </c>
      <c r="G5582" s="7">
        <v>5.6099999999999997E-2</v>
      </c>
    </row>
    <row r="5583" spans="2:7" x14ac:dyDescent="0.2">
      <c r="B5583" s="60">
        <v>43644</v>
      </c>
      <c r="C5583" s="7">
        <v>-3.2799999999999999E-3</v>
      </c>
      <c r="D5583" s="7">
        <v>-3.2300000000000002E-3</v>
      </c>
      <c r="E5583" s="7">
        <v>-3.0499999999999998E-3</v>
      </c>
      <c r="F5583" s="7">
        <v>-3.31E-3</v>
      </c>
      <c r="G5583" s="7">
        <v>2.5000000000000001E-2</v>
      </c>
    </row>
    <row r="5584" spans="2:7" x14ac:dyDescent="0.2">
      <c r="B5584" s="60">
        <v>43647</v>
      </c>
      <c r="C5584" s="7">
        <v>-3.5299999999999997E-3</v>
      </c>
      <c r="D5584" s="7">
        <v>-3.1099999999999999E-3</v>
      </c>
      <c r="E5584" s="7">
        <v>-3.0399999999999997E-3</v>
      </c>
      <c r="F5584" s="7">
        <v>-3.63E-3</v>
      </c>
      <c r="G5584" s="7">
        <v>7.6200000000000004E-2</v>
      </c>
    </row>
    <row r="5585" spans="2:7" x14ac:dyDescent="0.2">
      <c r="B5585" s="60">
        <v>43648</v>
      </c>
      <c r="C5585" s="7">
        <v>-3.6800000000000001E-3</v>
      </c>
      <c r="D5585" s="7">
        <v>-3.6099999999999999E-3</v>
      </c>
      <c r="E5585" s="7">
        <v>-3.4100000000000003E-3</v>
      </c>
      <c r="F5585" s="7">
        <v>-3.7000000000000002E-3</v>
      </c>
      <c r="G5585" s="7">
        <v>4.2500000000000003E-2</v>
      </c>
    </row>
    <row r="5586" spans="2:7" x14ac:dyDescent="0.2">
      <c r="B5586" s="60">
        <v>43649</v>
      </c>
      <c r="C5586" s="7">
        <v>-3.8500000000000001E-3</v>
      </c>
      <c r="D5586" s="7">
        <v>-3.8600000000000001E-3</v>
      </c>
      <c r="E5586" s="7">
        <v>-3.7499999999999999E-3</v>
      </c>
      <c r="F5586" s="7">
        <v>-3.9900000000000005E-3</v>
      </c>
      <c r="G5586" s="7">
        <v>4.6199999999999998E-2</v>
      </c>
    </row>
    <row r="5587" spans="2:7" x14ac:dyDescent="0.2">
      <c r="B5587" s="60">
        <v>43650</v>
      </c>
      <c r="C5587" s="7">
        <v>-3.9900000000000005E-3</v>
      </c>
      <c r="D5587" s="7">
        <v>-3.8500000000000001E-3</v>
      </c>
      <c r="E5587" s="7">
        <v>-3.8E-3</v>
      </c>
      <c r="F5587" s="7">
        <v>-4.0899999999999999E-3</v>
      </c>
      <c r="G5587" s="7">
        <v>3.6400000000000002E-2</v>
      </c>
    </row>
    <row r="5588" spans="2:7" x14ac:dyDescent="0.2">
      <c r="B5588" s="60">
        <v>43651</v>
      </c>
      <c r="C5588" s="7">
        <v>-3.6099999999999999E-3</v>
      </c>
      <c r="D5588" s="7">
        <v>-4.0100000000000005E-3</v>
      </c>
      <c r="E5588" s="7">
        <v>-3.4000000000000002E-3</v>
      </c>
      <c r="F5588" s="7">
        <v>-4.0300000000000006E-3</v>
      </c>
      <c r="G5588" s="7">
        <v>-9.5200000000000007E-2</v>
      </c>
    </row>
    <row r="5589" spans="2:7" x14ac:dyDescent="0.2">
      <c r="B5589" s="60">
        <v>43654</v>
      </c>
      <c r="C5589" s="7">
        <v>-3.6600000000000001E-3</v>
      </c>
      <c r="D5589" s="7">
        <v>-3.8400000000000001E-3</v>
      </c>
      <c r="E5589" s="7">
        <v>-3.63E-3</v>
      </c>
      <c r="F5589" s="7">
        <v>-3.8700000000000002E-3</v>
      </c>
      <c r="G5589" s="7">
        <v>1.3899999999999999E-2</v>
      </c>
    </row>
    <row r="5590" spans="2:7" x14ac:dyDescent="0.2">
      <c r="B5590" s="60">
        <v>43655</v>
      </c>
      <c r="C5590" s="7">
        <v>-3.5399999999999997E-3</v>
      </c>
      <c r="D5590" s="7">
        <v>-3.7000000000000002E-3</v>
      </c>
      <c r="E5590" s="7">
        <v>-3.4499999999999999E-3</v>
      </c>
      <c r="F5590" s="7">
        <v>-3.7399999999999998E-3</v>
      </c>
      <c r="G5590" s="7">
        <v>-3.2800000000000003E-2</v>
      </c>
    </row>
    <row r="5591" spans="2:7" x14ac:dyDescent="0.2">
      <c r="B5591" s="60">
        <v>43656</v>
      </c>
      <c r="C5591" s="7">
        <v>-3.0599999999999998E-3</v>
      </c>
      <c r="D5591" s="7">
        <v>-3.3500000000000001E-3</v>
      </c>
      <c r="E5591" s="7">
        <v>-2.7900000000000004E-3</v>
      </c>
      <c r="F5591" s="7">
        <v>-3.5399999999999997E-3</v>
      </c>
      <c r="G5591" s="7">
        <v>-0.1356</v>
      </c>
    </row>
    <row r="5592" spans="2:7" x14ac:dyDescent="0.2">
      <c r="B5592" s="60">
        <v>43657</v>
      </c>
      <c r="C5592" s="7">
        <v>-2.64E-3</v>
      </c>
      <c r="D5592" s="7">
        <v>-3.1700000000000001E-3</v>
      </c>
      <c r="E5592" s="7">
        <v>-2.5300000000000001E-3</v>
      </c>
      <c r="F5592" s="7">
        <v>-3.2100000000000002E-3</v>
      </c>
      <c r="G5592" s="7">
        <v>-0.13730000000000001</v>
      </c>
    </row>
    <row r="5593" spans="2:7" x14ac:dyDescent="0.2">
      <c r="B5593" s="60">
        <v>43658</v>
      </c>
      <c r="C5593" s="7">
        <v>-2.48E-3</v>
      </c>
      <c r="D5593" s="7">
        <v>-2.49E-3</v>
      </c>
      <c r="E5593" s="7">
        <v>-2.2400000000000002E-3</v>
      </c>
      <c r="F5593" s="7">
        <v>-2.66E-3</v>
      </c>
      <c r="G5593" s="7">
        <v>-6.0600000000000001E-2</v>
      </c>
    </row>
    <row r="5594" spans="2:7" x14ac:dyDescent="0.2">
      <c r="B5594" s="60">
        <v>43659</v>
      </c>
      <c r="C5594" s="7">
        <v>-2.5200000000000001E-3</v>
      </c>
      <c r="D5594" s="7">
        <v>-2.5200000000000001E-3</v>
      </c>
      <c r="E5594" s="7">
        <v>-2.5200000000000001E-3</v>
      </c>
      <c r="F5594" s="7">
        <v>-2.5200000000000001E-3</v>
      </c>
      <c r="G5594" s="7">
        <v>1.61E-2</v>
      </c>
    </row>
    <row r="5595" spans="2:7" x14ac:dyDescent="0.2">
      <c r="B5595" s="60">
        <v>43661</v>
      </c>
      <c r="C5595" s="7">
        <v>-2.9399999999999999E-3</v>
      </c>
      <c r="D5595" s="7">
        <v>-2.4499999999999999E-3</v>
      </c>
      <c r="E5595" s="7">
        <v>-2.4299999999999999E-3</v>
      </c>
      <c r="F5595" s="7">
        <v>-2.99E-3</v>
      </c>
      <c r="G5595" s="7">
        <v>0.16669999999999999</v>
      </c>
    </row>
    <row r="5596" spans="2:7" x14ac:dyDescent="0.2">
      <c r="B5596" s="60">
        <v>43662</v>
      </c>
      <c r="C5596" s="7">
        <v>-2.8899999999999998E-3</v>
      </c>
      <c r="D5596" s="7">
        <v>-3.0000000000000001E-3</v>
      </c>
      <c r="E5596" s="7">
        <v>-2.8199999999999996E-3</v>
      </c>
      <c r="F5596" s="7">
        <v>-3.16E-3</v>
      </c>
      <c r="G5596" s="7">
        <v>-1.7000000000000001E-2</v>
      </c>
    </row>
    <row r="5597" spans="2:7" x14ac:dyDescent="0.2">
      <c r="B5597" s="60">
        <v>43663</v>
      </c>
      <c r="C5597" s="7">
        <v>-2.8699999999999997E-3</v>
      </c>
      <c r="D5597" s="7">
        <v>-2.7300000000000002E-3</v>
      </c>
      <c r="E5597" s="7">
        <v>-2.63E-3</v>
      </c>
      <c r="F5597" s="7">
        <v>-2.97E-3</v>
      </c>
      <c r="G5597" s="7">
        <v>-6.8999999999999999E-3</v>
      </c>
    </row>
    <row r="5598" spans="2:7" x14ac:dyDescent="0.2">
      <c r="B5598" s="60">
        <v>43664</v>
      </c>
      <c r="C5598" s="7">
        <v>-3.0999999999999999E-3</v>
      </c>
      <c r="D5598" s="7">
        <v>-3.0699999999999998E-3</v>
      </c>
      <c r="E5598" s="7">
        <v>-2.9499999999999999E-3</v>
      </c>
      <c r="F5598" s="7">
        <v>-3.2700000000000003E-3</v>
      </c>
      <c r="G5598" s="7">
        <v>8.0100000000000005E-2</v>
      </c>
    </row>
    <row r="5599" spans="2:7" x14ac:dyDescent="0.2">
      <c r="B5599" s="60">
        <v>43665</v>
      </c>
      <c r="C5599" s="7">
        <v>-3.2200000000000002E-3</v>
      </c>
      <c r="D5599" s="7">
        <v>-3.0999999999999999E-3</v>
      </c>
      <c r="E5599" s="7">
        <v>-3.0999999999999999E-3</v>
      </c>
      <c r="F5599" s="7">
        <v>-3.32E-3</v>
      </c>
      <c r="G5599" s="7">
        <v>3.8699999999999998E-2</v>
      </c>
    </row>
    <row r="5600" spans="2:7" x14ac:dyDescent="0.2">
      <c r="B5600" s="60">
        <v>43666</v>
      </c>
      <c r="C5600" s="7">
        <v>-3.2400000000000003E-3</v>
      </c>
      <c r="D5600" s="7">
        <v>-3.2400000000000003E-3</v>
      </c>
      <c r="E5600" s="7">
        <v>-3.2400000000000003E-3</v>
      </c>
      <c r="F5600" s="7">
        <v>-3.2400000000000003E-3</v>
      </c>
      <c r="G5600" s="7">
        <v>6.1999999999999998E-3</v>
      </c>
    </row>
    <row r="5601" spans="2:7" x14ac:dyDescent="0.2">
      <c r="B5601" s="60">
        <v>43668</v>
      </c>
      <c r="C5601" s="7">
        <v>-3.4399999999999999E-3</v>
      </c>
      <c r="D5601" s="7">
        <v>-3.1900000000000001E-3</v>
      </c>
      <c r="E5601" s="7">
        <v>-3.14E-3</v>
      </c>
      <c r="F5601" s="7">
        <v>-3.4699999999999996E-3</v>
      </c>
      <c r="G5601" s="7">
        <v>6.1699999999999998E-2</v>
      </c>
    </row>
    <row r="5602" spans="2:7" x14ac:dyDescent="0.2">
      <c r="B5602" s="60">
        <v>43669</v>
      </c>
      <c r="C5602" s="7">
        <v>-3.5299999999999997E-3</v>
      </c>
      <c r="D5602" s="7">
        <v>-3.3500000000000001E-3</v>
      </c>
      <c r="E5602" s="7">
        <v>-3.32E-3</v>
      </c>
      <c r="F5602" s="7">
        <v>-3.5899999999999999E-3</v>
      </c>
      <c r="G5602" s="7">
        <v>2.6200000000000001E-2</v>
      </c>
    </row>
    <row r="5603" spans="2:7" x14ac:dyDescent="0.2">
      <c r="B5603" s="60">
        <v>43670</v>
      </c>
      <c r="C5603" s="7">
        <v>-3.7799999999999999E-3</v>
      </c>
      <c r="D5603" s="7">
        <v>-3.4999999999999996E-3</v>
      </c>
      <c r="E5603" s="7">
        <v>-3.4300000000000003E-3</v>
      </c>
      <c r="F5603" s="7">
        <v>-3.9000000000000003E-3</v>
      </c>
      <c r="G5603" s="7">
        <v>7.0800000000000002E-2</v>
      </c>
    </row>
    <row r="5604" spans="2:7" x14ac:dyDescent="0.2">
      <c r="B5604" s="60">
        <v>43671</v>
      </c>
      <c r="C5604" s="7">
        <v>-3.6099999999999999E-3</v>
      </c>
      <c r="D5604" s="7">
        <v>-3.79E-3</v>
      </c>
      <c r="E5604" s="7">
        <v>-3.3E-3</v>
      </c>
      <c r="F5604" s="7">
        <v>-4.2199999999999998E-3</v>
      </c>
      <c r="G5604" s="7">
        <v>-4.4999999999999998E-2</v>
      </c>
    </row>
    <row r="5605" spans="2:7" x14ac:dyDescent="0.2">
      <c r="B5605" s="60">
        <v>43672</v>
      </c>
      <c r="C5605" s="7">
        <v>-3.7699999999999999E-3</v>
      </c>
      <c r="D5605" s="7">
        <v>-3.6800000000000001E-3</v>
      </c>
      <c r="E5605" s="7">
        <v>-3.5799999999999998E-3</v>
      </c>
      <c r="F5605" s="7">
        <v>-3.82E-3</v>
      </c>
      <c r="G5605" s="7">
        <v>4.4299999999999999E-2</v>
      </c>
    </row>
    <row r="5606" spans="2:7" x14ac:dyDescent="0.2">
      <c r="B5606" s="60">
        <v>43673</v>
      </c>
      <c r="C5606" s="7">
        <v>-3.7699999999999999E-3</v>
      </c>
      <c r="D5606" s="7">
        <v>-3.7699999999999999E-3</v>
      </c>
      <c r="E5606" s="7">
        <v>-3.7699999999999999E-3</v>
      </c>
      <c r="F5606" s="7">
        <v>-3.7699999999999999E-3</v>
      </c>
      <c r="G5606" s="7">
        <v>0</v>
      </c>
    </row>
    <row r="5607" spans="2:7" x14ac:dyDescent="0.2">
      <c r="B5607" s="60">
        <v>43675</v>
      </c>
      <c r="C5607" s="7">
        <v>-3.8900000000000002E-3</v>
      </c>
      <c r="D5607" s="7">
        <v>-3.8500000000000001E-3</v>
      </c>
      <c r="E5607" s="7">
        <v>-3.7699999999999999E-3</v>
      </c>
      <c r="F5607" s="7">
        <v>-4.0100000000000005E-3</v>
      </c>
      <c r="G5607" s="7">
        <v>3.1800000000000002E-2</v>
      </c>
    </row>
    <row r="5608" spans="2:7" x14ac:dyDescent="0.2">
      <c r="B5608" s="60">
        <v>43676</v>
      </c>
      <c r="C5608" s="7">
        <v>-3.9700000000000004E-3</v>
      </c>
      <c r="D5608" s="7">
        <v>-3.9500000000000004E-3</v>
      </c>
      <c r="E5608" s="7">
        <v>-3.8800000000000002E-3</v>
      </c>
      <c r="F5608" s="7">
        <v>-4.0600000000000002E-3</v>
      </c>
      <c r="G5608" s="7">
        <v>2.06E-2</v>
      </c>
    </row>
    <row r="5609" spans="2:7" x14ac:dyDescent="0.2">
      <c r="B5609" s="60">
        <v>43677</v>
      </c>
      <c r="C5609" s="7">
        <v>-4.4200000000000003E-3</v>
      </c>
      <c r="D5609" s="7">
        <v>-4.0200000000000001E-3</v>
      </c>
      <c r="E5609" s="7">
        <v>-3.9700000000000004E-3</v>
      </c>
      <c r="F5609" s="7">
        <v>-4.4200000000000003E-3</v>
      </c>
      <c r="G5609" s="7">
        <v>0.1134</v>
      </c>
    </row>
    <row r="5610" spans="2:7" x14ac:dyDescent="0.2">
      <c r="B5610" s="60">
        <v>43678</v>
      </c>
      <c r="C5610" s="7">
        <v>-4.4900000000000001E-3</v>
      </c>
      <c r="D5610" s="7">
        <v>-4.3299999999999996E-3</v>
      </c>
      <c r="E5610" s="7">
        <v>-4.1199999999999995E-3</v>
      </c>
      <c r="F5610" s="7">
        <v>-4.6600000000000001E-3</v>
      </c>
      <c r="G5610" s="7">
        <v>1.5800000000000002E-2</v>
      </c>
    </row>
    <row r="5611" spans="2:7" x14ac:dyDescent="0.2">
      <c r="B5611" s="60">
        <v>43679</v>
      </c>
      <c r="C5611" s="7">
        <v>-4.9499999999999995E-3</v>
      </c>
      <c r="D5611" s="7">
        <v>-4.7799999999999995E-3</v>
      </c>
      <c r="E5611" s="7">
        <v>-4.7099999999999998E-3</v>
      </c>
      <c r="F5611" s="7">
        <v>-5.0200000000000002E-3</v>
      </c>
      <c r="G5611" s="7">
        <v>0.1024</v>
      </c>
    </row>
    <row r="5612" spans="2:7" x14ac:dyDescent="0.2">
      <c r="B5612" s="60">
        <v>43682</v>
      </c>
      <c r="C5612" s="7">
        <v>-5.1600000000000005E-3</v>
      </c>
      <c r="D5612" s="7">
        <v>-5.2199999999999998E-3</v>
      </c>
      <c r="E5612" s="7">
        <v>-5.0400000000000002E-3</v>
      </c>
      <c r="F5612" s="7">
        <v>-5.3700000000000006E-3</v>
      </c>
      <c r="G5612" s="7">
        <v>4.24E-2</v>
      </c>
    </row>
    <row r="5613" spans="2:7" x14ac:dyDescent="0.2">
      <c r="B5613" s="60">
        <v>43683</v>
      </c>
      <c r="C5613" s="7">
        <v>-5.3700000000000006E-3</v>
      </c>
      <c r="D5613" s="7">
        <v>-5.11E-3</v>
      </c>
      <c r="E5613" s="7">
        <v>-5.0899999999999999E-3</v>
      </c>
      <c r="F5613" s="7">
        <v>-5.4400000000000004E-3</v>
      </c>
      <c r="G5613" s="7">
        <v>4.07E-2</v>
      </c>
    </row>
    <row r="5614" spans="2:7" x14ac:dyDescent="0.2">
      <c r="B5614" s="60">
        <v>43684</v>
      </c>
      <c r="C5614" s="7">
        <v>-5.8199999999999997E-3</v>
      </c>
      <c r="D5614" s="7">
        <v>-5.4900000000000001E-3</v>
      </c>
      <c r="E5614" s="7">
        <v>-5.3700000000000006E-3</v>
      </c>
      <c r="F5614" s="7">
        <v>-6.0999999999999995E-3</v>
      </c>
      <c r="G5614" s="7">
        <v>8.3799999999999999E-2</v>
      </c>
    </row>
    <row r="5615" spans="2:7" x14ac:dyDescent="0.2">
      <c r="B5615" s="60">
        <v>43685</v>
      </c>
      <c r="C5615" s="7">
        <v>-5.5800000000000008E-3</v>
      </c>
      <c r="D5615" s="7">
        <v>-5.7599999999999995E-3</v>
      </c>
      <c r="E5615" s="7">
        <v>-5.2300000000000003E-3</v>
      </c>
      <c r="F5615" s="7">
        <v>-5.8099999999999992E-3</v>
      </c>
      <c r="G5615" s="7">
        <v>-4.1200000000000001E-2</v>
      </c>
    </row>
    <row r="5616" spans="2:7" x14ac:dyDescent="0.2">
      <c r="B5616" s="60">
        <v>43686</v>
      </c>
      <c r="C5616" s="7">
        <v>-5.7499999999999999E-3</v>
      </c>
      <c r="D5616" s="7">
        <v>-5.9499999999999996E-3</v>
      </c>
      <c r="E5616" s="7">
        <v>-5.6499999999999996E-3</v>
      </c>
      <c r="F5616" s="7">
        <v>-5.9800000000000001E-3</v>
      </c>
      <c r="G5616" s="7">
        <v>3.0499999999999999E-2</v>
      </c>
    </row>
    <row r="5617" spans="2:7" x14ac:dyDescent="0.2">
      <c r="B5617" s="60">
        <v>43689</v>
      </c>
      <c r="C5617" s="7">
        <v>-5.9299999999999995E-3</v>
      </c>
      <c r="D5617" s="7">
        <v>-5.7199999999999994E-3</v>
      </c>
      <c r="E5617" s="7">
        <v>-5.7099999999999998E-3</v>
      </c>
      <c r="F5617" s="7">
        <v>-5.9699999999999996E-3</v>
      </c>
      <c r="G5617" s="7">
        <v>3.1300000000000001E-2</v>
      </c>
    </row>
    <row r="5618" spans="2:7" x14ac:dyDescent="0.2">
      <c r="B5618" s="60">
        <v>43690</v>
      </c>
      <c r="C5618" s="7">
        <v>-6.0799999999999995E-3</v>
      </c>
      <c r="D5618" s="7">
        <v>-6.0400000000000002E-3</v>
      </c>
      <c r="E5618" s="7">
        <v>-5.8699999999999994E-3</v>
      </c>
      <c r="F5618" s="7">
        <v>-6.1900000000000002E-3</v>
      </c>
      <c r="G5618" s="7">
        <v>2.53E-2</v>
      </c>
    </row>
    <row r="5619" spans="2:7" x14ac:dyDescent="0.2">
      <c r="B5619" s="60">
        <v>43691</v>
      </c>
      <c r="C5619" s="7">
        <v>-6.4900000000000001E-3</v>
      </c>
      <c r="D5619" s="7">
        <v>-6.0799999999999995E-3</v>
      </c>
      <c r="E5619" s="7">
        <v>-6.0799999999999995E-3</v>
      </c>
      <c r="F5619" s="7">
        <v>-6.5700000000000003E-3</v>
      </c>
      <c r="G5619" s="7">
        <v>6.7400000000000002E-2</v>
      </c>
    </row>
    <row r="5620" spans="2:7" x14ac:dyDescent="0.2">
      <c r="B5620" s="60">
        <v>43692</v>
      </c>
      <c r="C5620" s="7">
        <v>-7.11E-3</v>
      </c>
      <c r="D5620" s="7">
        <v>-6.6100000000000004E-3</v>
      </c>
      <c r="E5620" s="7">
        <v>-6.4099999999999999E-3</v>
      </c>
      <c r="F5620" s="7">
        <v>-7.1399999999999996E-3</v>
      </c>
      <c r="G5620" s="7">
        <v>9.5500000000000002E-2</v>
      </c>
    </row>
    <row r="5621" spans="2:7" x14ac:dyDescent="0.2">
      <c r="B5621" s="60">
        <v>43693</v>
      </c>
      <c r="C5621" s="7">
        <v>-6.8400000000000006E-3</v>
      </c>
      <c r="D5621" s="7">
        <v>-7.0799999999999995E-3</v>
      </c>
      <c r="E5621" s="7">
        <v>-6.45E-3</v>
      </c>
      <c r="F5621" s="7">
        <v>-7.2699999999999996E-3</v>
      </c>
      <c r="G5621" s="7">
        <v>-3.7999999999999999E-2</v>
      </c>
    </row>
    <row r="5622" spans="2:7" x14ac:dyDescent="0.2">
      <c r="B5622" s="60">
        <v>43696</v>
      </c>
      <c r="C5622" s="7">
        <v>-6.5100000000000002E-3</v>
      </c>
      <c r="D5622" s="7">
        <v>-6.7300000000000007E-3</v>
      </c>
      <c r="E5622" s="7">
        <v>-6.2399999999999999E-3</v>
      </c>
      <c r="F5622" s="7">
        <v>-6.9099999999999995E-3</v>
      </c>
      <c r="G5622" s="7">
        <v>-4.82E-2</v>
      </c>
    </row>
    <row r="5623" spans="2:7" x14ac:dyDescent="0.2">
      <c r="B5623" s="60">
        <v>43697</v>
      </c>
      <c r="C5623" s="7">
        <v>-6.9099999999999995E-3</v>
      </c>
      <c r="D5623" s="7">
        <v>-6.5400000000000007E-3</v>
      </c>
      <c r="E5623" s="7">
        <v>-6.4900000000000001E-3</v>
      </c>
      <c r="F5623" s="7">
        <v>-7.11E-3</v>
      </c>
      <c r="G5623" s="7">
        <v>6.1400000000000003E-2</v>
      </c>
    </row>
    <row r="5624" spans="2:7" x14ac:dyDescent="0.2">
      <c r="B5624" s="60">
        <v>43698</v>
      </c>
      <c r="C5624" s="7">
        <v>-6.7100000000000007E-3</v>
      </c>
      <c r="D5624" s="7">
        <v>-6.8000000000000005E-3</v>
      </c>
      <c r="E5624" s="7">
        <v>-6.45E-3</v>
      </c>
      <c r="F5624" s="7">
        <v>-6.8600000000000006E-3</v>
      </c>
      <c r="G5624" s="7">
        <v>-2.8899999999999999E-2</v>
      </c>
    </row>
    <row r="5625" spans="2:7" x14ac:dyDescent="0.2">
      <c r="B5625" s="60">
        <v>43699</v>
      </c>
      <c r="C5625" s="7">
        <v>-6.45E-3</v>
      </c>
      <c r="D5625" s="7">
        <v>-6.7700000000000008E-3</v>
      </c>
      <c r="E5625" s="7">
        <v>-6.1399999999999996E-3</v>
      </c>
      <c r="F5625" s="7">
        <v>-6.9499999999999996E-3</v>
      </c>
      <c r="G5625" s="7">
        <v>-3.8699999999999998E-2</v>
      </c>
    </row>
    <row r="5626" spans="2:7" x14ac:dyDescent="0.2">
      <c r="B5626" s="60">
        <v>43700</v>
      </c>
      <c r="C5626" s="7">
        <v>-6.7700000000000008E-3</v>
      </c>
      <c r="D5626" s="7">
        <v>-6.2300000000000003E-3</v>
      </c>
      <c r="E5626" s="7">
        <v>-6.0299999999999998E-3</v>
      </c>
      <c r="F5626" s="7">
        <v>-6.8300000000000001E-3</v>
      </c>
      <c r="G5626" s="7">
        <v>4.9599999999999998E-2</v>
      </c>
    </row>
    <row r="5627" spans="2:7" x14ac:dyDescent="0.2">
      <c r="B5627" s="60">
        <v>43703</v>
      </c>
      <c r="C5627" s="7">
        <v>-6.6300000000000005E-3</v>
      </c>
      <c r="D5627" s="7">
        <v>-7.0399999999999994E-3</v>
      </c>
      <c r="E5627" s="7">
        <v>-6.5200000000000006E-3</v>
      </c>
      <c r="F5627" s="7">
        <v>-7.0399999999999994E-3</v>
      </c>
      <c r="G5627" s="7">
        <v>-2.07E-2</v>
      </c>
    </row>
    <row r="5628" spans="2:7" x14ac:dyDescent="0.2">
      <c r="B5628" s="60">
        <v>43704</v>
      </c>
      <c r="C5628" s="7">
        <v>-6.9399999999999991E-3</v>
      </c>
      <c r="D5628" s="7">
        <v>-6.6800000000000002E-3</v>
      </c>
      <c r="E5628" s="7">
        <v>-6.6500000000000005E-3</v>
      </c>
      <c r="F5628" s="7">
        <v>-6.9799999999999992E-3</v>
      </c>
      <c r="G5628" s="7">
        <v>4.6800000000000001E-2</v>
      </c>
    </row>
    <row r="5629" spans="2:7" x14ac:dyDescent="0.2">
      <c r="B5629" s="60">
        <v>43705</v>
      </c>
      <c r="C5629" s="7">
        <v>-7.0999999999999995E-3</v>
      </c>
      <c r="D5629" s="7">
        <v>-6.9699999999999996E-3</v>
      </c>
      <c r="E5629" s="7">
        <v>-6.9299999999999995E-3</v>
      </c>
      <c r="F5629" s="7">
        <v>-7.28E-3</v>
      </c>
      <c r="G5629" s="7">
        <v>2.3099999999999999E-2</v>
      </c>
    </row>
    <row r="5630" spans="2:7" x14ac:dyDescent="0.2">
      <c r="B5630" s="60">
        <v>43706</v>
      </c>
      <c r="C5630" s="7">
        <v>-6.9399999999999991E-3</v>
      </c>
      <c r="D5630" s="7">
        <v>-7.1300000000000001E-3</v>
      </c>
      <c r="E5630" s="7">
        <v>-6.7700000000000008E-3</v>
      </c>
      <c r="F5630" s="7">
        <v>-7.1999999999999998E-3</v>
      </c>
      <c r="G5630" s="7">
        <v>-2.2499999999999999E-2</v>
      </c>
    </row>
    <row r="5631" spans="2:7" x14ac:dyDescent="0.2">
      <c r="B5631" s="60">
        <v>43707</v>
      </c>
      <c r="C5631" s="7">
        <v>-7.0299999999999998E-3</v>
      </c>
      <c r="D5631" s="7">
        <v>-6.9799999999999992E-3</v>
      </c>
      <c r="E5631" s="7">
        <v>-6.7700000000000008E-3</v>
      </c>
      <c r="F5631" s="7">
        <v>-7.1799999999999998E-3</v>
      </c>
      <c r="G5631" s="7">
        <v>1.2999999999999999E-2</v>
      </c>
    </row>
    <row r="5632" spans="2:7" x14ac:dyDescent="0.2">
      <c r="B5632" s="60">
        <v>43710</v>
      </c>
      <c r="C5632" s="7">
        <v>-7.0199999999999993E-3</v>
      </c>
      <c r="D5632" s="7">
        <v>-7.0299999999999998E-3</v>
      </c>
      <c r="E5632" s="7">
        <v>-6.7400000000000003E-3</v>
      </c>
      <c r="F5632" s="7">
        <v>-7.0499999999999998E-3</v>
      </c>
      <c r="G5632" s="7">
        <v>-1.4E-3</v>
      </c>
    </row>
    <row r="5633" spans="2:7" x14ac:dyDescent="0.2">
      <c r="B5633" s="60">
        <v>43711</v>
      </c>
      <c r="C5633" s="7">
        <v>-7.0299999999999998E-3</v>
      </c>
      <c r="D5633" s="7">
        <v>-6.9899999999999997E-3</v>
      </c>
      <c r="E5633" s="7">
        <v>-6.9399999999999991E-3</v>
      </c>
      <c r="F5633" s="7">
        <v>-7.43E-3</v>
      </c>
      <c r="G5633" s="7">
        <v>1.4E-3</v>
      </c>
    </row>
    <row r="5634" spans="2:7" x14ac:dyDescent="0.2">
      <c r="B5634" s="60">
        <v>43712</v>
      </c>
      <c r="C5634" s="7">
        <v>-6.7500000000000008E-3</v>
      </c>
      <c r="D5634" s="7">
        <v>-6.9099999999999995E-3</v>
      </c>
      <c r="E5634" s="7">
        <v>-6.3499999999999997E-3</v>
      </c>
      <c r="F5634" s="7">
        <v>-6.9799999999999992E-3</v>
      </c>
      <c r="G5634" s="7">
        <v>-3.9800000000000002E-2</v>
      </c>
    </row>
    <row r="5635" spans="2:7" x14ac:dyDescent="0.2">
      <c r="B5635" s="60">
        <v>43713</v>
      </c>
      <c r="C5635" s="7">
        <v>-5.9499999999999996E-3</v>
      </c>
      <c r="D5635" s="7">
        <v>-6.5700000000000003E-3</v>
      </c>
      <c r="E5635" s="7">
        <v>-5.7099999999999998E-3</v>
      </c>
      <c r="F5635" s="7">
        <v>-6.7000000000000002E-3</v>
      </c>
      <c r="G5635" s="7">
        <v>-0.11849999999999999</v>
      </c>
    </row>
    <row r="5636" spans="2:7" x14ac:dyDescent="0.2">
      <c r="B5636" s="60">
        <v>43714</v>
      </c>
      <c r="C5636" s="7">
        <v>-6.3699999999999998E-3</v>
      </c>
      <c r="D5636" s="7">
        <v>-5.8499999999999993E-3</v>
      </c>
      <c r="E5636" s="7">
        <v>-5.7299999999999999E-3</v>
      </c>
      <c r="F5636" s="7">
        <v>-6.4000000000000003E-3</v>
      </c>
      <c r="G5636" s="7">
        <v>7.0599999999999996E-2</v>
      </c>
    </row>
    <row r="5637" spans="2:7" x14ac:dyDescent="0.2">
      <c r="B5637" s="60">
        <v>43715</v>
      </c>
      <c r="C5637" s="7">
        <v>-6.3800000000000003E-3</v>
      </c>
      <c r="D5637" s="7">
        <v>-6.3800000000000003E-3</v>
      </c>
      <c r="E5637" s="7">
        <v>-6.3800000000000003E-3</v>
      </c>
      <c r="F5637" s="7">
        <v>-6.3800000000000003E-3</v>
      </c>
      <c r="G5637" s="7">
        <v>1.6000000000000001E-3</v>
      </c>
    </row>
    <row r="5638" spans="2:7" x14ac:dyDescent="0.2">
      <c r="B5638" s="60">
        <v>43717</v>
      </c>
      <c r="C5638" s="7">
        <v>-5.8199999999999997E-3</v>
      </c>
      <c r="D5638" s="7">
        <v>-6.3600000000000002E-3</v>
      </c>
      <c r="E5638" s="7">
        <v>-5.6499999999999996E-3</v>
      </c>
      <c r="F5638" s="7">
        <v>-6.4000000000000003E-3</v>
      </c>
      <c r="G5638" s="7">
        <v>-8.7800000000000003E-2</v>
      </c>
    </row>
    <row r="5639" spans="2:7" x14ac:dyDescent="0.2">
      <c r="B5639" s="60">
        <v>43718</v>
      </c>
      <c r="C5639" s="7">
        <v>-5.4800000000000005E-3</v>
      </c>
      <c r="D5639" s="7">
        <v>-5.7299999999999999E-3</v>
      </c>
      <c r="E5639" s="7">
        <v>-5.4100000000000007E-3</v>
      </c>
      <c r="F5639" s="7">
        <v>-5.8699999999999994E-3</v>
      </c>
      <c r="G5639" s="7">
        <v>-5.8400000000000001E-2</v>
      </c>
    </row>
    <row r="5640" spans="2:7" x14ac:dyDescent="0.2">
      <c r="B5640" s="60">
        <v>43719</v>
      </c>
      <c r="C5640" s="7">
        <v>-5.6100000000000004E-3</v>
      </c>
      <c r="D5640" s="7">
        <v>-5.4200000000000003E-3</v>
      </c>
      <c r="E5640" s="7">
        <v>-5.2700000000000004E-3</v>
      </c>
      <c r="F5640" s="7">
        <v>-5.7399999999999994E-3</v>
      </c>
      <c r="G5640" s="7">
        <v>2.3699999999999999E-2</v>
      </c>
    </row>
    <row r="5641" spans="2:7" x14ac:dyDescent="0.2">
      <c r="B5641" s="60">
        <v>43720</v>
      </c>
      <c r="C5641" s="7">
        <v>-5.2399999999999999E-3</v>
      </c>
      <c r="D5641" s="7">
        <v>-5.5400000000000007E-3</v>
      </c>
      <c r="E5641" s="7">
        <v>-5.0800000000000003E-3</v>
      </c>
      <c r="F5641" s="7">
        <v>-6.4700000000000001E-3</v>
      </c>
      <c r="G5641" s="7">
        <v>-6.6000000000000003E-2</v>
      </c>
    </row>
    <row r="5642" spans="2:7" x14ac:dyDescent="0.2">
      <c r="B5642" s="60">
        <v>43721</v>
      </c>
      <c r="C5642" s="7">
        <v>-4.45E-3</v>
      </c>
      <c r="D5642" s="7">
        <v>-5.0200000000000002E-3</v>
      </c>
      <c r="E5642" s="7">
        <v>-4.3400000000000001E-3</v>
      </c>
      <c r="F5642" s="7">
        <v>-5.1400000000000005E-3</v>
      </c>
      <c r="G5642" s="7">
        <v>-0.15079999999999999</v>
      </c>
    </row>
    <row r="5643" spans="2:7" x14ac:dyDescent="0.2">
      <c r="B5643" s="60">
        <v>43724</v>
      </c>
      <c r="C5643" s="7">
        <v>-4.7999999999999996E-3</v>
      </c>
      <c r="D5643" s="7">
        <v>-4.6300000000000004E-3</v>
      </c>
      <c r="E5643" s="7">
        <v>-4.4400000000000004E-3</v>
      </c>
      <c r="F5643" s="7">
        <v>-4.9199999999999999E-3</v>
      </c>
      <c r="G5643" s="7">
        <v>7.8700000000000006E-2</v>
      </c>
    </row>
    <row r="5644" spans="2:7" x14ac:dyDescent="0.2">
      <c r="B5644" s="60">
        <v>43725</v>
      </c>
      <c r="C5644" s="7">
        <v>-4.7399999999999994E-3</v>
      </c>
      <c r="D5644" s="7">
        <v>-4.8300000000000001E-3</v>
      </c>
      <c r="E5644" s="7">
        <v>-4.62E-3</v>
      </c>
      <c r="F5644" s="7">
        <v>-4.9499999999999995E-3</v>
      </c>
      <c r="G5644" s="7">
        <v>-1.2500000000000001E-2</v>
      </c>
    </row>
    <row r="5645" spans="2:7" x14ac:dyDescent="0.2">
      <c r="B5645" s="60">
        <v>43726</v>
      </c>
      <c r="C5645" s="7">
        <v>-5.0800000000000003E-3</v>
      </c>
      <c r="D5645" s="7">
        <v>-4.6899999999999997E-3</v>
      </c>
      <c r="E5645" s="7">
        <v>-4.6899999999999997E-3</v>
      </c>
      <c r="F5645" s="7">
        <v>-5.13E-3</v>
      </c>
      <c r="G5645" s="7">
        <v>7.17E-2</v>
      </c>
    </row>
    <row r="5646" spans="2:7" x14ac:dyDescent="0.2">
      <c r="B5646" s="60">
        <v>43727</v>
      </c>
      <c r="C5646" s="7">
        <v>-5.0699999999999999E-3</v>
      </c>
      <c r="D5646" s="7">
        <v>-5.0099999999999997E-3</v>
      </c>
      <c r="E5646" s="7">
        <v>-4.7599999999999995E-3</v>
      </c>
      <c r="F5646" s="7">
        <v>-5.1200000000000004E-3</v>
      </c>
      <c r="G5646" s="7">
        <v>-2E-3</v>
      </c>
    </row>
    <row r="5647" spans="2:7" x14ac:dyDescent="0.2">
      <c r="B5647" s="60">
        <v>43728</v>
      </c>
      <c r="C5647" s="7">
        <v>-5.2199999999999998E-3</v>
      </c>
      <c r="D5647" s="7">
        <v>-5.0499999999999998E-3</v>
      </c>
      <c r="E5647" s="7">
        <v>-5.0000000000000001E-3</v>
      </c>
      <c r="F5647" s="7">
        <v>-5.2599999999999999E-3</v>
      </c>
      <c r="G5647" s="7">
        <v>2.9600000000000001E-2</v>
      </c>
    </row>
    <row r="5648" spans="2:7" x14ac:dyDescent="0.2">
      <c r="B5648" s="60">
        <v>43731</v>
      </c>
      <c r="C5648" s="7">
        <v>-5.8299999999999992E-3</v>
      </c>
      <c r="D5648" s="7">
        <v>-5.2500000000000003E-3</v>
      </c>
      <c r="E5648" s="7">
        <v>-5.0800000000000003E-3</v>
      </c>
      <c r="F5648" s="7">
        <v>-5.9699999999999996E-3</v>
      </c>
      <c r="G5648" s="7">
        <v>0.1169</v>
      </c>
    </row>
    <row r="5649" spans="2:7" x14ac:dyDescent="0.2">
      <c r="B5649" s="60">
        <v>43732</v>
      </c>
      <c r="C5649" s="7">
        <v>-6.0000000000000001E-3</v>
      </c>
      <c r="D5649" s="7">
        <v>-5.7099999999999998E-3</v>
      </c>
      <c r="E5649" s="7">
        <v>-5.5900000000000004E-3</v>
      </c>
      <c r="F5649" s="7">
        <v>-6.0799999999999995E-3</v>
      </c>
      <c r="G5649" s="7">
        <v>2.92E-2</v>
      </c>
    </row>
    <row r="5650" spans="2:7" x14ac:dyDescent="0.2">
      <c r="B5650" s="60">
        <v>43733</v>
      </c>
      <c r="C5650" s="7">
        <v>-5.7599999999999995E-3</v>
      </c>
      <c r="D5650" s="7">
        <v>-6.0200000000000002E-3</v>
      </c>
      <c r="E5650" s="7">
        <v>-5.6899999999999997E-3</v>
      </c>
      <c r="F5650" s="7">
        <v>-6.2199999999999998E-3</v>
      </c>
      <c r="G5650" s="7">
        <v>-0.04</v>
      </c>
    </row>
    <row r="5651" spans="2:7" x14ac:dyDescent="0.2">
      <c r="B5651" s="60">
        <v>43734</v>
      </c>
      <c r="C5651" s="7">
        <v>-5.8299999999999992E-3</v>
      </c>
      <c r="D5651" s="7">
        <v>-5.7299999999999999E-3</v>
      </c>
      <c r="E5651" s="7">
        <v>-5.6399999999999992E-3</v>
      </c>
      <c r="F5651" s="7">
        <v>-5.94E-3</v>
      </c>
      <c r="G5651" s="7">
        <v>1.2200000000000001E-2</v>
      </c>
    </row>
    <row r="5652" spans="2:7" x14ac:dyDescent="0.2">
      <c r="B5652" s="60">
        <v>43735</v>
      </c>
      <c r="C5652" s="7">
        <v>-5.7499999999999999E-3</v>
      </c>
      <c r="D5652" s="7">
        <v>-5.8099999999999992E-3</v>
      </c>
      <c r="E5652" s="7">
        <v>-5.6299999999999996E-3</v>
      </c>
      <c r="F5652" s="7">
        <v>-5.9699999999999996E-3</v>
      </c>
      <c r="G5652" s="7">
        <v>-1.37E-2</v>
      </c>
    </row>
    <row r="5653" spans="2:7" x14ac:dyDescent="0.2">
      <c r="B5653" s="60">
        <v>43736</v>
      </c>
      <c r="C5653" s="7">
        <v>-5.7299999999999999E-3</v>
      </c>
      <c r="D5653" s="7">
        <v>-5.77E-3</v>
      </c>
      <c r="E5653" s="7">
        <v>-5.7299999999999999E-3</v>
      </c>
      <c r="F5653" s="7">
        <v>-5.77E-3</v>
      </c>
      <c r="G5653" s="7">
        <v>-3.5000000000000001E-3</v>
      </c>
    </row>
    <row r="5654" spans="2:7" x14ac:dyDescent="0.2">
      <c r="B5654" s="60">
        <v>43738</v>
      </c>
      <c r="C5654" s="7">
        <v>-5.7199999999999994E-3</v>
      </c>
      <c r="D5654" s="7">
        <v>-5.7999999999999996E-3</v>
      </c>
      <c r="E5654" s="7">
        <v>-5.4200000000000003E-3</v>
      </c>
      <c r="F5654" s="7">
        <v>-5.8299999999999992E-3</v>
      </c>
      <c r="G5654" s="7">
        <v>-1.6999999999999999E-3</v>
      </c>
    </row>
    <row r="5655" spans="2:7" x14ac:dyDescent="0.2">
      <c r="B5655" s="60">
        <v>43739</v>
      </c>
      <c r="C5655" s="7">
        <v>-5.6200000000000009E-3</v>
      </c>
      <c r="D5655" s="7">
        <v>-5.4900000000000001E-3</v>
      </c>
      <c r="E5655" s="7">
        <v>-5.0899999999999999E-3</v>
      </c>
      <c r="F5655" s="7">
        <v>-5.6899999999999997E-3</v>
      </c>
      <c r="G5655" s="7">
        <v>-1.7500000000000002E-2</v>
      </c>
    </row>
    <row r="5656" spans="2:7" x14ac:dyDescent="0.2">
      <c r="B5656" s="60">
        <v>43740</v>
      </c>
      <c r="C5656" s="7">
        <v>-5.47E-3</v>
      </c>
      <c r="D5656" s="7">
        <v>-5.4300000000000008E-3</v>
      </c>
      <c r="E5656" s="7">
        <v>-5.2500000000000003E-3</v>
      </c>
      <c r="F5656" s="7">
        <v>-5.5700000000000003E-3</v>
      </c>
      <c r="G5656" s="7">
        <v>-2.6700000000000002E-2</v>
      </c>
    </row>
    <row r="5657" spans="2:7" x14ac:dyDescent="0.2">
      <c r="B5657" s="60">
        <v>43741</v>
      </c>
      <c r="C5657" s="7">
        <v>-5.8699999999999994E-3</v>
      </c>
      <c r="D5657" s="7">
        <v>-5.5200000000000006E-3</v>
      </c>
      <c r="E5657" s="7">
        <v>-5.5200000000000006E-3</v>
      </c>
      <c r="F5657" s="7">
        <v>-6.0400000000000002E-3</v>
      </c>
      <c r="G5657" s="7">
        <v>7.3099999999999998E-2</v>
      </c>
    </row>
    <row r="5658" spans="2:7" x14ac:dyDescent="0.2">
      <c r="B5658" s="60">
        <v>43742</v>
      </c>
      <c r="C5658" s="7">
        <v>-5.8699999999999994E-3</v>
      </c>
      <c r="D5658" s="7">
        <v>-5.8399999999999997E-3</v>
      </c>
      <c r="E5658" s="7">
        <v>-5.7499999999999999E-3</v>
      </c>
      <c r="F5658" s="7">
        <v>-6.0400000000000002E-3</v>
      </c>
      <c r="G5658" s="7">
        <v>0</v>
      </c>
    </row>
    <row r="5659" spans="2:7" x14ac:dyDescent="0.2">
      <c r="B5659" s="60">
        <v>43743</v>
      </c>
      <c r="C5659" s="7">
        <v>-5.8499999999999993E-3</v>
      </c>
      <c r="D5659" s="7">
        <v>-5.8499999999999993E-3</v>
      </c>
      <c r="E5659" s="7">
        <v>-5.8499999999999993E-3</v>
      </c>
      <c r="F5659" s="7">
        <v>-5.8499999999999993E-3</v>
      </c>
      <c r="G5659" s="7">
        <v>-3.3999999999999998E-3</v>
      </c>
    </row>
    <row r="5660" spans="2:7" x14ac:dyDescent="0.2">
      <c r="B5660" s="60">
        <v>43745</v>
      </c>
      <c r="C5660" s="7">
        <v>-5.7499999999999999E-3</v>
      </c>
      <c r="D5660" s="7">
        <v>-5.8499999999999993E-3</v>
      </c>
      <c r="E5660" s="7">
        <v>-5.6999999999999993E-3</v>
      </c>
      <c r="F5660" s="7">
        <v>-6.0200000000000002E-3</v>
      </c>
      <c r="G5660" s="7">
        <v>-1.7100000000000001E-2</v>
      </c>
    </row>
    <row r="5661" spans="2:7" x14ac:dyDescent="0.2">
      <c r="B5661" s="60">
        <v>43746</v>
      </c>
      <c r="C5661" s="7">
        <v>-5.94E-3</v>
      </c>
      <c r="D5661" s="7">
        <v>-5.5600000000000007E-3</v>
      </c>
      <c r="E5661" s="7">
        <v>-5.4400000000000004E-3</v>
      </c>
      <c r="F5661" s="7">
        <v>-5.9899999999999997E-3</v>
      </c>
      <c r="G5661" s="7">
        <v>3.3000000000000002E-2</v>
      </c>
    </row>
    <row r="5662" spans="2:7" x14ac:dyDescent="0.2">
      <c r="B5662" s="60">
        <v>43747</v>
      </c>
      <c r="C5662" s="7">
        <v>-5.4900000000000001E-3</v>
      </c>
      <c r="D5662" s="7">
        <v>-5.8599999999999998E-3</v>
      </c>
      <c r="E5662" s="7">
        <v>-5.4400000000000004E-3</v>
      </c>
      <c r="F5662" s="7">
        <v>-5.9099999999999995E-3</v>
      </c>
      <c r="G5662" s="7">
        <v>-7.5800000000000006E-2</v>
      </c>
    </row>
    <row r="5663" spans="2:7" x14ac:dyDescent="0.2">
      <c r="B5663" s="60">
        <v>43748</v>
      </c>
      <c r="C5663" s="7">
        <v>-4.6899999999999997E-3</v>
      </c>
      <c r="D5663" s="7">
        <v>-5.4800000000000005E-3</v>
      </c>
      <c r="E5663" s="7">
        <v>-4.6600000000000001E-3</v>
      </c>
      <c r="F5663" s="7">
        <v>-5.5400000000000007E-3</v>
      </c>
      <c r="G5663" s="7">
        <v>-0.1457</v>
      </c>
    </row>
    <row r="5664" spans="2:7" x14ac:dyDescent="0.2">
      <c r="B5664" s="60">
        <v>43749</v>
      </c>
      <c r="C5664" s="7">
        <v>-4.45E-3</v>
      </c>
      <c r="D5664" s="7">
        <v>-4.6500000000000005E-3</v>
      </c>
      <c r="E5664" s="7">
        <v>-4.2699999999999995E-3</v>
      </c>
      <c r="F5664" s="7">
        <v>-4.9899999999999996E-3</v>
      </c>
      <c r="G5664" s="7">
        <v>-5.1200000000000002E-2</v>
      </c>
    </row>
    <row r="5665" spans="2:7" x14ac:dyDescent="0.2">
      <c r="B5665" s="60">
        <v>43752</v>
      </c>
      <c r="C5665" s="7">
        <v>-4.5399999999999998E-3</v>
      </c>
      <c r="D5665" s="7">
        <v>-4.6500000000000005E-3</v>
      </c>
      <c r="E5665" s="7">
        <v>-4.5199999999999997E-3</v>
      </c>
      <c r="F5665" s="7">
        <v>-4.8199999999999996E-3</v>
      </c>
      <c r="G5665" s="7">
        <v>2.0199999999999999E-2</v>
      </c>
    </row>
    <row r="5666" spans="2:7" x14ac:dyDescent="0.2">
      <c r="B5666" s="60">
        <v>43753</v>
      </c>
      <c r="C5666" s="7">
        <v>-4.1700000000000001E-3</v>
      </c>
      <c r="D5666" s="7">
        <v>-4.5799999999999999E-3</v>
      </c>
      <c r="E5666" s="7">
        <v>-4.0500000000000006E-3</v>
      </c>
      <c r="F5666" s="7">
        <v>-4.7299999999999998E-3</v>
      </c>
      <c r="G5666" s="7">
        <v>-8.1500000000000003E-2</v>
      </c>
    </row>
    <row r="5667" spans="2:7" x14ac:dyDescent="0.2">
      <c r="B5667" s="60">
        <v>43754</v>
      </c>
      <c r="C5667" s="7">
        <v>-3.8500000000000001E-3</v>
      </c>
      <c r="D5667" s="7">
        <v>-4.13E-3</v>
      </c>
      <c r="E5667" s="7">
        <v>-3.7699999999999999E-3</v>
      </c>
      <c r="F5667" s="7">
        <v>-4.3600000000000002E-3</v>
      </c>
      <c r="G5667" s="7">
        <v>-7.6700000000000004E-2</v>
      </c>
    </row>
    <row r="5668" spans="2:7" x14ac:dyDescent="0.2">
      <c r="B5668" s="60">
        <v>43755</v>
      </c>
      <c r="C5668" s="7">
        <v>-4.0799999999999994E-3</v>
      </c>
      <c r="D5668" s="7">
        <v>-4.0500000000000006E-3</v>
      </c>
      <c r="E5668" s="7">
        <v>-3.3300000000000001E-3</v>
      </c>
      <c r="F5668" s="7">
        <v>-4.0899999999999999E-3</v>
      </c>
      <c r="G5668" s="7">
        <v>5.9700000000000003E-2</v>
      </c>
    </row>
    <row r="5669" spans="2:7" x14ac:dyDescent="0.2">
      <c r="B5669" s="60">
        <v>43756</v>
      </c>
      <c r="C5669" s="7">
        <v>-3.8E-3</v>
      </c>
      <c r="D5669" s="7">
        <v>-4.0600000000000002E-3</v>
      </c>
      <c r="E5669" s="7">
        <v>-3.6700000000000001E-3</v>
      </c>
      <c r="F5669" s="7">
        <v>-4.0799999999999994E-3</v>
      </c>
      <c r="G5669" s="7">
        <v>-6.8599999999999994E-2</v>
      </c>
    </row>
    <row r="5670" spans="2:7" x14ac:dyDescent="0.2">
      <c r="B5670" s="60">
        <v>43759</v>
      </c>
      <c r="C5670" s="7">
        <v>-3.4499999999999999E-3</v>
      </c>
      <c r="D5670" s="7">
        <v>-3.7599999999999999E-3</v>
      </c>
      <c r="E5670" s="7">
        <v>-3.3400000000000001E-3</v>
      </c>
      <c r="F5670" s="7">
        <v>-3.7799999999999999E-3</v>
      </c>
      <c r="G5670" s="7">
        <v>-9.2100000000000001E-2</v>
      </c>
    </row>
    <row r="5671" spans="2:7" x14ac:dyDescent="0.2">
      <c r="B5671" s="60">
        <v>43760</v>
      </c>
      <c r="C5671" s="7">
        <v>-3.6700000000000001E-3</v>
      </c>
      <c r="D5671" s="7">
        <v>-3.4000000000000002E-3</v>
      </c>
      <c r="E5671" s="7">
        <v>-3.3600000000000001E-3</v>
      </c>
      <c r="F5671" s="7">
        <v>-3.82E-3</v>
      </c>
      <c r="G5671" s="7">
        <v>6.3799999999999996E-2</v>
      </c>
    </row>
    <row r="5672" spans="2:7" x14ac:dyDescent="0.2">
      <c r="B5672" s="60">
        <v>43761</v>
      </c>
      <c r="C5672" s="7">
        <v>-3.9000000000000003E-3</v>
      </c>
      <c r="D5672" s="7">
        <v>-3.8700000000000002E-3</v>
      </c>
      <c r="E5672" s="7">
        <v>-3.8400000000000001E-3</v>
      </c>
      <c r="F5672" s="7">
        <v>-4.1399999999999996E-3</v>
      </c>
      <c r="G5672" s="7">
        <v>6.2700000000000006E-2</v>
      </c>
    </row>
    <row r="5673" spans="2:7" x14ac:dyDescent="0.2">
      <c r="B5673" s="60">
        <v>43762</v>
      </c>
      <c r="C5673" s="7">
        <v>-4.0600000000000002E-3</v>
      </c>
      <c r="D5673" s="7">
        <v>-3.8800000000000002E-3</v>
      </c>
      <c r="E5673" s="7">
        <v>-3.5999999999999999E-3</v>
      </c>
      <c r="F5673" s="7">
        <v>-4.15E-3</v>
      </c>
      <c r="G5673" s="7">
        <v>4.1000000000000002E-2</v>
      </c>
    </row>
    <row r="5674" spans="2:7" x14ac:dyDescent="0.2">
      <c r="B5674" s="60">
        <v>43763</v>
      </c>
      <c r="C5674" s="7">
        <v>-3.64E-3</v>
      </c>
      <c r="D5674" s="7">
        <v>-3.9700000000000004E-3</v>
      </c>
      <c r="E5674" s="7">
        <v>-3.5699999999999998E-3</v>
      </c>
      <c r="F5674" s="7">
        <v>-4.0300000000000006E-3</v>
      </c>
      <c r="G5674" s="7">
        <v>-0.10340000000000001</v>
      </c>
    </row>
    <row r="5675" spans="2:7" x14ac:dyDescent="0.2">
      <c r="B5675" s="60">
        <v>43766</v>
      </c>
      <c r="C5675" s="7">
        <v>-3.31E-3</v>
      </c>
      <c r="D5675" s="7">
        <v>-3.5899999999999999E-3</v>
      </c>
      <c r="E5675" s="7">
        <v>-3.2000000000000002E-3</v>
      </c>
      <c r="F5675" s="7">
        <v>-3.7499999999999999E-3</v>
      </c>
      <c r="G5675" s="7">
        <v>-9.0700000000000003E-2</v>
      </c>
    </row>
    <row r="5676" spans="2:7" x14ac:dyDescent="0.2">
      <c r="B5676" s="60">
        <v>43767</v>
      </c>
      <c r="C5676" s="7">
        <v>-3.5099999999999997E-3</v>
      </c>
      <c r="D5676" s="7">
        <v>-3.32E-3</v>
      </c>
      <c r="E5676" s="7">
        <v>-3.2700000000000003E-3</v>
      </c>
      <c r="F5676" s="7">
        <v>-3.5899999999999999E-3</v>
      </c>
      <c r="G5676" s="7">
        <v>6.0400000000000002E-2</v>
      </c>
    </row>
    <row r="5677" spans="2:7" x14ac:dyDescent="0.2">
      <c r="B5677" s="60">
        <v>43768</v>
      </c>
      <c r="C5677" s="7">
        <v>-3.5499999999999998E-3</v>
      </c>
      <c r="D5677" s="7">
        <v>-3.5499999999999998E-3</v>
      </c>
      <c r="E5677" s="7">
        <v>-3.3700000000000002E-3</v>
      </c>
      <c r="F5677" s="7">
        <v>-3.6900000000000001E-3</v>
      </c>
      <c r="G5677" s="7">
        <v>1.14E-2</v>
      </c>
    </row>
    <row r="5678" spans="2:7" x14ac:dyDescent="0.2">
      <c r="B5678" s="60">
        <v>43769</v>
      </c>
      <c r="C5678" s="7">
        <v>-4.0300000000000006E-3</v>
      </c>
      <c r="D5678" s="7">
        <v>-3.7299999999999998E-3</v>
      </c>
      <c r="E5678" s="7">
        <v>-3.7299999999999998E-3</v>
      </c>
      <c r="F5678" s="7">
        <v>-4.2100000000000002E-3</v>
      </c>
      <c r="G5678" s="7">
        <v>0.13519999999999999</v>
      </c>
    </row>
    <row r="5679" spans="2:7" x14ac:dyDescent="0.2">
      <c r="B5679" s="60">
        <v>43770</v>
      </c>
      <c r="C5679" s="7">
        <v>-3.81E-3</v>
      </c>
      <c r="D5679" s="7">
        <v>-4.0699999999999998E-3</v>
      </c>
      <c r="E5679" s="7">
        <v>-3.7399999999999998E-3</v>
      </c>
      <c r="F5679" s="7">
        <v>-4.1700000000000001E-3</v>
      </c>
      <c r="G5679" s="7">
        <v>-5.4600000000000003E-2</v>
      </c>
    </row>
    <row r="5680" spans="2:7" x14ac:dyDescent="0.2">
      <c r="B5680" s="60">
        <v>43773</v>
      </c>
      <c r="C5680" s="7">
        <v>-3.4899999999999996E-3</v>
      </c>
      <c r="D5680" s="7">
        <v>-3.7699999999999999E-3</v>
      </c>
      <c r="E5680" s="7">
        <v>-3.4499999999999999E-3</v>
      </c>
      <c r="F5680" s="7">
        <v>-3.7699999999999999E-3</v>
      </c>
      <c r="G5680" s="7">
        <v>-8.4000000000000005E-2</v>
      </c>
    </row>
    <row r="5681" spans="2:7" x14ac:dyDescent="0.2">
      <c r="B5681" s="60">
        <v>43774</v>
      </c>
      <c r="C5681" s="7">
        <v>-3.0899999999999999E-3</v>
      </c>
      <c r="D5681" s="7">
        <v>-3.3900000000000002E-3</v>
      </c>
      <c r="E5681" s="7">
        <v>-3.0200000000000001E-3</v>
      </c>
      <c r="F5681" s="7">
        <v>-3.4499999999999999E-3</v>
      </c>
      <c r="G5681" s="7">
        <v>-0.11459999999999999</v>
      </c>
    </row>
    <row r="5682" spans="2:7" x14ac:dyDescent="0.2">
      <c r="B5682" s="60">
        <v>43775</v>
      </c>
      <c r="C5682" s="7">
        <v>-3.3400000000000001E-3</v>
      </c>
      <c r="D5682" s="7">
        <v>-3.0999999999999999E-3</v>
      </c>
      <c r="E5682" s="7">
        <v>-2.9499999999999999E-3</v>
      </c>
      <c r="F5682" s="7">
        <v>-3.3500000000000001E-3</v>
      </c>
      <c r="G5682" s="7">
        <v>8.09E-2</v>
      </c>
    </row>
    <row r="5683" spans="2:7" x14ac:dyDescent="0.2">
      <c r="B5683" s="60">
        <v>43776</v>
      </c>
      <c r="C5683" s="7">
        <v>-2.3400000000000001E-3</v>
      </c>
      <c r="D5683" s="7">
        <v>-3.3300000000000001E-3</v>
      </c>
      <c r="E5683" s="7">
        <v>-2.32E-3</v>
      </c>
      <c r="F5683" s="7">
        <v>-3.4200000000000003E-3</v>
      </c>
      <c r="G5683" s="7">
        <v>-0.2994</v>
      </c>
    </row>
    <row r="5684" spans="2:7" x14ac:dyDescent="0.2">
      <c r="B5684" s="60">
        <v>43777</v>
      </c>
      <c r="C5684" s="7">
        <v>-2.6099999999999999E-3</v>
      </c>
      <c r="D5684" s="7">
        <v>-2.5400000000000002E-3</v>
      </c>
      <c r="E5684" s="7">
        <v>-2.1800000000000001E-3</v>
      </c>
      <c r="F5684" s="7">
        <v>-2.7000000000000001E-3</v>
      </c>
      <c r="G5684" s="7">
        <v>0.1154</v>
      </c>
    </row>
    <row r="5685" spans="2:7" x14ac:dyDescent="0.2">
      <c r="B5685" s="60">
        <v>43778</v>
      </c>
      <c r="C5685" s="7">
        <v>-2.6750000000000003E-3</v>
      </c>
      <c r="D5685" s="7">
        <v>-2.6750000000000003E-3</v>
      </c>
      <c r="E5685" s="7">
        <v>-2.6750000000000003E-3</v>
      </c>
      <c r="F5685" s="7">
        <v>-2.6750000000000003E-3</v>
      </c>
      <c r="G5685" s="7">
        <v>2.4899999999999999E-2</v>
      </c>
    </row>
    <row r="5686" spans="2:7" x14ac:dyDescent="0.2">
      <c r="B5686" s="60">
        <v>43780</v>
      </c>
      <c r="C5686" s="7">
        <v>-2.4399999999999999E-3</v>
      </c>
      <c r="D5686" s="7">
        <v>-2.6800000000000001E-3</v>
      </c>
      <c r="E5686" s="7">
        <v>-2.4099999999999998E-3</v>
      </c>
      <c r="F5686" s="7">
        <v>-2.7400000000000002E-3</v>
      </c>
      <c r="G5686" s="7">
        <v>-8.7900000000000006E-2</v>
      </c>
    </row>
    <row r="5687" spans="2:7" x14ac:dyDescent="0.2">
      <c r="B5687" s="60">
        <v>43781</v>
      </c>
      <c r="C5687" s="7">
        <v>-2.5200000000000001E-3</v>
      </c>
      <c r="D5687" s="7">
        <v>-2.3599999999999997E-3</v>
      </c>
      <c r="E5687" s="7">
        <v>-2.2699999999999999E-3</v>
      </c>
      <c r="F5687" s="7">
        <v>-2.5600000000000002E-3</v>
      </c>
      <c r="G5687" s="7">
        <v>3.2800000000000003E-2</v>
      </c>
    </row>
    <row r="5688" spans="2:7" x14ac:dyDescent="0.2">
      <c r="B5688" s="60">
        <v>43782</v>
      </c>
      <c r="C5688" s="7">
        <v>-2.98E-3</v>
      </c>
      <c r="D5688" s="7">
        <v>-2.5700000000000002E-3</v>
      </c>
      <c r="E5688" s="7">
        <v>-2.5300000000000001E-3</v>
      </c>
      <c r="F5688" s="7">
        <v>-3.0799999999999998E-3</v>
      </c>
      <c r="G5688" s="7">
        <v>0.1825</v>
      </c>
    </row>
    <row r="5689" spans="2:7" x14ac:dyDescent="0.2">
      <c r="B5689" s="60">
        <v>43783</v>
      </c>
      <c r="C5689" s="7">
        <v>-3.4999999999999996E-3</v>
      </c>
      <c r="D5689" s="7">
        <v>-3.0299999999999997E-3</v>
      </c>
      <c r="E5689" s="7">
        <v>-3.0000000000000001E-3</v>
      </c>
      <c r="F5689" s="7">
        <v>-3.5299999999999997E-3</v>
      </c>
      <c r="G5689" s="7">
        <v>0.17449999999999999</v>
      </c>
    </row>
    <row r="5690" spans="2:7" x14ac:dyDescent="0.2">
      <c r="B5690" s="60">
        <v>43784</v>
      </c>
      <c r="C5690" s="7">
        <v>-3.3500000000000001E-3</v>
      </c>
      <c r="D5690" s="7">
        <v>-3.2500000000000003E-3</v>
      </c>
      <c r="E5690" s="7">
        <v>-3.2500000000000003E-3</v>
      </c>
      <c r="F5690" s="7">
        <v>-3.4799999999999996E-3</v>
      </c>
      <c r="G5690" s="7">
        <v>-4.2900000000000001E-2</v>
      </c>
    </row>
    <row r="5691" spans="2:7" x14ac:dyDescent="0.2">
      <c r="B5691" s="60">
        <v>43785</v>
      </c>
      <c r="C5691" s="7">
        <v>-3.3500000000000001E-3</v>
      </c>
      <c r="D5691" s="7">
        <v>-3.3600000000000001E-3</v>
      </c>
      <c r="E5691" s="7">
        <v>-3.3500000000000001E-3</v>
      </c>
      <c r="F5691" s="7">
        <v>-3.3600000000000001E-3</v>
      </c>
      <c r="G5691" s="7">
        <v>0</v>
      </c>
    </row>
    <row r="5692" spans="2:7" x14ac:dyDescent="0.2">
      <c r="B5692" s="60">
        <v>43787</v>
      </c>
      <c r="C5692" s="7">
        <v>-3.3600000000000001E-3</v>
      </c>
      <c r="D5692" s="7">
        <v>-3.3600000000000001E-3</v>
      </c>
      <c r="E5692" s="7">
        <v>-3.14E-3</v>
      </c>
      <c r="F5692" s="7">
        <v>-3.5199999999999997E-3</v>
      </c>
      <c r="G5692" s="7">
        <v>3.0000000000000001E-3</v>
      </c>
    </row>
    <row r="5693" spans="2:7" x14ac:dyDescent="0.2">
      <c r="B5693" s="60">
        <v>43788</v>
      </c>
      <c r="C5693" s="7">
        <v>-3.3900000000000002E-3</v>
      </c>
      <c r="D5693" s="7">
        <v>-3.3600000000000001E-3</v>
      </c>
      <c r="E5693" s="7">
        <v>-3.2300000000000002E-3</v>
      </c>
      <c r="F5693" s="7">
        <v>-3.4300000000000003E-3</v>
      </c>
      <c r="G5693" s="7">
        <v>8.8999999999999999E-3</v>
      </c>
    </row>
    <row r="5694" spans="2:7" x14ac:dyDescent="0.2">
      <c r="B5694" s="60">
        <v>43789</v>
      </c>
      <c r="C5694" s="7">
        <v>-3.4699999999999996E-3</v>
      </c>
      <c r="D5694" s="7">
        <v>-3.63E-3</v>
      </c>
      <c r="E5694" s="7">
        <v>-3.4599999999999995E-3</v>
      </c>
      <c r="F5694" s="7">
        <v>-3.8400000000000001E-3</v>
      </c>
      <c r="G5694" s="7">
        <v>2.3599999999999999E-2</v>
      </c>
    </row>
    <row r="5695" spans="2:7" x14ac:dyDescent="0.2">
      <c r="B5695" s="60">
        <v>43790</v>
      </c>
      <c r="C5695" s="7">
        <v>-3.2600000000000003E-3</v>
      </c>
      <c r="D5695" s="7">
        <v>-3.5499999999999998E-3</v>
      </c>
      <c r="E5695" s="7">
        <v>-3.2000000000000002E-3</v>
      </c>
      <c r="F5695" s="7">
        <v>-3.6099999999999999E-3</v>
      </c>
      <c r="G5695" s="7">
        <v>-6.0499999999999998E-2</v>
      </c>
    </row>
    <row r="5696" spans="2:7" x14ac:dyDescent="0.2">
      <c r="B5696" s="60">
        <v>43791</v>
      </c>
      <c r="C5696" s="7">
        <v>-3.5899999999999999E-3</v>
      </c>
      <c r="D5696" s="7">
        <v>-3.2100000000000002E-3</v>
      </c>
      <c r="E5696" s="7">
        <v>-3.0299999999999997E-3</v>
      </c>
      <c r="F5696" s="7">
        <v>-3.65E-3</v>
      </c>
      <c r="G5696" s="7">
        <v>0.1012</v>
      </c>
    </row>
    <row r="5697" spans="2:7" x14ac:dyDescent="0.2">
      <c r="B5697" s="60">
        <v>43794</v>
      </c>
      <c r="C5697" s="7">
        <v>-3.4899999999999996E-3</v>
      </c>
      <c r="D5697" s="7">
        <v>-3.5599999999999998E-3</v>
      </c>
      <c r="E5697" s="7">
        <v>-3.4300000000000003E-3</v>
      </c>
      <c r="F5697" s="7">
        <v>-3.62E-3</v>
      </c>
      <c r="G5697" s="7">
        <v>-2.7900000000000001E-2</v>
      </c>
    </row>
    <row r="5698" spans="2:7" x14ac:dyDescent="0.2">
      <c r="B5698" s="60">
        <v>43795</v>
      </c>
      <c r="C5698" s="7">
        <v>-3.7099999999999998E-3</v>
      </c>
      <c r="D5698" s="7">
        <v>-3.5199999999999997E-3</v>
      </c>
      <c r="E5698" s="7">
        <v>-3.3900000000000002E-3</v>
      </c>
      <c r="F5698" s="7">
        <v>-3.79E-3</v>
      </c>
      <c r="G5698" s="7">
        <v>6.3E-2</v>
      </c>
    </row>
    <row r="5699" spans="2:7" x14ac:dyDescent="0.2">
      <c r="B5699" s="60">
        <v>43796</v>
      </c>
      <c r="C5699" s="7">
        <v>-3.7199999999999998E-3</v>
      </c>
      <c r="D5699" s="7">
        <v>-3.7000000000000002E-3</v>
      </c>
      <c r="E5699" s="7">
        <v>-3.5499999999999998E-3</v>
      </c>
      <c r="F5699" s="7">
        <v>-3.81E-3</v>
      </c>
      <c r="G5699" s="7">
        <v>2.7000000000000001E-3</v>
      </c>
    </row>
    <row r="5700" spans="2:7" x14ac:dyDescent="0.2">
      <c r="B5700" s="60">
        <v>43797</v>
      </c>
      <c r="C5700" s="7">
        <v>-3.5999999999999999E-3</v>
      </c>
      <c r="D5700" s="7">
        <v>-3.7000000000000002E-3</v>
      </c>
      <c r="E5700" s="7">
        <v>-3.5599999999999998E-3</v>
      </c>
      <c r="F5700" s="7">
        <v>-3.8600000000000001E-3</v>
      </c>
      <c r="G5700" s="7">
        <v>-3.2300000000000002E-2</v>
      </c>
    </row>
    <row r="5701" spans="2:7" x14ac:dyDescent="0.2">
      <c r="B5701" s="60">
        <v>43798</v>
      </c>
      <c r="C5701" s="7">
        <v>-3.5999999999999999E-3</v>
      </c>
      <c r="D5701" s="7">
        <v>-3.63E-3</v>
      </c>
      <c r="E5701" s="7">
        <v>-3.4000000000000002E-3</v>
      </c>
      <c r="F5701" s="7">
        <v>-3.7399999999999998E-3</v>
      </c>
      <c r="G5701" s="7">
        <v>0</v>
      </c>
    </row>
    <row r="5702" spans="2:7" x14ac:dyDescent="0.2">
      <c r="B5702" s="60">
        <v>43801</v>
      </c>
      <c r="C5702" s="7">
        <v>-2.8000000000000004E-3</v>
      </c>
      <c r="D5702" s="7">
        <v>-3.2300000000000002E-3</v>
      </c>
      <c r="E5702" s="7">
        <v>-2.6900000000000001E-3</v>
      </c>
      <c r="F5702" s="7">
        <v>-3.2300000000000002E-3</v>
      </c>
      <c r="G5702" s="7">
        <v>-0.22220000000000001</v>
      </c>
    </row>
    <row r="5703" spans="2:7" x14ac:dyDescent="0.2">
      <c r="B5703" s="60">
        <v>43802</v>
      </c>
      <c r="C5703" s="7">
        <v>-3.4799999999999996E-3</v>
      </c>
      <c r="D5703" s="7">
        <v>-2.6900000000000001E-3</v>
      </c>
      <c r="E5703" s="7">
        <v>-2.5999999999999999E-3</v>
      </c>
      <c r="F5703" s="7">
        <v>-3.5199999999999997E-3</v>
      </c>
      <c r="G5703" s="7">
        <v>0.2429</v>
      </c>
    </row>
    <row r="5704" spans="2:7" x14ac:dyDescent="0.2">
      <c r="B5704" s="60">
        <v>43803</v>
      </c>
      <c r="C5704" s="7">
        <v>-3.13E-3</v>
      </c>
      <c r="D5704" s="7">
        <v>-3.4499999999999999E-3</v>
      </c>
      <c r="E5704" s="7">
        <v>-3.13E-3</v>
      </c>
      <c r="F5704" s="7">
        <v>-3.65E-3</v>
      </c>
      <c r="G5704" s="7">
        <v>-0.10059999999999999</v>
      </c>
    </row>
    <row r="5705" spans="2:7" x14ac:dyDescent="0.2">
      <c r="B5705" s="60">
        <v>43804</v>
      </c>
      <c r="C5705" s="7">
        <v>-2.97E-3</v>
      </c>
      <c r="D5705" s="7">
        <v>-3.3E-3</v>
      </c>
      <c r="E5705" s="7">
        <v>-2.7600000000000003E-3</v>
      </c>
      <c r="F5705" s="7">
        <v>-3.3E-3</v>
      </c>
      <c r="G5705" s="7">
        <v>-5.11E-2</v>
      </c>
    </row>
    <row r="5706" spans="2:7" x14ac:dyDescent="0.2">
      <c r="B5706" s="60">
        <v>43805</v>
      </c>
      <c r="C5706" s="7">
        <v>-2.8699999999999997E-3</v>
      </c>
      <c r="D5706" s="7">
        <v>-2.9299999999999999E-3</v>
      </c>
      <c r="E5706" s="7">
        <v>-2.7200000000000002E-3</v>
      </c>
      <c r="F5706" s="7">
        <v>-3.1199999999999999E-3</v>
      </c>
      <c r="G5706" s="7">
        <v>-3.3700000000000001E-2</v>
      </c>
    </row>
    <row r="5707" spans="2:7" x14ac:dyDescent="0.2">
      <c r="B5707" s="60">
        <v>43808</v>
      </c>
      <c r="C5707" s="7">
        <v>-3.0699999999999998E-3</v>
      </c>
      <c r="D5707" s="7">
        <v>-2.8899999999999998E-3</v>
      </c>
      <c r="E5707" s="7">
        <v>-2.8699999999999997E-3</v>
      </c>
      <c r="F5707" s="7">
        <v>-3.2200000000000002E-3</v>
      </c>
      <c r="G5707" s="7">
        <v>6.9699999999999998E-2</v>
      </c>
    </row>
    <row r="5708" spans="2:7" x14ac:dyDescent="0.2">
      <c r="B5708" s="60">
        <v>43809</v>
      </c>
      <c r="C5708" s="7">
        <v>-2.96E-3</v>
      </c>
      <c r="D5708" s="7">
        <v>-3.0499999999999998E-3</v>
      </c>
      <c r="E5708" s="7">
        <v>-2.8299999999999996E-3</v>
      </c>
      <c r="F5708" s="7">
        <v>-3.1099999999999999E-3</v>
      </c>
      <c r="G5708" s="7">
        <v>-3.5799999999999998E-2</v>
      </c>
    </row>
    <row r="5709" spans="2:7" x14ac:dyDescent="0.2">
      <c r="B5709" s="60">
        <v>43810</v>
      </c>
      <c r="C5709" s="7">
        <v>-3.2200000000000002E-3</v>
      </c>
      <c r="D5709" s="7">
        <v>-2.96E-3</v>
      </c>
      <c r="E5709" s="7">
        <v>-2.9299999999999999E-3</v>
      </c>
      <c r="F5709" s="7">
        <v>-3.2300000000000002E-3</v>
      </c>
      <c r="G5709" s="7">
        <v>8.7800000000000003E-2</v>
      </c>
    </row>
    <row r="5710" spans="2:7" x14ac:dyDescent="0.2">
      <c r="B5710" s="60">
        <v>43811</v>
      </c>
      <c r="C5710" s="7">
        <v>-2.6900000000000001E-3</v>
      </c>
      <c r="D5710" s="7">
        <v>-3.2500000000000003E-3</v>
      </c>
      <c r="E5710" s="7">
        <v>-2.5900000000000003E-3</v>
      </c>
      <c r="F5710" s="7">
        <v>-3.4200000000000003E-3</v>
      </c>
      <c r="G5710" s="7">
        <v>-0.1646</v>
      </c>
    </row>
    <row r="5711" spans="2:7" x14ac:dyDescent="0.2">
      <c r="B5711" s="60">
        <v>43812</v>
      </c>
      <c r="C5711" s="7">
        <v>-2.8999999999999998E-3</v>
      </c>
      <c r="D5711" s="7">
        <v>-2.2100000000000002E-3</v>
      </c>
      <c r="E5711" s="7">
        <v>-2.15E-3</v>
      </c>
      <c r="F5711" s="7">
        <v>-2.97E-3</v>
      </c>
      <c r="G5711" s="7">
        <v>7.8100000000000003E-2</v>
      </c>
    </row>
    <row r="5712" spans="2:7" x14ac:dyDescent="0.2">
      <c r="B5712" s="60">
        <v>43815</v>
      </c>
      <c r="C5712" s="7">
        <v>-2.7500000000000003E-3</v>
      </c>
      <c r="D5712" s="7">
        <v>-2.8399999999999996E-3</v>
      </c>
      <c r="E5712" s="7">
        <v>-2.66E-3</v>
      </c>
      <c r="F5712" s="7">
        <v>-3.0799999999999998E-3</v>
      </c>
      <c r="G5712" s="7">
        <v>-5.1700000000000003E-2</v>
      </c>
    </row>
    <row r="5713" spans="2:7" x14ac:dyDescent="0.2">
      <c r="B5713" s="60">
        <v>43816</v>
      </c>
      <c r="C5713" s="7">
        <v>-2.9299999999999999E-3</v>
      </c>
      <c r="D5713" s="7">
        <v>-2.9399999999999999E-3</v>
      </c>
      <c r="E5713" s="7">
        <v>-2.7600000000000003E-3</v>
      </c>
      <c r="F5713" s="7">
        <v>-2.99E-3</v>
      </c>
      <c r="G5713" s="7">
        <v>6.5500000000000003E-2</v>
      </c>
    </row>
    <row r="5714" spans="2:7" x14ac:dyDescent="0.2">
      <c r="B5714" s="60">
        <v>43817</v>
      </c>
      <c r="C5714" s="7">
        <v>-2.48E-3</v>
      </c>
      <c r="D5714" s="7">
        <v>-2.9199999999999999E-3</v>
      </c>
      <c r="E5714" s="7">
        <v>-2.3699999999999997E-3</v>
      </c>
      <c r="F5714" s="7">
        <v>-3.0599999999999998E-3</v>
      </c>
      <c r="G5714" s="7">
        <v>-0.15359999999999999</v>
      </c>
    </row>
    <row r="5715" spans="2:7" x14ac:dyDescent="0.2">
      <c r="B5715" s="60">
        <v>43818</v>
      </c>
      <c r="C5715" s="7">
        <v>-2.3400000000000001E-3</v>
      </c>
      <c r="D5715" s="7">
        <v>-2.47E-3</v>
      </c>
      <c r="E5715" s="7">
        <v>-2.0799999999999998E-3</v>
      </c>
      <c r="F5715" s="7">
        <v>-2.5100000000000001E-3</v>
      </c>
      <c r="G5715" s="7">
        <v>-5.6500000000000002E-2</v>
      </c>
    </row>
    <row r="5716" spans="2:7" x14ac:dyDescent="0.2">
      <c r="B5716" s="60">
        <v>43819</v>
      </c>
      <c r="C5716" s="7">
        <v>-2.5000000000000001E-3</v>
      </c>
      <c r="D5716" s="7">
        <v>-2.3599999999999997E-3</v>
      </c>
      <c r="E5716" s="7">
        <v>-2.1800000000000001E-3</v>
      </c>
      <c r="F5716" s="7">
        <v>-2.5300000000000001E-3</v>
      </c>
      <c r="G5716" s="7">
        <v>6.8400000000000002E-2</v>
      </c>
    </row>
    <row r="5717" spans="2:7" x14ac:dyDescent="0.2">
      <c r="B5717" s="60">
        <v>43822</v>
      </c>
      <c r="C5717" s="7">
        <v>-2.3899999999999998E-3</v>
      </c>
      <c r="D5717" s="7">
        <v>-2.5600000000000002E-3</v>
      </c>
      <c r="E5717" s="7">
        <v>-2.3499999999999997E-3</v>
      </c>
      <c r="F5717" s="7">
        <v>-2.7200000000000002E-3</v>
      </c>
      <c r="G5717" s="7">
        <v>-4.3999999999999997E-2</v>
      </c>
    </row>
    <row r="5718" spans="2:7" x14ac:dyDescent="0.2">
      <c r="B5718" s="60">
        <v>43823</v>
      </c>
      <c r="C5718" s="7">
        <v>-2.4450000000000001E-3</v>
      </c>
      <c r="D5718" s="7">
        <v>-2.4599999999999999E-3</v>
      </c>
      <c r="E5718" s="7">
        <v>-2.4450000000000001E-3</v>
      </c>
      <c r="F5718" s="7">
        <v>-2.4599999999999999E-3</v>
      </c>
      <c r="G5718" s="7">
        <v>2.3E-2</v>
      </c>
    </row>
    <row r="5719" spans="2:7" x14ac:dyDescent="0.2">
      <c r="B5719" s="60">
        <v>43824</v>
      </c>
      <c r="C5719" s="7">
        <v>-2.4499999999999999E-3</v>
      </c>
      <c r="D5719" s="7">
        <v>-2.4599999999999999E-3</v>
      </c>
      <c r="E5719" s="7">
        <v>-2.4499999999999999E-3</v>
      </c>
      <c r="F5719" s="7">
        <v>-2.4599999999999999E-3</v>
      </c>
      <c r="G5719" s="7">
        <v>2E-3</v>
      </c>
    </row>
    <row r="5720" spans="2:7" x14ac:dyDescent="0.2">
      <c r="B5720" s="60">
        <v>43825</v>
      </c>
      <c r="C5720" s="7">
        <v>-2.4499999999999999E-3</v>
      </c>
      <c r="D5720" s="7">
        <v>-2.4599999999999999E-3</v>
      </c>
      <c r="E5720" s="7">
        <v>-2.4499999999999999E-3</v>
      </c>
      <c r="F5720" s="7">
        <v>-2.4599999999999999E-3</v>
      </c>
      <c r="G5720" s="7">
        <v>0</v>
      </c>
    </row>
    <row r="5721" spans="2:7" x14ac:dyDescent="0.2">
      <c r="B5721" s="60">
        <v>43826</v>
      </c>
      <c r="C5721" s="7">
        <v>-2.5200000000000001E-3</v>
      </c>
      <c r="D5721" s="7">
        <v>-2.5900000000000003E-3</v>
      </c>
      <c r="E5721" s="7">
        <v>-2.3699999999999997E-3</v>
      </c>
      <c r="F5721" s="7">
        <v>-2.5900000000000003E-3</v>
      </c>
      <c r="G5721" s="7">
        <v>2.86E-2</v>
      </c>
    </row>
    <row r="5722" spans="2:7" x14ac:dyDescent="0.2">
      <c r="B5722" s="60">
        <v>43829</v>
      </c>
      <c r="C5722" s="7">
        <v>-1.82E-3</v>
      </c>
      <c r="D5722" s="7">
        <v>-2.5100000000000001E-3</v>
      </c>
      <c r="E5722" s="7">
        <v>-1.72E-3</v>
      </c>
      <c r="F5722" s="7">
        <v>-2.5200000000000001E-3</v>
      </c>
      <c r="G5722" s="7">
        <v>-0.27779999999999999</v>
      </c>
    </row>
    <row r="5723" spans="2:7" x14ac:dyDescent="0.2">
      <c r="B5723" s="60">
        <v>43830</v>
      </c>
      <c r="C5723" s="7">
        <v>-1.8699999999999999E-3</v>
      </c>
      <c r="D5723" s="7">
        <v>-1.8699999999999999E-3</v>
      </c>
      <c r="E5723" s="7">
        <v>-1.8699999999999999E-3</v>
      </c>
      <c r="F5723" s="7">
        <v>-1.8699999999999999E-3</v>
      </c>
      <c r="G5723" s="7">
        <v>2.75E-2</v>
      </c>
    </row>
    <row r="5724" spans="2:7" x14ac:dyDescent="0.2">
      <c r="B5724" s="60">
        <v>43832</v>
      </c>
      <c r="C5724" s="7">
        <v>-2.2100000000000002E-3</v>
      </c>
      <c r="D5724" s="7">
        <v>-1.8E-3</v>
      </c>
      <c r="E5724" s="7">
        <v>-1.57E-3</v>
      </c>
      <c r="F5724" s="7">
        <v>-2.3899999999999998E-3</v>
      </c>
      <c r="G5724" s="7">
        <v>0.18179999999999999</v>
      </c>
    </row>
    <row r="5725" spans="2:7" x14ac:dyDescent="0.2">
      <c r="B5725" s="60">
        <v>43833</v>
      </c>
      <c r="C5725" s="7">
        <v>-2.8000000000000004E-3</v>
      </c>
      <c r="D5725" s="7">
        <v>-2.5200000000000001E-3</v>
      </c>
      <c r="E5725" s="7">
        <v>-2.48E-3</v>
      </c>
      <c r="F5725" s="7">
        <v>-3.0200000000000001E-3</v>
      </c>
      <c r="G5725" s="7">
        <v>0.26700000000000002</v>
      </c>
    </row>
    <row r="5726" spans="2:7" x14ac:dyDescent="0.2">
      <c r="B5726" s="60">
        <v>43836</v>
      </c>
      <c r="C5726" s="7">
        <v>-2.8599999999999997E-3</v>
      </c>
      <c r="D5726" s="7">
        <v>-2.9299999999999999E-3</v>
      </c>
      <c r="E5726" s="7">
        <v>-2.7900000000000004E-3</v>
      </c>
      <c r="F5726" s="7">
        <v>-3.1099999999999999E-3</v>
      </c>
      <c r="G5726" s="7">
        <v>2.1399999999999999E-2</v>
      </c>
    </row>
    <row r="5727" spans="2:7" x14ac:dyDescent="0.2">
      <c r="B5727" s="60">
        <v>43837</v>
      </c>
      <c r="C5727" s="7">
        <v>-2.8299999999999996E-3</v>
      </c>
      <c r="D5727" s="7">
        <v>-2.8000000000000004E-3</v>
      </c>
      <c r="E5727" s="7">
        <v>-2.6900000000000001E-3</v>
      </c>
      <c r="F5727" s="7">
        <v>-2.97E-3</v>
      </c>
      <c r="G5727" s="7">
        <v>-1.0500000000000001E-2</v>
      </c>
    </row>
    <row r="5728" spans="2:7" x14ac:dyDescent="0.2">
      <c r="B5728" s="60">
        <v>43838</v>
      </c>
      <c r="C5728" s="7">
        <v>-2.4199999999999998E-3</v>
      </c>
      <c r="D5728" s="7">
        <v>-2.96E-3</v>
      </c>
      <c r="E5728" s="7">
        <v>-2.3899999999999998E-3</v>
      </c>
      <c r="F5728" s="7">
        <v>-2.99E-3</v>
      </c>
      <c r="G5728" s="7">
        <v>-0.1449</v>
      </c>
    </row>
    <row r="5729" spans="2:7" x14ac:dyDescent="0.2">
      <c r="B5729" s="60">
        <v>43839</v>
      </c>
      <c r="C5729" s="7">
        <v>-2.1800000000000001E-3</v>
      </c>
      <c r="D5729" s="7">
        <v>-2.33E-3</v>
      </c>
      <c r="E5729" s="7">
        <v>-2.1299999999999999E-3</v>
      </c>
      <c r="F5729" s="7">
        <v>-2.4599999999999999E-3</v>
      </c>
      <c r="G5729" s="7">
        <v>-9.9199999999999997E-2</v>
      </c>
    </row>
    <row r="5730" spans="2:7" x14ac:dyDescent="0.2">
      <c r="B5730" s="60">
        <v>43840</v>
      </c>
      <c r="C5730" s="7">
        <v>-2.3499999999999997E-3</v>
      </c>
      <c r="D5730" s="7">
        <v>-2.2400000000000002E-3</v>
      </c>
      <c r="E5730" s="7">
        <v>-2.0100000000000001E-3</v>
      </c>
      <c r="F5730" s="7">
        <v>-2.3899999999999998E-3</v>
      </c>
      <c r="G5730" s="7">
        <v>7.8E-2</v>
      </c>
    </row>
    <row r="5731" spans="2:7" x14ac:dyDescent="0.2">
      <c r="B5731" s="60">
        <v>43843</v>
      </c>
      <c r="C5731" s="7">
        <v>-1.9500000000000001E-3</v>
      </c>
      <c r="D5731" s="7">
        <v>-2.33E-3</v>
      </c>
      <c r="E5731" s="7">
        <v>-1.9E-3</v>
      </c>
      <c r="F5731" s="7">
        <v>-2.3599999999999997E-3</v>
      </c>
      <c r="G5731" s="7">
        <v>-0.17019999999999999</v>
      </c>
    </row>
    <row r="5732" spans="2:7" x14ac:dyDescent="0.2">
      <c r="B5732" s="60">
        <v>43844</v>
      </c>
      <c r="C5732" s="7">
        <v>-2.0699999999999998E-3</v>
      </c>
      <c r="D5732" s="7">
        <v>-1.91E-3</v>
      </c>
      <c r="E5732" s="7">
        <v>-1.8799999999999999E-3</v>
      </c>
      <c r="F5732" s="7">
        <v>-2.15E-3</v>
      </c>
      <c r="G5732" s="7">
        <v>6.1499999999999999E-2</v>
      </c>
    </row>
    <row r="5733" spans="2:7" x14ac:dyDescent="0.2">
      <c r="B5733" s="60">
        <v>43845</v>
      </c>
      <c r="C5733" s="7">
        <v>-1.98E-3</v>
      </c>
      <c r="D5733" s="7">
        <v>-1.7100000000000001E-3</v>
      </c>
      <c r="E5733" s="7">
        <v>-1.6900000000000001E-3</v>
      </c>
      <c r="F5733" s="7">
        <v>-2.2300000000000002E-3</v>
      </c>
      <c r="G5733" s="7">
        <v>-4.3499999999999997E-2</v>
      </c>
    </row>
    <row r="5734" spans="2:7" x14ac:dyDescent="0.2">
      <c r="B5734" s="60">
        <v>43846</v>
      </c>
      <c r="C5734" s="7">
        <v>-2.16E-3</v>
      </c>
      <c r="D5734" s="7">
        <v>-2E-3</v>
      </c>
      <c r="E5734" s="7">
        <v>-1.9500000000000001E-3</v>
      </c>
      <c r="F5734" s="7">
        <v>-2.2500000000000003E-3</v>
      </c>
      <c r="G5734" s="7">
        <v>9.0899999999999995E-2</v>
      </c>
    </row>
    <row r="5735" spans="2:7" x14ac:dyDescent="0.2">
      <c r="B5735" s="60">
        <v>43847</v>
      </c>
      <c r="C5735" s="7">
        <v>-2.14E-3</v>
      </c>
      <c r="D5735" s="7">
        <v>-2.0499999999999997E-3</v>
      </c>
      <c r="E5735" s="7">
        <v>-2.0100000000000001E-3</v>
      </c>
      <c r="F5735" s="7">
        <v>-2.2599999999999999E-3</v>
      </c>
      <c r="G5735" s="7">
        <v>-9.2999999999999992E-3</v>
      </c>
    </row>
    <row r="5736" spans="2:7" x14ac:dyDescent="0.2">
      <c r="B5736" s="60">
        <v>43850</v>
      </c>
      <c r="C5736" s="7">
        <v>-2.1800000000000001E-3</v>
      </c>
      <c r="D5736" s="7">
        <v>-2.14E-3</v>
      </c>
      <c r="E5736" s="7">
        <v>-2.0499999999999997E-3</v>
      </c>
      <c r="F5736" s="7">
        <v>-2.2200000000000002E-3</v>
      </c>
      <c r="G5736" s="7">
        <v>1.8700000000000001E-2</v>
      </c>
    </row>
    <row r="5737" spans="2:7" x14ac:dyDescent="0.2">
      <c r="B5737" s="60">
        <v>43851</v>
      </c>
      <c r="C5737" s="7">
        <v>-2.47E-3</v>
      </c>
      <c r="D5737" s="7">
        <v>-2.3400000000000001E-3</v>
      </c>
      <c r="E5737" s="7">
        <v>-2.0799999999999998E-3</v>
      </c>
      <c r="F5737" s="7">
        <v>-2.5600000000000002E-3</v>
      </c>
      <c r="G5737" s="7">
        <v>0.13300000000000001</v>
      </c>
    </row>
    <row r="5738" spans="2:7" x14ac:dyDescent="0.2">
      <c r="B5738" s="60">
        <v>43852</v>
      </c>
      <c r="C5738" s="7">
        <v>-2.6099999999999999E-3</v>
      </c>
      <c r="D5738" s="7">
        <v>-2.3799999999999997E-3</v>
      </c>
      <c r="E5738" s="7">
        <v>-2.3799999999999997E-3</v>
      </c>
      <c r="F5738" s="7">
        <v>-2.7400000000000002E-3</v>
      </c>
      <c r="G5738" s="7">
        <v>5.67E-2</v>
      </c>
    </row>
    <row r="5739" spans="2:7" x14ac:dyDescent="0.2">
      <c r="B5739" s="60">
        <v>43853</v>
      </c>
      <c r="C5739" s="7">
        <v>-3.0599999999999998E-3</v>
      </c>
      <c r="D5739" s="7">
        <v>-2.5999999999999999E-3</v>
      </c>
      <c r="E5739" s="7">
        <v>-2.5800000000000003E-3</v>
      </c>
      <c r="F5739" s="7">
        <v>-3.13E-3</v>
      </c>
      <c r="G5739" s="7">
        <v>0.1724</v>
      </c>
    </row>
    <row r="5740" spans="2:7" x14ac:dyDescent="0.2">
      <c r="B5740" s="60">
        <v>43854</v>
      </c>
      <c r="C5740" s="7">
        <v>-3.3600000000000001E-3</v>
      </c>
      <c r="D5740" s="7">
        <v>-2.99E-3</v>
      </c>
      <c r="E5740" s="7">
        <v>-2.8000000000000004E-3</v>
      </c>
      <c r="F5740" s="7">
        <v>-3.3700000000000002E-3</v>
      </c>
      <c r="G5740" s="7">
        <v>9.8000000000000004E-2</v>
      </c>
    </row>
    <row r="5741" spans="2:7" x14ac:dyDescent="0.2">
      <c r="B5741" s="60">
        <v>43857</v>
      </c>
      <c r="C5741" s="7">
        <v>-3.8500000000000001E-3</v>
      </c>
      <c r="D5741" s="7">
        <v>-3.3500000000000001E-3</v>
      </c>
      <c r="E5741" s="7">
        <v>-3.3300000000000001E-3</v>
      </c>
      <c r="F5741" s="7">
        <v>-3.9100000000000003E-3</v>
      </c>
      <c r="G5741" s="7">
        <v>0.14580000000000001</v>
      </c>
    </row>
    <row r="5742" spans="2:7" x14ac:dyDescent="0.2">
      <c r="B5742" s="60">
        <v>43858</v>
      </c>
      <c r="C5742" s="7">
        <v>-3.79E-3</v>
      </c>
      <c r="D5742" s="7">
        <v>-3.7699999999999999E-3</v>
      </c>
      <c r="E5742" s="7">
        <v>-3.7599999999999999E-3</v>
      </c>
      <c r="F5742" s="7">
        <v>-4.0400000000000002E-3</v>
      </c>
      <c r="G5742" s="7">
        <v>-1.5599999999999999E-2</v>
      </c>
    </row>
    <row r="5743" spans="2:7" x14ac:dyDescent="0.2">
      <c r="B5743" s="60">
        <v>43859</v>
      </c>
      <c r="C5743" s="7">
        <v>-3.7799999999999999E-3</v>
      </c>
      <c r="D5743" s="7">
        <v>-3.5199999999999997E-3</v>
      </c>
      <c r="E5743" s="7">
        <v>-3.4999999999999996E-3</v>
      </c>
      <c r="F5743" s="7">
        <v>-3.8400000000000001E-3</v>
      </c>
      <c r="G5743" s="7">
        <v>-2.5999999999999999E-3</v>
      </c>
    </row>
    <row r="5744" spans="2:7" x14ac:dyDescent="0.2">
      <c r="B5744" s="60">
        <v>43860</v>
      </c>
      <c r="C5744" s="7">
        <v>-4.0500000000000006E-3</v>
      </c>
      <c r="D5744" s="7">
        <v>-3.9500000000000004E-3</v>
      </c>
      <c r="E5744" s="7">
        <v>-3.9100000000000003E-3</v>
      </c>
      <c r="F5744" s="7">
        <v>-4.13E-3</v>
      </c>
      <c r="G5744" s="7">
        <v>7.1400000000000005E-2</v>
      </c>
    </row>
    <row r="5745" spans="2:7" x14ac:dyDescent="0.2">
      <c r="B5745" s="60">
        <v>43861</v>
      </c>
      <c r="C5745" s="7">
        <v>-4.3400000000000001E-3</v>
      </c>
      <c r="D5745" s="7">
        <v>-3.9900000000000005E-3</v>
      </c>
      <c r="E5745" s="7">
        <v>-3.9700000000000004E-3</v>
      </c>
      <c r="F5745" s="7">
        <v>-4.45E-3</v>
      </c>
      <c r="G5745" s="7">
        <v>7.1599999999999997E-2</v>
      </c>
    </row>
    <row r="5746" spans="2:7" x14ac:dyDescent="0.2">
      <c r="B5746" s="60">
        <v>43864</v>
      </c>
      <c r="C5746" s="7">
        <v>-4.4299999999999999E-3</v>
      </c>
      <c r="D5746" s="7">
        <v>-4.3099999999999996E-3</v>
      </c>
      <c r="E5746" s="7">
        <v>-4.3E-3</v>
      </c>
      <c r="F5746" s="7">
        <v>-4.47E-3</v>
      </c>
      <c r="G5746" s="7">
        <v>2.07E-2</v>
      </c>
    </row>
    <row r="5747" spans="2:7" x14ac:dyDescent="0.2">
      <c r="B5747" s="60">
        <v>43865</v>
      </c>
      <c r="C5747" s="7">
        <v>-3.9700000000000004E-3</v>
      </c>
      <c r="D5747" s="7">
        <v>-4.2699999999999995E-3</v>
      </c>
      <c r="E5747" s="7">
        <v>-3.9100000000000003E-3</v>
      </c>
      <c r="F5747" s="7">
        <v>-4.3400000000000001E-3</v>
      </c>
      <c r="G5747" s="7">
        <v>-0.1038</v>
      </c>
    </row>
    <row r="5748" spans="2:7" x14ac:dyDescent="0.2">
      <c r="B5748" s="60">
        <v>43866</v>
      </c>
      <c r="C5748" s="7">
        <v>-3.5999999999999999E-3</v>
      </c>
      <c r="D5748" s="7">
        <v>-4.0600000000000002E-3</v>
      </c>
      <c r="E5748" s="7">
        <v>-3.5499999999999998E-3</v>
      </c>
      <c r="F5748" s="7">
        <v>-4.1599999999999996E-3</v>
      </c>
      <c r="G5748" s="7">
        <v>-9.3200000000000005E-2</v>
      </c>
    </row>
    <row r="5749" spans="2:7" x14ac:dyDescent="0.2">
      <c r="B5749" s="60">
        <v>43867</v>
      </c>
      <c r="C5749" s="7">
        <v>-3.6700000000000001E-3</v>
      </c>
      <c r="D5749" s="7">
        <v>-3.5499999999999998E-3</v>
      </c>
      <c r="E5749" s="7">
        <v>-3.3900000000000002E-3</v>
      </c>
      <c r="F5749" s="7">
        <v>-3.7000000000000002E-3</v>
      </c>
      <c r="G5749" s="7">
        <v>1.9400000000000001E-2</v>
      </c>
    </row>
    <row r="5750" spans="2:7" x14ac:dyDescent="0.2">
      <c r="B5750" s="60">
        <v>43868</v>
      </c>
      <c r="C5750" s="7">
        <v>-3.8500000000000001E-3</v>
      </c>
      <c r="D5750" s="7">
        <v>-3.6900000000000001E-3</v>
      </c>
      <c r="E5750" s="7">
        <v>-3.6800000000000001E-3</v>
      </c>
      <c r="F5750" s="7">
        <v>-4.0000000000000001E-3</v>
      </c>
      <c r="G5750" s="7">
        <v>4.9000000000000002E-2</v>
      </c>
    </row>
    <row r="5751" spans="2:7" x14ac:dyDescent="0.2">
      <c r="B5751" s="60">
        <v>43871</v>
      </c>
      <c r="C5751" s="7">
        <v>-4.1099999999999999E-3</v>
      </c>
      <c r="D5751" s="7">
        <v>-3.79E-3</v>
      </c>
      <c r="E5751" s="7">
        <v>-3.7699999999999999E-3</v>
      </c>
      <c r="F5751" s="7">
        <v>-4.13E-3</v>
      </c>
      <c r="G5751" s="7">
        <v>6.7500000000000004E-2</v>
      </c>
    </row>
    <row r="5752" spans="2:7" x14ac:dyDescent="0.2">
      <c r="B5752" s="60">
        <v>43872</v>
      </c>
      <c r="C5752" s="7">
        <v>-3.9199999999999999E-3</v>
      </c>
      <c r="D5752" s="7">
        <v>-3.9700000000000004E-3</v>
      </c>
      <c r="E5752" s="7">
        <v>-3.8E-3</v>
      </c>
      <c r="F5752" s="7">
        <v>-4.0799999999999994E-3</v>
      </c>
      <c r="G5752" s="7">
        <v>-4.6199999999999998E-2</v>
      </c>
    </row>
    <row r="5753" spans="2:7" x14ac:dyDescent="0.2">
      <c r="B5753" s="60">
        <v>43873</v>
      </c>
      <c r="C5753" s="7">
        <v>-3.7499999999999999E-3</v>
      </c>
      <c r="D5753" s="7">
        <v>-3.7599999999999999E-3</v>
      </c>
      <c r="E5753" s="7">
        <v>-3.5499999999999998E-3</v>
      </c>
      <c r="F5753" s="7">
        <v>-3.8600000000000001E-3</v>
      </c>
      <c r="G5753" s="7">
        <v>-4.3400000000000001E-2</v>
      </c>
    </row>
    <row r="5754" spans="2:7" x14ac:dyDescent="0.2">
      <c r="B5754" s="60">
        <v>43874</v>
      </c>
      <c r="C5754" s="7">
        <v>-3.8600000000000001E-3</v>
      </c>
      <c r="D5754" s="7">
        <v>-3.9900000000000005E-3</v>
      </c>
      <c r="E5754" s="7">
        <v>-3.7499999999999999E-3</v>
      </c>
      <c r="F5754" s="7">
        <v>-4.1399999999999996E-3</v>
      </c>
      <c r="G5754" s="7">
        <v>2.93E-2</v>
      </c>
    </row>
    <row r="5755" spans="2:7" x14ac:dyDescent="0.2">
      <c r="B5755" s="60">
        <v>43875</v>
      </c>
      <c r="C5755" s="7">
        <v>-4.0100000000000005E-3</v>
      </c>
      <c r="D5755" s="7">
        <v>-3.9300000000000003E-3</v>
      </c>
      <c r="E5755" s="7">
        <v>-3.79E-3</v>
      </c>
      <c r="F5755" s="7">
        <v>-4.1099999999999999E-3</v>
      </c>
      <c r="G5755" s="7">
        <v>3.8899999999999997E-2</v>
      </c>
    </row>
    <row r="5756" spans="2:7" x14ac:dyDescent="0.2">
      <c r="B5756" s="60">
        <v>43878</v>
      </c>
      <c r="C5756" s="7">
        <v>-4.0100000000000005E-3</v>
      </c>
      <c r="D5756" s="7">
        <v>-3.9100000000000003E-3</v>
      </c>
      <c r="E5756" s="7">
        <v>-3.7799999999999999E-3</v>
      </c>
      <c r="F5756" s="7">
        <v>-4.0699999999999998E-3</v>
      </c>
      <c r="G5756" s="7">
        <v>0</v>
      </c>
    </row>
    <row r="5757" spans="2:7" x14ac:dyDescent="0.2">
      <c r="B5757" s="60">
        <v>43879</v>
      </c>
      <c r="C5757" s="7">
        <v>-4.0600000000000002E-3</v>
      </c>
      <c r="D5757" s="7">
        <v>-4.2100000000000002E-3</v>
      </c>
      <c r="E5757" s="7">
        <v>-3.9100000000000003E-3</v>
      </c>
      <c r="F5757" s="7">
        <v>-4.3200000000000001E-3</v>
      </c>
      <c r="G5757" s="7">
        <v>1.2500000000000001E-2</v>
      </c>
    </row>
    <row r="5758" spans="2:7" x14ac:dyDescent="0.2">
      <c r="B5758" s="60">
        <v>43880</v>
      </c>
      <c r="C5758" s="7">
        <v>-4.1999999999999997E-3</v>
      </c>
      <c r="D5758" s="7">
        <v>-4.0300000000000006E-3</v>
      </c>
      <c r="E5758" s="7">
        <v>-3.9100000000000003E-3</v>
      </c>
      <c r="F5758" s="7">
        <v>-4.2300000000000003E-3</v>
      </c>
      <c r="G5758" s="7">
        <v>3.4500000000000003E-2</v>
      </c>
    </row>
    <row r="5759" spans="2:7" x14ac:dyDescent="0.2">
      <c r="B5759" s="60">
        <v>43881</v>
      </c>
      <c r="C5759" s="7">
        <v>-4.4299999999999999E-3</v>
      </c>
      <c r="D5759" s="7">
        <v>-4.1900000000000001E-3</v>
      </c>
      <c r="E5759" s="7">
        <v>-4.0999999999999995E-3</v>
      </c>
      <c r="F5759" s="7">
        <v>-4.47E-3</v>
      </c>
      <c r="G5759" s="7">
        <v>5.4800000000000001E-2</v>
      </c>
    </row>
    <row r="5760" spans="2:7" x14ac:dyDescent="0.2">
      <c r="B5760" s="60">
        <v>43882</v>
      </c>
      <c r="C5760" s="7">
        <v>-4.28E-3</v>
      </c>
      <c r="D5760" s="7">
        <v>-4.5199999999999997E-3</v>
      </c>
      <c r="E5760" s="7">
        <v>-4.2699999999999995E-3</v>
      </c>
      <c r="F5760" s="7">
        <v>-4.6500000000000005E-3</v>
      </c>
      <c r="G5760" s="7">
        <v>-3.39E-2</v>
      </c>
    </row>
    <row r="5761" spans="2:7" x14ac:dyDescent="0.2">
      <c r="B5761" s="60">
        <v>43885</v>
      </c>
      <c r="C5761" s="7">
        <v>-4.7999999999999996E-3</v>
      </c>
      <c r="D5761" s="7">
        <v>-4.6600000000000001E-3</v>
      </c>
      <c r="E5761" s="7">
        <v>-4.5599999999999998E-3</v>
      </c>
      <c r="F5761" s="7">
        <v>-5.0000000000000001E-3</v>
      </c>
      <c r="G5761" s="7">
        <v>0.1215</v>
      </c>
    </row>
    <row r="5762" spans="2:7" x14ac:dyDescent="0.2">
      <c r="B5762" s="60">
        <v>43886</v>
      </c>
      <c r="C5762" s="7">
        <v>-5.1000000000000004E-3</v>
      </c>
      <c r="D5762" s="7">
        <v>-4.6800000000000001E-3</v>
      </c>
      <c r="E5762" s="7">
        <v>-4.6500000000000005E-3</v>
      </c>
      <c r="F5762" s="7">
        <v>-5.1999999999999998E-3</v>
      </c>
      <c r="G5762" s="7">
        <v>6.25E-2</v>
      </c>
    </row>
    <row r="5763" spans="2:7" x14ac:dyDescent="0.2">
      <c r="B5763" s="60">
        <v>43887</v>
      </c>
      <c r="C5763" s="7">
        <v>-5.0600000000000003E-3</v>
      </c>
      <c r="D5763" s="7">
        <v>-5.0899999999999999E-3</v>
      </c>
      <c r="E5763" s="7">
        <v>-4.7199999999999994E-3</v>
      </c>
      <c r="F5763" s="7">
        <v>-5.3100000000000005E-3</v>
      </c>
      <c r="G5763" s="7">
        <v>-7.7999999999999996E-3</v>
      </c>
    </row>
    <row r="5764" spans="2:7" x14ac:dyDescent="0.2">
      <c r="B5764" s="60">
        <v>43888</v>
      </c>
      <c r="C5764" s="7">
        <v>-5.4100000000000007E-3</v>
      </c>
      <c r="D5764" s="7">
        <v>-5.1800000000000006E-3</v>
      </c>
      <c r="E5764" s="7">
        <v>-5.0400000000000002E-3</v>
      </c>
      <c r="F5764" s="7">
        <v>-5.6699999999999997E-3</v>
      </c>
      <c r="G5764" s="7">
        <v>6.9199999999999998E-2</v>
      </c>
    </row>
    <row r="5765" spans="2:7" x14ac:dyDescent="0.2">
      <c r="B5765" s="60">
        <v>43889</v>
      </c>
      <c r="C5765" s="7">
        <v>-6.0799999999999995E-3</v>
      </c>
      <c r="D5765" s="7">
        <v>-5.7299999999999999E-3</v>
      </c>
      <c r="E5765" s="7">
        <v>-5.6899999999999997E-3</v>
      </c>
      <c r="F5765" s="7">
        <v>-6.2700000000000004E-3</v>
      </c>
      <c r="G5765" s="7">
        <v>0.12379999999999999</v>
      </c>
    </row>
    <row r="5766" spans="2:7" x14ac:dyDescent="0.2">
      <c r="B5766" s="60">
        <v>43892</v>
      </c>
      <c r="C5766" s="7">
        <v>-6.2100000000000002E-3</v>
      </c>
      <c r="D5766" s="7">
        <v>-6.1900000000000002E-3</v>
      </c>
      <c r="E5766" s="7">
        <v>-5.7799999999999995E-3</v>
      </c>
      <c r="F5766" s="7">
        <v>-6.6700000000000006E-3</v>
      </c>
      <c r="G5766" s="7">
        <v>2.1399999999999999E-2</v>
      </c>
    </row>
    <row r="5767" spans="2:7" x14ac:dyDescent="0.2">
      <c r="B5767" s="60">
        <v>43893</v>
      </c>
      <c r="C5767" s="7">
        <v>-6.2700000000000004E-3</v>
      </c>
      <c r="D5767" s="7">
        <v>-6.1199999999999996E-3</v>
      </c>
      <c r="E5767" s="7">
        <v>-5.6899999999999997E-3</v>
      </c>
      <c r="F5767" s="7">
        <v>-6.4200000000000004E-3</v>
      </c>
      <c r="G5767" s="7">
        <v>9.7000000000000003E-3</v>
      </c>
    </row>
    <row r="5768" spans="2:7" x14ac:dyDescent="0.2">
      <c r="B5768" s="60">
        <v>43894</v>
      </c>
      <c r="C5768" s="7">
        <v>-6.3800000000000003E-3</v>
      </c>
      <c r="D5768" s="7">
        <v>-6.43E-3</v>
      </c>
      <c r="E5768" s="7">
        <v>-6.0899999999999999E-3</v>
      </c>
      <c r="F5768" s="7">
        <v>-6.4800000000000005E-3</v>
      </c>
      <c r="G5768" s="7">
        <v>1.7500000000000002E-2</v>
      </c>
    </row>
    <row r="5769" spans="2:7" x14ac:dyDescent="0.2">
      <c r="B5769" s="60">
        <v>43895</v>
      </c>
      <c r="C5769" s="7">
        <v>-6.8300000000000001E-3</v>
      </c>
      <c r="D5769" s="7">
        <v>-6.1999999999999998E-3</v>
      </c>
      <c r="E5769" s="7">
        <v>-6.0999999999999995E-3</v>
      </c>
      <c r="F5769" s="7">
        <v>-6.8899999999999994E-3</v>
      </c>
      <c r="G5769" s="7">
        <v>7.0499999999999993E-2</v>
      </c>
    </row>
    <row r="5770" spans="2:7" x14ac:dyDescent="0.2">
      <c r="B5770" s="60">
        <v>43896</v>
      </c>
      <c r="C5770" s="7">
        <v>-7.1300000000000001E-3</v>
      </c>
      <c r="D5770" s="7">
        <v>-7.0599999999999994E-3</v>
      </c>
      <c r="E5770" s="7">
        <v>-6.9899999999999997E-3</v>
      </c>
      <c r="F5770" s="7">
        <v>-7.4599999999999996E-3</v>
      </c>
      <c r="G5770" s="7">
        <v>4.3900000000000002E-2</v>
      </c>
    </row>
    <row r="5771" spans="2:7" x14ac:dyDescent="0.2">
      <c r="B5771" s="60">
        <v>43897</v>
      </c>
      <c r="C5771" s="7">
        <v>-7.1250000000000003E-3</v>
      </c>
      <c r="D5771" s="7">
        <v>-7.1250000000000003E-3</v>
      </c>
      <c r="E5771" s="7">
        <v>-7.1250000000000003E-3</v>
      </c>
      <c r="F5771" s="7">
        <v>-7.1250000000000003E-3</v>
      </c>
      <c r="G5771" s="7">
        <v>-6.9999999999999999E-4</v>
      </c>
    </row>
    <row r="5772" spans="2:7" x14ac:dyDescent="0.2">
      <c r="B5772" s="60">
        <v>43899</v>
      </c>
      <c r="C5772" s="7">
        <v>-8.539999999999999E-3</v>
      </c>
      <c r="D5772" s="7">
        <v>-7.9500000000000005E-3</v>
      </c>
      <c r="E5772" s="7">
        <v>-7.9500000000000005E-3</v>
      </c>
      <c r="F5772" s="7">
        <v>-9.0900000000000009E-3</v>
      </c>
      <c r="G5772" s="7">
        <v>0.1986</v>
      </c>
    </row>
    <row r="5773" spans="2:7" x14ac:dyDescent="0.2">
      <c r="B5773" s="60">
        <v>43900</v>
      </c>
      <c r="C5773" s="7">
        <v>-8.0099999999999998E-3</v>
      </c>
      <c r="D5773" s="7">
        <v>-7.3299999999999997E-3</v>
      </c>
      <c r="E5773" s="7">
        <v>-7.0299999999999998E-3</v>
      </c>
      <c r="F5773" s="7">
        <v>-8.1899999999999994E-3</v>
      </c>
      <c r="G5773" s="7">
        <v>-6.2100000000000002E-2</v>
      </c>
    </row>
    <row r="5774" spans="2:7" x14ac:dyDescent="0.2">
      <c r="B5774" s="60">
        <v>43901</v>
      </c>
      <c r="C5774" s="7">
        <v>-7.4599999999999996E-3</v>
      </c>
      <c r="D5774" s="7">
        <v>-7.92E-3</v>
      </c>
      <c r="E5774" s="7">
        <v>-7.3400000000000002E-3</v>
      </c>
      <c r="F5774" s="7">
        <v>-8.1799999999999998E-3</v>
      </c>
      <c r="G5774" s="7">
        <v>-6.8699999999999997E-2</v>
      </c>
    </row>
    <row r="5775" spans="2:7" x14ac:dyDescent="0.2">
      <c r="B5775" s="60">
        <v>43902</v>
      </c>
      <c r="C5775" s="7">
        <v>-7.43E-3</v>
      </c>
      <c r="D5775" s="7">
        <v>-7.9100000000000004E-3</v>
      </c>
      <c r="E5775" s="7">
        <v>-7.0899999999999999E-3</v>
      </c>
      <c r="F5775" s="7">
        <v>-8.0200000000000011E-3</v>
      </c>
      <c r="G5775" s="7">
        <v>-4.0000000000000001E-3</v>
      </c>
    </row>
    <row r="5776" spans="2:7" x14ac:dyDescent="0.2">
      <c r="B5776" s="60">
        <v>43903</v>
      </c>
      <c r="C5776" s="7">
        <v>-5.4800000000000005E-3</v>
      </c>
      <c r="D5776" s="7">
        <v>-6.7300000000000007E-3</v>
      </c>
      <c r="E5776" s="7">
        <v>-5.3900000000000007E-3</v>
      </c>
      <c r="F5776" s="7">
        <v>-6.8300000000000001E-3</v>
      </c>
      <c r="G5776" s="7">
        <v>-0.26240000000000002</v>
      </c>
    </row>
    <row r="5777" spans="2:7" x14ac:dyDescent="0.2">
      <c r="B5777" s="60">
        <v>43906</v>
      </c>
      <c r="C5777" s="7">
        <v>-4.6100000000000004E-3</v>
      </c>
      <c r="D5777" s="7">
        <v>-5.9800000000000001E-3</v>
      </c>
      <c r="E5777" s="7">
        <v>-4.4900000000000001E-3</v>
      </c>
      <c r="F5777" s="7">
        <v>-6.0099999999999997E-3</v>
      </c>
      <c r="G5777" s="7">
        <v>-0.1588</v>
      </c>
    </row>
    <row r="5778" spans="2:7" x14ac:dyDescent="0.2">
      <c r="B5778" s="60">
        <v>43907</v>
      </c>
      <c r="C5778" s="7">
        <v>-4.3200000000000001E-3</v>
      </c>
      <c r="D5778" s="7">
        <v>-4.3099999999999996E-3</v>
      </c>
      <c r="E5778" s="7">
        <v>-3.7299999999999998E-3</v>
      </c>
      <c r="F5778" s="7">
        <v>-4.7499999999999999E-3</v>
      </c>
      <c r="G5778" s="7">
        <v>-6.2899999999999998E-2</v>
      </c>
    </row>
    <row r="5779" spans="2:7" x14ac:dyDescent="0.2">
      <c r="B5779" s="60">
        <v>43908</v>
      </c>
      <c r="C5779" s="7">
        <v>-2.3E-3</v>
      </c>
      <c r="D5779" s="7">
        <v>-3.8300000000000001E-3</v>
      </c>
      <c r="E5779" s="7">
        <v>-2E-3</v>
      </c>
      <c r="F5779" s="7">
        <v>-3.8700000000000002E-3</v>
      </c>
      <c r="G5779" s="7">
        <v>-0.46760000000000002</v>
      </c>
    </row>
    <row r="5780" spans="2:7" x14ac:dyDescent="0.2">
      <c r="B5780" s="60">
        <v>43909</v>
      </c>
      <c r="C5780" s="7">
        <v>-1.92E-3</v>
      </c>
      <c r="D5780" s="7">
        <v>-3.65E-3</v>
      </c>
      <c r="E5780" s="7">
        <v>-1.4199999999999998E-3</v>
      </c>
      <c r="F5780" s="7">
        <v>-3.8400000000000001E-3</v>
      </c>
      <c r="G5780" s="7">
        <v>-0.16520000000000001</v>
      </c>
    </row>
    <row r="5781" spans="2:7" x14ac:dyDescent="0.2">
      <c r="B5781" s="60">
        <v>43910</v>
      </c>
      <c r="C5781" s="7">
        <v>-3.2600000000000003E-3</v>
      </c>
      <c r="D5781" s="7">
        <v>-2.5400000000000002E-3</v>
      </c>
      <c r="E5781" s="7">
        <v>-2.3599999999999997E-3</v>
      </c>
      <c r="F5781" s="7">
        <v>-3.4100000000000003E-3</v>
      </c>
      <c r="G5781" s="7">
        <v>0.69789999999999996</v>
      </c>
    </row>
    <row r="5782" spans="2:7" x14ac:dyDescent="0.2">
      <c r="B5782" s="60">
        <v>43913</v>
      </c>
      <c r="C5782" s="7">
        <v>-3.7699999999999999E-3</v>
      </c>
      <c r="D5782" s="7">
        <v>-3.3500000000000001E-3</v>
      </c>
      <c r="E5782" s="7">
        <v>-3.3300000000000001E-3</v>
      </c>
      <c r="F5782" s="7">
        <v>-4.0300000000000006E-3</v>
      </c>
      <c r="G5782" s="7">
        <v>0.15640000000000001</v>
      </c>
    </row>
    <row r="5783" spans="2:7" x14ac:dyDescent="0.2">
      <c r="B5783" s="60">
        <v>43914</v>
      </c>
      <c r="C5783" s="7">
        <v>-3.2500000000000003E-3</v>
      </c>
      <c r="D5783" s="7">
        <v>-3.5999999999999999E-3</v>
      </c>
      <c r="E5783" s="7">
        <v>-3.14E-3</v>
      </c>
      <c r="F5783" s="7">
        <v>-3.7699999999999999E-3</v>
      </c>
      <c r="G5783" s="7">
        <v>-0.13789999999999999</v>
      </c>
    </row>
    <row r="5784" spans="2:7" x14ac:dyDescent="0.2">
      <c r="B5784" s="60">
        <v>43915</v>
      </c>
      <c r="C5784" s="7">
        <v>-2.64E-3</v>
      </c>
      <c r="D5784" s="7">
        <v>-3.3500000000000001E-3</v>
      </c>
      <c r="E5784" s="7">
        <v>-2.5700000000000002E-3</v>
      </c>
      <c r="F5784" s="7">
        <v>-3.4799999999999996E-3</v>
      </c>
      <c r="G5784" s="7">
        <v>-0.18770000000000001</v>
      </c>
    </row>
    <row r="5785" spans="2:7" x14ac:dyDescent="0.2">
      <c r="B5785" s="60">
        <v>43916</v>
      </c>
      <c r="C5785" s="7">
        <v>-3.5999999999999999E-3</v>
      </c>
      <c r="D5785" s="7">
        <v>-2.8799999999999997E-3</v>
      </c>
      <c r="E5785" s="7">
        <v>-2.8599999999999997E-3</v>
      </c>
      <c r="F5785" s="7">
        <v>-3.8400000000000001E-3</v>
      </c>
      <c r="G5785" s="7">
        <v>0.36359999999999998</v>
      </c>
    </row>
    <row r="5786" spans="2:7" x14ac:dyDescent="0.2">
      <c r="B5786" s="60">
        <v>43917</v>
      </c>
      <c r="C5786" s="7">
        <v>-4.7499999999999999E-3</v>
      </c>
      <c r="D5786" s="7">
        <v>-3.9399999999999999E-3</v>
      </c>
      <c r="E5786" s="7">
        <v>-3.8800000000000002E-3</v>
      </c>
      <c r="F5786" s="7">
        <v>-5.0200000000000002E-3</v>
      </c>
      <c r="G5786" s="7">
        <v>0.31940000000000002</v>
      </c>
    </row>
    <row r="5787" spans="2:7" x14ac:dyDescent="0.2">
      <c r="B5787" s="60">
        <v>43920</v>
      </c>
      <c r="C5787" s="7">
        <v>-4.96E-3</v>
      </c>
      <c r="D5787" s="7">
        <v>-4.7599999999999995E-3</v>
      </c>
      <c r="E5787" s="7">
        <v>-4.7199999999999994E-3</v>
      </c>
      <c r="F5787" s="7">
        <v>-5.5200000000000006E-3</v>
      </c>
      <c r="G5787" s="7">
        <v>4.4200000000000003E-2</v>
      </c>
    </row>
    <row r="5788" spans="2:7" x14ac:dyDescent="0.2">
      <c r="B5788" s="60">
        <v>43921</v>
      </c>
      <c r="C5788" s="7">
        <v>-4.6899999999999997E-3</v>
      </c>
      <c r="D5788" s="7">
        <v>-4.9699999999999996E-3</v>
      </c>
      <c r="E5788" s="7">
        <v>-4.5300000000000002E-3</v>
      </c>
      <c r="F5788" s="7">
        <v>-5.0899999999999999E-3</v>
      </c>
      <c r="G5788" s="7">
        <v>-5.4399999999999997E-2</v>
      </c>
    </row>
    <row r="5789" spans="2:7" x14ac:dyDescent="0.2">
      <c r="B5789" s="60">
        <v>43922</v>
      </c>
      <c r="C5789" s="7">
        <v>-4.6300000000000004E-3</v>
      </c>
      <c r="D5789" s="7">
        <v>-5.1000000000000004E-3</v>
      </c>
      <c r="E5789" s="7">
        <v>-4.5100000000000001E-3</v>
      </c>
      <c r="F5789" s="7">
        <v>-5.2900000000000004E-3</v>
      </c>
      <c r="G5789" s="7">
        <v>-1.2800000000000001E-2</v>
      </c>
    </row>
    <row r="5790" spans="2:7" x14ac:dyDescent="0.2">
      <c r="B5790" s="60">
        <v>43923</v>
      </c>
      <c r="C5790" s="7">
        <v>-4.3600000000000002E-3</v>
      </c>
      <c r="D5790" s="7">
        <v>-4.5399999999999998E-3</v>
      </c>
      <c r="E5790" s="7">
        <v>-4.0600000000000002E-3</v>
      </c>
      <c r="F5790" s="7">
        <v>-4.5799999999999999E-3</v>
      </c>
      <c r="G5790" s="7">
        <v>-5.8299999999999998E-2</v>
      </c>
    </row>
    <row r="5791" spans="2:7" x14ac:dyDescent="0.2">
      <c r="B5791" s="60">
        <v>43924</v>
      </c>
      <c r="C5791" s="7">
        <v>-4.4099999999999999E-3</v>
      </c>
      <c r="D5791" s="7">
        <v>-4.4099999999999999E-3</v>
      </c>
      <c r="E5791" s="7">
        <v>-4.2500000000000003E-3</v>
      </c>
      <c r="F5791" s="7">
        <v>-4.5999999999999999E-3</v>
      </c>
      <c r="G5791" s="7">
        <v>1.15E-2</v>
      </c>
    </row>
    <row r="5792" spans="2:7" x14ac:dyDescent="0.2">
      <c r="B5792" s="60">
        <v>43927</v>
      </c>
      <c r="C5792" s="7">
        <v>-4.2399999999999998E-3</v>
      </c>
      <c r="D5792" s="7">
        <v>-4.1199999999999995E-3</v>
      </c>
      <c r="E5792" s="7">
        <v>-3.9100000000000003E-3</v>
      </c>
      <c r="F5792" s="7">
        <v>-4.3299999999999996E-3</v>
      </c>
      <c r="G5792" s="7">
        <v>-3.85E-2</v>
      </c>
    </row>
    <row r="5793" spans="2:7" x14ac:dyDescent="0.2">
      <c r="B5793" s="60">
        <v>43928</v>
      </c>
      <c r="C5793" s="7">
        <v>-3.0999999999999999E-3</v>
      </c>
      <c r="D5793" s="7">
        <v>-4.0300000000000006E-3</v>
      </c>
      <c r="E5793" s="7">
        <v>-3.0399999999999997E-3</v>
      </c>
      <c r="F5793" s="7">
        <v>-4.0600000000000002E-3</v>
      </c>
      <c r="G5793" s="7">
        <v>-0.26889999999999997</v>
      </c>
    </row>
    <row r="5794" spans="2:7" x14ac:dyDescent="0.2">
      <c r="B5794" s="60">
        <v>43929</v>
      </c>
      <c r="C5794" s="7">
        <v>-3.0899999999999999E-3</v>
      </c>
      <c r="D5794" s="7">
        <v>-3.5999999999999999E-3</v>
      </c>
      <c r="E5794" s="7">
        <v>-2.8899999999999998E-3</v>
      </c>
      <c r="F5794" s="7">
        <v>-3.7199999999999998E-3</v>
      </c>
      <c r="G5794" s="7">
        <v>-3.2000000000000002E-3</v>
      </c>
    </row>
    <row r="5795" spans="2:7" x14ac:dyDescent="0.2">
      <c r="B5795" s="60">
        <v>43930</v>
      </c>
      <c r="C5795" s="7">
        <v>-3.4499999999999999E-3</v>
      </c>
      <c r="D5795" s="7">
        <v>-3.15E-3</v>
      </c>
      <c r="E5795" s="7">
        <v>-2.8699999999999997E-3</v>
      </c>
      <c r="F5795" s="7">
        <v>-3.5999999999999999E-3</v>
      </c>
      <c r="G5795" s="7">
        <v>0.11650000000000001</v>
      </c>
    </row>
    <row r="5796" spans="2:7" x14ac:dyDescent="0.2">
      <c r="B5796" s="60">
        <v>43934</v>
      </c>
      <c r="C5796" s="7">
        <v>-3.4949999999999998E-3</v>
      </c>
      <c r="D5796" s="7">
        <v>-3.4949999999999998E-3</v>
      </c>
      <c r="E5796" s="7">
        <v>-3.4949999999999998E-3</v>
      </c>
      <c r="F5796" s="7">
        <v>-3.4949999999999998E-3</v>
      </c>
      <c r="G5796" s="7">
        <v>1.2999999999999999E-2</v>
      </c>
    </row>
    <row r="5797" spans="2:7" x14ac:dyDescent="0.2">
      <c r="B5797" s="60">
        <v>43935</v>
      </c>
      <c r="C5797" s="7">
        <v>-3.7699999999999999E-3</v>
      </c>
      <c r="D5797" s="7">
        <v>-3.2200000000000002E-3</v>
      </c>
      <c r="E5797" s="7">
        <v>-3.14E-3</v>
      </c>
      <c r="F5797" s="7">
        <v>-4.0200000000000001E-3</v>
      </c>
      <c r="G5797" s="7">
        <v>7.8700000000000006E-2</v>
      </c>
    </row>
    <row r="5798" spans="2:7" x14ac:dyDescent="0.2">
      <c r="B5798" s="60">
        <v>43936</v>
      </c>
      <c r="C5798" s="7">
        <v>-4.62E-3</v>
      </c>
      <c r="D5798" s="7">
        <v>-3.7699999999999999E-3</v>
      </c>
      <c r="E5798" s="7">
        <v>-3.7699999999999999E-3</v>
      </c>
      <c r="F5798" s="7">
        <v>-4.7699999999999999E-3</v>
      </c>
      <c r="G5798" s="7">
        <v>0.22550000000000001</v>
      </c>
    </row>
    <row r="5799" spans="2:7" x14ac:dyDescent="0.2">
      <c r="B5799" s="60">
        <v>43937</v>
      </c>
      <c r="C5799" s="7">
        <v>-4.7099999999999998E-3</v>
      </c>
      <c r="D5799" s="7">
        <v>-4.45E-3</v>
      </c>
      <c r="E5799" s="7">
        <v>-4.2500000000000003E-3</v>
      </c>
      <c r="F5799" s="7">
        <v>-4.8599999999999997E-3</v>
      </c>
      <c r="G5799" s="7">
        <v>1.95E-2</v>
      </c>
    </row>
    <row r="5800" spans="2:7" x14ac:dyDescent="0.2">
      <c r="B5800" s="60">
        <v>43938</v>
      </c>
      <c r="C5800" s="7">
        <v>-4.7199999999999994E-3</v>
      </c>
      <c r="D5800" s="7">
        <v>-4.5000000000000005E-3</v>
      </c>
      <c r="E5800" s="7">
        <v>-4.5000000000000005E-3</v>
      </c>
      <c r="F5800" s="7">
        <v>-4.8799999999999998E-3</v>
      </c>
      <c r="G5800" s="7">
        <v>2.0999999999999999E-3</v>
      </c>
    </row>
    <row r="5801" spans="2:7" x14ac:dyDescent="0.2">
      <c r="B5801" s="60">
        <v>43941</v>
      </c>
      <c r="C5801" s="7">
        <v>-4.4800000000000005E-3</v>
      </c>
      <c r="D5801" s="7">
        <v>-4.7599999999999995E-3</v>
      </c>
      <c r="E5801" s="7">
        <v>-4.3800000000000002E-3</v>
      </c>
      <c r="F5801" s="7">
        <v>-4.9499999999999995E-3</v>
      </c>
      <c r="G5801" s="7">
        <v>-5.0799999999999998E-2</v>
      </c>
    </row>
    <row r="5802" spans="2:7" x14ac:dyDescent="0.2">
      <c r="B5802" s="60">
        <v>43942</v>
      </c>
      <c r="C5802" s="7">
        <v>-4.7499999999999999E-3</v>
      </c>
      <c r="D5802" s="7">
        <v>-4.6899999999999997E-3</v>
      </c>
      <c r="E5802" s="7">
        <v>-4.5399999999999998E-3</v>
      </c>
      <c r="F5802" s="7">
        <v>-5.1000000000000004E-3</v>
      </c>
      <c r="G5802" s="7">
        <v>6.0299999999999999E-2</v>
      </c>
    </row>
    <row r="5803" spans="2:7" x14ac:dyDescent="0.2">
      <c r="B5803" s="60">
        <v>43943</v>
      </c>
      <c r="C5803" s="7">
        <v>-4.0699999999999998E-3</v>
      </c>
      <c r="D5803" s="7">
        <v>-4.81E-3</v>
      </c>
      <c r="E5803" s="7">
        <v>-4.0600000000000002E-3</v>
      </c>
      <c r="F5803" s="7">
        <v>-4.8599999999999997E-3</v>
      </c>
      <c r="G5803" s="7">
        <v>-0.14319999999999999</v>
      </c>
    </row>
    <row r="5804" spans="2:7" x14ac:dyDescent="0.2">
      <c r="B5804" s="60">
        <v>43944</v>
      </c>
      <c r="C5804" s="7">
        <v>-4.2199999999999998E-3</v>
      </c>
      <c r="D5804" s="7">
        <v>-4.1900000000000001E-3</v>
      </c>
      <c r="E5804" s="7">
        <v>-3.7599999999999999E-3</v>
      </c>
      <c r="F5804" s="7">
        <v>-4.4200000000000003E-3</v>
      </c>
      <c r="G5804" s="7">
        <v>3.6900000000000002E-2</v>
      </c>
    </row>
    <row r="5805" spans="2:7" x14ac:dyDescent="0.2">
      <c r="B5805" s="60">
        <v>43945</v>
      </c>
      <c r="C5805" s="7">
        <v>-4.7399999999999994E-3</v>
      </c>
      <c r="D5805" s="7">
        <v>-4.6500000000000005E-3</v>
      </c>
      <c r="E5805" s="7">
        <v>-4.4400000000000004E-3</v>
      </c>
      <c r="F5805" s="7">
        <v>-4.7799999999999995E-3</v>
      </c>
      <c r="G5805" s="7">
        <v>0.1232</v>
      </c>
    </row>
    <row r="5806" spans="2:7" x14ac:dyDescent="0.2">
      <c r="B5806" s="60">
        <v>43948</v>
      </c>
      <c r="C5806" s="7">
        <v>-4.5100000000000001E-3</v>
      </c>
      <c r="D5806" s="7">
        <v>-4.7399999999999994E-3</v>
      </c>
      <c r="E5806" s="7">
        <v>-4.3200000000000001E-3</v>
      </c>
      <c r="F5806" s="7">
        <v>-4.81E-3</v>
      </c>
      <c r="G5806" s="7">
        <v>-4.8500000000000001E-2</v>
      </c>
    </row>
    <row r="5807" spans="2:7" x14ac:dyDescent="0.2">
      <c r="B5807" s="60">
        <v>43949</v>
      </c>
      <c r="C5807" s="7">
        <v>-4.6899999999999997E-3</v>
      </c>
      <c r="D5807" s="7">
        <v>-4.47E-3</v>
      </c>
      <c r="E5807" s="7">
        <v>-4.2100000000000002E-3</v>
      </c>
      <c r="F5807" s="7">
        <v>-4.7599999999999995E-3</v>
      </c>
      <c r="G5807" s="7">
        <v>3.9899999999999998E-2</v>
      </c>
    </row>
    <row r="5808" spans="2:7" x14ac:dyDescent="0.2">
      <c r="B5808" s="60">
        <v>43950</v>
      </c>
      <c r="C5808" s="7">
        <v>-4.9399999999999999E-3</v>
      </c>
      <c r="D5808" s="7">
        <v>-4.6600000000000001E-3</v>
      </c>
      <c r="E5808" s="7">
        <v>-4.6100000000000004E-3</v>
      </c>
      <c r="F5808" s="7">
        <v>-5.0699999999999999E-3</v>
      </c>
      <c r="G5808" s="7">
        <v>5.33E-2</v>
      </c>
    </row>
    <row r="5809" spans="2:7" x14ac:dyDescent="0.2">
      <c r="B5809" s="60">
        <v>43951</v>
      </c>
      <c r="C5809" s="7">
        <v>-5.8899999999999994E-3</v>
      </c>
      <c r="D5809" s="7">
        <v>-4.96E-3</v>
      </c>
      <c r="E5809" s="7">
        <v>-4.9199999999999999E-3</v>
      </c>
      <c r="F5809" s="7">
        <v>-5.9299999999999995E-3</v>
      </c>
      <c r="G5809" s="7">
        <v>0.1923</v>
      </c>
    </row>
    <row r="5810" spans="2:7" x14ac:dyDescent="0.2">
      <c r="B5810" s="60">
        <v>43952</v>
      </c>
      <c r="C5810" s="7">
        <v>-5.8599999999999998E-3</v>
      </c>
      <c r="D5810" s="7">
        <v>-5.855E-3</v>
      </c>
      <c r="E5810" s="7">
        <v>-5.7199999999999994E-3</v>
      </c>
      <c r="F5810" s="7">
        <v>-5.8599999999999998E-3</v>
      </c>
      <c r="G5810" s="7">
        <v>-5.1000000000000004E-3</v>
      </c>
    </row>
    <row r="5811" spans="2:7" x14ac:dyDescent="0.2">
      <c r="B5811" s="60">
        <v>43955</v>
      </c>
      <c r="C5811" s="7">
        <v>-5.6100000000000004E-3</v>
      </c>
      <c r="D5811" s="7">
        <v>-5.8899999999999994E-3</v>
      </c>
      <c r="E5811" s="7">
        <v>-5.3700000000000006E-3</v>
      </c>
      <c r="F5811" s="7">
        <v>-5.9299999999999995E-3</v>
      </c>
      <c r="G5811" s="7">
        <v>-4.2700000000000002E-2</v>
      </c>
    </row>
    <row r="5812" spans="2:7" x14ac:dyDescent="0.2">
      <c r="B5812" s="60">
        <v>43956</v>
      </c>
      <c r="C5812" s="7">
        <v>-5.77E-3</v>
      </c>
      <c r="D5812" s="7">
        <v>-5.5500000000000002E-3</v>
      </c>
      <c r="E5812" s="7">
        <v>-5.1700000000000001E-3</v>
      </c>
      <c r="F5812" s="7">
        <v>-5.9099999999999995E-3</v>
      </c>
      <c r="G5812" s="7">
        <v>2.8500000000000001E-2</v>
      </c>
    </row>
    <row r="5813" spans="2:7" x14ac:dyDescent="0.2">
      <c r="B5813" s="60">
        <v>43957</v>
      </c>
      <c r="C5813" s="7">
        <v>-5.0299999999999997E-3</v>
      </c>
      <c r="D5813" s="7">
        <v>-5.5900000000000004E-3</v>
      </c>
      <c r="E5813" s="7">
        <v>-5.0200000000000002E-3</v>
      </c>
      <c r="F5813" s="7">
        <v>-5.6799999999999993E-3</v>
      </c>
      <c r="G5813" s="7">
        <v>-0.12820000000000001</v>
      </c>
    </row>
    <row r="5814" spans="2:7" x14ac:dyDescent="0.2">
      <c r="B5814" s="60">
        <v>43958</v>
      </c>
      <c r="C5814" s="7">
        <v>-5.4600000000000004E-3</v>
      </c>
      <c r="D5814" s="7">
        <v>-5.0499999999999998E-3</v>
      </c>
      <c r="E5814" s="7">
        <v>-4.79E-3</v>
      </c>
      <c r="F5814" s="7">
        <v>-5.5300000000000002E-3</v>
      </c>
      <c r="G5814" s="7">
        <v>8.5500000000000007E-2</v>
      </c>
    </row>
    <row r="5815" spans="2:7" x14ac:dyDescent="0.2">
      <c r="B5815" s="60">
        <v>43959</v>
      </c>
      <c r="C5815" s="7">
        <v>-5.3800000000000002E-3</v>
      </c>
      <c r="D5815" s="7">
        <v>-5.45E-3</v>
      </c>
      <c r="E5815" s="7">
        <v>-5.28E-3</v>
      </c>
      <c r="F5815" s="7">
        <v>-5.6999999999999993E-3</v>
      </c>
      <c r="G5815" s="7">
        <v>-1.47E-2</v>
      </c>
    </row>
    <row r="5816" spans="2:7" x14ac:dyDescent="0.2">
      <c r="B5816" s="60">
        <v>43962</v>
      </c>
      <c r="C5816" s="7">
        <v>-5.13E-3</v>
      </c>
      <c r="D5816" s="7">
        <v>-5.2900000000000004E-3</v>
      </c>
      <c r="E5816" s="7">
        <v>-5.0000000000000001E-3</v>
      </c>
      <c r="F5816" s="7">
        <v>-5.3700000000000006E-3</v>
      </c>
      <c r="G5816" s="7">
        <v>-4.65E-2</v>
      </c>
    </row>
    <row r="5817" spans="2:7" x14ac:dyDescent="0.2">
      <c r="B5817" s="60">
        <v>43963</v>
      </c>
      <c r="C5817" s="7">
        <v>-5.0699999999999999E-3</v>
      </c>
      <c r="D5817" s="7">
        <v>-5.0400000000000002E-3</v>
      </c>
      <c r="E5817" s="7">
        <v>-4.7299999999999998E-3</v>
      </c>
      <c r="F5817" s="7">
        <v>-5.13E-3</v>
      </c>
      <c r="G5817" s="7">
        <v>-1.17E-2</v>
      </c>
    </row>
    <row r="5818" spans="2:7" x14ac:dyDescent="0.2">
      <c r="B5818" s="60">
        <v>43964</v>
      </c>
      <c r="C5818" s="7">
        <v>-5.2700000000000004E-3</v>
      </c>
      <c r="D5818" s="7">
        <v>-5.0800000000000003E-3</v>
      </c>
      <c r="E5818" s="7">
        <v>-5.0800000000000003E-3</v>
      </c>
      <c r="F5818" s="7">
        <v>-5.47E-3</v>
      </c>
      <c r="G5818" s="7">
        <v>3.9399999999999998E-2</v>
      </c>
    </row>
    <row r="5819" spans="2:7" x14ac:dyDescent="0.2">
      <c r="B5819" s="60">
        <v>43965</v>
      </c>
      <c r="C5819" s="7">
        <v>-5.4200000000000003E-3</v>
      </c>
      <c r="D5819" s="7">
        <v>-5.5000000000000005E-3</v>
      </c>
      <c r="E5819" s="7">
        <v>-5.1700000000000001E-3</v>
      </c>
      <c r="F5819" s="7">
        <v>-5.5700000000000003E-3</v>
      </c>
      <c r="G5819" s="7">
        <v>2.8500000000000001E-2</v>
      </c>
    </row>
    <row r="5820" spans="2:7" x14ac:dyDescent="0.2">
      <c r="B5820" s="60">
        <v>43966</v>
      </c>
      <c r="C5820" s="7">
        <v>-5.28E-3</v>
      </c>
      <c r="D5820" s="7">
        <v>-5.3300000000000005E-3</v>
      </c>
      <c r="E5820" s="7">
        <v>-5.2399999999999999E-3</v>
      </c>
      <c r="F5820" s="7">
        <v>-5.6599999999999992E-3</v>
      </c>
      <c r="G5820" s="7">
        <v>-2.58E-2</v>
      </c>
    </row>
    <row r="5821" spans="2:7" x14ac:dyDescent="0.2">
      <c r="B5821" s="60">
        <v>43969</v>
      </c>
      <c r="C5821" s="7">
        <v>-4.7199999999999994E-3</v>
      </c>
      <c r="D5821" s="7">
        <v>-5.3700000000000006E-3</v>
      </c>
      <c r="E5821" s="7">
        <v>-4.5599999999999998E-3</v>
      </c>
      <c r="F5821" s="7">
        <v>-5.5600000000000007E-3</v>
      </c>
      <c r="G5821" s="7">
        <v>-0.1061</v>
      </c>
    </row>
    <row r="5822" spans="2:7" x14ac:dyDescent="0.2">
      <c r="B5822" s="60">
        <v>43970</v>
      </c>
      <c r="C5822" s="7">
        <v>-4.64E-3</v>
      </c>
      <c r="D5822" s="7">
        <v>-4.7299999999999998E-3</v>
      </c>
      <c r="E5822" s="7">
        <v>-4.3400000000000001E-3</v>
      </c>
      <c r="F5822" s="7">
        <v>-4.8999999999999998E-3</v>
      </c>
      <c r="G5822" s="7">
        <v>-1.6899999999999998E-2</v>
      </c>
    </row>
    <row r="5823" spans="2:7" x14ac:dyDescent="0.2">
      <c r="B5823" s="60">
        <v>43971</v>
      </c>
      <c r="C5823" s="7">
        <v>-4.6800000000000001E-3</v>
      </c>
      <c r="D5823" s="7">
        <v>-4.6300000000000004E-3</v>
      </c>
      <c r="E5823" s="7">
        <v>-4.4800000000000005E-3</v>
      </c>
      <c r="F5823" s="7">
        <v>-4.7699999999999999E-3</v>
      </c>
      <c r="G5823" s="7">
        <v>8.6E-3</v>
      </c>
    </row>
    <row r="5824" spans="2:7" x14ac:dyDescent="0.2">
      <c r="B5824" s="60">
        <v>43972</v>
      </c>
      <c r="C5824" s="7">
        <v>-4.9499999999999995E-3</v>
      </c>
      <c r="D5824" s="7">
        <v>-4.8399999999999997E-3</v>
      </c>
      <c r="E5824" s="7">
        <v>-4.5799999999999999E-3</v>
      </c>
      <c r="F5824" s="7">
        <v>-5.0200000000000002E-3</v>
      </c>
      <c r="G5824" s="7">
        <v>5.7700000000000001E-2</v>
      </c>
    </row>
    <row r="5825" spans="2:7" x14ac:dyDescent="0.2">
      <c r="B5825" s="60">
        <v>43973</v>
      </c>
      <c r="C5825" s="7">
        <v>-4.8799999999999998E-3</v>
      </c>
      <c r="D5825" s="7">
        <v>-5.0899999999999999E-3</v>
      </c>
      <c r="E5825" s="7">
        <v>-4.8199999999999996E-3</v>
      </c>
      <c r="F5825" s="7">
        <v>-5.1999999999999998E-3</v>
      </c>
      <c r="G5825" s="7">
        <v>-1.41E-2</v>
      </c>
    </row>
    <row r="5826" spans="2:7" x14ac:dyDescent="0.2">
      <c r="B5826" s="60">
        <v>43976</v>
      </c>
      <c r="C5826" s="7">
        <v>-4.9399999999999999E-3</v>
      </c>
      <c r="D5826" s="7">
        <v>-4.8799999999999998E-3</v>
      </c>
      <c r="E5826" s="7">
        <v>-4.8300000000000001E-3</v>
      </c>
      <c r="F5826" s="7">
        <v>-5.0299999999999997E-3</v>
      </c>
      <c r="G5826" s="7">
        <v>1.23E-2</v>
      </c>
    </row>
    <row r="5827" spans="2:7" x14ac:dyDescent="0.2">
      <c r="B5827" s="60">
        <v>43977</v>
      </c>
      <c r="C5827" s="7">
        <v>-4.3E-3</v>
      </c>
      <c r="D5827" s="7">
        <v>-4.8399999999999997E-3</v>
      </c>
      <c r="E5827" s="7">
        <v>-4.1900000000000001E-3</v>
      </c>
      <c r="F5827" s="7">
        <v>-4.8399999999999997E-3</v>
      </c>
      <c r="G5827" s="7">
        <v>-0.12959999999999999</v>
      </c>
    </row>
    <row r="5828" spans="2:7" x14ac:dyDescent="0.2">
      <c r="B5828" s="60">
        <v>43978</v>
      </c>
      <c r="C5828" s="7">
        <v>-4.1399999999999996E-3</v>
      </c>
      <c r="D5828" s="7">
        <v>-4.3299999999999996E-3</v>
      </c>
      <c r="E5828" s="7">
        <v>-3.8600000000000001E-3</v>
      </c>
      <c r="F5828" s="7">
        <v>-4.5599999999999998E-3</v>
      </c>
      <c r="G5828" s="7">
        <v>-3.7199999999999997E-2</v>
      </c>
    </row>
    <row r="5829" spans="2:7" x14ac:dyDescent="0.2">
      <c r="B5829" s="60">
        <v>43979</v>
      </c>
      <c r="C5829" s="7">
        <v>-4.1900000000000001E-3</v>
      </c>
      <c r="D5829" s="7">
        <v>-4.1399999999999996E-3</v>
      </c>
      <c r="E5829" s="7">
        <v>-3.9900000000000005E-3</v>
      </c>
      <c r="F5829" s="7">
        <v>-4.4000000000000003E-3</v>
      </c>
      <c r="G5829" s="7">
        <v>1.21E-2</v>
      </c>
    </row>
    <row r="5830" spans="2:7" x14ac:dyDescent="0.2">
      <c r="B5830" s="60">
        <v>43980</v>
      </c>
      <c r="C5830" s="7">
        <v>-4.4800000000000005E-3</v>
      </c>
      <c r="D5830" s="7">
        <v>-4.3499999999999997E-3</v>
      </c>
      <c r="E5830" s="7">
        <v>-4.1900000000000001E-3</v>
      </c>
      <c r="F5830" s="7">
        <v>-4.5799999999999999E-3</v>
      </c>
      <c r="G5830" s="7">
        <v>6.9199999999999998E-2</v>
      </c>
    </row>
    <row r="5831" spans="2:7" x14ac:dyDescent="0.2">
      <c r="B5831" s="60">
        <v>43983</v>
      </c>
      <c r="C5831" s="7">
        <v>-4.0300000000000006E-3</v>
      </c>
      <c r="D5831" s="7">
        <v>-4.3699999999999998E-3</v>
      </c>
      <c r="E5831" s="7">
        <v>-3.8300000000000001E-3</v>
      </c>
      <c r="F5831" s="7">
        <v>-4.3699999999999998E-3</v>
      </c>
      <c r="G5831" s="7">
        <v>-0.1004</v>
      </c>
    </row>
    <row r="5832" spans="2:7" x14ac:dyDescent="0.2">
      <c r="B5832" s="60">
        <v>43984</v>
      </c>
      <c r="C5832" s="7">
        <v>-4.1399999999999996E-3</v>
      </c>
      <c r="D5832" s="7">
        <v>-4.1599999999999996E-3</v>
      </c>
      <c r="E5832" s="7">
        <v>-3.9700000000000004E-3</v>
      </c>
      <c r="F5832" s="7">
        <v>-4.3E-3</v>
      </c>
      <c r="G5832" s="7">
        <v>2.7300000000000001E-2</v>
      </c>
    </row>
    <row r="5833" spans="2:7" x14ac:dyDescent="0.2">
      <c r="B5833" s="60">
        <v>43985</v>
      </c>
      <c r="C5833" s="7">
        <v>-3.5499999999999998E-3</v>
      </c>
      <c r="D5833" s="7">
        <v>-3.8500000000000001E-3</v>
      </c>
      <c r="E5833" s="7">
        <v>-3.4000000000000002E-3</v>
      </c>
      <c r="F5833" s="7">
        <v>-4.1199999999999995E-3</v>
      </c>
      <c r="G5833" s="7">
        <v>-0.14249999999999999</v>
      </c>
    </row>
    <row r="5834" spans="2:7" x14ac:dyDescent="0.2">
      <c r="B5834" s="60">
        <v>43986</v>
      </c>
      <c r="C5834" s="7">
        <v>-3.2200000000000002E-3</v>
      </c>
      <c r="D5834" s="7">
        <v>-3.4300000000000003E-3</v>
      </c>
      <c r="E5834" s="7">
        <v>-3.0299999999999997E-3</v>
      </c>
      <c r="F5834" s="7">
        <v>-3.7199999999999998E-3</v>
      </c>
      <c r="G5834" s="7">
        <v>-9.2999999999999999E-2</v>
      </c>
    </row>
    <row r="5835" spans="2:7" x14ac:dyDescent="0.2">
      <c r="B5835" s="60">
        <v>43987</v>
      </c>
      <c r="C5835" s="7">
        <v>-2.7700000000000003E-3</v>
      </c>
      <c r="D5835" s="7">
        <v>-3.2200000000000002E-3</v>
      </c>
      <c r="E5835" s="7">
        <v>-2.5700000000000002E-3</v>
      </c>
      <c r="F5835" s="7">
        <v>-3.2400000000000003E-3</v>
      </c>
      <c r="G5835" s="7">
        <v>-0.13980000000000001</v>
      </c>
    </row>
    <row r="5836" spans="2:7" x14ac:dyDescent="0.2">
      <c r="B5836" s="60">
        <v>43990</v>
      </c>
      <c r="C5836" s="7">
        <v>-3.1800000000000001E-3</v>
      </c>
      <c r="D5836" s="7">
        <v>-2.7900000000000004E-3</v>
      </c>
      <c r="E5836" s="7">
        <v>-2.6700000000000001E-3</v>
      </c>
      <c r="F5836" s="7">
        <v>-3.2200000000000002E-3</v>
      </c>
      <c r="G5836" s="7">
        <v>0.14799999999999999</v>
      </c>
    </row>
    <row r="5837" spans="2:7" x14ac:dyDescent="0.2">
      <c r="B5837" s="60">
        <v>43991</v>
      </c>
      <c r="C5837" s="7">
        <v>-3.1099999999999999E-3</v>
      </c>
      <c r="D5837" s="7">
        <v>-3.2200000000000002E-3</v>
      </c>
      <c r="E5837" s="7">
        <v>-3.0299999999999997E-3</v>
      </c>
      <c r="F5837" s="7">
        <v>-3.4499999999999999E-3</v>
      </c>
      <c r="G5837" s="7">
        <v>-2.1999999999999999E-2</v>
      </c>
    </row>
    <row r="5838" spans="2:7" x14ac:dyDescent="0.2">
      <c r="B5838" s="60">
        <v>43992</v>
      </c>
      <c r="C5838" s="7">
        <v>-3.29E-3</v>
      </c>
      <c r="D5838" s="7">
        <v>-3.0999999999999999E-3</v>
      </c>
      <c r="E5838" s="7">
        <v>-3.0200000000000001E-3</v>
      </c>
      <c r="F5838" s="7">
        <v>-3.3600000000000001E-3</v>
      </c>
      <c r="G5838" s="7">
        <v>5.79E-2</v>
      </c>
    </row>
    <row r="5839" spans="2:7" x14ac:dyDescent="0.2">
      <c r="B5839" s="60">
        <v>43993</v>
      </c>
      <c r="C5839" s="7">
        <v>-4.13E-3</v>
      </c>
      <c r="D5839" s="7">
        <v>-3.7299999999999998E-3</v>
      </c>
      <c r="E5839" s="7">
        <v>-3.64E-3</v>
      </c>
      <c r="F5839" s="7">
        <v>-4.3099999999999996E-3</v>
      </c>
      <c r="G5839" s="7">
        <v>0.25530000000000003</v>
      </c>
    </row>
    <row r="5840" spans="2:7" x14ac:dyDescent="0.2">
      <c r="B5840" s="60">
        <v>43994</v>
      </c>
      <c r="C5840" s="7">
        <v>-4.3800000000000002E-3</v>
      </c>
      <c r="D5840" s="7">
        <v>-4.1199999999999995E-3</v>
      </c>
      <c r="E5840" s="7">
        <v>-4.0400000000000002E-3</v>
      </c>
      <c r="F5840" s="7">
        <v>-4.47E-3</v>
      </c>
      <c r="G5840" s="7">
        <v>6.0499999999999998E-2</v>
      </c>
    </row>
    <row r="5841" spans="2:7" x14ac:dyDescent="0.2">
      <c r="B5841" s="60">
        <v>43995</v>
      </c>
      <c r="C5841" s="7">
        <v>-4.4600000000000004E-3</v>
      </c>
      <c r="D5841" s="7">
        <v>-4.4600000000000004E-3</v>
      </c>
      <c r="E5841" s="7">
        <v>-4.4600000000000004E-3</v>
      </c>
      <c r="F5841" s="7">
        <v>-4.4600000000000004E-3</v>
      </c>
      <c r="G5841" s="7">
        <v>1.83E-2</v>
      </c>
    </row>
    <row r="5842" spans="2:7" x14ac:dyDescent="0.2">
      <c r="B5842" s="60">
        <v>43997</v>
      </c>
      <c r="C5842" s="7">
        <v>-4.4400000000000004E-3</v>
      </c>
      <c r="D5842" s="7">
        <v>-4.5199999999999997E-3</v>
      </c>
      <c r="E5842" s="7">
        <v>-4.3600000000000002E-3</v>
      </c>
      <c r="F5842" s="7">
        <v>-4.6999999999999993E-3</v>
      </c>
      <c r="G5842" s="7">
        <v>-4.4999999999999997E-3</v>
      </c>
    </row>
    <row r="5843" spans="2:7" x14ac:dyDescent="0.2">
      <c r="B5843" s="60">
        <v>43998</v>
      </c>
      <c r="C5843" s="7">
        <v>-4.28E-3</v>
      </c>
      <c r="D5843" s="7">
        <v>-4.1799999999999997E-3</v>
      </c>
      <c r="E5843" s="7">
        <v>-4.0500000000000006E-3</v>
      </c>
      <c r="F5843" s="7">
        <v>-4.4299999999999999E-3</v>
      </c>
      <c r="G5843" s="7">
        <v>-3.5999999999999997E-2</v>
      </c>
    </row>
    <row r="5844" spans="2:7" x14ac:dyDescent="0.2">
      <c r="B5844" s="60">
        <v>43999</v>
      </c>
      <c r="C5844" s="7">
        <v>-4.2599999999999999E-3</v>
      </c>
      <c r="D5844" s="7">
        <v>-4.28E-3</v>
      </c>
      <c r="E5844" s="7">
        <v>-3.9399999999999999E-3</v>
      </c>
      <c r="F5844" s="7">
        <v>-4.4600000000000004E-3</v>
      </c>
      <c r="G5844" s="7">
        <v>-4.7000000000000002E-3</v>
      </c>
    </row>
    <row r="5845" spans="2:7" x14ac:dyDescent="0.2">
      <c r="B5845" s="60">
        <v>44000</v>
      </c>
      <c r="C5845" s="7">
        <v>-4.4200000000000003E-3</v>
      </c>
      <c r="D5845" s="7">
        <v>-4.28E-3</v>
      </c>
      <c r="E5845" s="7">
        <v>-4.1700000000000001E-3</v>
      </c>
      <c r="F5845" s="7">
        <v>-4.5399999999999998E-3</v>
      </c>
      <c r="G5845" s="7">
        <v>3.7600000000000001E-2</v>
      </c>
    </row>
    <row r="5846" spans="2:7" x14ac:dyDescent="0.2">
      <c r="B5846" s="60">
        <v>44001</v>
      </c>
      <c r="C5846" s="7">
        <v>-4.15E-3</v>
      </c>
      <c r="D5846" s="7">
        <v>-4.1099999999999999E-3</v>
      </c>
      <c r="E5846" s="7">
        <v>-3.9000000000000003E-3</v>
      </c>
      <c r="F5846" s="7">
        <v>-4.1999999999999997E-3</v>
      </c>
      <c r="G5846" s="7">
        <v>-6.1100000000000002E-2</v>
      </c>
    </row>
    <row r="5847" spans="2:7" x14ac:dyDescent="0.2">
      <c r="B5847" s="60">
        <v>44004</v>
      </c>
      <c r="C5847" s="7">
        <v>-4.3600000000000002E-3</v>
      </c>
      <c r="D5847" s="7">
        <v>-4.1399999999999996E-3</v>
      </c>
      <c r="E5847" s="7">
        <v>-4.0799999999999994E-3</v>
      </c>
      <c r="F5847" s="7">
        <v>-4.5900000000000003E-3</v>
      </c>
      <c r="G5847" s="7">
        <v>5.0599999999999999E-2</v>
      </c>
    </row>
    <row r="5848" spans="2:7" x14ac:dyDescent="0.2">
      <c r="B5848" s="60">
        <v>44005</v>
      </c>
      <c r="C5848" s="7">
        <v>-4.0500000000000006E-3</v>
      </c>
      <c r="D5848" s="7">
        <v>-4.3400000000000001E-3</v>
      </c>
      <c r="E5848" s="7">
        <v>-3.9900000000000005E-3</v>
      </c>
      <c r="F5848" s="7">
        <v>-4.3899999999999998E-3</v>
      </c>
      <c r="G5848" s="7">
        <v>-7.1099999999999997E-2</v>
      </c>
    </row>
    <row r="5849" spans="2:7" x14ac:dyDescent="0.2">
      <c r="B5849" s="60">
        <v>44006</v>
      </c>
      <c r="C5849" s="7">
        <v>-4.3899999999999998E-3</v>
      </c>
      <c r="D5849" s="7">
        <v>-4.0799999999999994E-3</v>
      </c>
      <c r="E5849" s="7">
        <v>-3.8300000000000001E-3</v>
      </c>
      <c r="F5849" s="7">
        <v>-4.4400000000000004E-3</v>
      </c>
      <c r="G5849" s="7">
        <v>8.4000000000000005E-2</v>
      </c>
    </row>
    <row r="5850" spans="2:7" x14ac:dyDescent="0.2">
      <c r="B5850" s="60">
        <v>44007</v>
      </c>
      <c r="C5850" s="7">
        <v>-4.6500000000000005E-3</v>
      </c>
      <c r="D5850" s="7">
        <v>-4.4000000000000003E-3</v>
      </c>
      <c r="E5850" s="7">
        <v>-4.4000000000000003E-3</v>
      </c>
      <c r="F5850" s="7">
        <v>-4.7999999999999996E-3</v>
      </c>
      <c r="G5850" s="7">
        <v>5.9200000000000003E-2</v>
      </c>
    </row>
    <row r="5851" spans="2:7" x14ac:dyDescent="0.2">
      <c r="B5851" s="60">
        <v>44008</v>
      </c>
      <c r="C5851" s="7">
        <v>-4.81E-3</v>
      </c>
      <c r="D5851" s="7">
        <v>-4.62E-3</v>
      </c>
      <c r="E5851" s="7">
        <v>-4.5999999999999999E-3</v>
      </c>
      <c r="F5851" s="7">
        <v>-4.8399999999999997E-3</v>
      </c>
      <c r="G5851" s="7">
        <v>3.44E-2</v>
      </c>
    </row>
    <row r="5852" spans="2:7" x14ac:dyDescent="0.2">
      <c r="B5852" s="60">
        <v>44009</v>
      </c>
      <c r="C5852" s="7">
        <v>-4.8199999999999996E-3</v>
      </c>
      <c r="D5852" s="7">
        <v>-4.8300000000000001E-3</v>
      </c>
      <c r="E5852" s="7">
        <v>-4.8199999999999996E-3</v>
      </c>
      <c r="F5852" s="7">
        <v>-4.8300000000000001E-3</v>
      </c>
      <c r="G5852" s="7">
        <v>2.0999999999999999E-3</v>
      </c>
    </row>
    <row r="5853" spans="2:7" x14ac:dyDescent="0.2">
      <c r="B5853" s="60">
        <v>44011</v>
      </c>
      <c r="C5853" s="7">
        <v>-4.6999999999999993E-3</v>
      </c>
      <c r="D5853" s="7">
        <v>-4.7399999999999994E-3</v>
      </c>
      <c r="E5853" s="7">
        <v>-4.5599999999999998E-3</v>
      </c>
      <c r="F5853" s="7">
        <v>-4.7699999999999999E-3</v>
      </c>
      <c r="G5853" s="7">
        <v>-2.4899999999999999E-2</v>
      </c>
    </row>
    <row r="5854" spans="2:7" x14ac:dyDescent="0.2">
      <c r="B5854" s="60">
        <v>44012</v>
      </c>
      <c r="C5854" s="7">
        <v>-4.5300000000000002E-3</v>
      </c>
      <c r="D5854" s="7">
        <v>-4.7099999999999998E-3</v>
      </c>
      <c r="E5854" s="7">
        <v>-4.5199999999999997E-3</v>
      </c>
      <c r="F5854" s="7">
        <v>-4.8799999999999998E-3</v>
      </c>
      <c r="G5854" s="7">
        <v>-3.6200000000000003E-2</v>
      </c>
    </row>
    <row r="5855" spans="2:7" x14ac:dyDescent="0.2">
      <c r="B5855" s="60">
        <v>44013</v>
      </c>
      <c r="C5855" s="7">
        <v>-3.9700000000000004E-3</v>
      </c>
      <c r="D5855" s="7">
        <v>-4.5500000000000002E-3</v>
      </c>
      <c r="E5855" s="7">
        <v>-3.8400000000000001E-3</v>
      </c>
      <c r="F5855" s="7">
        <v>-4.5500000000000002E-3</v>
      </c>
      <c r="G5855" s="7">
        <v>-0.1236</v>
      </c>
    </row>
    <row r="5856" spans="2:7" x14ac:dyDescent="0.2">
      <c r="B5856" s="60">
        <v>44014</v>
      </c>
      <c r="C5856" s="7">
        <v>-4.2899999999999995E-3</v>
      </c>
      <c r="D5856" s="7">
        <v>-3.9000000000000003E-3</v>
      </c>
      <c r="E5856" s="7">
        <v>-3.82E-3</v>
      </c>
      <c r="F5856" s="7">
        <v>-4.3600000000000002E-3</v>
      </c>
      <c r="G5856" s="7">
        <v>8.0600000000000005E-2</v>
      </c>
    </row>
    <row r="5857" spans="2:7" x14ac:dyDescent="0.2">
      <c r="B5857" s="60">
        <v>44015</v>
      </c>
      <c r="C5857" s="7">
        <v>-4.3200000000000001E-3</v>
      </c>
      <c r="D5857" s="7">
        <v>-4.3299999999999996E-3</v>
      </c>
      <c r="E5857" s="7">
        <v>-4.2199999999999998E-3</v>
      </c>
      <c r="F5857" s="7">
        <v>-4.4800000000000005E-3</v>
      </c>
      <c r="G5857" s="7">
        <v>7.0000000000000001E-3</v>
      </c>
    </row>
    <row r="5858" spans="2:7" x14ac:dyDescent="0.2">
      <c r="B5858" s="60">
        <v>44018</v>
      </c>
      <c r="C5858" s="7">
        <v>-4.3200000000000001E-3</v>
      </c>
      <c r="D5858" s="7">
        <v>-4.2599999999999999E-3</v>
      </c>
      <c r="E5858" s="7">
        <v>-4.0899999999999999E-3</v>
      </c>
      <c r="F5858" s="7">
        <v>-4.4299999999999999E-3</v>
      </c>
      <c r="G5858" s="7">
        <v>0</v>
      </c>
    </row>
    <row r="5859" spans="2:7" x14ac:dyDescent="0.2">
      <c r="B5859" s="60">
        <v>44019</v>
      </c>
      <c r="C5859" s="7">
        <v>-4.2899999999999995E-3</v>
      </c>
      <c r="D5859" s="7">
        <v>-4.3E-3</v>
      </c>
      <c r="E5859" s="7">
        <v>-4.1099999999999999E-3</v>
      </c>
      <c r="F5859" s="7">
        <v>-4.5700000000000003E-3</v>
      </c>
      <c r="G5859" s="7">
        <v>-6.8999999999999999E-3</v>
      </c>
    </row>
    <row r="5860" spans="2:7" x14ac:dyDescent="0.2">
      <c r="B5860" s="60">
        <v>44020</v>
      </c>
      <c r="C5860" s="7">
        <v>-4.3899999999999998E-3</v>
      </c>
      <c r="D5860" s="7">
        <v>-4.3299999999999996E-3</v>
      </c>
      <c r="E5860" s="7">
        <v>-4.2199999999999998E-3</v>
      </c>
      <c r="F5860" s="7">
        <v>-4.5700000000000003E-3</v>
      </c>
      <c r="G5860" s="7">
        <v>2.3300000000000001E-2</v>
      </c>
    </row>
    <row r="5861" spans="2:7" x14ac:dyDescent="0.2">
      <c r="B5861" s="60">
        <v>44021</v>
      </c>
      <c r="C5861" s="7">
        <v>-4.5900000000000003E-3</v>
      </c>
      <c r="D5861" s="7">
        <v>-4.3899999999999998E-3</v>
      </c>
      <c r="E5861" s="7">
        <v>-4.2699999999999995E-3</v>
      </c>
      <c r="F5861" s="7">
        <v>-4.7199999999999994E-3</v>
      </c>
      <c r="G5861" s="7">
        <v>4.5600000000000002E-2</v>
      </c>
    </row>
    <row r="5862" spans="2:7" x14ac:dyDescent="0.2">
      <c r="B5862" s="60">
        <v>44022</v>
      </c>
      <c r="C5862" s="7">
        <v>-4.6800000000000001E-3</v>
      </c>
      <c r="D5862" s="7">
        <v>-4.7099999999999998E-3</v>
      </c>
      <c r="E5862" s="7">
        <v>-4.64E-3</v>
      </c>
      <c r="F5862" s="7">
        <v>-4.9199999999999999E-3</v>
      </c>
      <c r="G5862" s="7">
        <v>1.9599999999999999E-2</v>
      </c>
    </row>
    <row r="5863" spans="2:7" x14ac:dyDescent="0.2">
      <c r="B5863" s="60">
        <v>44025</v>
      </c>
      <c r="C5863" s="7">
        <v>-4.1599999999999996E-3</v>
      </c>
      <c r="D5863" s="7">
        <v>-4.5399999999999998E-3</v>
      </c>
      <c r="E5863" s="7">
        <v>-4.0000000000000001E-3</v>
      </c>
      <c r="F5863" s="7">
        <v>-4.6500000000000005E-3</v>
      </c>
      <c r="G5863" s="7">
        <v>-0.1111</v>
      </c>
    </row>
    <row r="5864" spans="2:7" x14ac:dyDescent="0.2">
      <c r="B5864" s="60">
        <v>44026</v>
      </c>
      <c r="C5864" s="7">
        <v>-4.47E-3</v>
      </c>
      <c r="D5864" s="7">
        <v>-4.1900000000000001E-3</v>
      </c>
      <c r="E5864" s="7">
        <v>-4.1199999999999995E-3</v>
      </c>
      <c r="F5864" s="7">
        <v>-4.4900000000000001E-3</v>
      </c>
      <c r="G5864" s="7">
        <v>7.4499999999999997E-2</v>
      </c>
    </row>
    <row r="5865" spans="2:7" x14ac:dyDescent="0.2">
      <c r="B5865" s="60">
        <v>44027</v>
      </c>
      <c r="C5865" s="7">
        <v>-4.4299999999999999E-3</v>
      </c>
      <c r="D5865" s="7">
        <v>-4.4000000000000003E-3</v>
      </c>
      <c r="E5865" s="7">
        <v>-4.2300000000000003E-3</v>
      </c>
      <c r="F5865" s="7">
        <v>-4.6300000000000004E-3</v>
      </c>
      <c r="G5865" s="7">
        <v>-8.8999999999999999E-3</v>
      </c>
    </row>
    <row r="5866" spans="2:7" x14ac:dyDescent="0.2">
      <c r="B5866" s="60">
        <v>44028</v>
      </c>
      <c r="C5866" s="7">
        <v>-4.6899999999999997E-3</v>
      </c>
      <c r="D5866" s="7">
        <v>-4.4299999999999999E-3</v>
      </c>
      <c r="E5866" s="7">
        <v>-4.3400000000000001E-3</v>
      </c>
      <c r="F5866" s="7">
        <v>-4.81E-3</v>
      </c>
      <c r="G5866" s="7">
        <v>5.8700000000000002E-2</v>
      </c>
    </row>
    <row r="5867" spans="2:7" x14ac:dyDescent="0.2">
      <c r="B5867" s="60">
        <v>44029</v>
      </c>
      <c r="C5867" s="7">
        <v>-4.5500000000000002E-3</v>
      </c>
      <c r="D5867" s="7">
        <v>-4.6700000000000005E-3</v>
      </c>
      <c r="E5867" s="7">
        <v>-4.47E-3</v>
      </c>
      <c r="F5867" s="7">
        <v>-4.7999999999999996E-3</v>
      </c>
      <c r="G5867" s="7">
        <v>-2.9899999999999999E-2</v>
      </c>
    </row>
    <row r="5868" spans="2:7" x14ac:dyDescent="0.2">
      <c r="B5868" s="60">
        <v>44031</v>
      </c>
      <c r="C5868" s="7">
        <v>-4.5250000000000004E-3</v>
      </c>
      <c r="D5868" s="7">
        <v>-4.5250000000000004E-3</v>
      </c>
      <c r="E5868" s="7">
        <v>-4.5250000000000004E-3</v>
      </c>
      <c r="F5868" s="7">
        <v>-4.5250000000000004E-3</v>
      </c>
      <c r="G5868" s="7">
        <v>-5.4999999999999997E-3</v>
      </c>
    </row>
    <row r="5869" spans="2:7" x14ac:dyDescent="0.2">
      <c r="B5869" s="60">
        <v>44032</v>
      </c>
      <c r="C5869" s="7">
        <v>-4.6300000000000004E-3</v>
      </c>
      <c r="D5869" s="7">
        <v>-4.4400000000000004E-3</v>
      </c>
      <c r="E5869" s="7">
        <v>-4.1799999999999997E-3</v>
      </c>
      <c r="F5869" s="7">
        <v>-4.7199999999999994E-3</v>
      </c>
      <c r="G5869" s="7">
        <v>2.3199999999999998E-2</v>
      </c>
    </row>
    <row r="5870" spans="2:7" x14ac:dyDescent="0.2">
      <c r="B5870" s="60">
        <v>44033</v>
      </c>
      <c r="C5870" s="7">
        <v>-4.62E-3</v>
      </c>
      <c r="D5870" s="7">
        <v>-4.4400000000000004E-3</v>
      </c>
      <c r="E5870" s="7">
        <v>-4.3800000000000002E-3</v>
      </c>
      <c r="F5870" s="7">
        <v>-4.6700000000000005E-3</v>
      </c>
      <c r="G5870" s="7">
        <v>-2.2000000000000001E-3</v>
      </c>
    </row>
    <row r="5871" spans="2:7" x14ac:dyDescent="0.2">
      <c r="B5871" s="60">
        <v>44034</v>
      </c>
      <c r="C5871" s="7">
        <v>-4.9300000000000004E-3</v>
      </c>
      <c r="D5871" s="7">
        <v>-4.5799999999999999E-3</v>
      </c>
      <c r="E5871" s="7">
        <v>-4.45E-3</v>
      </c>
      <c r="F5871" s="7">
        <v>-4.9800000000000001E-3</v>
      </c>
      <c r="G5871" s="7">
        <v>6.7100000000000007E-2</v>
      </c>
    </row>
    <row r="5872" spans="2:7" x14ac:dyDescent="0.2">
      <c r="B5872" s="60">
        <v>44035</v>
      </c>
      <c r="C5872" s="7">
        <v>-4.8199999999999996E-3</v>
      </c>
      <c r="D5872" s="7">
        <v>-4.8700000000000002E-3</v>
      </c>
      <c r="E5872" s="7">
        <v>-4.6999999999999993E-3</v>
      </c>
      <c r="F5872" s="7">
        <v>-4.9399999999999999E-3</v>
      </c>
      <c r="G5872" s="7">
        <v>-2.23E-2</v>
      </c>
    </row>
    <row r="5873" spans="2:7" x14ac:dyDescent="0.2">
      <c r="B5873" s="60">
        <v>44036</v>
      </c>
      <c r="C5873" s="7">
        <v>-4.45E-3</v>
      </c>
      <c r="D5873" s="7">
        <v>-4.8999999999999998E-3</v>
      </c>
      <c r="E5873" s="7">
        <v>-4.3200000000000001E-3</v>
      </c>
      <c r="F5873" s="7">
        <v>-4.9899999999999996E-3</v>
      </c>
      <c r="G5873" s="7">
        <v>-7.6799999999999993E-2</v>
      </c>
    </row>
    <row r="5874" spans="2:7" x14ac:dyDescent="0.2">
      <c r="B5874" s="60">
        <v>44039</v>
      </c>
      <c r="C5874" s="7">
        <v>-4.9199999999999999E-3</v>
      </c>
      <c r="D5874" s="7">
        <v>-4.4900000000000001E-3</v>
      </c>
      <c r="E5874" s="7">
        <v>-4.3200000000000001E-3</v>
      </c>
      <c r="F5874" s="7">
        <v>-4.9300000000000004E-3</v>
      </c>
      <c r="G5874" s="7">
        <v>0.1056</v>
      </c>
    </row>
    <row r="5875" spans="2:7" x14ac:dyDescent="0.2">
      <c r="B5875" s="60">
        <v>44040</v>
      </c>
      <c r="C5875" s="7">
        <v>-5.1000000000000004E-3</v>
      </c>
      <c r="D5875" s="7">
        <v>-4.7599999999999995E-3</v>
      </c>
      <c r="E5875" s="7">
        <v>-4.6999999999999993E-3</v>
      </c>
      <c r="F5875" s="7">
        <v>-5.1700000000000001E-3</v>
      </c>
      <c r="G5875" s="7">
        <v>3.6600000000000001E-2</v>
      </c>
    </row>
    <row r="5876" spans="2:7" x14ac:dyDescent="0.2">
      <c r="B5876" s="60">
        <v>44041</v>
      </c>
      <c r="C5876" s="7">
        <v>-4.9899999999999996E-3</v>
      </c>
      <c r="D5876" s="7">
        <v>-5.1500000000000001E-3</v>
      </c>
      <c r="E5876" s="7">
        <v>-4.8799999999999998E-3</v>
      </c>
      <c r="F5876" s="7">
        <v>-5.2100000000000002E-3</v>
      </c>
      <c r="G5876" s="7">
        <v>-2.1600000000000001E-2</v>
      </c>
    </row>
    <row r="5877" spans="2:7" x14ac:dyDescent="0.2">
      <c r="B5877" s="60">
        <v>44042</v>
      </c>
      <c r="C5877" s="7">
        <v>-5.45E-3</v>
      </c>
      <c r="D5877" s="7">
        <v>-5.0499999999999998E-3</v>
      </c>
      <c r="E5877" s="7">
        <v>-5.0000000000000001E-3</v>
      </c>
      <c r="F5877" s="7">
        <v>-5.5300000000000002E-3</v>
      </c>
      <c r="G5877" s="7">
        <v>9.2200000000000004E-2</v>
      </c>
    </row>
    <row r="5878" spans="2:7" x14ac:dyDescent="0.2">
      <c r="B5878" s="60">
        <v>44043</v>
      </c>
      <c r="C5878" s="7">
        <v>-5.3100000000000005E-3</v>
      </c>
      <c r="D5878" s="7">
        <v>-5.6000000000000008E-3</v>
      </c>
      <c r="E5878" s="7">
        <v>-5.1600000000000005E-3</v>
      </c>
      <c r="F5878" s="7">
        <v>-5.6100000000000004E-3</v>
      </c>
      <c r="G5878" s="7">
        <v>-2.5700000000000001E-2</v>
      </c>
    </row>
    <row r="5879" spans="2:7" x14ac:dyDescent="0.2">
      <c r="B5879" s="60">
        <v>44046</v>
      </c>
      <c r="C5879" s="7">
        <v>-5.2300000000000003E-3</v>
      </c>
      <c r="D5879" s="7">
        <v>-5.2199999999999998E-3</v>
      </c>
      <c r="E5879" s="7">
        <v>-5.0000000000000001E-3</v>
      </c>
      <c r="F5879" s="7">
        <v>-5.3300000000000005E-3</v>
      </c>
      <c r="G5879" s="7">
        <v>-1.5100000000000001E-2</v>
      </c>
    </row>
    <row r="5880" spans="2:7" x14ac:dyDescent="0.2">
      <c r="B5880" s="60">
        <v>44047</v>
      </c>
      <c r="C5880" s="7">
        <v>-5.5000000000000005E-3</v>
      </c>
      <c r="D5880" s="7">
        <v>-5.2500000000000003E-3</v>
      </c>
      <c r="E5880" s="7">
        <v>-5.1000000000000004E-3</v>
      </c>
      <c r="F5880" s="7">
        <v>-5.6000000000000008E-3</v>
      </c>
      <c r="G5880" s="7">
        <v>5.16E-2</v>
      </c>
    </row>
    <row r="5881" spans="2:7" x14ac:dyDescent="0.2">
      <c r="B5881" s="60">
        <v>44048</v>
      </c>
      <c r="C5881" s="7">
        <v>-5.0600000000000003E-3</v>
      </c>
      <c r="D5881" s="7">
        <v>-5.4900000000000001E-3</v>
      </c>
      <c r="E5881" s="7">
        <v>-4.96E-3</v>
      </c>
      <c r="F5881" s="7">
        <v>-5.5800000000000008E-3</v>
      </c>
      <c r="G5881" s="7">
        <v>-0.08</v>
      </c>
    </row>
    <row r="5882" spans="2:7" x14ac:dyDescent="0.2">
      <c r="B5882" s="60">
        <v>44049</v>
      </c>
      <c r="C5882" s="7">
        <v>-5.3900000000000007E-3</v>
      </c>
      <c r="D5882" s="7">
        <v>-5.1200000000000004E-3</v>
      </c>
      <c r="E5882" s="7">
        <v>-4.9100000000000003E-3</v>
      </c>
      <c r="F5882" s="7">
        <v>-5.5000000000000005E-3</v>
      </c>
      <c r="G5882" s="7">
        <v>6.5199999999999994E-2</v>
      </c>
    </row>
    <row r="5883" spans="2:7" x14ac:dyDescent="0.2">
      <c r="B5883" s="60">
        <v>44050</v>
      </c>
      <c r="C5883" s="7">
        <v>-5.0499999999999998E-3</v>
      </c>
      <c r="D5883" s="7">
        <v>-5.3300000000000005E-3</v>
      </c>
      <c r="E5883" s="7">
        <v>-5.0299999999999997E-3</v>
      </c>
      <c r="F5883" s="7">
        <v>-5.4300000000000008E-3</v>
      </c>
      <c r="G5883" s="7">
        <v>-6.3100000000000003E-2</v>
      </c>
    </row>
    <row r="5884" spans="2:7" x14ac:dyDescent="0.2">
      <c r="B5884" s="60">
        <v>44053</v>
      </c>
      <c r="C5884" s="7">
        <v>-5.2500000000000003E-3</v>
      </c>
      <c r="D5884" s="7">
        <v>-5.0000000000000001E-3</v>
      </c>
      <c r="E5884" s="7">
        <v>-4.8599999999999997E-3</v>
      </c>
      <c r="F5884" s="7">
        <v>-5.3500000000000006E-3</v>
      </c>
      <c r="G5884" s="7">
        <v>3.9600000000000003E-2</v>
      </c>
    </row>
    <row r="5885" spans="2:7" x14ac:dyDescent="0.2">
      <c r="B5885" s="60">
        <v>44054</v>
      </c>
      <c r="C5885" s="7">
        <v>-4.7199999999999994E-3</v>
      </c>
      <c r="D5885" s="7">
        <v>-5.1600000000000005E-3</v>
      </c>
      <c r="E5885" s="7">
        <v>-4.6300000000000004E-3</v>
      </c>
      <c r="F5885" s="7">
        <v>-5.2700000000000004E-3</v>
      </c>
      <c r="G5885" s="7">
        <v>-0.10100000000000001</v>
      </c>
    </row>
    <row r="5886" spans="2:7" x14ac:dyDescent="0.2">
      <c r="B5886" s="60">
        <v>44055</v>
      </c>
      <c r="C5886" s="7">
        <v>-4.4900000000000001E-3</v>
      </c>
      <c r="D5886" s="7">
        <v>-4.7999999999999996E-3</v>
      </c>
      <c r="E5886" s="7">
        <v>-4.28E-3</v>
      </c>
      <c r="F5886" s="7">
        <v>-4.81E-3</v>
      </c>
      <c r="G5886" s="7">
        <v>-4.87E-2</v>
      </c>
    </row>
    <row r="5887" spans="2:7" x14ac:dyDescent="0.2">
      <c r="B5887" s="60">
        <v>44056</v>
      </c>
      <c r="C5887" s="7">
        <v>-4.0999999999999995E-3</v>
      </c>
      <c r="D5887" s="7">
        <v>-4.5700000000000003E-3</v>
      </c>
      <c r="E5887" s="7">
        <v>-3.96E-3</v>
      </c>
      <c r="F5887" s="7">
        <v>-4.6899999999999997E-3</v>
      </c>
      <c r="G5887" s="7">
        <v>-8.6900000000000005E-2</v>
      </c>
    </row>
    <row r="5888" spans="2:7" x14ac:dyDescent="0.2">
      <c r="B5888" s="60">
        <v>44057</v>
      </c>
      <c r="C5888" s="7">
        <v>-4.1900000000000001E-3</v>
      </c>
      <c r="D5888" s="7">
        <v>-3.9700000000000004E-3</v>
      </c>
      <c r="E5888" s="7">
        <v>-3.9199999999999999E-3</v>
      </c>
      <c r="F5888" s="7">
        <v>-4.2599999999999999E-3</v>
      </c>
      <c r="G5888" s="7">
        <v>2.1999999999999999E-2</v>
      </c>
    </row>
    <row r="5889" spans="2:7" x14ac:dyDescent="0.2">
      <c r="B5889" s="60">
        <v>44060</v>
      </c>
      <c r="C5889" s="7">
        <v>-4.5300000000000002E-3</v>
      </c>
      <c r="D5889" s="7">
        <v>-4.1799999999999997E-3</v>
      </c>
      <c r="E5889" s="7">
        <v>-4.1199999999999995E-3</v>
      </c>
      <c r="F5889" s="7">
        <v>-4.5500000000000002E-3</v>
      </c>
      <c r="G5889" s="7">
        <v>8.1100000000000005E-2</v>
      </c>
    </row>
    <row r="5890" spans="2:7" x14ac:dyDescent="0.2">
      <c r="B5890" s="60">
        <v>44061</v>
      </c>
      <c r="C5890" s="7">
        <v>-4.5599999999999998E-3</v>
      </c>
      <c r="D5890" s="7">
        <v>-4.5000000000000005E-3</v>
      </c>
      <c r="E5890" s="7">
        <v>-4.3699999999999998E-3</v>
      </c>
      <c r="F5890" s="7">
        <v>-4.6999999999999993E-3</v>
      </c>
      <c r="G5890" s="7">
        <v>6.6E-3</v>
      </c>
    </row>
    <row r="5891" spans="2:7" x14ac:dyDescent="0.2">
      <c r="B5891" s="60">
        <v>44062</v>
      </c>
      <c r="C5891" s="7">
        <v>-4.7499999999999999E-3</v>
      </c>
      <c r="D5891" s="7">
        <v>-4.5799999999999999E-3</v>
      </c>
      <c r="E5891" s="7">
        <v>-4.5799999999999999E-3</v>
      </c>
      <c r="F5891" s="7">
        <v>-4.9300000000000004E-3</v>
      </c>
      <c r="G5891" s="7">
        <v>4.1700000000000001E-2</v>
      </c>
    </row>
    <row r="5892" spans="2:7" x14ac:dyDescent="0.2">
      <c r="B5892" s="60">
        <v>44063</v>
      </c>
      <c r="C5892" s="7">
        <v>-4.9499999999999995E-3</v>
      </c>
      <c r="D5892" s="7">
        <v>-4.7099999999999998E-3</v>
      </c>
      <c r="E5892" s="7">
        <v>-4.62E-3</v>
      </c>
      <c r="F5892" s="7">
        <v>-5.1200000000000004E-3</v>
      </c>
      <c r="G5892" s="7">
        <v>4.2099999999999999E-2</v>
      </c>
    </row>
    <row r="5893" spans="2:7" x14ac:dyDescent="0.2">
      <c r="B5893" s="60">
        <v>44064</v>
      </c>
      <c r="C5893" s="7">
        <v>-5.0800000000000003E-3</v>
      </c>
      <c r="D5893" s="7">
        <v>-4.9100000000000003E-3</v>
      </c>
      <c r="E5893" s="7">
        <v>-4.8399999999999997E-3</v>
      </c>
      <c r="F5893" s="7">
        <v>-5.2300000000000003E-3</v>
      </c>
      <c r="G5893" s="7">
        <v>2.63E-2</v>
      </c>
    </row>
    <row r="5894" spans="2:7" x14ac:dyDescent="0.2">
      <c r="B5894" s="60">
        <v>44067</v>
      </c>
      <c r="C5894" s="7">
        <v>-4.9399999999999999E-3</v>
      </c>
      <c r="D5894" s="7">
        <v>-5.11E-3</v>
      </c>
      <c r="E5894" s="7">
        <v>-4.7599999999999995E-3</v>
      </c>
      <c r="F5894" s="7">
        <v>-5.13E-3</v>
      </c>
      <c r="G5894" s="7">
        <v>-2.76E-2</v>
      </c>
    </row>
    <row r="5895" spans="2:7" x14ac:dyDescent="0.2">
      <c r="B5895" s="60">
        <v>44068</v>
      </c>
      <c r="C5895" s="7">
        <v>-4.2599999999999999E-3</v>
      </c>
      <c r="D5895" s="7">
        <v>-4.8999999999999998E-3</v>
      </c>
      <c r="E5895" s="7">
        <v>-4.1199999999999995E-3</v>
      </c>
      <c r="F5895" s="7">
        <v>-4.9100000000000003E-3</v>
      </c>
      <c r="G5895" s="7">
        <v>-0.13769999999999999</v>
      </c>
    </row>
    <row r="5896" spans="2:7" x14ac:dyDescent="0.2">
      <c r="B5896" s="60">
        <v>44069</v>
      </c>
      <c r="C5896" s="7">
        <v>-4.1099999999999999E-3</v>
      </c>
      <c r="D5896" s="7">
        <v>-4.2500000000000003E-3</v>
      </c>
      <c r="E5896" s="7">
        <v>-3.9399999999999999E-3</v>
      </c>
      <c r="F5896" s="7">
        <v>-4.2699999999999995E-3</v>
      </c>
      <c r="G5896" s="7">
        <v>-3.5200000000000002E-2</v>
      </c>
    </row>
    <row r="5897" spans="2:7" x14ac:dyDescent="0.2">
      <c r="B5897" s="60">
        <v>44070</v>
      </c>
      <c r="C5897" s="7">
        <v>-4.0300000000000006E-3</v>
      </c>
      <c r="D5897" s="7">
        <v>-4.1599999999999996E-3</v>
      </c>
      <c r="E5897" s="7">
        <v>-3.8400000000000001E-3</v>
      </c>
      <c r="F5897" s="7">
        <v>-4.7099999999999998E-3</v>
      </c>
      <c r="G5897" s="7">
        <v>-1.95E-2</v>
      </c>
    </row>
    <row r="5898" spans="2:7" x14ac:dyDescent="0.2">
      <c r="B5898" s="60">
        <v>44071</v>
      </c>
      <c r="C5898" s="7">
        <v>-4.0699999999999998E-3</v>
      </c>
      <c r="D5898" s="7">
        <v>-3.8600000000000001E-3</v>
      </c>
      <c r="E5898" s="7">
        <v>-3.7199999999999998E-3</v>
      </c>
      <c r="F5898" s="7">
        <v>-4.1700000000000001E-3</v>
      </c>
      <c r="G5898" s="7">
        <v>9.9000000000000008E-3</v>
      </c>
    </row>
    <row r="5899" spans="2:7" x14ac:dyDescent="0.2">
      <c r="B5899" s="60">
        <v>44074</v>
      </c>
      <c r="C5899" s="7">
        <v>-3.98E-3</v>
      </c>
      <c r="D5899" s="7">
        <v>-4.1199999999999995E-3</v>
      </c>
      <c r="E5899" s="7">
        <v>-3.7499999999999999E-3</v>
      </c>
      <c r="F5899" s="7">
        <v>-4.15E-3</v>
      </c>
      <c r="G5899" s="7">
        <v>-2.2100000000000002E-2</v>
      </c>
    </row>
    <row r="5900" spans="2:7" x14ac:dyDescent="0.2">
      <c r="B5900" s="60">
        <v>44075</v>
      </c>
      <c r="C5900" s="7">
        <v>-4.15E-3</v>
      </c>
      <c r="D5900" s="7">
        <v>-3.9500000000000004E-3</v>
      </c>
      <c r="E5900" s="7">
        <v>-3.7199999999999998E-3</v>
      </c>
      <c r="F5900" s="7">
        <v>-4.1900000000000001E-3</v>
      </c>
      <c r="G5900" s="7">
        <v>4.2700000000000002E-2</v>
      </c>
    </row>
    <row r="5901" spans="2:7" x14ac:dyDescent="0.2">
      <c r="B5901" s="60">
        <v>44076</v>
      </c>
      <c r="C5901" s="7">
        <v>-4.7299999999999998E-3</v>
      </c>
      <c r="D5901" s="7">
        <v>-4.3E-3</v>
      </c>
      <c r="E5901" s="7">
        <v>-4.2399999999999998E-3</v>
      </c>
      <c r="F5901" s="7">
        <v>-4.7599999999999995E-3</v>
      </c>
      <c r="G5901" s="7">
        <v>0.13980000000000001</v>
      </c>
    </row>
    <row r="5902" spans="2:7" x14ac:dyDescent="0.2">
      <c r="B5902" s="60">
        <v>44077</v>
      </c>
      <c r="C5902" s="7">
        <v>-4.8999999999999998E-3</v>
      </c>
      <c r="D5902" s="7">
        <v>-4.7799999999999995E-3</v>
      </c>
      <c r="E5902" s="7">
        <v>-4.5399999999999998E-3</v>
      </c>
      <c r="F5902" s="7">
        <v>-5.0200000000000002E-3</v>
      </c>
      <c r="G5902" s="7">
        <v>3.5900000000000001E-2</v>
      </c>
    </row>
    <row r="5903" spans="2:7" x14ac:dyDescent="0.2">
      <c r="B5903" s="60">
        <v>44078</v>
      </c>
      <c r="C5903" s="7">
        <v>-4.7799999999999995E-3</v>
      </c>
      <c r="D5903" s="7">
        <v>-4.79E-3</v>
      </c>
      <c r="E5903" s="7">
        <v>-4.6100000000000004E-3</v>
      </c>
      <c r="F5903" s="7">
        <v>-4.9499999999999995E-3</v>
      </c>
      <c r="G5903" s="7">
        <v>-2.4500000000000001E-2</v>
      </c>
    </row>
    <row r="5904" spans="2:7" x14ac:dyDescent="0.2">
      <c r="B5904" s="60">
        <v>44081</v>
      </c>
      <c r="C5904" s="7">
        <v>-4.5999999999999999E-3</v>
      </c>
      <c r="D5904" s="7">
        <v>-4.3899999999999998E-3</v>
      </c>
      <c r="E5904" s="7">
        <v>-4.3600000000000002E-3</v>
      </c>
      <c r="F5904" s="7">
        <v>-4.8199999999999996E-3</v>
      </c>
      <c r="G5904" s="7">
        <v>-3.7699999999999997E-2</v>
      </c>
    </row>
    <row r="5905" spans="2:7" x14ac:dyDescent="0.2">
      <c r="B5905" s="60">
        <v>44082</v>
      </c>
      <c r="C5905" s="7">
        <v>-4.9399999999999999E-3</v>
      </c>
      <c r="D5905" s="7">
        <v>-4.6500000000000005E-3</v>
      </c>
      <c r="E5905" s="7">
        <v>-4.5000000000000005E-3</v>
      </c>
      <c r="F5905" s="7">
        <v>-5.0600000000000003E-3</v>
      </c>
      <c r="G5905" s="7">
        <v>7.3899999999999993E-2</v>
      </c>
    </row>
    <row r="5906" spans="2:7" x14ac:dyDescent="0.2">
      <c r="B5906" s="60">
        <v>44083</v>
      </c>
      <c r="C5906" s="7">
        <v>-4.6100000000000004E-3</v>
      </c>
      <c r="D5906" s="7">
        <v>-4.9199999999999999E-3</v>
      </c>
      <c r="E5906" s="7">
        <v>-4.5100000000000001E-3</v>
      </c>
      <c r="F5906" s="7">
        <v>-5.0800000000000003E-3</v>
      </c>
      <c r="G5906" s="7">
        <v>-6.6799999999999998E-2</v>
      </c>
    </row>
    <row r="5907" spans="2:7" x14ac:dyDescent="0.2">
      <c r="B5907" s="60">
        <v>44084</v>
      </c>
      <c r="C5907" s="7">
        <v>-4.2599999999999999E-3</v>
      </c>
      <c r="D5907" s="7">
        <v>-4.5599999999999998E-3</v>
      </c>
      <c r="E5907" s="7">
        <v>-4.1700000000000001E-3</v>
      </c>
      <c r="F5907" s="7">
        <v>-4.7699999999999999E-3</v>
      </c>
      <c r="G5907" s="7">
        <v>-7.5899999999999995E-2</v>
      </c>
    </row>
    <row r="5908" spans="2:7" x14ac:dyDescent="0.2">
      <c r="B5908" s="60">
        <v>44085</v>
      </c>
      <c r="C5908" s="7">
        <v>-4.8300000000000001E-3</v>
      </c>
      <c r="D5908" s="7">
        <v>-4.5500000000000002E-3</v>
      </c>
      <c r="E5908" s="7">
        <v>-4.47E-3</v>
      </c>
      <c r="F5908" s="7">
        <v>-4.8399999999999997E-3</v>
      </c>
      <c r="G5908" s="7">
        <v>0.1338</v>
      </c>
    </row>
    <row r="5909" spans="2:7" x14ac:dyDescent="0.2">
      <c r="B5909" s="60">
        <v>44088</v>
      </c>
      <c r="C5909" s="7">
        <v>-4.7699999999999999E-3</v>
      </c>
      <c r="D5909" s="7">
        <v>-4.8399999999999997E-3</v>
      </c>
      <c r="E5909" s="7">
        <v>-4.7299999999999998E-3</v>
      </c>
      <c r="F5909" s="7">
        <v>-5.0200000000000002E-3</v>
      </c>
      <c r="G5909" s="7">
        <v>-1.24E-2</v>
      </c>
    </row>
    <row r="5910" spans="2:7" x14ac:dyDescent="0.2">
      <c r="B5910" s="60">
        <v>44089</v>
      </c>
      <c r="C5910" s="7">
        <v>-4.81E-3</v>
      </c>
      <c r="D5910" s="7">
        <v>-4.8500000000000001E-3</v>
      </c>
      <c r="E5910" s="7">
        <v>-4.62E-3</v>
      </c>
      <c r="F5910" s="7">
        <v>-4.9100000000000003E-3</v>
      </c>
      <c r="G5910" s="7">
        <v>8.3999999999999995E-3</v>
      </c>
    </row>
    <row r="5911" spans="2:7" x14ac:dyDescent="0.2">
      <c r="B5911" s="60">
        <v>44090</v>
      </c>
      <c r="C5911" s="7">
        <v>-4.81E-3</v>
      </c>
      <c r="D5911" s="7">
        <v>-4.79E-3</v>
      </c>
      <c r="E5911" s="7">
        <v>-4.7199999999999994E-3</v>
      </c>
      <c r="F5911" s="7">
        <v>-5.0099999999999997E-3</v>
      </c>
      <c r="G5911" s="7">
        <v>0</v>
      </c>
    </row>
    <row r="5912" spans="2:7" x14ac:dyDescent="0.2">
      <c r="B5912" s="60">
        <v>44091</v>
      </c>
      <c r="C5912" s="7">
        <v>-4.9199999999999999E-3</v>
      </c>
      <c r="D5912" s="7">
        <v>-4.8500000000000001E-3</v>
      </c>
      <c r="E5912" s="7">
        <v>-4.6100000000000004E-3</v>
      </c>
      <c r="F5912" s="7">
        <v>-5.1200000000000004E-3</v>
      </c>
      <c r="G5912" s="7">
        <v>2.29E-2</v>
      </c>
    </row>
    <row r="5913" spans="2:7" x14ac:dyDescent="0.2">
      <c r="B5913" s="60">
        <v>44092</v>
      </c>
      <c r="C5913" s="7">
        <v>-4.8300000000000001E-3</v>
      </c>
      <c r="D5913" s="7">
        <v>-4.8500000000000001E-3</v>
      </c>
      <c r="E5913" s="7">
        <v>-4.7299999999999998E-3</v>
      </c>
      <c r="F5913" s="7">
        <v>-5.11E-3</v>
      </c>
      <c r="G5913" s="7">
        <v>-1.83E-2</v>
      </c>
    </row>
    <row r="5914" spans="2:7" x14ac:dyDescent="0.2">
      <c r="B5914" s="60">
        <v>44093</v>
      </c>
      <c r="C5914" s="7">
        <v>-4.8700000000000002E-3</v>
      </c>
      <c r="D5914" s="7">
        <v>-4.8700000000000002E-3</v>
      </c>
      <c r="E5914" s="7">
        <v>-4.8700000000000002E-3</v>
      </c>
      <c r="F5914" s="7">
        <v>-4.8700000000000002E-3</v>
      </c>
      <c r="G5914" s="7">
        <v>8.3000000000000001E-3</v>
      </c>
    </row>
    <row r="5915" spans="2:7" x14ac:dyDescent="0.2">
      <c r="B5915" s="60">
        <v>44095</v>
      </c>
      <c r="C5915" s="7">
        <v>-5.2700000000000004E-3</v>
      </c>
      <c r="D5915" s="7">
        <v>-4.8900000000000002E-3</v>
      </c>
      <c r="E5915" s="7">
        <v>-4.7499999999999999E-3</v>
      </c>
      <c r="F5915" s="7">
        <v>-5.3900000000000007E-3</v>
      </c>
      <c r="G5915" s="7">
        <v>8.2100000000000006E-2</v>
      </c>
    </row>
    <row r="5916" spans="2:7" x14ac:dyDescent="0.2">
      <c r="B5916" s="60">
        <v>44096</v>
      </c>
      <c r="C5916" s="7">
        <v>-5.0200000000000002E-3</v>
      </c>
      <c r="D5916" s="7">
        <v>-5.1999999999999998E-3</v>
      </c>
      <c r="E5916" s="7">
        <v>-4.9499999999999995E-3</v>
      </c>
      <c r="F5916" s="7">
        <v>-5.3100000000000005E-3</v>
      </c>
      <c r="G5916" s="7">
        <v>-4.7399999999999998E-2</v>
      </c>
    </row>
    <row r="5917" spans="2:7" x14ac:dyDescent="0.2">
      <c r="B5917" s="60">
        <v>44097</v>
      </c>
      <c r="C5917" s="7">
        <v>-5.0200000000000002E-3</v>
      </c>
      <c r="D5917" s="7">
        <v>-5.11E-3</v>
      </c>
      <c r="E5917" s="7">
        <v>-4.9100000000000003E-3</v>
      </c>
      <c r="F5917" s="7">
        <v>-5.2500000000000003E-3</v>
      </c>
      <c r="G5917" s="7">
        <v>0</v>
      </c>
    </row>
    <row r="5918" spans="2:7" x14ac:dyDescent="0.2">
      <c r="B5918" s="60">
        <v>44098</v>
      </c>
      <c r="C5918" s="7">
        <v>-5.0600000000000003E-3</v>
      </c>
      <c r="D5918" s="7">
        <v>-5.11E-3</v>
      </c>
      <c r="E5918" s="7">
        <v>-4.9899999999999996E-3</v>
      </c>
      <c r="F5918" s="7">
        <v>-5.3E-3</v>
      </c>
      <c r="G5918" s="7">
        <v>8.0000000000000002E-3</v>
      </c>
    </row>
    <row r="5919" spans="2:7" x14ac:dyDescent="0.2">
      <c r="B5919" s="60">
        <v>44099</v>
      </c>
      <c r="C5919" s="7">
        <v>-5.2500000000000003E-3</v>
      </c>
      <c r="D5919" s="7">
        <v>-4.9899999999999996E-3</v>
      </c>
      <c r="E5919" s="7">
        <v>-4.9300000000000004E-3</v>
      </c>
      <c r="F5919" s="7">
        <v>-5.3100000000000005E-3</v>
      </c>
      <c r="G5919" s="7">
        <v>3.7499999999999999E-2</v>
      </c>
    </row>
    <row r="5920" spans="2:7" x14ac:dyDescent="0.2">
      <c r="B5920" s="60">
        <v>44102</v>
      </c>
      <c r="C5920" s="7">
        <v>-5.2599999999999999E-3</v>
      </c>
      <c r="D5920" s="7">
        <v>-5.2300000000000003E-3</v>
      </c>
      <c r="E5920" s="7">
        <v>-5.0099999999999997E-3</v>
      </c>
      <c r="F5920" s="7">
        <v>-5.3E-3</v>
      </c>
      <c r="G5920" s="7">
        <v>1.9E-3</v>
      </c>
    </row>
    <row r="5921" spans="2:7" x14ac:dyDescent="0.2">
      <c r="B5921" s="60">
        <v>44103</v>
      </c>
      <c r="C5921" s="7">
        <v>-5.4200000000000003E-3</v>
      </c>
      <c r="D5921" s="7">
        <v>-5.2500000000000003E-3</v>
      </c>
      <c r="E5921" s="7">
        <v>-5.2399999999999999E-3</v>
      </c>
      <c r="F5921" s="7">
        <v>-5.4600000000000004E-3</v>
      </c>
      <c r="G5921" s="7">
        <v>3.04E-2</v>
      </c>
    </row>
    <row r="5922" spans="2:7" x14ac:dyDescent="0.2">
      <c r="B5922" s="60">
        <v>44104</v>
      </c>
      <c r="C5922" s="7">
        <v>-5.2100000000000002E-3</v>
      </c>
      <c r="D5922" s="7">
        <v>-5.45E-3</v>
      </c>
      <c r="E5922" s="7">
        <v>-5.1400000000000005E-3</v>
      </c>
      <c r="F5922" s="7">
        <v>-5.5200000000000006E-3</v>
      </c>
      <c r="G5922" s="7">
        <v>-3.8699999999999998E-2</v>
      </c>
    </row>
    <row r="5923" spans="2:7" x14ac:dyDescent="0.2">
      <c r="B5923" s="60">
        <v>44105</v>
      </c>
      <c r="C5923" s="7">
        <v>-5.28E-3</v>
      </c>
      <c r="D5923" s="7">
        <v>-5.1200000000000004E-3</v>
      </c>
      <c r="E5923" s="7">
        <v>-4.9699999999999996E-3</v>
      </c>
      <c r="F5923" s="7">
        <v>-5.3700000000000006E-3</v>
      </c>
      <c r="G5923" s="7">
        <v>1.34E-2</v>
      </c>
    </row>
    <row r="5924" spans="2:7" x14ac:dyDescent="0.2">
      <c r="B5924" s="60">
        <v>44106</v>
      </c>
      <c r="C5924" s="7">
        <v>-5.3400000000000001E-3</v>
      </c>
      <c r="D5924" s="7">
        <v>-5.4200000000000003E-3</v>
      </c>
      <c r="E5924" s="7">
        <v>-5.2399999999999999E-3</v>
      </c>
      <c r="F5924" s="7">
        <v>-5.5500000000000002E-3</v>
      </c>
      <c r="G5924" s="7">
        <v>1.14E-2</v>
      </c>
    </row>
    <row r="5925" spans="2:7" x14ac:dyDescent="0.2">
      <c r="B5925" s="60">
        <v>44107</v>
      </c>
      <c r="C5925" s="7">
        <v>-5.3700000000000006E-3</v>
      </c>
      <c r="D5925" s="7">
        <v>-5.3700000000000006E-3</v>
      </c>
      <c r="E5925" s="7">
        <v>-5.3700000000000006E-3</v>
      </c>
      <c r="F5925" s="7">
        <v>-5.3700000000000006E-3</v>
      </c>
      <c r="G5925" s="7">
        <v>5.5999999999999999E-3</v>
      </c>
    </row>
    <row r="5926" spans="2:7" x14ac:dyDescent="0.2">
      <c r="B5926" s="60">
        <v>44109</v>
      </c>
      <c r="C5926" s="7">
        <v>-5.1200000000000004E-3</v>
      </c>
      <c r="D5926" s="7">
        <v>-5.3700000000000006E-3</v>
      </c>
      <c r="E5926" s="7">
        <v>-5.0099999999999997E-3</v>
      </c>
      <c r="F5926" s="7">
        <v>-5.4900000000000001E-3</v>
      </c>
      <c r="G5926" s="7">
        <v>-4.6600000000000003E-2</v>
      </c>
    </row>
    <row r="5927" spans="2:7" x14ac:dyDescent="0.2">
      <c r="B5927" s="60">
        <v>44110</v>
      </c>
      <c r="C5927" s="7">
        <v>-5.0699999999999999E-3</v>
      </c>
      <c r="D5927" s="7">
        <v>-5.0699999999999999E-3</v>
      </c>
      <c r="E5927" s="7">
        <v>-4.9199999999999999E-3</v>
      </c>
      <c r="F5927" s="7">
        <v>-5.1900000000000002E-3</v>
      </c>
      <c r="G5927" s="7">
        <v>-9.7999999999999997E-3</v>
      </c>
    </row>
    <row r="5928" spans="2:7" x14ac:dyDescent="0.2">
      <c r="B5928" s="60">
        <v>44111</v>
      </c>
      <c r="C5928" s="7">
        <v>-4.9300000000000004E-3</v>
      </c>
      <c r="D5928" s="7">
        <v>-5.1700000000000001E-3</v>
      </c>
      <c r="E5928" s="7">
        <v>-4.79E-3</v>
      </c>
      <c r="F5928" s="7">
        <v>-5.28E-3</v>
      </c>
      <c r="G5928" s="7">
        <v>-2.76E-2</v>
      </c>
    </row>
    <row r="5929" spans="2:7" x14ac:dyDescent="0.2">
      <c r="B5929" s="60">
        <v>44112</v>
      </c>
      <c r="C5929" s="7">
        <v>-5.2100000000000002E-3</v>
      </c>
      <c r="D5929" s="7">
        <v>-4.96E-3</v>
      </c>
      <c r="E5929" s="7">
        <v>-4.8599999999999997E-3</v>
      </c>
      <c r="F5929" s="7">
        <v>-5.2500000000000003E-3</v>
      </c>
      <c r="G5929" s="7">
        <v>5.6800000000000003E-2</v>
      </c>
    </row>
    <row r="5930" spans="2:7" x14ac:dyDescent="0.2">
      <c r="B5930" s="60">
        <v>44113</v>
      </c>
      <c r="C5930" s="7">
        <v>-5.3200000000000001E-3</v>
      </c>
      <c r="D5930" s="7">
        <v>-5.2599999999999999E-3</v>
      </c>
      <c r="E5930" s="7">
        <v>-5.2300000000000003E-3</v>
      </c>
      <c r="F5930" s="7">
        <v>-5.47E-3</v>
      </c>
      <c r="G5930" s="7">
        <v>2.1100000000000001E-2</v>
      </c>
    </row>
    <row r="5931" spans="2:7" x14ac:dyDescent="0.2">
      <c r="B5931" s="60">
        <v>44116</v>
      </c>
      <c r="C5931" s="7">
        <v>-5.4300000000000008E-3</v>
      </c>
      <c r="D5931" s="7">
        <v>-5.3800000000000002E-3</v>
      </c>
      <c r="E5931" s="7">
        <v>-5.2700000000000004E-3</v>
      </c>
      <c r="F5931" s="7">
        <v>-5.4600000000000004E-3</v>
      </c>
      <c r="G5931" s="7">
        <v>2.07E-2</v>
      </c>
    </row>
    <row r="5932" spans="2:7" x14ac:dyDescent="0.2">
      <c r="B5932" s="60">
        <v>44117</v>
      </c>
      <c r="C5932" s="7">
        <v>-5.5400000000000007E-3</v>
      </c>
      <c r="D5932" s="7">
        <v>-5.4400000000000004E-3</v>
      </c>
      <c r="E5932" s="7">
        <v>-5.3400000000000001E-3</v>
      </c>
      <c r="F5932" s="7">
        <v>-5.6100000000000004E-3</v>
      </c>
      <c r="G5932" s="7">
        <v>2.0299999999999999E-2</v>
      </c>
    </row>
    <row r="5933" spans="2:7" x14ac:dyDescent="0.2">
      <c r="B5933" s="60">
        <v>44118</v>
      </c>
      <c r="C5933" s="7">
        <v>-5.7499999999999999E-3</v>
      </c>
      <c r="D5933" s="7">
        <v>-5.5900000000000004E-3</v>
      </c>
      <c r="E5933" s="7">
        <v>-5.5200000000000006E-3</v>
      </c>
      <c r="F5933" s="7">
        <v>-5.8599999999999998E-3</v>
      </c>
      <c r="G5933" s="7">
        <v>3.7900000000000003E-2</v>
      </c>
    </row>
    <row r="5934" spans="2:7" x14ac:dyDescent="0.2">
      <c r="B5934" s="60">
        <v>44119</v>
      </c>
      <c r="C5934" s="7">
        <v>-6.11E-3</v>
      </c>
      <c r="D5934" s="7">
        <v>-5.8399999999999997E-3</v>
      </c>
      <c r="E5934" s="7">
        <v>-5.7199999999999994E-3</v>
      </c>
      <c r="F5934" s="7">
        <v>-6.3699999999999998E-3</v>
      </c>
      <c r="G5934" s="7">
        <v>6.2600000000000003E-2</v>
      </c>
    </row>
    <row r="5935" spans="2:7" x14ac:dyDescent="0.2">
      <c r="B5935" s="60">
        <v>44120</v>
      </c>
      <c r="C5935" s="7">
        <v>-6.2300000000000003E-3</v>
      </c>
      <c r="D5935" s="7">
        <v>-6.13E-3</v>
      </c>
      <c r="E5935" s="7">
        <v>-6.0400000000000002E-3</v>
      </c>
      <c r="F5935" s="7">
        <v>-6.3699999999999998E-3</v>
      </c>
      <c r="G5935" s="7">
        <v>1.9599999999999999E-2</v>
      </c>
    </row>
    <row r="5936" spans="2:7" x14ac:dyDescent="0.2">
      <c r="B5936" s="60">
        <v>44123</v>
      </c>
      <c r="C5936" s="7">
        <v>-6.2700000000000004E-3</v>
      </c>
      <c r="D5936" s="7">
        <v>-6.1999999999999998E-3</v>
      </c>
      <c r="E5936" s="7">
        <v>-6.0000000000000001E-3</v>
      </c>
      <c r="F5936" s="7">
        <v>-6.28E-3</v>
      </c>
      <c r="G5936" s="7">
        <v>6.4000000000000003E-3</v>
      </c>
    </row>
    <row r="5937" spans="2:7" x14ac:dyDescent="0.2">
      <c r="B5937" s="60">
        <v>44124</v>
      </c>
      <c r="C5937" s="7">
        <v>-6.0299999999999998E-3</v>
      </c>
      <c r="D5937" s="7">
        <v>-6.2700000000000004E-3</v>
      </c>
      <c r="E5937" s="7">
        <v>-5.8999999999999999E-3</v>
      </c>
      <c r="F5937" s="7">
        <v>-6.3299999999999997E-3</v>
      </c>
      <c r="G5937" s="7">
        <v>-3.8300000000000001E-2</v>
      </c>
    </row>
    <row r="5938" spans="2:7" x14ac:dyDescent="0.2">
      <c r="B5938" s="60">
        <v>44125</v>
      </c>
      <c r="C5938" s="7">
        <v>-5.8799999999999998E-3</v>
      </c>
      <c r="D5938" s="7">
        <v>-5.7799999999999995E-3</v>
      </c>
      <c r="E5938" s="7">
        <v>-5.6799999999999993E-3</v>
      </c>
      <c r="F5938" s="7">
        <v>-6.0599999999999994E-3</v>
      </c>
      <c r="G5938" s="7">
        <v>-2.4899999999999999E-2</v>
      </c>
    </row>
    <row r="5939" spans="2:7" x14ac:dyDescent="0.2">
      <c r="B5939" s="60">
        <v>44126</v>
      </c>
      <c r="C5939" s="7">
        <v>-5.6799999999999993E-3</v>
      </c>
      <c r="D5939" s="7">
        <v>-5.8599999999999998E-3</v>
      </c>
      <c r="E5939" s="7">
        <v>-5.5600000000000007E-3</v>
      </c>
      <c r="F5939" s="7">
        <v>-5.9800000000000001E-3</v>
      </c>
      <c r="G5939" s="7">
        <v>-3.4000000000000002E-2</v>
      </c>
    </row>
    <row r="5940" spans="2:7" x14ac:dyDescent="0.2">
      <c r="B5940" s="60">
        <v>44127</v>
      </c>
      <c r="C5940" s="7">
        <v>-5.7199999999999994E-3</v>
      </c>
      <c r="D5940" s="7">
        <v>-5.7099999999999998E-3</v>
      </c>
      <c r="E5940" s="7">
        <v>-5.45E-3</v>
      </c>
      <c r="F5940" s="7">
        <v>-5.8399999999999997E-3</v>
      </c>
      <c r="G5940" s="7">
        <v>7.0000000000000001E-3</v>
      </c>
    </row>
    <row r="5941" spans="2:7" x14ac:dyDescent="0.2">
      <c r="B5941" s="60">
        <v>44130</v>
      </c>
      <c r="C5941" s="7">
        <v>-5.7099999999999998E-3</v>
      </c>
      <c r="D5941" s="7">
        <v>-5.8799999999999998E-3</v>
      </c>
      <c r="E5941" s="7">
        <v>-5.5200000000000006E-3</v>
      </c>
      <c r="F5941" s="7">
        <v>-5.9699999999999996E-3</v>
      </c>
      <c r="G5941" s="7">
        <v>-1.6999999999999999E-3</v>
      </c>
    </row>
    <row r="5942" spans="2:7" x14ac:dyDescent="0.2">
      <c r="B5942" s="60">
        <v>44131</v>
      </c>
      <c r="C5942" s="7">
        <v>-6.1199999999999996E-3</v>
      </c>
      <c r="D5942" s="7">
        <v>-5.7599999999999995E-3</v>
      </c>
      <c r="E5942" s="7">
        <v>-5.6599999999999992E-3</v>
      </c>
      <c r="F5942" s="7">
        <v>-6.1500000000000001E-3</v>
      </c>
      <c r="G5942" s="7">
        <v>7.1800000000000003E-2</v>
      </c>
    </row>
    <row r="5943" spans="2:7" x14ac:dyDescent="0.2">
      <c r="B5943" s="60">
        <v>44132</v>
      </c>
      <c r="C5943" s="7">
        <v>-6.28E-3</v>
      </c>
      <c r="D5943" s="7">
        <v>-6.2100000000000002E-3</v>
      </c>
      <c r="E5943" s="7">
        <v>-6.0999999999999995E-3</v>
      </c>
      <c r="F5943" s="7">
        <v>-6.4600000000000005E-3</v>
      </c>
      <c r="G5943" s="7">
        <v>2.6100000000000002E-2</v>
      </c>
    </row>
    <row r="5944" spans="2:7" x14ac:dyDescent="0.2">
      <c r="B5944" s="60">
        <v>44133</v>
      </c>
      <c r="C5944" s="7">
        <v>-6.3699999999999998E-3</v>
      </c>
      <c r="D5944" s="7">
        <v>-6.11E-3</v>
      </c>
      <c r="E5944" s="7">
        <v>-6.11E-3</v>
      </c>
      <c r="F5944" s="7">
        <v>-6.4600000000000005E-3</v>
      </c>
      <c r="G5944" s="7">
        <v>1.43E-2</v>
      </c>
    </row>
    <row r="5945" spans="2:7" x14ac:dyDescent="0.2">
      <c r="B5945" s="60">
        <v>44134</v>
      </c>
      <c r="C5945" s="7">
        <v>-6.2500000000000003E-3</v>
      </c>
      <c r="D5945" s="7">
        <v>-6.3899999999999998E-3</v>
      </c>
      <c r="E5945" s="7">
        <v>-6.0599999999999994E-3</v>
      </c>
      <c r="F5945" s="7">
        <v>-6.3899999999999998E-3</v>
      </c>
      <c r="G5945" s="7">
        <v>-1.8800000000000001E-2</v>
      </c>
    </row>
    <row r="5946" spans="2:7" x14ac:dyDescent="0.2">
      <c r="B5946" s="60">
        <v>44137</v>
      </c>
      <c r="C5946" s="7">
        <v>-6.3800000000000003E-3</v>
      </c>
      <c r="D5946" s="7">
        <v>-6.2599999999999999E-3</v>
      </c>
      <c r="E5946" s="7">
        <v>-6.0699999999999999E-3</v>
      </c>
      <c r="F5946" s="7">
        <v>-6.3899999999999998E-3</v>
      </c>
      <c r="G5946" s="7">
        <v>2.0799999999999999E-2</v>
      </c>
    </row>
    <row r="5947" spans="2:7" x14ac:dyDescent="0.2">
      <c r="B5947" s="60">
        <v>44138</v>
      </c>
      <c r="C5947" s="7">
        <v>-6.2100000000000002E-3</v>
      </c>
      <c r="D5947" s="7">
        <v>-6.3200000000000001E-3</v>
      </c>
      <c r="E5947" s="7">
        <v>-6.0099999999999997E-3</v>
      </c>
      <c r="F5947" s="7">
        <v>-6.3800000000000003E-3</v>
      </c>
      <c r="G5947" s="7">
        <v>-2.6599999999999999E-2</v>
      </c>
    </row>
    <row r="5948" spans="2:7" x14ac:dyDescent="0.2">
      <c r="B5948" s="60">
        <v>44139</v>
      </c>
      <c r="C5948" s="7">
        <v>-6.3800000000000003E-3</v>
      </c>
      <c r="D5948" s="7">
        <v>-6.45E-3</v>
      </c>
      <c r="E5948" s="7">
        <v>-6.1500000000000001E-3</v>
      </c>
      <c r="F5948" s="7">
        <v>-6.7100000000000007E-3</v>
      </c>
      <c r="G5948" s="7">
        <v>2.7400000000000001E-2</v>
      </c>
    </row>
    <row r="5949" spans="2:7" x14ac:dyDescent="0.2">
      <c r="B5949" s="60">
        <v>44140</v>
      </c>
      <c r="C5949" s="7">
        <v>-6.3400000000000001E-3</v>
      </c>
      <c r="D5949" s="7">
        <v>-6.4600000000000005E-3</v>
      </c>
      <c r="E5949" s="7">
        <v>-6.1700000000000001E-3</v>
      </c>
      <c r="F5949" s="7">
        <v>-6.5799999999999999E-3</v>
      </c>
      <c r="G5949" s="7">
        <v>-6.3E-3</v>
      </c>
    </row>
    <row r="5950" spans="2:7" x14ac:dyDescent="0.2">
      <c r="B5950" s="60">
        <v>44141</v>
      </c>
      <c r="C5950" s="7">
        <v>-6.1700000000000001E-3</v>
      </c>
      <c r="D5950" s="7">
        <v>-6.3699999999999998E-3</v>
      </c>
      <c r="E5950" s="7">
        <v>-6.0099999999999997E-3</v>
      </c>
      <c r="F5950" s="7">
        <v>-6.4700000000000001E-3</v>
      </c>
      <c r="G5950" s="7">
        <v>-2.6800000000000001E-2</v>
      </c>
    </row>
    <row r="5951" spans="2:7" x14ac:dyDescent="0.2">
      <c r="B5951" s="60">
        <v>44144</v>
      </c>
      <c r="C5951" s="7">
        <v>-5.0800000000000003E-3</v>
      </c>
      <c r="D5951" s="7">
        <v>-6.1900000000000002E-3</v>
      </c>
      <c r="E5951" s="7">
        <v>-4.96E-3</v>
      </c>
      <c r="F5951" s="7">
        <v>-6.4400000000000004E-3</v>
      </c>
      <c r="G5951" s="7">
        <v>-0.1767</v>
      </c>
    </row>
    <row r="5952" spans="2:7" x14ac:dyDescent="0.2">
      <c r="B5952" s="60">
        <v>44145</v>
      </c>
      <c r="C5952" s="7">
        <v>-4.7999999999999996E-3</v>
      </c>
      <c r="D5952" s="7">
        <v>-5.1600000000000005E-3</v>
      </c>
      <c r="E5952" s="7">
        <v>-4.7299999999999998E-3</v>
      </c>
      <c r="F5952" s="7">
        <v>-5.1900000000000002E-3</v>
      </c>
      <c r="G5952" s="7">
        <v>-5.5100000000000003E-2</v>
      </c>
    </row>
    <row r="5953" spans="2:7" x14ac:dyDescent="0.2">
      <c r="B5953" s="60">
        <v>44146</v>
      </c>
      <c r="C5953" s="7">
        <v>-5.0299999999999997E-3</v>
      </c>
      <c r="D5953" s="7">
        <v>-4.8300000000000001E-3</v>
      </c>
      <c r="E5953" s="7">
        <v>-4.5599999999999998E-3</v>
      </c>
      <c r="F5953" s="7">
        <v>-5.1400000000000005E-3</v>
      </c>
      <c r="G5953" s="7">
        <v>4.7899999999999998E-2</v>
      </c>
    </row>
    <row r="5954" spans="2:7" x14ac:dyDescent="0.2">
      <c r="B5954" s="60">
        <v>44147</v>
      </c>
      <c r="C5954" s="7">
        <v>-5.3500000000000006E-3</v>
      </c>
      <c r="D5954" s="7">
        <v>-5.2199999999999998E-3</v>
      </c>
      <c r="E5954" s="7">
        <v>-4.9699999999999996E-3</v>
      </c>
      <c r="F5954" s="7">
        <v>-5.3500000000000006E-3</v>
      </c>
      <c r="G5954" s="7">
        <v>6.3600000000000004E-2</v>
      </c>
    </row>
    <row r="5955" spans="2:7" x14ac:dyDescent="0.2">
      <c r="B5955" s="60">
        <v>44148</v>
      </c>
      <c r="C5955" s="7">
        <v>-5.4800000000000005E-3</v>
      </c>
      <c r="D5955" s="7">
        <v>-5.4600000000000004E-3</v>
      </c>
      <c r="E5955" s="7">
        <v>-5.3E-3</v>
      </c>
      <c r="F5955" s="7">
        <v>-5.6200000000000009E-3</v>
      </c>
      <c r="G5955" s="7">
        <v>2.4299999999999999E-2</v>
      </c>
    </row>
    <row r="5956" spans="2:7" x14ac:dyDescent="0.2">
      <c r="B5956" s="60">
        <v>44151</v>
      </c>
      <c r="C5956" s="7">
        <v>-5.45E-3</v>
      </c>
      <c r="D5956" s="7">
        <v>-5.5400000000000007E-3</v>
      </c>
      <c r="E5956" s="7">
        <v>-5.0899999999999999E-3</v>
      </c>
      <c r="F5956" s="7">
        <v>-5.6899999999999997E-3</v>
      </c>
      <c r="G5956" s="7">
        <v>-5.4999999999999997E-3</v>
      </c>
    </row>
    <row r="5957" spans="2:7" x14ac:dyDescent="0.2">
      <c r="B5957" s="60">
        <v>44152</v>
      </c>
      <c r="C5957" s="7">
        <v>-5.6100000000000004E-3</v>
      </c>
      <c r="D5957" s="7">
        <v>-5.4400000000000004E-3</v>
      </c>
      <c r="E5957" s="7">
        <v>-5.3500000000000006E-3</v>
      </c>
      <c r="F5957" s="7">
        <v>-5.6599999999999992E-3</v>
      </c>
      <c r="G5957" s="7">
        <v>2.9399999999999999E-2</v>
      </c>
    </row>
    <row r="5958" spans="2:7" x14ac:dyDescent="0.2">
      <c r="B5958" s="60">
        <v>44153</v>
      </c>
      <c r="C5958" s="7">
        <v>-5.5400000000000007E-3</v>
      </c>
      <c r="D5958" s="7">
        <v>-5.77E-3</v>
      </c>
      <c r="E5958" s="7">
        <v>-5.4400000000000004E-3</v>
      </c>
      <c r="F5958" s="7">
        <v>-5.79E-3</v>
      </c>
      <c r="G5958" s="7">
        <v>-1.2500000000000001E-2</v>
      </c>
    </row>
    <row r="5959" spans="2:7" x14ac:dyDescent="0.2">
      <c r="B5959" s="60">
        <v>44154</v>
      </c>
      <c r="C5959" s="7">
        <v>-5.6899999999999997E-3</v>
      </c>
      <c r="D5959" s="7">
        <v>-5.6000000000000008E-3</v>
      </c>
      <c r="E5959" s="7">
        <v>-5.5100000000000001E-3</v>
      </c>
      <c r="F5959" s="7">
        <v>-5.7599999999999995E-3</v>
      </c>
      <c r="G5959" s="7">
        <v>2.7099999999999999E-2</v>
      </c>
    </row>
    <row r="5960" spans="2:7" x14ac:dyDescent="0.2">
      <c r="B5960" s="60">
        <v>44155</v>
      </c>
      <c r="C5960" s="7">
        <v>-5.8299999999999992E-3</v>
      </c>
      <c r="D5960" s="7">
        <v>-5.7199999999999994E-3</v>
      </c>
      <c r="E5960" s="7">
        <v>-5.6200000000000009E-3</v>
      </c>
      <c r="F5960" s="7">
        <v>-5.8799999999999998E-3</v>
      </c>
      <c r="G5960" s="7">
        <v>2.46E-2</v>
      </c>
    </row>
    <row r="5961" spans="2:7" x14ac:dyDescent="0.2">
      <c r="B5961" s="60">
        <v>44156</v>
      </c>
      <c r="C5961" s="7">
        <v>-5.8399999999999997E-3</v>
      </c>
      <c r="D5961" s="7">
        <v>-5.8399999999999997E-3</v>
      </c>
      <c r="E5961" s="7">
        <v>-5.8399999999999997E-3</v>
      </c>
      <c r="F5961" s="7">
        <v>-5.8399999999999997E-3</v>
      </c>
      <c r="G5961" s="7">
        <v>1.6999999999999999E-3</v>
      </c>
    </row>
    <row r="5962" spans="2:7" x14ac:dyDescent="0.2">
      <c r="B5962" s="60">
        <v>44158</v>
      </c>
      <c r="C5962" s="7">
        <v>-5.7799999999999995E-3</v>
      </c>
      <c r="D5962" s="7">
        <v>-5.8999999999999999E-3</v>
      </c>
      <c r="E5962" s="7">
        <v>-5.6200000000000009E-3</v>
      </c>
      <c r="F5962" s="7">
        <v>-5.9199999999999999E-3</v>
      </c>
      <c r="G5962" s="7">
        <v>-1.03E-2</v>
      </c>
    </row>
    <row r="5963" spans="2:7" x14ac:dyDescent="0.2">
      <c r="B5963" s="60">
        <v>44159</v>
      </c>
      <c r="C5963" s="7">
        <v>-5.6499999999999996E-3</v>
      </c>
      <c r="D5963" s="7">
        <v>-5.6200000000000009E-3</v>
      </c>
      <c r="E5963" s="7">
        <v>-5.5800000000000008E-3</v>
      </c>
      <c r="F5963" s="7">
        <v>-5.8099999999999992E-3</v>
      </c>
      <c r="G5963" s="7">
        <v>-2.2499999999999999E-2</v>
      </c>
    </row>
    <row r="5964" spans="2:7" x14ac:dyDescent="0.2">
      <c r="B5964" s="60">
        <v>44160</v>
      </c>
      <c r="C5964" s="7">
        <v>-5.7199999999999994E-3</v>
      </c>
      <c r="D5964" s="7">
        <v>-5.6100000000000004E-3</v>
      </c>
      <c r="E5964" s="7">
        <v>-5.4600000000000004E-3</v>
      </c>
      <c r="F5964" s="7">
        <v>-5.8099999999999992E-3</v>
      </c>
      <c r="G5964" s="7">
        <v>1.24E-2</v>
      </c>
    </row>
    <row r="5965" spans="2:7" x14ac:dyDescent="0.2">
      <c r="B5965" s="60">
        <v>44161</v>
      </c>
      <c r="C5965" s="7">
        <v>-5.8699999999999994E-3</v>
      </c>
      <c r="D5965" s="7">
        <v>-5.6599999999999992E-3</v>
      </c>
      <c r="E5965" s="7">
        <v>-5.5600000000000007E-3</v>
      </c>
      <c r="F5965" s="7">
        <v>-5.8899999999999994E-3</v>
      </c>
      <c r="G5965" s="7">
        <v>2.6200000000000001E-2</v>
      </c>
    </row>
    <row r="5966" spans="2:7" x14ac:dyDescent="0.2">
      <c r="B5966" s="60">
        <v>44162</v>
      </c>
      <c r="C5966" s="7">
        <v>-5.8499999999999993E-3</v>
      </c>
      <c r="D5966" s="7">
        <v>-5.8799999999999998E-3</v>
      </c>
      <c r="E5966" s="7">
        <v>-5.7299999999999999E-3</v>
      </c>
      <c r="F5966" s="7">
        <v>-5.9499999999999996E-3</v>
      </c>
      <c r="G5966" s="7">
        <v>-3.3999999999999998E-3</v>
      </c>
    </row>
    <row r="5967" spans="2:7" x14ac:dyDescent="0.2">
      <c r="B5967" s="60">
        <v>44165</v>
      </c>
      <c r="C5967" s="7">
        <v>-5.7099999999999998E-3</v>
      </c>
      <c r="D5967" s="7">
        <v>-5.8599999999999998E-3</v>
      </c>
      <c r="E5967" s="7">
        <v>-5.6200000000000009E-3</v>
      </c>
      <c r="F5967" s="7">
        <v>-6.0000000000000001E-3</v>
      </c>
      <c r="G5967" s="7">
        <v>-2.3900000000000001E-2</v>
      </c>
    </row>
    <row r="5968" spans="2:7" x14ac:dyDescent="0.2">
      <c r="B5968" s="60">
        <v>44166</v>
      </c>
      <c r="C5968" s="7">
        <v>-5.2399999999999999E-3</v>
      </c>
      <c r="D5968" s="7">
        <v>-5.7199999999999994E-3</v>
      </c>
      <c r="E5968" s="7">
        <v>-5.1600000000000005E-3</v>
      </c>
      <c r="F5968" s="7">
        <v>-5.8199999999999997E-3</v>
      </c>
      <c r="G5968" s="7">
        <v>-8.2299999999999998E-2</v>
      </c>
    </row>
    <row r="5969" spans="2:7" x14ac:dyDescent="0.2">
      <c r="B5969" s="60">
        <v>44167</v>
      </c>
      <c r="C5969" s="7">
        <v>-5.2100000000000002E-3</v>
      </c>
      <c r="D5969" s="7">
        <v>-5.1800000000000006E-3</v>
      </c>
      <c r="E5969" s="7">
        <v>-5.0499999999999998E-3</v>
      </c>
      <c r="F5969" s="7">
        <v>-5.3200000000000001E-3</v>
      </c>
      <c r="G5969" s="7">
        <v>-5.7000000000000002E-3</v>
      </c>
    </row>
    <row r="5970" spans="2:7" x14ac:dyDescent="0.2">
      <c r="B5970" s="60">
        <v>44168</v>
      </c>
      <c r="C5970" s="7">
        <v>-5.4800000000000005E-3</v>
      </c>
      <c r="D5970" s="7">
        <v>-5.28E-3</v>
      </c>
      <c r="E5970" s="7">
        <v>-5.1700000000000001E-3</v>
      </c>
      <c r="F5970" s="7">
        <v>-5.5200000000000006E-3</v>
      </c>
      <c r="G5970" s="7">
        <v>5.1799999999999999E-2</v>
      </c>
    </row>
    <row r="5971" spans="2:7" x14ac:dyDescent="0.2">
      <c r="B5971" s="60">
        <v>44169</v>
      </c>
      <c r="C5971" s="7">
        <v>-5.4300000000000008E-3</v>
      </c>
      <c r="D5971" s="7">
        <v>-5.5700000000000003E-3</v>
      </c>
      <c r="E5971" s="7">
        <v>-5.3500000000000006E-3</v>
      </c>
      <c r="F5971" s="7">
        <v>-5.6599999999999992E-3</v>
      </c>
      <c r="G5971" s="7">
        <v>-9.1000000000000004E-3</v>
      </c>
    </row>
    <row r="5972" spans="2:7" x14ac:dyDescent="0.2">
      <c r="B5972" s="60">
        <v>44172</v>
      </c>
      <c r="C5972" s="7">
        <v>-5.8499999999999993E-3</v>
      </c>
      <c r="D5972" s="7">
        <v>-5.5600000000000007E-3</v>
      </c>
      <c r="E5972" s="7">
        <v>-5.47E-3</v>
      </c>
      <c r="F5972" s="7">
        <v>-5.8699999999999994E-3</v>
      </c>
      <c r="G5972" s="7">
        <v>7.7299999999999994E-2</v>
      </c>
    </row>
    <row r="5973" spans="2:7" x14ac:dyDescent="0.2">
      <c r="B5973" s="60">
        <v>44173</v>
      </c>
      <c r="C5973" s="7">
        <v>-6.13E-3</v>
      </c>
      <c r="D5973" s="7">
        <v>-5.7999999999999996E-3</v>
      </c>
      <c r="E5973" s="7">
        <v>-5.7599999999999995E-3</v>
      </c>
      <c r="F5973" s="7">
        <v>-6.1700000000000001E-3</v>
      </c>
      <c r="G5973" s="7">
        <v>4.7899999999999998E-2</v>
      </c>
    </row>
    <row r="5974" spans="2:7" x14ac:dyDescent="0.2">
      <c r="B5974" s="60">
        <v>44174</v>
      </c>
      <c r="C5974" s="7">
        <v>-6.0499999999999998E-3</v>
      </c>
      <c r="D5974" s="7">
        <v>-5.94E-3</v>
      </c>
      <c r="E5974" s="7">
        <v>-5.8399999999999997E-3</v>
      </c>
      <c r="F5974" s="7">
        <v>-6.0999999999999995E-3</v>
      </c>
      <c r="G5974" s="7">
        <v>-1.3100000000000001E-2</v>
      </c>
    </row>
    <row r="5975" spans="2:7" x14ac:dyDescent="0.2">
      <c r="B5975" s="60">
        <v>44175</v>
      </c>
      <c r="C5975" s="7">
        <v>-6.0200000000000002E-3</v>
      </c>
      <c r="D5975" s="7">
        <v>-6.13E-3</v>
      </c>
      <c r="E5975" s="7">
        <v>-5.79E-3</v>
      </c>
      <c r="F5975" s="7">
        <v>-6.3099999999999996E-3</v>
      </c>
      <c r="G5975" s="7">
        <v>-5.0000000000000001E-3</v>
      </c>
    </row>
    <row r="5976" spans="2:7" x14ac:dyDescent="0.2">
      <c r="B5976" s="60">
        <v>44176</v>
      </c>
      <c r="C5976" s="7">
        <v>-6.3800000000000003E-3</v>
      </c>
      <c r="D5976" s="7">
        <v>-6.0599999999999994E-3</v>
      </c>
      <c r="E5976" s="7">
        <v>-6.0099999999999997E-3</v>
      </c>
      <c r="F5976" s="7">
        <v>-6.43E-3</v>
      </c>
      <c r="G5976" s="7">
        <v>5.9799999999999999E-2</v>
      </c>
    </row>
    <row r="5977" spans="2:7" x14ac:dyDescent="0.2">
      <c r="B5977" s="60">
        <v>44179</v>
      </c>
      <c r="C5977" s="7">
        <v>-6.1799999999999997E-3</v>
      </c>
      <c r="D5977" s="7">
        <v>-6.1599999999999997E-3</v>
      </c>
      <c r="E5977" s="7">
        <v>-5.9899999999999997E-3</v>
      </c>
      <c r="F5977" s="7">
        <v>-6.3499999999999997E-3</v>
      </c>
      <c r="G5977" s="7">
        <v>-3.1300000000000001E-2</v>
      </c>
    </row>
    <row r="5978" spans="2:7" x14ac:dyDescent="0.2">
      <c r="B5978" s="60">
        <v>44180</v>
      </c>
      <c r="C5978" s="7">
        <v>-6.0999999999999995E-3</v>
      </c>
      <c r="D5978" s="7">
        <v>-6.1799999999999997E-3</v>
      </c>
      <c r="E5978" s="7">
        <v>-6.0200000000000002E-3</v>
      </c>
      <c r="F5978" s="7">
        <v>-6.3E-3</v>
      </c>
      <c r="G5978" s="7">
        <v>-1.29E-2</v>
      </c>
    </row>
    <row r="5979" spans="2:7" x14ac:dyDescent="0.2">
      <c r="B5979" s="60">
        <v>44181</v>
      </c>
      <c r="C5979" s="7">
        <v>-5.6799999999999993E-3</v>
      </c>
      <c r="D5979" s="7">
        <v>-6.0999999999999995E-3</v>
      </c>
      <c r="E5979" s="7">
        <v>-5.4600000000000004E-3</v>
      </c>
      <c r="F5979" s="7">
        <v>-6.13E-3</v>
      </c>
      <c r="G5979" s="7">
        <v>-6.8900000000000003E-2</v>
      </c>
    </row>
    <row r="5980" spans="2:7" x14ac:dyDescent="0.2">
      <c r="B5980" s="60">
        <v>44182</v>
      </c>
      <c r="C5980" s="7">
        <v>-5.77E-3</v>
      </c>
      <c r="D5980" s="7">
        <v>-5.6200000000000009E-3</v>
      </c>
      <c r="E5980" s="7">
        <v>-5.4800000000000005E-3</v>
      </c>
      <c r="F5980" s="7">
        <v>-5.9299999999999995E-3</v>
      </c>
      <c r="G5980" s="7">
        <v>1.5800000000000002E-2</v>
      </c>
    </row>
    <row r="5981" spans="2:7" x14ac:dyDescent="0.2">
      <c r="B5981" s="60">
        <v>44183</v>
      </c>
      <c r="C5981" s="7">
        <v>-5.7199999999999994E-3</v>
      </c>
      <c r="D5981" s="7">
        <v>-5.8099999999999992E-3</v>
      </c>
      <c r="E5981" s="7">
        <v>-5.45E-3</v>
      </c>
      <c r="F5981" s="7">
        <v>-5.8299999999999992E-3</v>
      </c>
      <c r="G5981" s="7">
        <v>-8.6999999999999994E-3</v>
      </c>
    </row>
    <row r="5982" spans="2:7" x14ac:dyDescent="0.2">
      <c r="B5982" s="60">
        <v>44186</v>
      </c>
      <c r="C5982" s="7">
        <v>-5.8099999999999992E-3</v>
      </c>
      <c r="D5982" s="7">
        <v>-5.9899999999999997E-3</v>
      </c>
      <c r="E5982" s="7">
        <v>-5.7599999999999995E-3</v>
      </c>
      <c r="F5982" s="7">
        <v>-6.1999999999999998E-3</v>
      </c>
      <c r="G5982" s="7">
        <v>1.5699999999999999E-2</v>
      </c>
    </row>
    <row r="5983" spans="2:7" x14ac:dyDescent="0.2">
      <c r="B5983" s="60">
        <v>44187</v>
      </c>
      <c r="C5983" s="7">
        <v>-5.9099999999999995E-3</v>
      </c>
      <c r="D5983" s="7">
        <v>-5.8599999999999998E-3</v>
      </c>
      <c r="E5983" s="7">
        <v>-5.6699999999999997E-3</v>
      </c>
      <c r="F5983" s="7">
        <v>-6.0000000000000001E-3</v>
      </c>
      <c r="G5983" s="7">
        <v>1.72E-2</v>
      </c>
    </row>
    <row r="5984" spans="2:7" x14ac:dyDescent="0.2">
      <c r="B5984" s="60">
        <v>44188</v>
      </c>
      <c r="C5984" s="7">
        <v>-5.4300000000000008E-3</v>
      </c>
      <c r="D5984" s="7">
        <v>-5.9800000000000001E-3</v>
      </c>
      <c r="E5984" s="7">
        <v>-5.3100000000000005E-3</v>
      </c>
      <c r="F5984" s="7">
        <v>-6.0599999999999994E-3</v>
      </c>
      <c r="G5984" s="7">
        <v>-8.1199999999999994E-2</v>
      </c>
    </row>
    <row r="5985" spans="2:7" x14ac:dyDescent="0.2">
      <c r="B5985" s="60">
        <v>44189</v>
      </c>
      <c r="C5985" s="7">
        <v>-5.4900000000000001E-3</v>
      </c>
      <c r="D5985" s="7">
        <v>-5.4800000000000005E-3</v>
      </c>
      <c r="E5985" s="7">
        <v>-5.4800000000000005E-3</v>
      </c>
      <c r="F5985" s="7">
        <v>-5.4900000000000001E-3</v>
      </c>
      <c r="G5985" s="7">
        <v>1.0999999999999999E-2</v>
      </c>
    </row>
    <row r="5986" spans="2:7" x14ac:dyDescent="0.2">
      <c r="B5986" s="60">
        <v>44193</v>
      </c>
      <c r="C5986" s="7">
        <v>-5.6299999999999996E-3</v>
      </c>
      <c r="D5986" s="7">
        <v>-5.4100000000000007E-3</v>
      </c>
      <c r="E5986" s="7">
        <v>-5.3900000000000007E-3</v>
      </c>
      <c r="F5986" s="7">
        <v>-5.6399999999999992E-3</v>
      </c>
      <c r="G5986" s="7">
        <v>2.5499999999999998E-2</v>
      </c>
    </row>
    <row r="5987" spans="2:7" x14ac:dyDescent="0.2">
      <c r="B5987" s="60">
        <v>44194</v>
      </c>
      <c r="C5987" s="7">
        <v>-5.7599999999999995E-3</v>
      </c>
      <c r="D5987" s="7">
        <v>-5.6799999999999993E-3</v>
      </c>
      <c r="E5987" s="7">
        <v>-5.6000000000000008E-3</v>
      </c>
      <c r="F5987" s="7">
        <v>-5.7999999999999996E-3</v>
      </c>
      <c r="G5987" s="7">
        <v>2.3099999999999999E-2</v>
      </c>
    </row>
    <row r="5988" spans="2:7" x14ac:dyDescent="0.2">
      <c r="B5988" s="60">
        <v>44195</v>
      </c>
      <c r="C5988" s="7">
        <v>-5.6999999999999993E-3</v>
      </c>
      <c r="D5988" s="7">
        <v>-5.7599999999999995E-3</v>
      </c>
      <c r="E5988" s="7">
        <v>-5.45E-3</v>
      </c>
      <c r="F5988" s="7">
        <v>-5.8199999999999997E-3</v>
      </c>
      <c r="G5988" s="7">
        <v>-1.04E-2</v>
      </c>
    </row>
    <row r="5989" spans="2:7" x14ac:dyDescent="0.2">
      <c r="B5989" s="60">
        <v>44196</v>
      </c>
      <c r="C5989" s="7">
        <v>-5.7499999999999999E-3</v>
      </c>
      <c r="D5989" s="7">
        <v>-5.7499999999999999E-3</v>
      </c>
      <c r="E5989" s="7">
        <v>-5.6799999999999993E-3</v>
      </c>
      <c r="F5989" s="7">
        <v>-5.7499999999999999E-3</v>
      </c>
      <c r="G5989" s="7">
        <v>8.8000000000000005E-3</v>
      </c>
    </row>
    <row r="5990" spans="2:7" x14ac:dyDescent="0.2">
      <c r="B5990" s="60">
        <v>44197</v>
      </c>
      <c r="C5990" s="7">
        <v>-5.7199999999999994E-3</v>
      </c>
      <c r="D5990" s="7">
        <v>-5.7199999999999994E-3</v>
      </c>
      <c r="E5990" s="7">
        <v>-5.7199999999999994E-3</v>
      </c>
      <c r="F5990" s="7">
        <v>-5.7199999999999994E-3</v>
      </c>
      <c r="G5990" s="7">
        <v>-5.1999999999999998E-3</v>
      </c>
    </row>
    <row r="5991" spans="2:7" x14ac:dyDescent="0.2">
      <c r="B5991" s="60">
        <v>44200</v>
      </c>
      <c r="C5991" s="7">
        <v>-5.9899999999999997E-3</v>
      </c>
      <c r="D5991" s="7">
        <v>-5.6999999999999993E-3</v>
      </c>
      <c r="E5991" s="7">
        <v>-5.6000000000000008E-3</v>
      </c>
      <c r="F5991" s="7">
        <v>-6.1500000000000001E-3</v>
      </c>
      <c r="G5991" s="7">
        <v>4.7199999999999999E-2</v>
      </c>
    </row>
    <row r="5992" spans="2:7" x14ac:dyDescent="0.2">
      <c r="B5992" s="60">
        <v>44201</v>
      </c>
      <c r="C5992" s="7">
        <v>-5.8399999999999997E-3</v>
      </c>
      <c r="D5992" s="7">
        <v>-6.0099999999999997E-3</v>
      </c>
      <c r="E5992" s="7">
        <v>-5.7599999999999995E-3</v>
      </c>
      <c r="F5992" s="7">
        <v>-6.0699999999999999E-3</v>
      </c>
      <c r="G5992" s="7">
        <v>-2.5000000000000001E-2</v>
      </c>
    </row>
    <row r="5993" spans="2:7" x14ac:dyDescent="0.2">
      <c r="B5993" s="60">
        <v>44202</v>
      </c>
      <c r="C5993" s="7">
        <v>-5.4600000000000004E-3</v>
      </c>
      <c r="D5993" s="7">
        <v>-5.3800000000000002E-3</v>
      </c>
      <c r="E5993" s="7">
        <v>-5.3E-3</v>
      </c>
      <c r="F5993" s="7">
        <v>-5.6499999999999996E-3</v>
      </c>
      <c r="G5993" s="7">
        <v>-6.5100000000000005E-2</v>
      </c>
    </row>
    <row r="5994" spans="2:7" x14ac:dyDescent="0.2">
      <c r="B5994" s="60">
        <v>44203</v>
      </c>
      <c r="C5994" s="7">
        <v>-5.4600000000000004E-3</v>
      </c>
      <c r="D5994" s="7">
        <v>-5.4600000000000004E-3</v>
      </c>
      <c r="E5994" s="7">
        <v>-5.3600000000000002E-3</v>
      </c>
      <c r="F5994" s="7">
        <v>-5.7399999999999994E-3</v>
      </c>
      <c r="G5994" s="7">
        <v>0</v>
      </c>
    </row>
    <row r="5995" spans="2:7" x14ac:dyDescent="0.2">
      <c r="B5995" s="60">
        <v>44204</v>
      </c>
      <c r="C5995" s="7">
        <v>-5.1700000000000001E-3</v>
      </c>
      <c r="D5995" s="7">
        <v>-5.1200000000000004E-3</v>
      </c>
      <c r="E5995" s="7">
        <v>-5.1000000000000004E-3</v>
      </c>
      <c r="F5995" s="7">
        <v>-5.3300000000000005E-3</v>
      </c>
      <c r="G5995" s="7">
        <v>-5.3100000000000001E-2</v>
      </c>
    </row>
    <row r="5996" spans="2:7" x14ac:dyDescent="0.2">
      <c r="B5996" s="60">
        <v>44207</v>
      </c>
      <c r="C5996" s="7">
        <v>-4.9100000000000003E-3</v>
      </c>
      <c r="D5996" s="7">
        <v>-5.2599999999999999E-3</v>
      </c>
      <c r="E5996" s="7">
        <v>-4.8999999999999998E-3</v>
      </c>
      <c r="F5996" s="7">
        <v>-5.3500000000000006E-3</v>
      </c>
      <c r="G5996" s="7">
        <v>-5.0299999999999997E-2</v>
      </c>
    </row>
    <row r="5997" spans="2:7" x14ac:dyDescent="0.2">
      <c r="B5997" s="60">
        <v>44208</v>
      </c>
      <c r="C5997" s="7">
        <v>-4.6899999999999997E-3</v>
      </c>
      <c r="D5997" s="7">
        <v>-4.8799999999999998E-3</v>
      </c>
      <c r="E5997" s="7">
        <v>-4.5900000000000003E-3</v>
      </c>
      <c r="F5997" s="7">
        <v>-4.96E-3</v>
      </c>
      <c r="G5997" s="7">
        <v>-4.48E-2</v>
      </c>
    </row>
    <row r="5998" spans="2:7" x14ac:dyDescent="0.2">
      <c r="B5998" s="60">
        <v>44209</v>
      </c>
      <c r="C5998" s="7">
        <v>-5.2399999999999999E-3</v>
      </c>
      <c r="D5998" s="7">
        <v>-4.8500000000000001E-3</v>
      </c>
      <c r="E5998" s="7">
        <v>-4.81E-3</v>
      </c>
      <c r="F5998" s="7">
        <v>-5.2700000000000004E-3</v>
      </c>
      <c r="G5998" s="7">
        <v>0.1173</v>
      </c>
    </row>
    <row r="5999" spans="2:7" x14ac:dyDescent="0.2">
      <c r="B5999" s="60">
        <v>44210</v>
      </c>
      <c r="C5999" s="7">
        <v>-5.4800000000000005E-3</v>
      </c>
      <c r="D5999" s="7">
        <v>-5.2500000000000003E-3</v>
      </c>
      <c r="E5999" s="7">
        <v>-5.2100000000000002E-3</v>
      </c>
      <c r="F5999" s="7">
        <v>-5.6200000000000009E-3</v>
      </c>
      <c r="G5999" s="7">
        <v>4.58E-2</v>
      </c>
    </row>
    <row r="6000" spans="2:7" x14ac:dyDescent="0.2">
      <c r="B6000" s="60">
        <v>44211</v>
      </c>
      <c r="C6000" s="7">
        <v>-5.4200000000000003E-3</v>
      </c>
      <c r="D6000" s="7">
        <v>-5.5400000000000007E-3</v>
      </c>
      <c r="E6000" s="7">
        <v>-5.2900000000000004E-3</v>
      </c>
      <c r="F6000" s="7">
        <v>-5.6000000000000008E-3</v>
      </c>
      <c r="G6000" s="7">
        <v>-1.09E-2</v>
      </c>
    </row>
    <row r="6001" spans="2:7" x14ac:dyDescent="0.2">
      <c r="B6001" s="60">
        <v>44214</v>
      </c>
      <c r="C6001" s="7">
        <v>-5.2500000000000003E-3</v>
      </c>
      <c r="D6001" s="7">
        <v>-5.45E-3</v>
      </c>
      <c r="E6001" s="7">
        <v>-5.1500000000000001E-3</v>
      </c>
      <c r="F6001" s="7">
        <v>-5.5200000000000006E-3</v>
      </c>
      <c r="G6001" s="7">
        <v>-3.1399999999999997E-2</v>
      </c>
    </row>
    <row r="6002" spans="2:7" x14ac:dyDescent="0.2">
      <c r="B6002" s="60">
        <v>44215</v>
      </c>
      <c r="C6002" s="7">
        <v>-5.2700000000000004E-3</v>
      </c>
      <c r="D6002" s="7">
        <v>-5.1900000000000002E-3</v>
      </c>
      <c r="E6002" s="7">
        <v>-5.0800000000000003E-3</v>
      </c>
      <c r="F6002" s="7">
        <v>-5.2900000000000004E-3</v>
      </c>
      <c r="G6002" s="7">
        <v>3.8E-3</v>
      </c>
    </row>
    <row r="6003" spans="2:7" x14ac:dyDescent="0.2">
      <c r="B6003" s="60">
        <v>44216</v>
      </c>
      <c r="C6003" s="7">
        <v>-5.2900000000000004E-3</v>
      </c>
      <c r="D6003" s="7">
        <v>-5.2199999999999998E-3</v>
      </c>
      <c r="E6003" s="7">
        <v>-5.1700000000000001E-3</v>
      </c>
      <c r="F6003" s="7">
        <v>-5.3300000000000005E-3</v>
      </c>
      <c r="G6003" s="7">
        <v>3.8E-3</v>
      </c>
    </row>
    <row r="6004" spans="2:7" x14ac:dyDescent="0.2">
      <c r="B6004" s="60">
        <v>44217</v>
      </c>
      <c r="C6004" s="7">
        <v>-4.9800000000000001E-3</v>
      </c>
      <c r="D6004" s="7">
        <v>-5.3300000000000005E-3</v>
      </c>
      <c r="E6004" s="7">
        <v>-4.8599999999999997E-3</v>
      </c>
      <c r="F6004" s="7">
        <v>-5.3700000000000006E-3</v>
      </c>
      <c r="G6004" s="7">
        <v>-5.8599999999999999E-2</v>
      </c>
    </row>
    <row r="6005" spans="2:7" x14ac:dyDescent="0.2">
      <c r="B6005" s="60">
        <v>44218</v>
      </c>
      <c r="C6005" s="7">
        <v>-5.13E-3</v>
      </c>
      <c r="D6005" s="7">
        <v>-4.9199999999999999E-3</v>
      </c>
      <c r="E6005" s="7">
        <v>-4.8599999999999997E-3</v>
      </c>
      <c r="F6005" s="7">
        <v>-5.1999999999999998E-3</v>
      </c>
      <c r="G6005" s="7">
        <v>3.0099999999999998E-2</v>
      </c>
    </row>
    <row r="6006" spans="2:7" x14ac:dyDescent="0.2">
      <c r="B6006" s="60">
        <v>44221</v>
      </c>
      <c r="C6006" s="7">
        <v>-5.5000000000000005E-3</v>
      </c>
      <c r="D6006" s="7">
        <v>-5.1200000000000004E-3</v>
      </c>
      <c r="E6006" s="7">
        <v>-5.0800000000000003E-3</v>
      </c>
      <c r="F6006" s="7">
        <v>-5.5500000000000002E-3</v>
      </c>
      <c r="G6006" s="7">
        <v>7.2099999999999997E-2</v>
      </c>
    </row>
    <row r="6007" spans="2:7" x14ac:dyDescent="0.2">
      <c r="B6007" s="60">
        <v>44222</v>
      </c>
      <c r="C6007" s="7">
        <v>-5.3100000000000005E-3</v>
      </c>
      <c r="D6007" s="7">
        <v>-5.5600000000000007E-3</v>
      </c>
      <c r="E6007" s="7">
        <v>-5.2500000000000003E-3</v>
      </c>
      <c r="F6007" s="7">
        <v>-5.6100000000000004E-3</v>
      </c>
      <c r="G6007" s="7">
        <v>-3.4500000000000003E-2</v>
      </c>
    </row>
    <row r="6008" spans="2:7" x14ac:dyDescent="0.2">
      <c r="B6008" s="60">
        <v>44223</v>
      </c>
      <c r="C6008" s="7">
        <v>-5.4900000000000001E-3</v>
      </c>
      <c r="D6008" s="7">
        <v>-5.3E-3</v>
      </c>
      <c r="E6008" s="7">
        <v>-5.2300000000000003E-3</v>
      </c>
      <c r="F6008" s="7">
        <v>-5.6699999999999997E-3</v>
      </c>
      <c r="G6008" s="7">
        <v>3.39E-2</v>
      </c>
    </row>
    <row r="6009" spans="2:7" x14ac:dyDescent="0.2">
      <c r="B6009" s="60">
        <v>44224</v>
      </c>
      <c r="C6009" s="7">
        <v>-5.4200000000000003E-3</v>
      </c>
      <c r="D6009" s="7">
        <v>-5.5100000000000001E-3</v>
      </c>
      <c r="E6009" s="7">
        <v>-5.3400000000000001E-3</v>
      </c>
      <c r="F6009" s="7">
        <v>-5.6000000000000008E-3</v>
      </c>
      <c r="G6009" s="7">
        <v>-1.2800000000000001E-2</v>
      </c>
    </row>
    <row r="6010" spans="2:7" x14ac:dyDescent="0.2">
      <c r="B6010" s="60">
        <v>44225</v>
      </c>
      <c r="C6010" s="7">
        <v>-5.1999999999999998E-3</v>
      </c>
      <c r="D6010" s="7">
        <v>-5.3600000000000002E-3</v>
      </c>
      <c r="E6010" s="7">
        <v>-4.9199999999999999E-3</v>
      </c>
      <c r="F6010" s="7">
        <v>-5.4000000000000003E-3</v>
      </c>
      <c r="G6010" s="7">
        <v>-4.0599999999999997E-2</v>
      </c>
    </row>
    <row r="6011" spans="2:7" x14ac:dyDescent="0.2">
      <c r="B6011" s="60">
        <v>44228</v>
      </c>
      <c r="C6011" s="7">
        <v>-5.13E-3</v>
      </c>
      <c r="D6011" s="7">
        <v>-5.1900000000000002E-3</v>
      </c>
      <c r="E6011" s="7">
        <v>-4.9800000000000001E-3</v>
      </c>
      <c r="F6011" s="7">
        <v>-5.2700000000000004E-3</v>
      </c>
      <c r="G6011" s="7">
        <v>-1.35E-2</v>
      </c>
    </row>
    <row r="6012" spans="2:7" x14ac:dyDescent="0.2">
      <c r="B6012" s="60">
        <v>44229</v>
      </c>
      <c r="C6012" s="7">
        <v>-4.8799999999999998E-3</v>
      </c>
      <c r="D6012" s="7">
        <v>-5.0699999999999999E-3</v>
      </c>
      <c r="E6012" s="7">
        <v>-4.7699999999999999E-3</v>
      </c>
      <c r="F6012" s="7">
        <v>-5.1600000000000005E-3</v>
      </c>
      <c r="G6012" s="7">
        <v>-4.87E-2</v>
      </c>
    </row>
    <row r="6013" spans="2:7" x14ac:dyDescent="0.2">
      <c r="B6013" s="60">
        <v>44230</v>
      </c>
      <c r="C6013" s="7">
        <v>-4.6700000000000005E-3</v>
      </c>
      <c r="D6013" s="7">
        <v>-4.7499999999999999E-3</v>
      </c>
      <c r="E6013" s="7">
        <v>-4.62E-3</v>
      </c>
      <c r="F6013" s="7">
        <v>-4.8599999999999997E-3</v>
      </c>
      <c r="G6013" s="7">
        <v>-4.2999999999999997E-2</v>
      </c>
    </row>
    <row r="6014" spans="2:7" x14ac:dyDescent="0.2">
      <c r="B6014" s="60">
        <v>44231</v>
      </c>
      <c r="C6014" s="7">
        <v>-4.5599999999999998E-3</v>
      </c>
      <c r="D6014" s="7">
        <v>-4.6300000000000004E-3</v>
      </c>
      <c r="E6014" s="7">
        <v>-4.4200000000000003E-3</v>
      </c>
      <c r="F6014" s="7">
        <v>-4.7399999999999994E-3</v>
      </c>
      <c r="G6014" s="7">
        <v>-2.3599999999999999E-2</v>
      </c>
    </row>
    <row r="6015" spans="2:7" x14ac:dyDescent="0.2">
      <c r="B6015" s="60">
        <v>44232</v>
      </c>
      <c r="C6015" s="7">
        <v>-4.4299999999999999E-3</v>
      </c>
      <c r="D6015" s="7">
        <v>-4.5999999999999999E-3</v>
      </c>
      <c r="E6015" s="7">
        <v>-4.13E-3</v>
      </c>
      <c r="F6015" s="7">
        <v>-4.6800000000000001E-3</v>
      </c>
      <c r="G6015" s="7">
        <v>-2.8500000000000001E-2</v>
      </c>
    </row>
    <row r="6016" spans="2:7" x14ac:dyDescent="0.2">
      <c r="B6016" s="60">
        <v>44235</v>
      </c>
      <c r="C6016" s="7">
        <v>-4.4299999999999999E-3</v>
      </c>
      <c r="D6016" s="7">
        <v>-4.2699999999999995E-3</v>
      </c>
      <c r="E6016" s="7">
        <v>-4.1199999999999995E-3</v>
      </c>
      <c r="F6016" s="7">
        <v>-4.4600000000000004E-3</v>
      </c>
      <c r="G6016" s="7">
        <v>0</v>
      </c>
    </row>
    <row r="6017" spans="2:7" x14ac:dyDescent="0.2">
      <c r="B6017" s="60">
        <v>44236</v>
      </c>
      <c r="C6017" s="7">
        <v>-4.4800000000000005E-3</v>
      </c>
      <c r="D6017" s="7">
        <v>-4.3899999999999998E-3</v>
      </c>
      <c r="E6017" s="7">
        <v>-4.28E-3</v>
      </c>
      <c r="F6017" s="7">
        <v>-4.5799999999999999E-3</v>
      </c>
      <c r="G6017" s="7">
        <v>1.1299999999999999E-2</v>
      </c>
    </row>
    <row r="6018" spans="2:7" x14ac:dyDescent="0.2">
      <c r="B6018" s="60">
        <v>44237</v>
      </c>
      <c r="C6018" s="7">
        <v>-4.3800000000000002E-3</v>
      </c>
      <c r="D6018" s="7">
        <v>-4.4200000000000003E-3</v>
      </c>
      <c r="E6018" s="7">
        <v>-4.2699999999999995E-3</v>
      </c>
      <c r="F6018" s="7">
        <v>-4.5900000000000003E-3</v>
      </c>
      <c r="G6018" s="7">
        <v>-2.23E-2</v>
      </c>
    </row>
    <row r="6019" spans="2:7" x14ac:dyDescent="0.2">
      <c r="B6019" s="60">
        <v>44238</v>
      </c>
      <c r="C6019" s="7">
        <v>-4.5799999999999999E-3</v>
      </c>
      <c r="D6019" s="7">
        <v>-4.3499999999999997E-3</v>
      </c>
      <c r="E6019" s="7">
        <v>-4.3499999999999997E-3</v>
      </c>
      <c r="F6019" s="7">
        <v>-4.7399999999999994E-3</v>
      </c>
      <c r="G6019" s="7">
        <v>4.5699999999999998E-2</v>
      </c>
    </row>
    <row r="6020" spans="2:7" x14ac:dyDescent="0.2">
      <c r="B6020" s="60">
        <v>44239</v>
      </c>
      <c r="C6020" s="7">
        <v>-4.3E-3</v>
      </c>
      <c r="D6020" s="7">
        <v>-4.5700000000000003E-3</v>
      </c>
      <c r="E6020" s="7">
        <v>-4.2100000000000002E-3</v>
      </c>
      <c r="F6020" s="7">
        <v>-4.6700000000000005E-3</v>
      </c>
      <c r="G6020" s="7">
        <v>-6.1100000000000002E-2</v>
      </c>
    </row>
    <row r="6021" spans="2:7" x14ac:dyDescent="0.2">
      <c r="B6021" s="60">
        <v>44242</v>
      </c>
      <c r="C6021" s="7">
        <v>-3.8400000000000001E-3</v>
      </c>
      <c r="D6021" s="7">
        <v>-3.96E-3</v>
      </c>
      <c r="E6021" s="7">
        <v>-3.7599999999999999E-3</v>
      </c>
      <c r="F6021" s="7">
        <v>-4.0200000000000001E-3</v>
      </c>
      <c r="G6021" s="7">
        <v>-0.107</v>
      </c>
    </row>
    <row r="6022" spans="2:7" x14ac:dyDescent="0.2">
      <c r="B6022" s="60">
        <v>44243</v>
      </c>
      <c r="C6022" s="7">
        <v>-3.4899999999999996E-3</v>
      </c>
      <c r="D6022" s="7">
        <v>-3.8800000000000002E-3</v>
      </c>
      <c r="E6022" s="7">
        <v>-3.4599999999999995E-3</v>
      </c>
      <c r="F6022" s="7">
        <v>-3.98E-3</v>
      </c>
      <c r="G6022" s="7">
        <v>-9.11E-2</v>
      </c>
    </row>
    <row r="6023" spans="2:7" x14ac:dyDescent="0.2">
      <c r="B6023" s="60">
        <v>44244</v>
      </c>
      <c r="C6023" s="7">
        <v>-3.63E-3</v>
      </c>
      <c r="D6023" s="7">
        <v>-3.4200000000000003E-3</v>
      </c>
      <c r="E6023" s="7">
        <v>-3.29E-3</v>
      </c>
      <c r="F6023" s="7">
        <v>-3.7299999999999998E-3</v>
      </c>
      <c r="G6023" s="7">
        <v>4.0099999999999997E-2</v>
      </c>
    </row>
    <row r="6024" spans="2:7" x14ac:dyDescent="0.2">
      <c r="B6024" s="60">
        <v>44245</v>
      </c>
      <c r="C6024" s="7">
        <v>-3.4200000000000003E-3</v>
      </c>
      <c r="D6024" s="7">
        <v>-3.6600000000000001E-3</v>
      </c>
      <c r="E6024" s="7">
        <v>-3.2300000000000002E-3</v>
      </c>
      <c r="F6024" s="7">
        <v>-3.7199999999999998E-3</v>
      </c>
      <c r="G6024" s="7">
        <v>-5.79E-2</v>
      </c>
    </row>
    <row r="6025" spans="2:7" x14ac:dyDescent="0.2">
      <c r="B6025" s="60">
        <v>44246</v>
      </c>
      <c r="C6025" s="7">
        <v>-3.13E-3</v>
      </c>
      <c r="D6025" s="7">
        <v>-3.2200000000000002E-3</v>
      </c>
      <c r="E6025" s="7">
        <v>-3.0599999999999998E-3</v>
      </c>
      <c r="F6025" s="7">
        <v>-3.3800000000000002E-3</v>
      </c>
      <c r="G6025" s="7">
        <v>-8.48E-2</v>
      </c>
    </row>
    <row r="6026" spans="2:7" x14ac:dyDescent="0.2">
      <c r="B6026" s="60">
        <v>44249</v>
      </c>
      <c r="C6026" s="7">
        <v>-3.4599999999999995E-3</v>
      </c>
      <c r="D6026" s="7">
        <v>-2.8399999999999996E-3</v>
      </c>
      <c r="E6026" s="7">
        <v>-2.7800000000000004E-3</v>
      </c>
      <c r="F6026" s="7">
        <v>-3.62E-3</v>
      </c>
      <c r="G6026" s="7">
        <v>0.10539999999999999</v>
      </c>
    </row>
    <row r="6027" spans="2:7" x14ac:dyDescent="0.2">
      <c r="B6027" s="60">
        <v>44250</v>
      </c>
      <c r="C6027" s="7">
        <v>-3.1900000000000001E-3</v>
      </c>
      <c r="D6027" s="7">
        <v>-3.3700000000000002E-3</v>
      </c>
      <c r="E6027" s="7">
        <v>-2.8699999999999997E-3</v>
      </c>
      <c r="F6027" s="7">
        <v>-3.3900000000000002E-3</v>
      </c>
      <c r="G6027" s="7">
        <v>-7.8E-2</v>
      </c>
    </row>
    <row r="6028" spans="2:7" x14ac:dyDescent="0.2">
      <c r="B6028" s="60">
        <v>44251</v>
      </c>
      <c r="C6028" s="7">
        <v>-3.0399999999999997E-3</v>
      </c>
      <c r="D6028" s="7">
        <v>-3.2799999999999999E-3</v>
      </c>
      <c r="E6028" s="7">
        <v>-2.7400000000000002E-3</v>
      </c>
      <c r="F6028" s="7">
        <v>-3.3400000000000001E-3</v>
      </c>
      <c r="G6028" s="7">
        <v>-4.7E-2</v>
      </c>
    </row>
    <row r="6029" spans="2:7" x14ac:dyDescent="0.2">
      <c r="B6029" s="60">
        <v>44252</v>
      </c>
      <c r="C6029" s="7">
        <v>-2.2699999999999999E-3</v>
      </c>
      <c r="D6029" s="7">
        <v>-2.9499999999999999E-3</v>
      </c>
      <c r="E6029" s="7">
        <v>-2.14E-3</v>
      </c>
      <c r="F6029" s="7">
        <v>-3.0399999999999997E-3</v>
      </c>
      <c r="G6029" s="7">
        <v>-0.25330000000000003</v>
      </c>
    </row>
    <row r="6030" spans="2:7" x14ac:dyDescent="0.2">
      <c r="B6030" s="60">
        <v>44253</v>
      </c>
      <c r="C6030" s="7">
        <v>-2.5700000000000002E-3</v>
      </c>
      <c r="D6030" s="7">
        <v>-2.2100000000000002E-3</v>
      </c>
      <c r="E6030" s="7">
        <v>-2.0300000000000001E-3</v>
      </c>
      <c r="F6030" s="7">
        <v>-2.8699999999999997E-3</v>
      </c>
      <c r="G6030" s="7">
        <v>0.13220000000000001</v>
      </c>
    </row>
    <row r="6031" spans="2:7" x14ac:dyDescent="0.2">
      <c r="B6031" s="60">
        <v>44256</v>
      </c>
      <c r="C6031" s="7">
        <v>-3.3300000000000001E-3</v>
      </c>
      <c r="D6031" s="7">
        <v>-2.96E-3</v>
      </c>
      <c r="E6031" s="7">
        <v>-2.7900000000000004E-3</v>
      </c>
      <c r="F6031" s="7">
        <v>-3.4599999999999995E-3</v>
      </c>
      <c r="G6031" s="7">
        <v>0.29570000000000002</v>
      </c>
    </row>
    <row r="6032" spans="2:7" x14ac:dyDescent="0.2">
      <c r="B6032" s="60">
        <v>44257</v>
      </c>
      <c r="C6032" s="7">
        <v>-3.4799999999999996E-3</v>
      </c>
      <c r="D6032" s="7">
        <v>-3.3500000000000001E-3</v>
      </c>
      <c r="E6032" s="7">
        <v>-3.0599999999999998E-3</v>
      </c>
      <c r="F6032" s="7">
        <v>-3.5199999999999997E-3</v>
      </c>
      <c r="G6032" s="7">
        <v>4.4999999999999998E-2</v>
      </c>
    </row>
    <row r="6033" spans="2:7" x14ac:dyDescent="0.2">
      <c r="B6033" s="60">
        <v>44258</v>
      </c>
      <c r="C6033" s="7">
        <v>-2.97E-3</v>
      </c>
      <c r="D6033" s="7">
        <v>-3.5499999999999998E-3</v>
      </c>
      <c r="E6033" s="7">
        <v>-2.8000000000000004E-3</v>
      </c>
      <c r="F6033" s="7">
        <v>-3.6099999999999999E-3</v>
      </c>
      <c r="G6033" s="7">
        <v>-0.14660000000000001</v>
      </c>
    </row>
    <row r="6034" spans="2:7" x14ac:dyDescent="0.2">
      <c r="B6034" s="60">
        <v>44259</v>
      </c>
      <c r="C6034" s="7">
        <v>-3.1099999999999999E-3</v>
      </c>
      <c r="D6034" s="7">
        <v>-2.9299999999999999E-3</v>
      </c>
      <c r="E6034" s="7">
        <v>-2.8599999999999997E-3</v>
      </c>
      <c r="F6034" s="7">
        <v>-3.3E-3</v>
      </c>
      <c r="G6034" s="7">
        <v>4.7100000000000003E-2</v>
      </c>
    </row>
    <row r="6035" spans="2:7" x14ac:dyDescent="0.2">
      <c r="B6035" s="60">
        <v>44260</v>
      </c>
      <c r="C6035" s="7">
        <v>-3.0399999999999997E-3</v>
      </c>
      <c r="D6035" s="7">
        <v>-3.1199999999999999E-3</v>
      </c>
      <c r="E6035" s="7">
        <v>-2.7300000000000002E-3</v>
      </c>
      <c r="F6035" s="7">
        <v>-3.13E-3</v>
      </c>
      <c r="G6035" s="7">
        <v>-2.2499999999999999E-2</v>
      </c>
    </row>
    <row r="6036" spans="2:7" x14ac:dyDescent="0.2">
      <c r="B6036" s="60">
        <v>44263</v>
      </c>
      <c r="C6036" s="7">
        <v>-2.8000000000000004E-3</v>
      </c>
      <c r="D6036" s="7">
        <v>-3.0100000000000001E-3</v>
      </c>
      <c r="E6036" s="7">
        <v>-2.7300000000000002E-3</v>
      </c>
      <c r="F6036" s="7">
        <v>-3.0200000000000001E-3</v>
      </c>
      <c r="G6036" s="7">
        <v>-7.8899999999999998E-2</v>
      </c>
    </row>
    <row r="6037" spans="2:7" x14ac:dyDescent="0.2">
      <c r="B6037" s="60">
        <v>44264</v>
      </c>
      <c r="C6037" s="7">
        <v>-3.0299999999999997E-3</v>
      </c>
      <c r="D6037" s="7">
        <v>-2.7700000000000003E-3</v>
      </c>
      <c r="E6037" s="7">
        <v>-2.7700000000000003E-3</v>
      </c>
      <c r="F6037" s="7">
        <v>-3.3400000000000001E-3</v>
      </c>
      <c r="G6037" s="7">
        <v>8.2100000000000006E-2</v>
      </c>
    </row>
    <row r="6038" spans="2:7" x14ac:dyDescent="0.2">
      <c r="B6038" s="60">
        <v>44265</v>
      </c>
      <c r="C6038" s="7">
        <v>-3.1099999999999999E-3</v>
      </c>
      <c r="D6038" s="7">
        <v>-3.0000000000000001E-3</v>
      </c>
      <c r="E6038" s="7">
        <v>-2.9099999999999998E-3</v>
      </c>
      <c r="F6038" s="7">
        <v>-3.2200000000000002E-3</v>
      </c>
      <c r="G6038" s="7">
        <v>2.64E-2</v>
      </c>
    </row>
    <row r="6039" spans="2:7" x14ac:dyDescent="0.2">
      <c r="B6039" s="60">
        <v>44266</v>
      </c>
      <c r="C6039" s="7">
        <v>-3.31E-3</v>
      </c>
      <c r="D6039" s="7">
        <v>-3.15E-3</v>
      </c>
      <c r="E6039" s="7">
        <v>-3.0799999999999998E-3</v>
      </c>
      <c r="F6039" s="7">
        <v>-3.6700000000000001E-3</v>
      </c>
      <c r="G6039" s="7">
        <v>6.4299999999999996E-2</v>
      </c>
    </row>
    <row r="6040" spans="2:7" x14ac:dyDescent="0.2">
      <c r="B6040" s="60">
        <v>44267</v>
      </c>
      <c r="C6040" s="7">
        <v>-2.9499999999999999E-3</v>
      </c>
      <c r="D6040" s="7">
        <v>-3.1800000000000001E-3</v>
      </c>
      <c r="E6040" s="7">
        <v>-2.9099999999999998E-3</v>
      </c>
      <c r="F6040" s="7">
        <v>-3.2400000000000003E-3</v>
      </c>
      <c r="G6040" s="7">
        <v>-0.10879999999999999</v>
      </c>
    </row>
    <row r="6041" spans="2:7" x14ac:dyDescent="0.2">
      <c r="B6041" s="60">
        <v>44270</v>
      </c>
      <c r="C6041" s="7">
        <v>-3.3700000000000002E-3</v>
      </c>
      <c r="D6041" s="7">
        <v>-3.0599999999999998E-3</v>
      </c>
      <c r="E6041" s="7">
        <v>-3.0000000000000001E-3</v>
      </c>
      <c r="F6041" s="7">
        <v>-3.4599999999999995E-3</v>
      </c>
      <c r="G6041" s="7">
        <v>0.1424</v>
      </c>
    </row>
    <row r="6042" spans="2:7" x14ac:dyDescent="0.2">
      <c r="B6042" s="60">
        <v>44271</v>
      </c>
      <c r="C6042" s="7">
        <v>-3.3900000000000002E-3</v>
      </c>
      <c r="D6042" s="7">
        <v>-3.4200000000000003E-3</v>
      </c>
      <c r="E6042" s="7">
        <v>-3.2799999999999999E-3</v>
      </c>
      <c r="F6042" s="7">
        <v>-3.5099999999999997E-3</v>
      </c>
      <c r="G6042" s="7">
        <v>5.8999999999999999E-3</v>
      </c>
    </row>
    <row r="6043" spans="2:7" x14ac:dyDescent="0.2">
      <c r="B6043" s="60">
        <v>44272</v>
      </c>
      <c r="C6043" s="7">
        <v>-2.9299999999999999E-3</v>
      </c>
      <c r="D6043" s="7">
        <v>-3.31E-3</v>
      </c>
      <c r="E6043" s="7">
        <v>-2.8499999999999997E-3</v>
      </c>
      <c r="F6043" s="7">
        <v>-3.3900000000000002E-3</v>
      </c>
      <c r="G6043" s="7">
        <v>-0.13569999999999999</v>
      </c>
    </row>
    <row r="6044" spans="2:7" x14ac:dyDescent="0.2">
      <c r="B6044" s="60">
        <v>44273</v>
      </c>
      <c r="C6044" s="7">
        <v>-2.65E-3</v>
      </c>
      <c r="D6044" s="7">
        <v>-2.97E-3</v>
      </c>
      <c r="E6044" s="7">
        <v>-2.49E-3</v>
      </c>
      <c r="F6044" s="7">
        <v>-3.0200000000000001E-3</v>
      </c>
      <c r="G6044" s="7">
        <v>-9.5600000000000004E-2</v>
      </c>
    </row>
    <row r="6045" spans="2:7" x14ac:dyDescent="0.2">
      <c r="B6045" s="60">
        <v>44274</v>
      </c>
      <c r="C6045" s="7">
        <v>-2.9399999999999999E-3</v>
      </c>
      <c r="D6045" s="7">
        <v>-2.8699999999999997E-3</v>
      </c>
      <c r="E6045" s="7">
        <v>-2.7800000000000004E-3</v>
      </c>
      <c r="F6045" s="7">
        <v>-3.0999999999999999E-3</v>
      </c>
      <c r="G6045" s="7">
        <v>0.1094</v>
      </c>
    </row>
    <row r="6046" spans="2:7" x14ac:dyDescent="0.2">
      <c r="B6046" s="60">
        <v>44277</v>
      </c>
      <c r="C6046" s="7">
        <v>-3.0999999999999999E-3</v>
      </c>
      <c r="D6046" s="7">
        <v>-2.9399999999999999E-3</v>
      </c>
      <c r="E6046" s="7">
        <v>-2.9399999999999999E-3</v>
      </c>
      <c r="F6046" s="7">
        <v>-3.3300000000000001E-3</v>
      </c>
      <c r="G6046" s="7">
        <v>5.4399999999999997E-2</v>
      </c>
    </row>
    <row r="6047" spans="2:7" x14ac:dyDescent="0.2">
      <c r="B6047" s="60">
        <v>44278</v>
      </c>
      <c r="C6047" s="7">
        <v>-3.4200000000000003E-3</v>
      </c>
      <c r="D6047" s="7">
        <v>-3.1900000000000001E-3</v>
      </c>
      <c r="E6047" s="7">
        <v>-3.1099999999999999E-3</v>
      </c>
      <c r="F6047" s="7">
        <v>-3.5699999999999998E-3</v>
      </c>
      <c r="G6047" s="7">
        <v>0.1032</v>
      </c>
    </row>
    <row r="6048" spans="2:7" x14ac:dyDescent="0.2">
      <c r="B6048" s="60">
        <v>44279</v>
      </c>
      <c r="C6048" s="7">
        <v>-3.5599999999999998E-3</v>
      </c>
      <c r="D6048" s="7">
        <v>-3.5799999999999998E-3</v>
      </c>
      <c r="E6048" s="7">
        <v>-3.3900000000000002E-3</v>
      </c>
      <c r="F6048" s="7">
        <v>-3.7499999999999999E-3</v>
      </c>
      <c r="G6048" s="7">
        <v>4.0899999999999999E-2</v>
      </c>
    </row>
    <row r="6049" spans="2:7" x14ac:dyDescent="0.2">
      <c r="B6049" s="60">
        <v>44280</v>
      </c>
      <c r="C6049" s="7">
        <v>-3.8500000000000001E-3</v>
      </c>
      <c r="D6049" s="7">
        <v>-3.5199999999999997E-3</v>
      </c>
      <c r="E6049" s="7">
        <v>-3.5199999999999997E-3</v>
      </c>
      <c r="F6049" s="7">
        <v>-3.9000000000000003E-3</v>
      </c>
      <c r="G6049" s="7">
        <v>8.1500000000000003E-2</v>
      </c>
    </row>
    <row r="6050" spans="2:7" x14ac:dyDescent="0.2">
      <c r="B6050" s="60">
        <v>44281</v>
      </c>
      <c r="C6050" s="7">
        <v>-3.4899999999999996E-3</v>
      </c>
      <c r="D6050" s="7">
        <v>-3.82E-3</v>
      </c>
      <c r="E6050" s="7">
        <v>-3.3700000000000002E-3</v>
      </c>
      <c r="F6050" s="7">
        <v>-3.8500000000000001E-3</v>
      </c>
      <c r="G6050" s="7">
        <v>-9.35E-2</v>
      </c>
    </row>
    <row r="6051" spans="2:7" x14ac:dyDescent="0.2">
      <c r="B6051" s="60">
        <v>44284</v>
      </c>
      <c r="C6051" s="7">
        <v>-3.2000000000000002E-3</v>
      </c>
      <c r="D6051" s="7">
        <v>-3.5299999999999997E-3</v>
      </c>
      <c r="E6051" s="7">
        <v>-3.15E-3</v>
      </c>
      <c r="F6051" s="7">
        <v>-3.7000000000000002E-3</v>
      </c>
      <c r="G6051" s="7">
        <v>-8.3099999999999993E-2</v>
      </c>
    </row>
    <row r="6052" spans="2:7" x14ac:dyDescent="0.2">
      <c r="B6052" s="60">
        <v>44285</v>
      </c>
      <c r="C6052" s="7">
        <v>-2.7700000000000003E-3</v>
      </c>
      <c r="D6052" s="7">
        <v>-2.9399999999999999E-3</v>
      </c>
      <c r="E6052" s="7">
        <v>-2.5800000000000003E-3</v>
      </c>
      <c r="F6052" s="7">
        <v>-3.0200000000000001E-3</v>
      </c>
      <c r="G6052" s="7">
        <v>-0.13439999999999999</v>
      </c>
    </row>
    <row r="6053" spans="2:7" x14ac:dyDescent="0.2">
      <c r="B6053" s="60">
        <v>44286</v>
      </c>
      <c r="C6053" s="7">
        <v>-2.9199999999999999E-3</v>
      </c>
      <c r="D6053" s="7">
        <v>-2.8100000000000004E-3</v>
      </c>
      <c r="E6053" s="7">
        <v>-2.6700000000000001E-3</v>
      </c>
      <c r="F6053" s="7">
        <v>-3.0200000000000001E-3</v>
      </c>
      <c r="G6053" s="7">
        <v>5.4199999999999998E-2</v>
      </c>
    </row>
    <row r="6054" spans="2:7" x14ac:dyDescent="0.2">
      <c r="B6054" s="60">
        <v>44287</v>
      </c>
      <c r="C6054" s="7">
        <v>-3.2500000000000003E-3</v>
      </c>
      <c r="D6054" s="7">
        <v>-2.8899999999999998E-3</v>
      </c>
      <c r="E6054" s="7">
        <v>-2.8599999999999997E-3</v>
      </c>
      <c r="F6054" s="7">
        <v>-3.31E-3</v>
      </c>
      <c r="G6054" s="7">
        <v>0.113</v>
      </c>
    </row>
    <row r="6055" spans="2:7" x14ac:dyDescent="0.2">
      <c r="B6055" s="60">
        <v>44288</v>
      </c>
      <c r="C6055" s="7">
        <v>-3.2850000000000002E-3</v>
      </c>
      <c r="D6055" s="7">
        <v>-3.2700000000000003E-3</v>
      </c>
      <c r="E6055" s="7">
        <v>-3.2600000000000003E-3</v>
      </c>
      <c r="F6055" s="7">
        <v>-3.2850000000000002E-3</v>
      </c>
      <c r="G6055" s="7">
        <v>1.0800000000000001E-2</v>
      </c>
    </row>
    <row r="6056" spans="2:7" x14ac:dyDescent="0.2">
      <c r="B6056" s="60">
        <v>44291</v>
      </c>
      <c r="C6056" s="7">
        <v>-3.2850000000000002E-3</v>
      </c>
      <c r="D6056" s="7">
        <v>-3.2700000000000003E-3</v>
      </c>
      <c r="E6056" s="7">
        <v>-3.2700000000000003E-3</v>
      </c>
      <c r="F6056" s="7">
        <v>-3.2850000000000002E-3</v>
      </c>
      <c r="G6056" s="7">
        <v>0</v>
      </c>
    </row>
    <row r="6057" spans="2:7" x14ac:dyDescent="0.2">
      <c r="B6057" s="60">
        <v>44292</v>
      </c>
      <c r="C6057" s="7">
        <v>-3.15E-3</v>
      </c>
      <c r="D6057" s="7">
        <v>-3.2200000000000002E-3</v>
      </c>
      <c r="E6057" s="7">
        <v>-2.9399999999999999E-3</v>
      </c>
      <c r="F6057" s="7">
        <v>-3.3300000000000001E-3</v>
      </c>
      <c r="G6057" s="7">
        <v>-4.1099999999999998E-2</v>
      </c>
    </row>
    <row r="6058" spans="2:7" x14ac:dyDescent="0.2">
      <c r="B6058" s="60">
        <v>44293</v>
      </c>
      <c r="C6058" s="7">
        <v>-3.1800000000000001E-3</v>
      </c>
      <c r="D6058" s="7">
        <v>-3.1700000000000001E-3</v>
      </c>
      <c r="E6058" s="7">
        <v>-3.14E-3</v>
      </c>
      <c r="F6058" s="7">
        <v>-3.4300000000000003E-3</v>
      </c>
      <c r="G6058" s="7">
        <v>9.4999999999999998E-3</v>
      </c>
    </row>
    <row r="6059" spans="2:7" x14ac:dyDescent="0.2">
      <c r="B6059" s="60">
        <v>44294</v>
      </c>
      <c r="C6059" s="7">
        <v>-3.3400000000000001E-3</v>
      </c>
      <c r="D6059" s="7">
        <v>-3.1700000000000001E-3</v>
      </c>
      <c r="E6059" s="7">
        <v>-3.1700000000000001E-3</v>
      </c>
      <c r="F6059" s="7">
        <v>-3.4699999999999996E-3</v>
      </c>
      <c r="G6059" s="7">
        <v>5.0299999999999997E-2</v>
      </c>
    </row>
    <row r="6060" spans="2:7" x14ac:dyDescent="0.2">
      <c r="B6060" s="60">
        <v>44295</v>
      </c>
      <c r="C6060" s="7">
        <v>-2.97E-3</v>
      </c>
      <c r="D6060" s="7">
        <v>-3.32E-3</v>
      </c>
      <c r="E6060" s="7">
        <v>-2.8299999999999996E-3</v>
      </c>
      <c r="F6060" s="7">
        <v>-3.3500000000000001E-3</v>
      </c>
      <c r="G6060" s="7">
        <v>-0.1108</v>
      </c>
    </row>
    <row r="6061" spans="2:7" x14ac:dyDescent="0.2">
      <c r="B6061" s="60">
        <v>44298</v>
      </c>
      <c r="C6061" s="7">
        <v>-2.9299999999999999E-3</v>
      </c>
      <c r="D6061" s="7">
        <v>-3.0100000000000001E-3</v>
      </c>
      <c r="E6061" s="7">
        <v>-2.8799999999999997E-3</v>
      </c>
      <c r="F6061" s="7">
        <v>-3.3E-3</v>
      </c>
      <c r="G6061" s="7">
        <v>-1.35E-2</v>
      </c>
    </row>
    <row r="6062" spans="2:7" x14ac:dyDescent="0.2">
      <c r="B6062" s="60">
        <v>44299</v>
      </c>
      <c r="C6062" s="7">
        <v>-2.8899999999999998E-3</v>
      </c>
      <c r="D6062" s="7">
        <v>-2.8599999999999997E-3</v>
      </c>
      <c r="E6062" s="7">
        <v>-2.7100000000000002E-3</v>
      </c>
      <c r="F6062" s="7">
        <v>-3.0200000000000001E-3</v>
      </c>
      <c r="G6062" s="7">
        <v>-1.37E-2</v>
      </c>
    </row>
    <row r="6063" spans="2:7" x14ac:dyDescent="0.2">
      <c r="B6063" s="60">
        <v>44300</v>
      </c>
      <c r="C6063" s="7">
        <v>-2.63E-3</v>
      </c>
      <c r="D6063" s="7">
        <v>-3.0999999999999999E-3</v>
      </c>
      <c r="E6063" s="7">
        <v>-2.5999999999999999E-3</v>
      </c>
      <c r="F6063" s="7">
        <v>-3.1199999999999999E-3</v>
      </c>
      <c r="G6063" s="7">
        <v>-0.09</v>
      </c>
    </row>
    <row r="6064" spans="2:7" x14ac:dyDescent="0.2">
      <c r="B6064" s="60">
        <v>44301</v>
      </c>
      <c r="C6064" s="7">
        <v>-2.9299999999999999E-3</v>
      </c>
      <c r="D6064" s="7">
        <v>-2.5800000000000003E-3</v>
      </c>
      <c r="E6064" s="7">
        <v>-2.49E-3</v>
      </c>
      <c r="F6064" s="7">
        <v>-2.9499999999999999E-3</v>
      </c>
      <c r="G6064" s="7">
        <v>0.11409999999999999</v>
      </c>
    </row>
    <row r="6065" spans="2:7" x14ac:dyDescent="0.2">
      <c r="B6065" s="60">
        <v>44302</v>
      </c>
      <c r="C6065" s="7">
        <v>-2.6199999999999999E-3</v>
      </c>
      <c r="D6065" s="7">
        <v>-2.8899999999999998E-3</v>
      </c>
      <c r="E6065" s="7">
        <v>-2.5900000000000003E-3</v>
      </c>
      <c r="F6065" s="7">
        <v>-2.9299999999999999E-3</v>
      </c>
      <c r="G6065" s="7">
        <v>-0.10580000000000001</v>
      </c>
    </row>
    <row r="6066" spans="2:7" x14ac:dyDescent="0.2">
      <c r="B6066" s="60">
        <v>44305</v>
      </c>
      <c r="C6066" s="7">
        <v>-2.3599999999999997E-3</v>
      </c>
      <c r="D6066" s="7">
        <v>-2.6900000000000001E-3</v>
      </c>
      <c r="E6066" s="7">
        <v>-2.16E-3</v>
      </c>
      <c r="F6066" s="7">
        <v>-2.7600000000000003E-3</v>
      </c>
      <c r="G6066" s="7">
        <v>-9.9199999999999997E-2</v>
      </c>
    </row>
    <row r="6067" spans="2:7" x14ac:dyDescent="0.2">
      <c r="B6067" s="60">
        <v>44306</v>
      </c>
      <c r="C6067" s="7">
        <v>-2.5700000000000002E-3</v>
      </c>
      <c r="D6067" s="7">
        <v>-2.1700000000000001E-3</v>
      </c>
      <c r="E6067" s="7">
        <v>-2.15E-3</v>
      </c>
      <c r="F6067" s="7">
        <v>-2.5900000000000003E-3</v>
      </c>
      <c r="G6067" s="7">
        <v>8.8999999999999996E-2</v>
      </c>
    </row>
    <row r="6068" spans="2:7" x14ac:dyDescent="0.2">
      <c r="B6068" s="60">
        <v>44307</v>
      </c>
      <c r="C6068" s="7">
        <v>-2.5900000000000003E-3</v>
      </c>
      <c r="D6068" s="7">
        <v>-2.5999999999999999E-3</v>
      </c>
      <c r="E6068" s="7">
        <v>-2.4299999999999999E-3</v>
      </c>
      <c r="F6068" s="7">
        <v>-2.7700000000000003E-3</v>
      </c>
      <c r="G6068" s="7">
        <v>7.7999999999999996E-3</v>
      </c>
    </row>
    <row r="6069" spans="2:7" x14ac:dyDescent="0.2">
      <c r="B6069" s="60">
        <v>44308</v>
      </c>
      <c r="C6069" s="7">
        <v>-2.5500000000000002E-3</v>
      </c>
      <c r="D6069" s="7">
        <v>-2.8299999999999996E-3</v>
      </c>
      <c r="E6069" s="7">
        <v>-2.3799999999999997E-3</v>
      </c>
      <c r="F6069" s="7">
        <v>-2.8699999999999997E-3</v>
      </c>
      <c r="G6069" s="7">
        <v>-1.54E-2</v>
      </c>
    </row>
    <row r="6070" spans="2:7" x14ac:dyDescent="0.2">
      <c r="B6070" s="60">
        <v>44309</v>
      </c>
      <c r="C6070" s="7">
        <v>-2.5700000000000002E-3</v>
      </c>
      <c r="D6070" s="7">
        <v>-2.6700000000000001E-3</v>
      </c>
      <c r="E6070" s="7">
        <v>-2.47E-3</v>
      </c>
      <c r="F6070" s="7">
        <v>-2.7600000000000003E-3</v>
      </c>
      <c r="G6070" s="7">
        <v>7.7999999999999996E-3</v>
      </c>
    </row>
    <row r="6071" spans="2:7" x14ac:dyDescent="0.2">
      <c r="B6071" s="60">
        <v>44312</v>
      </c>
      <c r="C6071" s="7">
        <v>-2.5500000000000002E-3</v>
      </c>
      <c r="D6071" s="7">
        <v>-2.5000000000000001E-3</v>
      </c>
      <c r="E6071" s="7">
        <v>-2.31E-3</v>
      </c>
      <c r="F6071" s="7">
        <v>-2.64E-3</v>
      </c>
      <c r="G6071" s="7">
        <v>-7.7999999999999996E-3</v>
      </c>
    </row>
    <row r="6072" spans="2:7" x14ac:dyDescent="0.2">
      <c r="B6072" s="60">
        <v>44313</v>
      </c>
      <c r="C6072" s="7">
        <v>-2.5200000000000001E-3</v>
      </c>
      <c r="D6072" s="7">
        <v>-2.5100000000000001E-3</v>
      </c>
      <c r="E6072" s="7">
        <v>-2.4299999999999999E-3</v>
      </c>
      <c r="F6072" s="7">
        <v>-2.6199999999999999E-3</v>
      </c>
      <c r="G6072" s="7">
        <v>-1.18E-2</v>
      </c>
    </row>
    <row r="6073" spans="2:7" x14ac:dyDescent="0.2">
      <c r="B6073" s="60">
        <v>44314</v>
      </c>
      <c r="C6073" s="7">
        <v>-2.31E-3</v>
      </c>
      <c r="D6073" s="7">
        <v>-2.3799999999999997E-3</v>
      </c>
      <c r="E6073" s="7">
        <v>-2.0300000000000001E-3</v>
      </c>
      <c r="F6073" s="7">
        <v>-2.4399999999999999E-3</v>
      </c>
      <c r="G6073" s="7">
        <v>-8.3299999999999999E-2</v>
      </c>
    </row>
    <row r="6074" spans="2:7" x14ac:dyDescent="0.2">
      <c r="B6074" s="60">
        <v>44315</v>
      </c>
      <c r="C6074" s="7">
        <v>-1.92E-3</v>
      </c>
      <c r="D6074" s="7">
        <v>-2.3E-3</v>
      </c>
      <c r="E6074" s="7">
        <v>-1.7699999999999999E-3</v>
      </c>
      <c r="F6074" s="7">
        <v>-2.33E-3</v>
      </c>
      <c r="G6074" s="7">
        <v>-0.16880000000000001</v>
      </c>
    </row>
    <row r="6075" spans="2:7" x14ac:dyDescent="0.2">
      <c r="B6075" s="60">
        <v>44316</v>
      </c>
      <c r="C6075" s="7">
        <v>-2E-3</v>
      </c>
      <c r="D6075" s="7">
        <v>-1.9500000000000001E-3</v>
      </c>
      <c r="E6075" s="7">
        <v>-1.89E-3</v>
      </c>
      <c r="F6075" s="7">
        <v>-2.1199999999999999E-3</v>
      </c>
      <c r="G6075" s="7">
        <v>4.1700000000000001E-2</v>
      </c>
    </row>
    <row r="6076" spans="2:7" x14ac:dyDescent="0.2">
      <c r="B6076" s="60">
        <v>44319</v>
      </c>
      <c r="C6076" s="7">
        <v>-2.0300000000000001E-3</v>
      </c>
      <c r="D6076" s="7">
        <v>-2.0100000000000001E-3</v>
      </c>
      <c r="E6076" s="7">
        <v>-1.6200000000000001E-3</v>
      </c>
      <c r="F6076" s="7">
        <v>-2.2100000000000002E-3</v>
      </c>
      <c r="G6076" s="7">
        <v>1.4999999999999999E-2</v>
      </c>
    </row>
    <row r="6077" spans="2:7" x14ac:dyDescent="0.2">
      <c r="B6077" s="60">
        <v>44320</v>
      </c>
      <c r="C6077" s="7">
        <v>-2.3799999999999997E-3</v>
      </c>
      <c r="D6077" s="7">
        <v>-2.0300000000000001E-3</v>
      </c>
      <c r="E6077" s="7">
        <v>-1.9E-3</v>
      </c>
      <c r="F6077" s="7">
        <v>-2.5100000000000001E-3</v>
      </c>
      <c r="G6077" s="7">
        <v>0.1724</v>
      </c>
    </row>
    <row r="6078" spans="2:7" x14ac:dyDescent="0.2">
      <c r="B6078" s="60">
        <v>44321</v>
      </c>
      <c r="C6078" s="7">
        <v>-2.31E-3</v>
      </c>
      <c r="D6078" s="7">
        <v>-2.3599999999999997E-3</v>
      </c>
      <c r="E6078" s="7">
        <v>-2.0999999999999999E-3</v>
      </c>
      <c r="F6078" s="7">
        <v>-2.3799999999999997E-3</v>
      </c>
      <c r="G6078" s="7">
        <v>-2.9399999999999999E-2</v>
      </c>
    </row>
    <row r="6079" spans="2:7" x14ac:dyDescent="0.2">
      <c r="B6079" s="60">
        <v>44322</v>
      </c>
      <c r="C6079" s="7">
        <v>-2.3E-3</v>
      </c>
      <c r="D6079" s="7">
        <v>-2.3499999999999997E-3</v>
      </c>
      <c r="E6079" s="7">
        <v>-2.0899999999999998E-3</v>
      </c>
      <c r="F6079" s="7">
        <v>-2.5200000000000001E-3</v>
      </c>
      <c r="G6079" s="7">
        <v>-4.3E-3</v>
      </c>
    </row>
    <row r="6080" spans="2:7" x14ac:dyDescent="0.2">
      <c r="B6080" s="60">
        <v>44323</v>
      </c>
      <c r="C6080" s="7">
        <v>-2.1900000000000001E-3</v>
      </c>
      <c r="D6080" s="7">
        <v>-2.2699999999999999E-3</v>
      </c>
      <c r="E6080" s="7">
        <v>-2.0899999999999998E-3</v>
      </c>
      <c r="F6080" s="7">
        <v>-2.5900000000000003E-3</v>
      </c>
      <c r="G6080" s="7">
        <v>-4.7800000000000002E-2</v>
      </c>
    </row>
    <row r="6081" spans="2:7" x14ac:dyDescent="0.2">
      <c r="B6081" s="60">
        <v>44326</v>
      </c>
      <c r="C6081" s="7">
        <v>-2.1099999999999999E-3</v>
      </c>
      <c r="D6081" s="7">
        <v>-2.0300000000000001E-3</v>
      </c>
      <c r="E6081" s="7">
        <v>-1.92E-3</v>
      </c>
      <c r="F6081" s="7">
        <v>-2.1700000000000001E-3</v>
      </c>
      <c r="G6081" s="7">
        <v>-3.6499999999999998E-2</v>
      </c>
    </row>
    <row r="6082" spans="2:7" x14ac:dyDescent="0.2">
      <c r="B6082" s="60">
        <v>44327</v>
      </c>
      <c r="C6082" s="7">
        <v>-1.6000000000000001E-3</v>
      </c>
      <c r="D6082" s="7">
        <v>-2.0899999999999998E-3</v>
      </c>
      <c r="E6082" s="7">
        <v>-1.5199999999999999E-3</v>
      </c>
      <c r="F6082" s="7">
        <v>-2.1099999999999999E-3</v>
      </c>
      <c r="G6082" s="7">
        <v>-0.2417</v>
      </c>
    </row>
    <row r="6083" spans="2:7" x14ac:dyDescent="0.2">
      <c r="B6083" s="60">
        <v>44328</v>
      </c>
      <c r="C6083" s="7">
        <v>-1.25E-3</v>
      </c>
      <c r="D6083" s="7">
        <v>-1.5399999999999999E-3</v>
      </c>
      <c r="E6083" s="7">
        <v>-1.1899999999999999E-3</v>
      </c>
      <c r="F6083" s="7">
        <v>-1.7799999999999999E-3</v>
      </c>
      <c r="G6083" s="7">
        <v>-0.21870000000000001</v>
      </c>
    </row>
    <row r="6084" spans="2:7" x14ac:dyDescent="0.2">
      <c r="B6084" s="60">
        <v>44329</v>
      </c>
      <c r="C6084" s="7">
        <v>-1.1299999999999999E-3</v>
      </c>
      <c r="D6084" s="7">
        <v>-1.17E-3</v>
      </c>
      <c r="E6084" s="7">
        <v>-9.6000000000000002E-4</v>
      </c>
      <c r="F6084" s="7">
        <v>-1.2999999999999999E-3</v>
      </c>
      <c r="G6084" s="7">
        <v>-9.6000000000000002E-2</v>
      </c>
    </row>
    <row r="6085" spans="2:7" x14ac:dyDescent="0.2">
      <c r="B6085" s="60">
        <v>44330</v>
      </c>
      <c r="C6085" s="7">
        <v>-1.23E-3</v>
      </c>
      <c r="D6085" s="7">
        <v>-1.25E-3</v>
      </c>
      <c r="E6085" s="7">
        <v>-1.08E-3</v>
      </c>
      <c r="F6085" s="7">
        <v>-1.3700000000000001E-3</v>
      </c>
      <c r="G6085" s="7">
        <v>8.8499999999999995E-2</v>
      </c>
    </row>
    <row r="6086" spans="2:7" x14ac:dyDescent="0.2">
      <c r="B6086" s="60">
        <v>44333</v>
      </c>
      <c r="C6086" s="7">
        <v>-1.16E-3</v>
      </c>
      <c r="D6086" s="7">
        <v>-1.3800000000000002E-3</v>
      </c>
      <c r="E6086" s="7">
        <v>-1E-3</v>
      </c>
      <c r="F6086" s="7">
        <v>-1.5199999999999999E-3</v>
      </c>
      <c r="G6086" s="7">
        <v>-5.6899999999999999E-2</v>
      </c>
    </row>
    <row r="6087" spans="2:7" x14ac:dyDescent="0.2">
      <c r="B6087" s="60">
        <v>44334</v>
      </c>
      <c r="C6087" s="7">
        <v>-1.1000000000000001E-3</v>
      </c>
      <c r="D6087" s="7">
        <v>-1.08E-3</v>
      </c>
      <c r="E6087" s="7">
        <v>-1.0199999999999999E-3</v>
      </c>
      <c r="F6087" s="7">
        <v>-1.32E-3</v>
      </c>
      <c r="G6087" s="7">
        <v>-5.1700000000000003E-2</v>
      </c>
    </row>
    <row r="6088" spans="2:7" x14ac:dyDescent="0.2">
      <c r="B6088" s="60">
        <v>44335</v>
      </c>
      <c r="C6088" s="7">
        <v>-1.1000000000000001E-3</v>
      </c>
      <c r="D6088" s="7">
        <v>-1.09E-3</v>
      </c>
      <c r="E6088" s="7">
        <v>-7.3999999999999999E-4</v>
      </c>
      <c r="F6088" s="7">
        <v>-1.2700000000000001E-3</v>
      </c>
      <c r="G6088" s="7">
        <v>0</v>
      </c>
    </row>
    <row r="6089" spans="2:7" x14ac:dyDescent="0.2">
      <c r="B6089" s="60">
        <v>44336</v>
      </c>
      <c r="C6089" s="7">
        <v>-1.07E-3</v>
      </c>
      <c r="D6089" s="7">
        <v>-1.08E-3</v>
      </c>
      <c r="E6089" s="7">
        <v>-8.3000000000000001E-4</v>
      </c>
      <c r="F6089" s="7">
        <v>-1.09E-3</v>
      </c>
      <c r="G6089" s="7">
        <v>-2.7300000000000001E-2</v>
      </c>
    </row>
    <row r="6090" spans="2:7" x14ac:dyDescent="0.2">
      <c r="B6090" s="60">
        <v>44337</v>
      </c>
      <c r="C6090" s="7">
        <v>-1.2700000000000001E-3</v>
      </c>
      <c r="D6090" s="7">
        <v>-1.07E-3</v>
      </c>
      <c r="E6090" s="7">
        <v>-1.0299999999999999E-3</v>
      </c>
      <c r="F6090" s="7">
        <v>-1.4000000000000002E-3</v>
      </c>
      <c r="G6090" s="7">
        <v>0.18690000000000001</v>
      </c>
    </row>
    <row r="6091" spans="2:7" x14ac:dyDescent="0.2">
      <c r="B6091" s="60">
        <v>44340</v>
      </c>
      <c r="C6091" s="7">
        <v>-1.4000000000000002E-3</v>
      </c>
      <c r="D6091" s="7">
        <v>-1.2800000000000001E-3</v>
      </c>
      <c r="E6091" s="7">
        <v>-1.1899999999999999E-3</v>
      </c>
      <c r="F6091" s="7">
        <v>-1.4599999999999999E-3</v>
      </c>
      <c r="G6091" s="7">
        <v>0.1024</v>
      </c>
    </row>
    <row r="6092" spans="2:7" x14ac:dyDescent="0.2">
      <c r="B6092" s="60">
        <v>44341</v>
      </c>
      <c r="C6092" s="7">
        <v>-1.64E-3</v>
      </c>
      <c r="D6092" s="7">
        <v>-1.4499999999999999E-3</v>
      </c>
      <c r="E6092" s="7">
        <v>-1.3800000000000002E-3</v>
      </c>
      <c r="F6092" s="7">
        <v>-1.6800000000000001E-3</v>
      </c>
      <c r="G6092" s="7">
        <v>0.1714</v>
      </c>
    </row>
    <row r="6093" spans="2:7" x14ac:dyDescent="0.2">
      <c r="B6093" s="60">
        <v>44342</v>
      </c>
      <c r="C6093" s="7">
        <v>-2.0300000000000001E-3</v>
      </c>
      <c r="D6093" s="7">
        <v>-1.6800000000000001E-3</v>
      </c>
      <c r="E6093" s="7">
        <v>-1.66E-3</v>
      </c>
      <c r="F6093" s="7">
        <v>-2.1299999999999999E-3</v>
      </c>
      <c r="G6093" s="7">
        <v>0.23780000000000001</v>
      </c>
    </row>
    <row r="6094" spans="2:7" x14ac:dyDescent="0.2">
      <c r="B6094" s="60">
        <v>44343</v>
      </c>
      <c r="C6094" s="7">
        <v>-1.72E-3</v>
      </c>
      <c r="D6094" s="7">
        <v>-2.0599999999999998E-3</v>
      </c>
      <c r="E6094" s="7">
        <v>-1.6300000000000002E-3</v>
      </c>
      <c r="F6094" s="7">
        <v>-2.1199999999999999E-3</v>
      </c>
      <c r="G6094" s="7">
        <v>-0.1527</v>
      </c>
    </row>
    <row r="6095" spans="2:7" x14ac:dyDescent="0.2">
      <c r="B6095" s="60">
        <v>44344</v>
      </c>
      <c r="C6095" s="7">
        <v>-1.8400000000000001E-3</v>
      </c>
      <c r="D6095" s="7">
        <v>-1.7000000000000001E-3</v>
      </c>
      <c r="E6095" s="7">
        <v>-1.5299999999999999E-3</v>
      </c>
      <c r="F6095" s="7">
        <v>-1.92E-3</v>
      </c>
      <c r="G6095" s="7">
        <v>6.9800000000000001E-2</v>
      </c>
    </row>
    <row r="6096" spans="2:7" x14ac:dyDescent="0.2">
      <c r="B6096" s="60">
        <v>44347</v>
      </c>
      <c r="C6096" s="7">
        <v>-1.83E-3</v>
      </c>
      <c r="D6096" s="7">
        <v>-1.81E-3</v>
      </c>
      <c r="E6096" s="7">
        <v>-1.5E-3</v>
      </c>
      <c r="F6096" s="7">
        <v>-1.8500000000000001E-3</v>
      </c>
      <c r="G6096" s="7">
        <v>-5.4000000000000003E-3</v>
      </c>
    </row>
    <row r="6097" spans="2:7" x14ac:dyDescent="0.2">
      <c r="B6097" s="60">
        <v>44348</v>
      </c>
      <c r="C6097" s="7">
        <v>-1.7499999999999998E-3</v>
      </c>
      <c r="D6097" s="7">
        <v>-1.7699999999999999E-3</v>
      </c>
      <c r="E6097" s="7">
        <v>-1.6200000000000001E-3</v>
      </c>
      <c r="F6097" s="7">
        <v>-1.97E-3</v>
      </c>
      <c r="G6097" s="7">
        <v>-4.3700000000000003E-2</v>
      </c>
    </row>
    <row r="6098" spans="2:7" x14ac:dyDescent="0.2">
      <c r="B6098" s="60">
        <v>44349</v>
      </c>
      <c r="C6098" s="7">
        <v>-1.9599999999999999E-3</v>
      </c>
      <c r="D6098" s="7">
        <v>-1.7699999999999999E-3</v>
      </c>
      <c r="E6098" s="7">
        <v>-1.7699999999999999E-3</v>
      </c>
      <c r="F6098" s="7">
        <v>-2E-3</v>
      </c>
      <c r="G6098" s="7">
        <v>0.12</v>
      </c>
    </row>
    <row r="6099" spans="2:7" x14ac:dyDescent="0.2">
      <c r="B6099" s="60">
        <v>44350</v>
      </c>
      <c r="C6099" s="7">
        <v>-1.83E-3</v>
      </c>
      <c r="D6099" s="7">
        <v>-1.9400000000000001E-3</v>
      </c>
      <c r="E6099" s="7">
        <v>-1.7399999999999998E-3</v>
      </c>
      <c r="F6099" s="7">
        <v>-2E-3</v>
      </c>
      <c r="G6099" s="7">
        <v>-6.6299999999999998E-2</v>
      </c>
    </row>
    <row r="6100" spans="2:7" x14ac:dyDescent="0.2">
      <c r="B6100" s="60">
        <v>44351</v>
      </c>
      <c r="C6100" s="7">
        <v>-2.0899999999999998E-3</v>
      </c>
      <c r="D6100" s="7">
        <v>-1.83E-3</v>
      </c>
      <c r="E6100" s="7">
        <v>-1.7699999999999999E-3</v>
      </c>
      <c r="F6100" s="7">
        <v>-2.1700000000000001E-3</v>
      </c>
      <c r="G6100" s="7">
        <v>0.1421</v>
      </c>
    </row>
    <row r="6101" spans="2:7" x14ac:dyDescent="0.2">
      <c r="B6101" s="60">
        <v>44352</v>
      </c>
      <c r="C6101" s="7">
        <v>-2.1199999999999999E-3</v>
      </c>
      <c r="D6101" s="7">
        <v>-2.1199999999999999E-3</v>
      </c>
      <c r="E6101" s="7">
        <v>-2.1199999999999999E-3</v>
      </c>
      <c r="F6101" s="7">
        <v>-2.1199999999999999E-3</v>
      </c>
      <c r="G6101" s="7">
        <v>1.44E-2</v>
      </c>
    </row>
    <row r="6102" spans="2:7" x14ac:dyDescent="0.2">
      <c r="B6102" s="60">
        <v>44354</v>
      </c>
      <c r="C6102" s="7">
        <v>-1.97E-3</v>
      </c>
      <c r="D6102" s="7">
        <v>-2.0899999999999998E-3</v>
      </c>
      <c r="E6102" s="7">
        <v>-1.9300000000000001E-3</v>
      </c>
      <c r="F6102" s="7">
        <v>-2.14E-3</v>
      </c>
      <c r="G6102" s="7">
        <v>-7.0800000000000002E-2</v>
      </c>
    </row>
    <row r="6103" spans="2:7" x14ac:dyDescent="0.2">
      <c r="B6103" s="60">
        <v>44355</v>
      </c>
      <c r="C6103" s="7">
        <v>-2.2300000000000002E-3</v>
      </c>
      <c r="D6103" s="7">
        <v>-2E-3</v>
      </c>
      <c r="E6103" s="7">
        <v>-1.9500000000000001E-3</v>
      </c>
      <c r="F6103" s="7">
        <v>-2.3400000000000001E-3</v>
      </c>
      <c r="G6103" s="7">
        <v>0.13200000000000001</v>
      </c>
    </row>
    <row r="6104" spans="2:7" x14ac:dyDescent="0.2">
      <c r="B6104" s="60">
        <v>44356</v>
      </c>
      <c r="C6104" s="7">
        <v>-2.47E-3</v>
      </c>
      <c r="D6104" s="7">
        <v>-2.2200000000000002E-3</v>
      </c>
      <c r="E6104" s="7">
        <v>-2.1900000000000001E-3</v>
      </c>
      <c r="F6104" s="7">
        <v>-2.6800000000000001E-3</v>
      </c>
      <c r="G6104" s="7">
        <v>0.1076</v>
      </c>
    </row>
    <row r="6105" spans="2:7" x14ac:dyDescent="0.2">
      <c r="B6105" s="60">
        <v>44357</v>
      </c>
      <c r="C6105" s="7">
        <v>-2.47E-3</v>
      </c>
      <c r="D6105" s="7">
        <v>-2.4199999999999998E-3</v>
      </c>
      <c r="E6105" s="7">
        <v>-2.1299999999999999E-3</v>
      </c>
      <c r="F6105" s="7">
        <v>-2.5700000000000002E-3</v>
      </c>
      <c r="G6105" s="7">
        <v>0</v>
      </c>
    </row>
    <row r="6106" spans="2:7" x14ac:dyDescent="0.2">
      <c r="B6106" s="60">
        <v>44358</v>
      </c>
      <c r="C6106" s="7">
        <v>-2.6900000000000001E-3</v>
      </c>
      <c r="D6106" s="7">
        <v>-2.5700000000000002E-3</v>
      </c>
      <c r="E6106" s="7">
        <v>-2.5500000000000002E-3</v>
      </c>
      <c r="F6106" s="7">
        <v>-2.8699999999999997E-3</v>
      </c>
      <c r="G6106" s="7">
        <v>8.9099999999999999E-2</v>
      </c>
    </row>
    <row r="6107" spans="2:7" x14ac:dyDescent="0.2">
      <c r="B6107" s="60">
        <v>44361</v>
      </c>
      <c r="C6107" s="7">
        <v>-2.5400000000000002E-3</v>
      </c>
      <c r="D6107" s="7">
        <v>-2.7200000000000002E-3</v>
      </c>
      <c r="E6107" s="7">
        <v>-2.5100000000000001E-3</v>
      </c>
      <c r="F6107" s="7">
        <v>-2.7900000000000004E-3</v>
      </c>
      <c r="G6107" s="7">
        <v>-5.5800000000000002E-2</v>
      </c>
    </row>
    <row r="6108" spans="2:7" x14ac:dyDescent="0.2">
      <c r="B6108" s="60">
        <v>44362</v>
      </c>
      <c r="C6108" s="7">
        <v>-2.3E-3</v>
      </c>
      <c r="D6108" s="7">
        <v>-2.5400000000000002E-3</v>
      </c>
      <c r="E6108" s="7">
        <v>-2.2799999999999999E-3</v>
      </c>
      <c r="F6108" s="7">
        <v>-2.64E-3</v>
      </c>
      <c r="G6108" s="7">
        <v>-9.4500000000000001E-2</v>
      </c>
    </row>
    <row r="6109" spans="2:7" x14ac:dyDescent="0.2">
      <c r="B6109" s="60">
        <v>44363</v>
      </c>
      <c r="C6109" s="7">
        <v>-2.4599999999999999E-3</v>
      </c>
      <c r="D6109" s="7">
        <v>-2.31E-3</v>
      </c>
      <c r="E6109" s="7">
        <v>-2.3E-3</v>
      </c>
      <c r="F6109" s="7">
        <v>-2.49E-3</v>
      </c>
      <c r="G6109" s="7">
        <v>6.9599999999999995E-2</v>
      </c>
    </row>
    <row r="6110" spans="2:7" x14ac:dyDescent="0.2">
      <c r="B6110" s="60">
        <v>44364</v>
      </c>
      <c r="C6110" s="7">
        <v>-1.9E-3</v>
      </c>
      <c r="D6110" s="7">
        <v>-2E-3</v>
      </c>
      <c r="E6110" s="7">
        <v>-1.49E-3</v>
      </c>
      <c r="F6110" s="7">
        <v>-2E-3</v>
      </c>
      <c r="G6110" s="7">
        <v>-0.2276</v>
      </c>
    </row>
    <row r="6111" spans="2:7" x14ac:dyDescent="0.2">
      <c r="B6111" s="60">
        <v>44365</v>
      </c>
      <c r="C6111" s="7">
        <v>-2.0300000000000001E-3</v>
      </c>
      <c r="D6111" s="7">
        <v>-1.9500000000000001E-3</v>
      </c>
      <c r="E6111" s="7">
        <v>-1.8599999999999999E-3</v>
      </c>
      <c r="F6111" s="7">
        <v>-2.2200000000000002E-3</v>
      </c>
      <c r="G6111" s="7">
        <v>6.8400000000000002E-2</v>
      </c>
    </row>
    <row r="6112" spans="2:7" x14ac:dyDescent="0.2">
      <c r="B6112" s="60">
        <v>44366</v>
      </c>
      <c r="C6112" s="7">
        <v>-2.0200000000000001E-3</v>
      </c>
      <c r="D6112" s="7">
        <v>-2.0200000000000001E-3</v>
      </c>
      <c r="E6112" s="7">
        <v>-2.0200000000000001E-3</v>
      </c>
      <c r="F6112" s="7">
        <v>-2.0200000000000001E-3</v>
      </c>
      <c r="G6112" s="7">
        <v>-4.8999999999999998E-3</v>
      </c>
    </row>
    <row r="6113" spans="2:7" x14ac:dyDescent="0.2">
      <c r="B6113" s="60">
        <v>44367</v>
      </c>
      <c r="C6113" s="7">
        <v>-2.0200000000000001E-3</v>
      </c>
      <c r="D6113" s="7">
        <v>-2.0200000000000001E-3</v>
      </c>
      <c r="E6113" s="7">
        <v>-2.0200000000000001E-3</v>
      </c>
      <c r="F6113" s="7">
        <v>-2.0200000000000001E-3</v>
      </c>
      <c r="G6113" s="7">
        <v>0</v>
      </c>
    </row>
    <row r="6114" spans="2:7" x14ac:dyDescent="0.2">
      <c r="B6114" s="60">
        <v>44368</v>
      </c>
      <c r="C6114" s="7">
        <v>-1.7299999999999998E-3</v>
      </c>
      <c r="D6114" s="7">
        <v>-2E-3</v>
      </c>
      <c r="E6114" s="7">
        <v>-1.6000000000000001E-3</v>
      </c>
      <c r="F6114" s="7">
        <v>-2.1900000000000001E-3</v>
      </c>
      <c r="G6114" s="7">
        <v>-0.14360000000000001</v>
      </c>
    </row>
    <row r="6115" spans="2:7" x14ac:dyDescent="0.2">
      <c r="B6115" s="60">
        <v>44369</v>
      </c>
      <c r="C6115" s="7">
        <v>-1.6100000000000001E-3</v>
      </c>
      <c r="D6115" s="7">
        <v>-1.6900000000000001E-3</v>
      </c>
      <c r="E6115" s="7">
        <v>-1.4599999999999999E-3</v>
      </c>
      <c r="F6115" s="7">
        <v>-1.8E-3</v>
      </c>
      <c r="G6115" s="7">
        <v>-6.9400000000000003E-2</v>
      </c>
    </row>
    <row r="6116" spans="2:7" x14ac:dyDescent="0.2">
      <c r="B6116" s="60">
        <v>44370</v>
      </c>
      <c r="C6116" s="7">
        <v>-1.7899999999999999E-3</v>
      </c>
      <c r="D6116" s="7">
        <v>-1.6300000000000002E-3</v>
      </c>
      <c r="E6116" s="7">
        <v>-1.5299999999999999E-3</v>
      </c>
      <c r="F6116" s="7">
        <v>-1.9500000000000001E-3</v>
      </c>
      <c r="G6116" s="7">
        <v>0.1118</v>
      </c>
    </row>
    <row r="6117" spans="2:7" x14ac:dyDescent="0.2">
      <c r="B6117" s="60">
        <v>44371</v>
      </c>
      <c r="C6117" s="7">
        <v>-1.8599999999999999E-3</v>
      </c>
      <c r="D6117" s="7">
        <v>-1.8E-3</v>
      </c>
      <c r="E6117" s="7">
        <v>-1.5900000000000001E-3</v>
      </c>
      <c r="F6117" s="7">
        <v>-1.92E-3</v>
      </c>
      <c r="G6117" s="7">
        <v>3.9100000000000003E-2</v>
      </c>
    </row>
    <row r="6118" spans="2:7" x14ac:dyDescent="0.2">
      <c r="B6118" s="60">
        <v>44372</v>
      </c>
      <c r="C6118" s="7">
        <v>-1.56E-3</v>
      </c>
      <c r="D6118" s="7">
        <v>-1.8699999999999999E-3</v>
      </c>
      <c r="E6118" s="7">
        <v>-1.49E-3</v>
      </c>
      <c r="F6118" s="7">
        <v>-1.8799999999999999E-3</v>
      </c>
      <c r="G6118" s="7">
        <v>-0.1613</v>
      </c>
    </row>
    <row r="6119" spans="2:7" x14ac:dyDescent="0.2">
      <c r="B6119" s="60">
        <v>44373</v>
      </c>
      <c r="C6119" s="7">
        <v>-1.565E-3</v>
      </c>
      <c r="D6119" s="7">
        <v>-1.565E-3</v>
      </c>
      <c r="E6119" s="7">
        <v>-1.565E-3</v>
      </c>
      <c r="F6119" s="7">
        <v>-1.565E-3</v>
      </c>
      <c r="G6119" s="7">
        <v>3.2000000000000002E-3</v>
      </c>
    </row>
    <row r="6120" spans="2:7" x14ac:dyDescent="0.2">
      <c r="B6120" s="60">
        <v>44375</v>
      </c>
      <c r="C6120" s="7">
        <v>-1.8599999999999999E-3</v>
      </c>
      <c r="D6120" s="7">
        <v>-1.5399999999999999E-3</v>
      </c>
      <c r="E6120" s="7">
        <v>-1.5299999999999999E-3</v>
      </c>
      <c r="F6120" s="7">
        <v>-1.8699999999999999E-3</v>
      </c>
      <c r="G6120" s="7">
        <v>0.1885</v>
      </c>
    </row>
    <row r="6121" spans="2:7" x14ac:dyDescent="0.2">
      <c r="B6121" s="60">
        <v>44376</v>
      </c>
      <c r="C6121" s="7">
        <v>-1.7299999999999998E-3</v>
      </c>
      <c r="D6121" s="7">
        <v>-1.9E-3</v>
      </c>
      <c r="E6121" s="7">
        <v>-1.6000000000000001E-3</v>
      </c>
      <c r="F6121" s="7">
        <v>-1.9E-3</v>
      </c>
      <c r="G6121" s="7">
        <v>-6.9900000000000004E-2</v>
      </c>
    </row>
    <row r="6122" spans="2:7" x14ac:dyDescent="0.2">
      <c r="B6122" s="60">
        <v>44377</v>
      </c>
      <c r="C6122" s="7">
        <v>-2.0300000000000001E-3</v>
      </c>
      <c r="D6122" s="7">
        <v>-1.6900000000000001E-3</v>
      </c>
      <c r="E6122" s="7">
        <v>-1.67E-3</v>
      </c>
      <c r="F6122" s="7">
        <v>-2.14E-3</v>
      </c>
      <c r="G6122" s="7">
        <v>0.1734</v>
      </c>
    </row>
    <row r="6123" spans="2:7" x14ac:dyDescent="0.2">
      <c r="B6123" s="60">
        <v>44378</v>
      </c>
      <c r="C6123" s="7">
        <v>-2E-3</v>
      </c>
      <c r="D6123" s="7">
        <v>-1.98E-3</v>
      </c>
      <c r="E6123" s="7">
        <v>-1.7899999999999999E-3</v>
      </c>
      <c r="F6123" s="7">
        <v>-2.0999999999999999E-3</v>
      </c>
      <c r="G6123" s="7">
        <v>-1.4800000000000001E-2</v>
      </c>
    </row>
    <row r="6124" spans="2:7" x14ac:dyDescent="0.2">
      <c r="B6124" s="60">
        <v>44379</v>
      </c>
      <c r="C6124" s="7">
        <v>-2.3499999999999997E-3</v>
      </c>
      <c r="D6124" s="7">
        <v>-2.0300000000000001E-3</v>
      </c>
      <c r="E6124" s="7">
        <v>-1.99E-3</v>
      </c>
      <c r="F6124" s="7">
        <v>-2.4099999999999998E-3</v>
      </c>
      <c r="G6124" s="7">
        <v>0.17499999999999999</v>
      </c>
    </row>
    <row r="6125" spans="2:7" x14ac:dyDescent="0.2">
      <c r="B6125" s="60">
        <v>44381</v>
      </c>
      <c r="C6125" s="7">
        <v>-2.3749999999999999E-3</v>
      </c>
      <c r="D6125" s="7">
        <v>-2.3749999999999999E-3</v>
      </c>
      <c r="E6125" s="7">
        <v>-2.3749999999999999E-3</v>
      </c>
      <c r="F6125" s="7">
        <v>-2.3749999999999999E-3</v>
      </c>
      <c r="G6125" s="7">
        <v>1.06E-2</v>
      </c>
    </row>
    <row r="6126" spans="2:7" x14ac:dyDescent="0.2">
      <c r="B6126" s="60">
        <v>44382</v>
      </c>
      <c r="C6126" s="7">
        <v>-2.0799999999999998E-3</v>
      </c>
      <c r="D6126" s="7">
        <v>-2.3499999999999997E-3</v>
      </c>
      <c r="E6126" s="7">
        <v>-2.0699999999999998E-3</v>
      </c>
      <c r="F6126" s="7">
        <v>-2.3499999999999997E-3</v>
      </c>
      <c r="G6126" s="7">
        <v>-0.1242</v>
      </c>
    </row>
    <row r="6127" spans="2:7" x14ac:dyDescent="0.2">
      <c r="B6127" s="60">
        <v>44383</v>
      </c>
      <c r="C6127" s="7">
        <v>-2.6900000000000001E-3</v>
      </c>
      <c r="D6127" s="7">
        <v>-2.0999999999999999E-3</v>
      </c>
      <c r="E6127" s="7">
        <v>-1.98E-3</v>
      </c>
      <c r="F6127" s="7">
        <v>-2.7300000000000002E-3</v>
      </c>
      <c r="G6127" s="7">
        <v>0.29330000000000001</v>
      </c>
    </row>
    <row r="6128" spans="2:7" x14ac:dyDescent="0.2">
      <c r="B6128" s="60">
        <v>44384</v>
      </c>
      <c r="C6128" s="7">
        <v>-2.8899999999999998E-3</v>
      </c>
      <c r="D6128" s="7">
        <v>-2.66E-3</v>
      </c>
      <c r="E6128" s="7">
        <v>-2.5900000000000003E-3</v>
      </c>
      <c r="F6128" s="7">
        <v>-3.13E-3</v>
      </c>
      <c r="G6128" s="7">
        <v>7.4300000000000005E-2</v>
      </c>
    </row>
    <row r="6129" spans="2:7" x14ac:dyDescent="0.2">
      <c r="B6129" s="60">
        <v>44385</v>
      </c>
      <c r="C6129" s="7">
        <v>-3.13E-3</v>
      </c>
      <c r="D6129" s="7">
        <v>-3.0899999999999999E-3</v>
      </c>
      <c r="E6129" s="7">
        <v>-2.98E-3</v>
      </c>
      <c r="F6129" s="7">
        <v>-3.4399999999999999E-3</v>
      </c>
      <c r="G6129" s="7">
        <v>8.3000000000000004E-2</v>
      </c>
    </row>
    <row r="6130" spans="2:7" x14ac:dyDescent="0.2">
      <c r="B6130" s="60">
        <v>44386</v>
      </c>
      <c r="C6130" s="7">
        <v>-2.9199999999999999E-3</v>
      </c>
      <c r="D6130" s="7">
        <v>-3.0299999999999997E-3</v>
      </c>
      <c r="E6130" s="7">
        <v>-2.8699999999999997E-3</v>
      </c>
      <c r="F6130" s="7">
        <v>-3.1700000000000001E-3</v>
      </c>
      <c r="G6130" s="7">
        <v>-6.7100000000000007E-2</v>
      </c>
    </row>
    <row r="6131" spans="2:7" x14ac:dyDescent="0.2">
      <c r="B6131" s="60">
        <v>44389</v>
      </c>
      <c r="C6131" s="7">
        <v>-3.0100000000000001E-3</v>
      </c>
      <c r="D6131" s="7">
        <v>-2.9199999999999999E-3</v>
      </c>
      <c r="E6131" s="7">
        <v>-2.8999999999999998E-3</v>
      </c>
      <c r="F6131" s="7">
        <v>-3.16E-3</v>
      </c>
      <c r="G6131" s="7">
        <v>3.0800000000000001E-2</v>
      </c>
    </row>
    <row r="6132" spans="2:7" x14ac:dyDescent="0.2">
      <c r="B6132" s="60">
        <v>44390</v>
      </c>
      <c r="C6132" s="7">
        <v>-2.99E-3</v>
      </c>
      <c r="D6132" s="7">
        <v>-2.9399999999999999E-3</v>
      </c>
      <c r="E6132" s="7">
        <v>-2.8799999999999997E-3</v>
      </c>
      <c r="F6132" s="7">
        <v>-3.14E-3</v>
      </c>
      <c r="G6132" s="7">
        <v>-6.6E-3</v>
      </c>
    </row>
    <row r="6133" spans="2:7" x14ac:dyDescent="0.2">
      <c r="B6133" s="60">
        <v>44391</v>
      </c>
      <c r="C6133" s="7">
        <v>-3.1199999999999999E-3</v>
      </c>
      <c r="D6133" s="7">
        <v>-2.9299999999999999E-3</v>
      </c>
      <c r="E6133" s="7">
        <v>-2.7300000000000002E-3</v>
      </c>
      <c r="F6133" s="7">
        <v>-3.1800000000000001E-3</v>
      </c>
      <c r="G6133" s="7">
        <v>4.3499999999999997E-2</v>
      </c>
    </row>
    <row r="6134" spans="2:7" x14ac:dyDescent="0.2">
      <c r="B6134" s="60">
        <v>44392</v>
      </c>
      <c r="C6134" s="7">
        <v>-3.31E-3</v>
      </c>
      <c r="D6134" s="7">
        <v>-3.2799999999999999E-3</v>
      </c>
      <c r="E6134" s="7">
        <v>-3.1900000000000001E-3</v>
      </c>
      <c r="F6134" s="7">
        <v>-3.4200000000000003E-3</v>
      </c>
      <c r="G6134" s="7">
        <v>6.0900000000000003E-2</v>
      </c>
    </row>
    <row r="6135" spans="2:7" x14ac:dyDescent="0.2">
      <c r="B6135" s="60">
        <v>44393</v>
      </c>
      <c r="C6135" s="7">
        <v>-3.5099999999999997E-3</v>
      </c>
      <c r="D6135" s="7">
        <v>-3.3400000000000001E-3</v>
      </c>
      <c r="E6135" s="7">
        <v>-3.32E-3</v>
      </c>
      <c r="F6135" s="7">
        <v>-3.5399999999999997E-3</v>
      </c>
      <c r="G6135" s="7">
        <v>6.0400000000000002E-2</v>
      </c>
    </row>
    <row r="6136" spans="2:7" x14ac:dyDescent="0.2">
      <c r="B6136" s="60">
        <v>44396</v>
      </c>
      <c r="C6136" s="7">
        <v>-3.8700000000000002E-3</v>
      </c>
      <c r="D6136" s="7">
        <v>-3.5099999999999997E-3</v>
      </c>
      <c r="E6136" s="7">
        <v>-3.5099999999999997E-3</v>
      </c>
      <c r="F6136" s="7">
        <v>-4.0200000000000001E-3</v>
      </c>
      <c r="G6136" s="7">
        <v>0.1026</v>
      </c>
    </row>
    <row r="6137" spans="2:7" x14ac:dyDescent="0.2">
      <c r="B6137" s="60">
        <v>44397</v>
      </c>
      <c r="C6137" s="7">
        <v>-4.0999999999999995E-3</v>
      </c>
      <c r="D6137" s="7">
        <v>-3.9199999999999999E-3</v>
      </c>
      <c r="E6137" s="7">
        <v>-3.8500000000000001E-3</v>
      </c>
      <c r="F6137" s="7">
        <v>-4.4000000000000003E-3</v>
      </c>
      <c r="G6137" s="7">
        <v>5.9400000000000001E-2</v>
      </c>
    </row>
    <row r="6138" spans="2:7" x14ac:dyDescent="0.2">
      <c r="B6138" s="60">
        <v>44398</v>
      </c>
      <c r="C6138" s="7">
        <v>-3.96E-3</v>
      </c>
      <c r="D6138" s="7">
        <v>-4.1700000000000001E-3</v>
      </c>
      <c r="E6138" s="7">
        <v>-3.8600000000000001E-3</v>
      </c>
      <c r="F6138" s="7">
        <v>-4.3E-3</v>
      </c>
      <c r="G6138" s="7">
        <v>-3.4099999999999998E-2</v>
      </c>
    </row>
    <row r="6139" spans="2:7" x14ac:dyDescent="0.2">
      <c r="B6139" s="60">
        <v>44399</v>
      </c>
      <c r="C6139" s="7">
        <v>-4.2100000000000002E-3</v>
      </c>
      <c r="D6139" s="7">
        <v>-4.0200000000000001E-3</v>
      </c>
      <c r="E6139" s="7">
        <v>-3.7499999999999999E-3</v>
      </c>
      <c r="F6139" s="7">
        <v>-4.2300000000000003E-3</v>
      </c>
      <c r="G6139" s="7">
        <v>6.3100000000000003E-2</v>
      </c>
    </row>
    <row r="6140" spans="2:7" x14ac:dyDescent="0.2">
      <c r="B6140" s="60">
        <v>44400</v>
      </c>
      <c r="C6140" s="7">
        <v>-4.13E-3</v>
      </c>
      <c r="D6140" s="7">
        <v>-4.2599999999999999E-3</v>
      </c>
      <c r="E6140" s="7">
        <v>-3.96E-3</v>
      </c>
      <c r="F6140" s="7">
        <v>-4.2599999999999999E-3</v>
      </c>
      <c r="G6140" s="7">
        <v>-1.9E-2</v>
      </c>
    </row>
    <row r="6141" spans="2:7" x14ac:dyDescent="0.2">
      <c r="B6141" s="60">
        <v>44403</v>
      </c>
      <c r="C6141" s="7">
        <v>-4.1399999999999996E-3</v>
      </c>
      <c r="D6141" s="7">
        <v>-4.2399999999999998E-3</v>
      </c>
      <c r="E6141" s="7">
        <v>-4.0000000000000001E-3</v>
      </c>
      <c r="F6141" s="7">
        <v>-4.4900000000000001E-3</v>
      </c>
      <c r="G6141" s="7">
        <v>2.3999999999999998E-3</v>
      </c>
    </row>
    <row r="6142" spans="2:7" x14ac:dyDescent="0.2">
      <c r="B6142" s="60">
        <v>44404</v>
      </c>
      <c r="C6142" s="7">
        <v>-4.4099999999999999E-3</v>
      </c>
      <c r="D6142" s="7">
        <v>-4.2100000000000002E-3</v>
      </c>
      <c r="E6142" s="7">
        <v>-4.15E-3</v>
      </c>
      <c r="F6142" s="7">
        <v>-4.4400000000000004E-3</v>
      </c>
      <c r="G6142" s="7">
        <v>6.5199999999999994E-2</v>
      </c>
    </row>
    <row r="6143" spans="2:7" x14ac:dyDescent="0.2">
      <c r="B6143" s="60">
        <v>44405</v>
      </c>
      <c r="C6143" s="7">
        <v>-4.47E-3</v>
      </c>
      <c r="D6143" s="7">
        <v>-4.4299999999999999E-3</v>
      </c>
      <c r="E6143" s="7">
        <v>-4.3600000000000002E-3</v>
      </c>
      <c r="F6143" s="7">
        <v>-4.5599999999999998E-3</v>
      </c>
      <c r="G6143" s="7">
        <v>1.3599999999999999E-2</v>
      </c>
    </row>
    <row r="6144" spans="2:7" x14ac:dyDescent="0.2">
      <c r="B6144" s="60">
        <v>44406</v>
      </c>
      <c r="C6144" s="7">
        <v>-4.5100000000000001E-3</v>
      </c>
      <c r="D6144" s="7">
        <v>-4.4900000000000001E-3</v>
      </c>
      <c r="E6144" s="7">
        <v>-4.2399999999999998E-3</v>
      </c>
      <c r="F6144" s="7">
        <v>-4.6500000000000005E-3</v>
      </c>
      <c r="G6144" s="7">
        <v>8.8999999999999999E-3</v>
      </c>
    </row>
    <row r="6145" spans="2:7" x14ac:dyDescent="0.2">
      <c r="B6145" s="60">
        <v>44407</v>
      </c>
      <c r="C6145" s="7">
        <v>-4.5799999999999999E-3</v>
      </c>
      <c r="D6145" s="7">
        <v>-4.5999999999999999E-3</v>
      </c>
      <c r="E6145" s="7">
        <v>-4.4000000000000003E-3</v>
      </c>
      <c r="F6145" s="7">
        <v>-4.6100000000000004E-3</v>
      </c>
      <c r="G6145" s="7">
        <v>1.55E-2</v>
      </c>
    </row>
    <row r="6146" spans="2:7" x14ac:dyDescent="0.2">
      <c r="B6146" s="60">
        <v>44410</v>
      </c>
      <c r="C6146" s="7">
        <v>-4.81E-3</v>
      </c>
      <c r="D6146" s="7">
        <v>-4.5900000000000003E-3</v>
      </c>
      <c r="E6146" s="7">
        <v>-4.4400000000000004E-3</v>
      </c>
      <c r="F6146" s="7">
        <v>-4.81E-3</v>
      </c>
      <c r="G6146" s="7">
        <v>5.0200000000000002E-2</v>
      </c>
    </row>
    <row r="6147" spans="2:7" x14ac:dyDescent="0.2">
      <c r="B6147" s="60">
        <v>44411</v>
      </c>
      <c r="C6147" s="7">
        <v>-4.81E-3</v>
      </c>
      <c r="D6147" s="7">
        <v>-4.7599999999999995E-3</v>
      </c>
      <c r="E6147" s="7">
        <v>-4.64E-3</v>
      </c>
      <c r="F6147" s="7">
        <v>-4.9300000000000004E-3</v>
      </c>
      <c r="G6147" s="7">
        <v>0</v>
      </c>
    </row>
    <row r="6148" spans="2:7" x14ac:dyDescent="0.2">
      <c r="B6148" s="60">
        <v>44412</v>
      </c>
      <c r="C6148" s="7">
        <v>-4.9300000000000004E-3</v>
      </c>
      <c r="D6148" s="7">
        <v>-4.8500000000000001E-3</v>
      </c>
      <c r="E6148" s="7">
        <v>-4.7499999999999999E-3</v>
      </c>
      <c r="F6148" s="7">
        <v>-5.1700000000000001E-3</v>
      </c>
      <c r="G6148" s="7">
        <v>2.4899999999999999E-2</v>
      </c>
    </row>
    <row r="6149" spans="2:7" x14ac:dyDescent="0.2">
      <c r="B6149" s="60">
        <v>44413</v>
      </c>
      <c r="C6149" s="7">
        <v>-4.9300000000000004E-3</v>
      </c>
      <c r="D6149" s="7">
        <v>-4.9199999999999999E-3</v>
      </c>
      <c r="E6149" s="7">
        <v>-4.8900000000000002E-3</v>
      </c>
      <c r="F6149" s="7">
        <v>-5.2399999999999999E-3</v>
      </c>
      <c r="G6149" s="7">
        <v>0</v>
      </c>
    </row>
    <row r="6150" spans="2:7" x14ac:dyDescent="0.2">
      <c r="B6150" s="60">
        <v>44414</v>
      </c>
      <c r="C6150" s="7">
        <v>-4.5500000000000002E-3</v>
      </c>
      <c r="D6150" s="7">
        <v>-4.96E-3</v>
      </c>
      <c r="E6150" s="7">
        <v>-4.5100000000000001E-3</v>
      </c>
      <c r="F6150" s="7">
        <v>-4.9800000000000001E-3</v>
      </c>
      <c r="G6150" s="7">
        <v>-7.7100000000000002E-2</v>
      </c>
    </row>
    <row r="6151" spans="2:7" x14ac:dyDescent="0.2">
      <c r="B6151" s="60">
        <v>44417</v>
      </c>
      <c r="C6151" s="7">
        <v>-4.5900000000000003E-3</v>
      </c>
      <c r="D6151" s="7">
        <v>-4.6300000000000004E-3</v>
      </c>
      <c r="E6151" s="7">
        <v>-4.5000000000000005E-3</v>
      </c>
      <c r="F6151" s="7">
        <v>-4.7999999999999996E-3</v>
      </c>
      <c r="G6151" s="7">
        <v>8.8000000000000005E-3</v>
      </c>
    </row>
    <row r="6152" spans="2:7" x14ac:dyDescent="0.2">
      <c r="B6152" s="60">
        <v>44418</v>
      </c>
      <c r="C6152" s="7">
        <v>-4.5399999999999998E-3</v>
      </c>
      <c r="D6152" s="7">
        <v>-4.6300000000000004E-3</v>
      </c>
      <c r="E6152" s="7">
        <v>-4.47E-3</v>
      </c>
      <c r="F6152" s="7">
        <v>-4.8199999999999996E-3</v>
      </c>
      <c r="G6152" s="7">
        <v>-1.09E-2</v>
      </c>
    </row>
    <row r="6153" spans="2:7" x14ac:dyDescent="0.2">
      <c r="B6153" s="60">
        <v>44419</v>
      </c>
      <c r="C6153" s="7">
        <v>-4.5999999999999999E-3</v>
      </c>
      <c r="D6153" s="7">
        <v>-4.5300000000000002E-3</v>
      </c>
      <c r="E6153" s="7">
        <v>-4.3499999999999997E-3</v>
      </c>
      <c r="F6153" s="7">
        <v>-4.6500000000000005E-3</v>
      </c>
      <c r="G6153" s="7">
        <v>1.32E-2</v>
      </c>
    </row>
    <row r="6154" spans="2:7" x14ac:dyDescent="0.2">
      <c r="B6154" s="60">
        <v>44420</v>
      </c>
      <c r="C6154" s="7">
        <v>-4.6100000000000004E-3</v>
      </c>
      <c r="D6154" s="7">
        <v>-4.6100000000000004E-3</v>
      </c>
      <c r="E6154" s="7">
        <v>-4.4299999999999999E-3</v>
      </c>
      <c r="F6154" s="7">
        <v>-4.6800000000000001E-3</v>
      </c>
      <c r="G6154" s="7">
        <v>2.2000000000000001E-3</v>
      </c>
    </row>
    <row r="6155" spans="2:7" x14ac:dyDescent="0.2">
      <c r="B6155" s="60">
        <v>44421</v>
      </c>
      <c r="C6155" s="7">
        <v>-4.6300000000000004E-3</v>
      </c>
      <c r="D6155" s="7">
        <v>-4.5500000000000002E-3</v>
      </c>
      <c r="E6155" s="7">
        <v>-4.4000000000000003E-3</v>
      </c>
      <c r="F6155" s="7">
        <v>-4.7199999999999994E-3</v>
      </c>
      <c r="G6155" s="7">
        <v>4.3E-3</v>
      </c>
    </row>
    <row r="6156" spans="2:7" x14ac:dyDescent="0.2">
      <c r="B6156" s="60">
        <v>44424</v>
      </c>
      <c r="C6156" s="7">
        <v>-4.6600000000000001E-3</v>
      </c>
      <c r="D6156" s="7">
        <v>-4.6700000000000005E-3</v>
      </c>
      <c r="E6156" s="7">
        <v>-4.5199999999999997E-3</v>
      </c>
      <c r="F6156" s="7">
        <v>-4.8900000000000002E-3</v>
      </c>
      <c r="G6156" s="7">
        <v>6.4999999999999997E-3</v>
      </c>
    </row>
    <row r="6157" spans="2:7" x14ac:dyDescent="0.2">
      <c r="B6157" s="60">
        <v>44425</v>
      </c>
      <c r="C6157" s="7">
        <v>-4.6700000000000005E-3</v>
      </c>
      <c r="D6157" s="7">
        <v>-4.7399999999999994E-3</v>
      </c>
      <c r="E6157" s="7">
        <v>-4.6500000000000005E-3</v>
      </c>
      <c r="F6157" s="7">
        <v>-5.0099999999999997E-3</v>
      </c>
      <c r="G6157" s="7">
        <v>2.0999999999999999E-3</v>
      </c>
    </row>
    <row r="6158" spans="2:7" x14ac:dyDescent="0.2">
      <c r="B6158" s="60">
        <v>44426</v>
      </c>
      <c r="C6158" s="7">
        <v>-4.8199999999999996E-3</v>
      </c>
      <c r="D6158" s="7">
        <v>-4.6999999999999993E-3</v>
      </c>
      <c r="E6158" s="7">
        <v>-4.6899999999999997E-3</v>
      </c>
      <c r="F6158" s="7">
        <v>-4.8999999999999998E-3</v>
      </c>
      <c r="G6158" s="7">
        <v>3.2099999999999997E-2</v>
      </c>
    </row>
    <row r="6159" spans="2:7" x14ac:dyDescent="0.2">
      <c r="B6159" s="60">
        <v>44427</v>
      </c>
      <c r="C6159" s="7">
        <v>-4.8900000000000002E-3</v>
      </c>
      <c r="D6159" s="7">
        <v>-4.9199999999999999E-3</v>
      </c>
      <c r="E6159" s="7">
        <v>-4.7499999999999999E-3</v>
      </c>
      <c r="F6159" s="7">
        <v>-5.0200000000000002E-3</v>
      </c>
      <c r="G6159" s="7">
        <v>1.4500000000000001E-2</v>
      </c>
    </row>
    <row r="6160" spans="2:7" x14ac:dyDescent="0.2">
      <c r="B6160" s="60">
        <v>44428</v>
      </c>
      <c r="C6160" s="7">
        <v>-4.9499999999999995E-3</v>
      </c>
      <c r="D6160" s="7">
        <v>-4.8900000000000002E-3</v>
      </c>
      <c r="E6160" s="7">
        <v>-4.8500000000000001E-3</v>
      </c>
      <c r="F6160" s="7">
        <v>-4.9899999999999996E-3</v>
      </c>
      <c r="G6160" s="7">
        <v>1.23E-2</v>
      </c>
    </row>
    <row r="6161" spans="2:7" x14ac:dyDescent="0.2">
      <c r="B6161" s="60">
        <v>44431</v>
      </c>
      <c r="C6161" s="7">
        <v>-4.7799999999999995E-3</v>
      </c>
      <c r="D6161" s="7">
        <v>-4.8199999999999996E-3</v>
      </c>
      <c r="E6161" s="7">
        <v>-4.5700000000000003E-3</v>
      </c>
      <c r="F6161" s="7">
        <v>-4.96E-3</v>
      </c>
      <c r="G6161" s="7">
        <v>-3.4299999999999997E-2</v>
      </c>
    </row>
    <row r="6162" spans="2:7" x14ac:dyDescent="0.2">
      <c r="B6162" s="60">
        <v>44432</v>
      </c>
      <c r="C6162" s="7">
        <v>-4.7699999999999999E-3</v>
      </c>
      <c r="D6162" s="7">
        <v>-4.7099999999999998E-3</v>
      </c>
      <c r="E6162" s="7">
        <v>-4.64E-3</v>
      </c>
      <c r="F6162" s="7">
        <v>-4.8900000000000002E-3</v>
      </c>
      <c r="G6162" s="7">
        <v>-2.0999999999999999E-3</v>
      </c>
    </row>
    <row r="6163" spans="2:7" x14ac:dyDescent="0.2">
      <c r="B6163" s="60">
        <v>44433</v>
      </c>
      <c r="C6163" s="7">
        <v>-4.1700000000000001E-3</v>
      </c>
      <c r="D6163" s="7">
        <v>-4.7199999999999994E-3</v>
      </c>
      <c r="E6163" s="7">
        <v>-4.15E-3</v>
      </c>
      <c r="F6163" s="7">
        <v>-4.7799999999999995E-3</v>
      </c>
      <c r="G6163" s="7">
        <v>-0.1258</v>
      </c>
    </row>
    <row r="6164" spans="2:7" x14ac:dyDescent="0.2">
      <c r="B6164" s="60">
        <v>44434</v>
      </c>
      <c r="C6164" s="7">
        <v>-4.1700000000000001E-3</v>
      </c>
      <c r="D6164" s="7">
        <v>-4.2100000000000002E-3</v>
      </c>
      <c r="E6164" s="7">
        <v>-4.0100000000000005E-3</v>
      </c>
      <c r="F6164" s="7">
        <v>-4.3099999999999996E-3</v>
      </c>
      <c r="G6164" s="7">
        <v>0</v>
      </c>
    </row>
    <row r="6165" spans="2:7" x14ac:dyDescent="0.2">
      <c r="B6165" s="60">
        <v>44435</v>
      </c>
      <c r="C6165" s="7">
        <v>-4.1900000000000001E-3</v>
      </c>
      <c r="D6165" s="7">
        <v>-4.13E-3</v>
      </c>
      <c r="E6165" s="7">
        <v>-4.0200000000000001E-3</v>
      </c>
      <c r="F6165" s="7">
        <v>-4.2500000000000003E-3</v>
      </c>
      <c r="G6165" s="7">
        <v>4.7999999999999996E-3</v>
      </c>
    </row>
    <row r="6166" spans="2:7" x14ac:dyDescent="0.2">
      <c r="B6166" s="60">
        <v>44438</v>
      </c>
      <c r="C6166" s="7">
        <v>-4.3899999999999998E-3</v>
      </c>
      <c r="D6166" s="7">
        <v>-4.2699999999999995E-3</v>
      </c>
      <c r="E6166" s="7">
        <v>-4.0699999999999998E-3</v>
      </c>
      <c r="F6166" s="7">
        <v>-4.4099999999999999E-3</v>
      </c>
      <c r="G6166" s="7">
        <v>4.7699999999999999E-2</v>
      </c>
    </row>
    <row r="6167" spans="2:7" x14ac:dyDescent="0.2">
      <c r="B6167" s="60">
        <v>44439</v>
      </c>
      <c r="C6167" s="7">
        <v>-3.8E-3</v>
      </c>
      <c r="D6167" s="7">
        <v>-4.3299999999999996E-3</v>
      </c>
      <c r="E6167" s="7">
        <v>-3.7599999999999999E-3</v>
      </c>
      <c r="F6167" s="7">
        <v>-4.4200000000000003E-3</v>
      </c>
      <c r="G6167" s="7">
        <v>-0.13439999999999999</v>
      </c>
    </row>
    <row r="6168" spans="2:7" x14ac:dyDescent="0.2">
      <c r="B6168" s="60">
        <v>44440</v>
      </c>
      <c r="C6168" s="7">
        <v>-3.7099999999999998E-3</v>
      </c>
      <c r="D6168" s="7">
        <v>-3.7299999999999998E-3</v>
      </c>
      <c r="E6168" s="7">
        <v>-3.5399999999999997E-3</v>
      </c>
      <c r="F6168" s="7">
        <v>-3.8600000000000001E-3</v>
      </c>
      <c r="G6168" s="7">
        <v>-2.3699999999999999E-2</v>
      </c>
    </row>
    <row r="6169" spans="2:7" x14ac:dyDescent="0.2">
      <c r="B6169" s="60">
        <v>44441</v>
      </c>
      <c r="C6169" s="7">
        <v>-3.8400000000000001E-3</v>
      </c>
      <c r="D6169" s="7">
        <v>-3.7299999999999998E-3</v>
      </c>
      <c r="E6169" s="7">
        <v>-3.7099999999999998E-3</v>
      </c>
      <c r="F6169" s="7">
        <v>-4.0100000000000005E-3</v>
      </c>
      <c r="G6169" s="7">
        <v>3.5000000000000003E-2</v>
      </c>
    </row>
    <row r="6170" spans="2:7" x14ac:dyDescent="0.2">
      <c r="B6170" s="60">
        <v>44442</v>
      </c>
      <c r="C6170" s="7">
        <v>-3.5799999999999998E-3</v>
      </c>
      <c r="D6170" s="7">
        <v>-3.8400000000000001E-3</v>
      </c>
      <c r="E6170" s="7">
        <v>-3.4699999999999996E-3</v>
      </c>
      <c r="F6170" s="7">
        <v>-3.98E-3</v>
      </c>
      <c r="G6170" s="7">
        <v>-6.7699999999999996E-2</v>
      </c>
    </row>
    <row r="6171" spans="2:7" x14ac:dyDescent="0.2">
      <c r="B6171" s="60">
        <v>44445</v>
      </c>
      <c r="C6171" s="7">
        <v>-3.6800000000000001E-3</v>
      </c>
      <c r="D6171" s="7">
        <v>-3.64E-3</v>
      </c>
      <c r="E6171" s="7">
        <v>-3.4699999999999996E-3</v>
      </c>
      <c r="F6171" s="7">
        <v>-3.7699999999999999E-3</v>
      </c>
      <c r="G6171" s="7">
        <v>2.7900000000000001E-2</v>
      </c>
    </row>
    <row r="6172" spans="2:7" x14ac:dyDescent="0.2">
      <c r="B6172" s="60">
        <v>44446</v>
      </c>
      <c r="C6172" s="7">
        <v>-3.1700000000000001E-3</v>
      </c>
      <c r="D6172" s="7">
        <v>-3.5799999999999998E-3</v>
      </c>
      <c r="E6172" s="7">
        <v>-3.13E-3</v>
      </c>
      <c r="F6172" s="7">
        <v>-3.64E-3</v>
      </c>
      <c r="G6172" s="7">
        <v>-0.1386</v>
      </c>
    </row>
    <row r="6173" spans="2:7" x14ac:dyDescent="0.2">
      <c r="B6173" s="60">
        <v>44447</v>
      </c>
      <c r="C6173" s="7">
        <v>-3.2000000000000002E-3</v>
      </c>
      <c r="D6173" s="7">
        <v>-3.1800000000000001E-3</v>
      </c>
      <c r="E6173" s="7">
        <v>-3.0999999999999999E-3</v>
      </c>
      <c r="F6173" s="7">
        <v>-3.4499999999999999E-3</v>
      </c>
      <c r="G6173" s="7">
        <v>9.4999999999999998E-3</v>
      </c>
    </row>
    <row r="6174" spans="2:7" x14ac:dyDescent="0.2">
      <c r="B6174" s="60">
        <v>44448</v>
      </c>
      <c r="C6174" s="7">
        <v>-3.64E-3</v>
      </c>
      <c r="D6174" s="7">
        <v>-3.2700000000000003E-3</v>
      </c>
      <c r="E6174" s="7">
        <v>-3.1900000000000001E-3</v>
      </c>
      <c r="F6174" s="7">
        <v>-3.6800000000000001E-3</v>
      </c>
      <c r="G6174" s="7">
        <v>0.13750000000000001</v>
      </c>
    </row>
    <row r="6175" spans="2:7" x14ac:dyDescent="0.2">
      <c r="B6175" s="60">
        <v>44449</v>
      </c>
      <c r="C6175" s="7">
        <v>-3.32E-3</v>
      </c>
      <c r="D6175" s="7">
        <v>-3.64E-3</v>
      </c>
      <c r="E6175" s="7">
        <v>-3.31E-3</v>
      </c>
      <c r="F6175" s="7">
        <v>-3.7000000000000002E-3</v>
      </c>
      <c r="G6175" s="7">
        <v>-8.7900000000000006E-2</v>
      </c>
    </row>
    <row r="6176" spans="2:7" x14ac:dyDescent="0.2">
      <c r="B6176" s="60">
        <v>44450</v>
      </c>
      <c r="C6176" s="7">
        <v>-3.31E-3</v>
      </c>
      <c r="D6176" s="7">
        <v>-3.31E-3</v>
      </c>
      <c r="E6176" s="7">
        <v>-3.31E-3</v>
      </c>
      <c r="F6176" s="7">
        <v>-3.31E-3</v>
      </c>
      <c r="G6176" s="7">
        <v>-3.0000000000000001E-3</v>
      </c>
    </row>
    <row r="6177" spans="2:7" x14ac:dyDescent="0.2">
      <c r="B6177" s="60">
        <v>44451</v>
      </c>
      <c r="C6177" s="7">
        <v>-3.31E-3</v>
      </c>
      <c r="D6177" s="7">
        <v>-3.31E-3</v>
      </c>
      <c r="E6177" s="7">
        <v>-3.31E-3</v>
      </c>
      <c r="F6177" s="7">
        <v>-3.31E-3</v>
      </c>
      <c r="G6177" s="7">
        <v>0</v>
      </c>
    </row>
    <row r="6178" spans="2:7" x14ac:dyDescent="0.2">
      <c r="B6178" s="60">
        <v>44452</v>
      </c>
      <c r="C6178" s="7">
        <v>-3.2799999999999999E-3</v>
      </c>
      <c r="D6178" s="7">
        <v>-3.3300000000000001E-3</v>
      </c>
      <c r="E6178" s="7">
        <v>-3.2000000000000002E-3</v>
      </c>
      <c r="F6178" s="7">
        <v>-3.4599999999999995E-3</v>
      </c>
      <c r="G6178" s="7">
        <v>-9.1000000000000004E-3</v>
      </c>
    </row>
    <row r="6179" spans="2:7" x14ac:dyDescent="0.2">
      <c r="B6179" s="60">
        <v>44453</v>
      </c>
      <c r="C6179" s="7">
        <v>-3.4000000000000002E-3</v>
      </c>
      <c r="D6179" s="7">
        <v>-3.2600000000000003E-3</v>
      </c>
      <c r="E6179" s="7">
        <v>-3.0100000000000001E-3</v>
      </c>
      <c r="F6179" s="7">
        <v>-3.5299999999999997E-3</v>
      </c>
      <c r="G6179" s="7">
        <v>3.6600000000000001E-2</v>
      </c>
    </row>
    <row r="6180" spans="2:7" x14ac:dyDescent="0.2">
      <c r="B6180" s="60">
        <v>44454</v>
      </c>
      <c r="C6180" s="7">
        <v>-3.0799999999999998E-3</v>
      </c>
      <c r="D6180" s="7">
        <v>-3.3700000000000002E-3</v>
      </c>
      <c r="E6180" s="7">
        <v>-3.0699999999999998E-3</v>
      </c>
      <c r="F6180" s="7">
        <v>-3.4999999999999996E-3</v>
      </c>
      <c r="G6180" s="7">
        <v>-9.4100000000000003E-2</v>
      </c>
    </row>
    <row r="6181" spans="2:7" x14ac:dyDescent="0.2">
      <c r="B6181" s="60">
        <v>44455</v>
      </c>
      <c r="C6181" s="7">
        <v>-3.0499999999999998E-3</v>
      </c>
      <c r="D6181" s="7">
        <v>-3.0899999999999999E-3</v>
      </c>
      <c r="E6181" s="7">
        <v>-2.8299999999999996E-3</v>
      </c>
      <c r="F6181" s="7">
        <v>-3.16E-3</v>
      </c>
      <c r="G6181" s="7">
        <v>-9.7000000000000003E-3</v>
      </c>
    </row>
    <row r="6182" spans="2:7" x14ac:dyDescent="0.2">
      <c r="B6182" s="60">
        <v>44456</v>
      </c>
      <c r="C6182" s="7">
        <v>-2.7900000000000004E-3</v>
      </c>
      <c r="D6182" s="7">
        <v>-2.9399999999999999E-3</v>
      </c>
      <c r="E6182" s="7">
        <v>-2.65E-3</v>
      </c>
      <c r="F6182" s="7">
        <v>-3.0200000000000001E-3</v>
      </c>
      <c r="G6182" s="7">
        <v>-8.5199999999999998E-2</v>
      </c>
    </row>
    <row r="6183" spans="2:7" x14ac:dyDescent="0.2">
      <c r="B6183" s="60">
        <v>44457</v>
      </c>
      <c r="C6183" s="7">
        <v>-2.8149999999999998E-3</v>
      </c>
      <c r="D6183" s="7">
        <v>-2.8149999999999998E-3</v>
      </c>
      <c r="E6183" s="7">
        <v>-2.8149999999999998E-3</v>
      </c>
      <c r="F6183" s="7">
        <v>-2.8149999999999998E-3</v>
      </c>
      <c r="G6183" s="7">
        <v>8.9999999999999993E-3</v>
      </c>
    </row>
    <row r="6184" spans="2:7" x14ac:dyDescent="0.2">
      <c r="B6184" s="60">
        <v>44459</v>
      </c>
      <c r="C6184" s="7">
        <v>-3.15E-3</v>
      </c>
      <c r="D6184" s="7">
        <v>-2.8799999999999997E-3</v>
      </c>
      <c r="E6184" s="7">
        <v>-2.7600000000000003E-3</v>
      </c>
      <c r="F6184" s="7">
        <v>-3.3300000000000001E-3</v>
      </c>
      <c r="G6184" s="7">
        <v>0.11899999999999999</v>
      </c>
    </row>
    <row r="6185" spans="2:7" x14ac:dyDescent="0.2">
      <c r="B6185" s="60">
        <v>44460</v>
      </c>
      <c r="C6185" s="7">
        <v>-3.2799999999999999E-3</v>
      </c>
      <c r="D6185" s="7">
        <v>-3.14E-3</v>
      </c>
      <c r="E6185" s="7">
        <v>-2.9499999999999999E-3</v>
      </c>
      <c r="F6185" s="7">
        <v>-3.4000000000000002E-3</v>
      </c>
      <c r="G6185" s="7">
        <v>4.1300000000000003E-2</v>
      </c>
    </row>
    <row r="6186" spans="2:7" x14ac:dyDescent="0.2">
      <c r="B6186" s="60">
        <v>44461</v>
      </c>
      <c r="C6186" s="7">
        <v>-3.2600000000000003E-3</v>
      </c>
      <c r="D6186" s="7">
        <v>-3.13E-3</v>
      </c>
      <c r="E6186" s="7">
        <v>-3.0399999999999997E-3</v>
      </c>
      <c r="F6186" s="7">
        <v>-3.32E-3</v>
      </c>
      <c r="G6186" s="7">
        <v>-6.1000000000000004E-3</v>
      </c>
    </row>
    <row r="6187" spans="2:7" x14ac:dyDescent="0.2">
      <c r="B6187" s="60">
        <v>44462</v>
      </c>
      <c r="C6187" s="7">
        <v>-2.5200000000000001E-3</v>
      </c>
      <c r="D6187" s="7">
        <v>-3.2300000000000002E-3</v>
      </c>
      <c r="E6187" s="7">
        <v>-2.49E-3</v>
      </c>
      <c r="F6187" s="7">
        <v>-3.2300000000000002E-3</v>
      </c>
      <c r="G6187" s="7">
        <v>-0.22700000000000001</v>
      </c>
    </row>
    <row r="6188" spans="2:7" x14ac:dyDescent="0.2">
      <c r="B6188" s="60">
        <v>44463</v>
      </c>
      <c r="C6188" s="7">
        <v>-2.2799999999999999E-3</v>
      </c>
      <c r="D6188" s="7">
        <v>-2.4399999999999999E-3</v>
      </c>
      <c r="E6188" s="7">
        <v>-2.1800000000000001E-3</v>
      </c>
      <c r="F6188" s="7">
        <v>-2.49E-3</v>
      </c>
      <c r="G6188" s="7">
        <v>-9.5200000000000007E-2</v>
      </c>
    </row>
    <row r="6189" spans="2:7" x14ac:dyDescent="0.2">
      <c r="B6189" s="60">
        <v>44464</v>
      </c>
      <c r="C6189" s="7">
        <v>-2.2850000000000001E-3</v>
      </c>
      <c r="D6189" s="7">
        <v>-2.2899999999999999E-3</v>
      </c>
      <c r="E6189" s="7">
        <v>-2.2850000000000001E-3</v>
      </c>
      <c r="F6189" s="7">
        <v>-2.2899999999999999E-3</v>
      </c>
      <c r="G6189" s="7">
        <v>2.2000000000000001E-3</v>
      </c>
    </row>
    <row r="6190" spans="2:7" x14ac:dyDescent="0.2">
      <c r="B6190" s="60">
        <v>44466</v>
      </c>
      <c r="C6190" s="7">
        <v>-2.2599999999999999E-3</v>
      </c>
      <c r="D6190" s="7">
        <v>-2.4099999999999998E-3</v>
      </c>
      <c r="E6190" s="7">
        <v>-1.91E-3</v>
      </c>
      <c r="F6190" s="7">
        <v>-2.4199999999999998E-3</v>
      </c>
      <c r="G6190" s="7">
        <v>-1.09E-2</v>
      </c>
    </row>
    <row r="6191" spans="2:7" x14ac:dyDescent="0.2">
      <c r="B6191" s="60">
        <v>44467</v>
      </c>
      <c r="C6191" s="7">
        <v>-1.98E-3</v>
      </c>
      <c r="D6191" s="7">
        <v>-2.0100000000000001E-3</v>
      </c>
      <c r="E6191" s="7">
        <v>-1.72E-3</v>
      </c>
      <c r="F6191" s="7">
        <v>-2.1099999999999999E-3</v>
      </c>
      <c r="G6191" s="7">
        <v>-0.1239</v>
      </c>
    </row>
    <row r="6192" spans="2:7" x14ac:dyDescent="0.2">
      <c r="B6192" s="60">
        <v>44468</v>
      </c>
      <c r="C6192" s="7">
        <v>-2.1299999999999999E-3</v>
      </c>
      <c r="D6192" s="7">
        <v>-1.8799999999999999E-3</v>
      </c>
      <c r="E6192" s="7">
        <v>-1.83E-3</v>
      </c>
      <c r="F6192" s="7">
        <v>-2.2699999999999999E-3</v>
      </c>
      <c r="G6192" s="7">
        <v>7.5800000000000006E-2</v>
      </c>
    </row>
    <row r="6193" spans="2:7" x14ac:dyDescent="0.2">
      <c r="B6193" s="60">
        <v>44469</v>
      </c>
      <c r="C6193" s="7">
        <v>-1.91E-3</v>
      </c>
      <c r="D6193" s="7">
        <v>-2.0899999999999998E-3</v>
      </c>
      <c r="E6193" s="7">
        <v>-1.7699999999999999E-3</v>
      </c>
      <c r="F6193" s="7">
        <v>-2.2100000000000002E-3</v>
      </c>
      <c r="G6193" s="7">
        <v>-0.1033</v>
      </c>
    </row>
    <row r="6194" spans="2:7" x14ac:dyDescent="0.2">
      <c r="B6194" s="60">
        <v>44470</v>
      </c>
      <c r="C6194" s="7">
        <v>-2.1900000000000001E-3</v>
      </c>
      <c r="D6194" s="7">
        <v>-1.97E-3</v>
      </c>
      <c r="E6194" s="7">
        <v>-1.97E-3</v>
      </c>
      <c r="F6194" s="7">
        <v>-2.4299999999999999E-3</v>
      </c>
      <c r="G6194" s="7">
        <v>0.14660000000000001</v>
      </c>
    </row>
    <row r="6195" spans="2:7" x14ac:dyDescent="0.2">
      <c r="B6195" s="60">
        <v>44473</v>
      </c>
      <c r="C6195" s="7">
        <v>-2.1700000000000001E-3</v>
      </c>
      <c r="D6195" s="7">
        <v>-2.2400000000000002E-3</v>
      </c>
      <c r="E6195" s="7">
        <v>-2.0100000000000001E-3</v>
      </c>
      <c r="F6195" s="7">
        <v>-2.3599999999999997E-3</v>
      </c>
      <c r="G6195" s="7">
        <v>-9.1000000000000004E-3</v>
      </c>
    </row>
    <row r="6196" spans="2:7" x14ac:dyDescent="0.2">
      <c r="B6196" s="60">
        <v>44474</v>
      </c>
      <c r="C6196" s="7">
        <v>-1.8799999999999999E-3</v>
      </c>
      <c r="D6196" s="7">
        <v>-2.0999999999999999E-3</v>
      </c>
      <c r="E6196" s="7">
        <v>-1.81E-3</v>
      </c>
      <c r="F6196" s="7">
        <v>-2.33E-3</v>
      </c>
      <c r="G6196" s="7">
        <v>-0.1336</v>
      </c>
    </row>
    <row r="6197" spans="2:7" x14ac:dyDescent="0.2">
      <c r="B6197" s="60">
        <v>44475</v>
      </c>
      <c r="C6197" s="7">
        <v>-1.82E-3</v>
      </c>
      <c r="D6197" s="7">
        <v>-1.5900000000000001E-3</v>
      </c>
      <c r="E6197" s="7">
        <v>-1.47E-3</v>
      </c>
      <c r="F6197" s="7">
        <v>-2.0100000000000001E-3</v>
      </c>
      <c r="G6197" s="7">
        <v>-3.1899999999999998E-2</v>
      </c>
    </row>
    <row r="6198" spans="2:7" x14ac:dyDescent="0.2">
      <c r="B6198" s="60">
        <v>44476</v>
      </c>
      <c r="C6198" s="7">
        <v>-1.8699999999999999E-3</v>
      </c>
      <c r="D6198" s="7">
        <v>-1.7000000000000001E-3</v>
      </c>
      <c r="E6198" s="7">
        <v>-1.66E-3</v>
      </c>
      <c r="F6198" s="7">
        <v>-2.0799999999999998E-3</v>
      </c>
      <c r="G6198" s="7">
        <v>2.75E-2</v>
      </c>
    </row>
    <row r="6199" spans="2:7" x14ac:dyDescent="0.2">
      <c r="B6199" s="60">
        <v>44477</v>
      </c>
      <c r="C6199" s="7">
        <v>-1.47E-3</v>
      </c>
      <c r="D6199" s="7">
        <v>-1.8400000000000001E-3</v>
      </c>
      <c r="E6199" s="7">
        <v>-1.4599999999999999E-3</v>
      </c>
      <c r="F6199" s="7">
        <v>-1.8500000000000001E-3</v>
      </c>
      <c r="G6199" s="7">
        <v>-0.21390000000000001</v>
      </c>
    </row>
    <row r="6200" spans="2:7" x14ac:dyDescent="0.2">
      <c r="B6200" s="60">
        <v>44480</v>
      </c>
      <c r="C6200" s="7">
        <v>-1.1899999999999999E-3</v>
      </c>
      <c r="D6200" s="7">
        <v>-1.47E-3</v>
      </c>
      <c r="E6200" s="7">
        <v>-1.08E-3</v>
      </c>
      <c r="F6200" s="7">
        <v>-1.47E-3</v>
      </c>
      <c r="G6200" s="7">
        <v>-0.1905</v>
      </c>
    </row>
    <row r="6201" spans="2:7" x14ac:dyDescent="0.2">
      <c r="B6201" s="60">
        <v>44481</v>
      </c>
      <c r="C6201" s="7">
        <v>-9.6000000000000002E-4</v>
      </c>
      <c r="D6201" s="7">
        <v>-1.2199999999999999E-3</v>
      </c>
      <c r="E6201" s="7">
        <v>-8.7999999999999992E-4</v>
      </c>
      <c r="F6201" s="7">
        <v>-1.3600000000000001E-3</v>
      </c>
      <c r="G6201" s="7">
        <v>-0.1933</v>
      </c>
    </row>
    <row r="6202" spans="2:7" x14ac:dyDescent="0.2">
      <c r="B6202" s="60">
        <v>44482</v>
      </c>
      <c r="C6202" s="7">
        <v>-1.2900000000000001E-3</v>
      </c>
      <c r="D6202" s="7">
        <v>-9.1E-4</v>
      </c>
      <c r="E6202" s="7">
        <v>-8.5000000000000006E-4</v>
      </c>
      <c r="F6202" s="7">
        <v>-1.4599999999999999E-3</v>
      </c>
      <c r="G6202" s="7">
        <v>0.34370000000000001</v>
      </c>
    </row>
    <row r="6203" spans="2:7" x14ac:dyDescent="0.2">
      <c r="B6203" s="60">
        <v>44483</v>
      </c>
      <c r="C6203" s="7">
        <v>-1.8400000000000001E-3</v>
      </c>
      <c r="D6203" s="7">
        <v>-1.23E-3</v>
      </c>
      <c r="E6203" s="7">
        <v>-1.09E-3</v>
      </c>
      <c r="F6203" s="7">
        <v>-1.92E-3</v>
      </c>
      <c r="G6203" s="7">
        <v>0.4264</v>
      </c>
    </row>
    <row r="6204" spans="2:7" x14ac:dyDescent="0.2">
      <c r="B6204" s="60">
        <v>44484</v>
      </c>
      <c r="C6204" s="7">
        <v>-1.7100000000000001E-3</v>
      </c>
      <c r="D6204" s="7">
        <v>-1.83E-3</v>
      </c>
      <c r="E6204" s="7">
        <v>-1.4599999999999999E-3</v>
      </c>
      <c r="F6204" s="7">
        <v>-1.9E-3</v>
      </c>
      <c r="G6204" s="7">
        <v>-7.0699999999999999E-2</v>
      </c>
    </row>
    <row r="6205" spans="2:7" x14ac:dyDescent="0.2">
      <c r="B6205" s="60">
        <v>44487</v>
      </c>
      <c r="C6205" s="7">
        <v>-1.48E-3</v>
      </c>
      <c r="D6205" s="7">
        <v>-1.67E-3</v>
      </c>
      <c r="E6205" s="7">
        <v>-1.16E-3</v>
      </c>
      <c r="F6205" s="7">
        <v>-1.6900000000000001E-3</v>
      </c>
      <c r="G6205" s="7">
        <v>-0.13450000000000001</v>
      </c>
    </row>
    <row r="6206" spans="2:7" x14ac:dyDescent="0.2">
      <c r="B6206" s="60">
        <v>44488</v>
      </c>
      <c r="C6206" s="7">
        <v>-1.14E-3</v>
      </c>
      <c r="D6206" s="7">
        <v>-1.47E-3</v>
      </c>
      <c r="E6206" s="7">
        <v>-9.6000000000000002E-4</v>
      </c>
      <c r="F6206" s="7">
        <v>-1.7299999999999998E-3</v>
      </c>
      <c r="G6206" s="7">
        <v>-0.22969999999999999</v>
      </c>
    </row>
    <row r="6207" spans="2:7" x14ac:dyDescent="0.2">
      <c r="B6207" s="60">
        <v>44489</v>
      </c>
      <c r="C6207" s="7">
        <v>-1.23E-3</v>
      </c>
      <c r="D6207" s="7">
        <v>-9.3999999999999997E-4</v>
      </c>
      <c r="E6207" s="7">
        <v>-9.2000000000000003E-4</v>
      </c>
      <c r="F6207" s="7">
        <v>-1.34E-3</v>
      </c>
      <c r="G6207" s="7">
        <v>7.8899999999999998E-2</v>
      </c>
    </row>
    <row r="6208" spans="2:7" x14ac:dyDescent="0.2">
      <c r="B6208" s="60">
        <v>44490</v>
      </c>
      <c r="C6208" s="7">
        <v>-9.7000000000000005E-4</v>
      </c>
      <c r="D6208" s="7">
        <v>-1.17E-3</v>
      </c>
      <c r="E6208" s="7">
        <v>-8.5000000000000006E-4</v>
      </c>
      <c r="F6208" s="7">
        <v>-1.2900000000000001E-3</v>
      </c>
      <c r="G6208" s="7">
        <v>-0.2114</v>
      </c>
    </row>
    <row r="6209" spans="2:7" x14ac:dyDescent="0.2">
      <c r="B6209" s="60">
        <v>44491</v>
      </c>
      <c r="C6209" s="7">
        <v>-9.7000000000000005E-4</v>
      </c>
      <c r="D6209" s="7">
        <v>-8.9999999999999998E-4</v>
      </c>
      <c r="E6209" s="7">
        <v>-6.9000000000000008E-4</v>
      </c>
      <c r="F6209" s="7">
        <v>-1.07E-3</v>
      </c>
      <c r="G6209" s="7">
        <v>0</v>
      </c>
    </row>
    <row r="6210" spans="2:7" x14ac:dyDescent="0.2">
      <c r="B6210" s="60">
        <v>44492</v>
      </c>
      <c r="C6210" s="7">
        <v>-1.0349999999999999E-3</v>
      </c>
      <c r="D6210" s="7">
        <v>-1.0349999999999999E-3</v>
      </c>
      <c r="E6210" s="7">
        <v>-1.0349999999999999E-3</v>
      </c>
      <c r="F6210" s="7">
        <v>-1.0349999999999999E-3</v>
      </c>
      <c r="G6210" s="7">
        <v>6.7000000000000004E-2</v>
      </c>
    </row>
    <row r="6211" spans="2:7" x14ac:dyDescent="0.2">
      <c r="B6211" s="60">
        <v>44494</v>
      </c>
      <c r="C6211" s="7">
        <v>-1.1200000000000001E-3</v>
      </c>
      <c r="D6211" s="7">
        <v>-1.09E-3</v>
      </c>
      <c r="E6211" s="7">
        <v>-7.7999999999999999E-4</v>
      </c>
      <c r="F6211" s="7">
        <v>-1.2099999999999999E-3</v>
      </c>
      <c r="G6211" s="7">
        <v>8.2100000000000006E-2</v>
      </c>
    </row>
    <row r="6212" spans="2:7" x14ac:dyDescent="0.2">
      <c r="B6212" s="60">
        <v>44495</v>
      </c>
      <c r="C6212" s="7">
        <v>-1.1999999999999999E-3</v>
      </c>
      <c r="D6212" s="7">
        <v>-1.06E-3</v>
      </c>
      <c r="E6212" s="7">
        <v>-1.0199999999999999E-3</v>
      </c>
      <c r="F6212" s="7">
        <v>-1.4099999999999998E-3</v>
      </c>
      <c r="G6212" s="7">
        <v>7.1400000000000005E-2</v>
      </c>
    </row>
    <row r="6213" spans="2:7" x14ac:dyDescent="0.2">
      <c r="B6213" s="60">
        <v>44496</v>
      </c>
      <c r="C6213" s="7">
        <v>-1.7599999999999998E-3</v>
      </c>
      <c r="D6213" s="7">
        <v>-1.1999999999999999E-3</v>
      </c>
      <c r="E6213" s="7">
        <v>-1.16E-3</v>
      </c>
      <c r="F6213" s="7">
        <v>-1.8400000000000001E-3</v>
      </c>
      <c r="G6213" s="7">
        <v>0.4667</v>
      </c>
    </row>
    <row r="6214" spans="2:7" x14ac:dyDescent="0.2">
      <c r="B6214" s="60">
        <v>44497</v>
      </c>
      <c r="C6214" s="7">
        <v>-1.5E-3</v>
      </c>
      <c r="D6214" s="7">
        <v>-1.7699999999999999E-3</v>
      </c>
      <c r="E6214" s="7">
        <v>-1E-3</v>
      </c>
      <c r="F6214" s="7">
        <v>-1.82E-3</v>
      </c>
      <c r="G6214" s="7">
        <v>-0.1477</v>
      </c>
    </row>
    <row r="6215" spans="2:7" x14ac:dyDescent="0.2">
      <c r="B6215" s="60">
        <v>44498</v>
      </c>
      <c r="C6215" s="7">
        <v>-9.3999999999999997E-4</v>
      </c>
      <c r="D6215" s="7">
        <v>-1.1000000000000001E-3</v>
      </c>
      <c r="E6215" s="7">
        <v>-6.4000000000000005E-4</v>
      </c>
      <c r="F6215" s="7">
        <v>-1.2700000000000001E-3</v>
      </c>
      <c r="G6215" s="7">
        <v>-0.37330000000000002</v>
      </c>
    </row>
    <row r="6216" spans="2:7" x14ac:dyDescent="0.2">
      <c r="B6216" s="60">
        <v>44499</v>
      </c>
      <c r="C6216" s="7">
        <v>-1.065E-3</v>
      </c>
      <c r="D6216" s="7">
        <v>-1.065E-3</v>
      </c>
      <c r="E6216" s="7">
        <v>-1.065E-3</v>
      </c>
      <c r="F6216" s="7">
        <v>-1.065E-3</v>
      </c>
      <c r="G6216" s="7">
        <v>0.13300000000000001</v>
      </c>
    </row>
    <row r="6217" spans="2:7" x14ac:dyDescent="0.2">
      <c r="B6217" s="60">
        <v>44501</v>
      </c>
      <c r="C6217" s="7">
        <v>-1.0299999999999999E-3</v>
      </c>
      <c r="D6217" s="7">
        <v>-1.1000000000000001E-3</v>
      </c>
      <c r="E6217" s="7">
        <v>-6.4999999999999997E-4</v>
      </c>
      <c r="F6217" s="7">
        <v>-1.1899999999999999E-3</v>
      </c>
      <c r="G6217" s="7">
        <v>-3.2899999999999999E-2</v>
      </c>
    </row>
    <row r="6218" spans="2:7" x14ac:dyDescent="0.2">
      <c r="B6218" s="60">
        <v>44502</v>
      </c>
      <c r="C6218" s="7">
        <v>-1.6000000000000001E-3</v>
      </c>
      <c r="D6218" s="7">
        <v>-1.0399999999999999E-3</v>
      </c>
      <c r="E6218" s="7">
        <v>-1.0399999999999999E-3</v>
      </c>
      <c r="F6218" s="7">
        <v>-1.7100000000000001E-3</v>
      </c>
      <c r="G6218" s="7">
        <v>0.5534</v>
      </c>
    </row>
    <row r="6219" spans="2:7" x14ac:dyDescent="0.2">
      <c r="B6219" s="60">
        <v>44503</v>
      </c>
      <c r="C6219" s="7">
        <v>-1.67E-3</v>
      </c>
      <c r="D6219" s="7">
        <v>-1.6200000000000001E-3</v>
      </c>
      <c r="E6219" s="7">
        <v>-1.5E-3</v>
      </c>
      <c r="F6219" s="7">
        <v>-1.9400000000000001E-3</v>
      </c>
      <c r="G6219" s="7">
        <v>4.3700000000000003E-2</v>
      </c>
    </row>
    <row r="6220" spans="2:7" x14ac:dyDescent="0.2">
      <c r="B6220" s="60">
        <v>44504</v>
      </c>
      <c r="C6220" s="7">
        <v>-2.2500000000000003E-3</v>
      </c>
      <c r="D6220" s="7">
        <v>-1.65E-3</v>
      </c>
      <c r="E6220" s="7">
        <v>-1.56E-3</v>
      </c>
      <c r="F6220" s="7">
        <v>-2.31E-3</v>
      </c>
      <c r="G6220" s="7">
        <v>0.3473</v>
      </c>
    </row>
    <row r="6221" spans="2:7" x14ac:dyDescent="0.2">
      <c r="B6221" s="60">
        <v>44505</v>
      </c>
      <c r="C6221" s="7">
        <v>-2.8000000000000004E-3</v>
      </c>
      <c r="D6221" s="7">
        <v>-2.2000000000000001E-3</v>
      </c>
      <c r="E6221" s="7">
        <v>-2.16E-3</v>
      </c>
      <c r="F6221" s="7">
        <v>-2.8499999999999997E-3</v>
      </c>
      <c r="G6221" s="7">
        <v>0.24440000000000001</v>
      </c>
    </row>
    <row r="6222" spans="2:7" x14ac:dyDescent="0.2">
      <c r="B6222" s="60">
        <v>44508</v>
      </c>
      <c r="C6222" s="7">
        <v>-2.47E-3</v>
      </c>
      <c r="D6222" s="7">
        <v>-2.7700000000000003E-3</v>
      </c>
      <c r="E6222" s="7">
        <v>-2.4399999999999999E-3</v>
      </c>
      <c r="F6222" s="7">
        <v>-2.8199999999999996E-3</v>
      </c>
      <c r="G6222" s="7">
        <v>-0.1179</v>
      </c>
    </row>
    <row r="6223" spans="2:7" x14ac:dyDescent="0.2">
      <c r="B6223" s="60">
        <v>44509</v>
      </c>
      <c r="C6223" s="7">
        <v>-2.96E-3</v>
      </c>
      <c r="D6223" s="7">
        <v>-2.5300000000000001E-3</v>
      </c>
      <c r="E6223" s="7">
        <v>-2.3999999999999998E-3</v>
      </c>
      <c r="F6223" s="7">
        <v>-2.99E-3</v>
      </c>
      <c r="G6223" s="7">
        <v>0.19839999999999999</v>
      </c>
    </row>
    <row r="6224" spans="2:7" x14ac:dyDescent="0.2">
      <c r="B6224" s="60">
        <v>44510</v>
      </c>
      <c r="C6224" s="7">
        <v>-2.48E-3</v>
      </c>
      <c r="D6224" s="7">
        <v>-2.97E-3</v>
      </c>
      <c r="E6224" s="7">
        <v>-2.4299999999999999E-3</v>
      </c>
      <c r="F6224" s="7">
        <v>-2.98E-3</v>
      </c>
      <c r="G6224" s="7">
        <v>-0.16220000000000001</v>
      </c>
    </row>
    <row r="6225" spans="2:7" x14ac:dyDescent="0.2">
      <c r="B6225" s="60">
        <v>44511</v>
      </c>
      <c r="C6225" s="7">
        <v>-2.2599999999999999E-3</v>
      </c>
      <c r="D6225" s="7">
        <v>-2.48E-3</v>
      </c>
      <c r="E6225" s="7">
        <v>-2.1700000000000001E-3</v>
      </c>
      <c r="F6225" s="7">
        <v>-2.5999999999999999E-3</v>
      </c>
      <c r="G6225" s="7">
        <v>-8.8700000000000001E-2</v>
      </c>
    </row>
    <row r="6226" spans="2:7" x14ac:dyDescent="0.2">
      <c r="B6226" s="60">
        <v>44512</v>
      </c>
      <c r="C6226" s="7">
        <v>-2.5600000000000002E-3</v>
      </c>
      <c r="D6226" s="7">
        <v>-2.32E-3</v>
      </c>
      <c r="E6226" s="7">
        <v>-2.1700000000000001E-3</v>
      </c>
      <c r="F6226" s="7">
        <v>-2.6900000000000001E-3</v>
      </c>
      <c r="G6226" s="7">
        <v>0.13270000000000001</v>
      </c>
    </row>
    <row r="6227" spans="2:7" x14ac:dyDescent="0.2">
      <c r="B6227" s="60">
        <v>44515</v>
      </c>
      <c r="C6227" s="7">
        <v>-2.4499999999999999E-3</v>
      </c>
      <c r="D6227" s="7">
        <v>-2.63E-3</v>
      </c>
      <c r="E6227" s="7">
        <v>-2.3699999999999997E-3</v>
      </c>
      <c r="F6227" s="7">
        <v>-2.8999999999999998E-3</v>
      </c>
      <c r="G6227" s="7">
        <v>-4.2999999999999997E-2</v>
      </c>
    </row>
    <row r="6228" spans="2:7" x14ac:dyDescent="0.2">
      <c r="B6228" s="60">
        <v>44516</v>
      </c>
      <c r="C6228" s="7">
        <v>-2.4399999999999999E-3</v>
      </c>
      <c r="D6228" s="7">
        <v>-2.33E-3</v>
      </c>
      <c r="E6228" s="7">
        <v>-2.1900000000000001E-3</v>
      </c>
      <c r="F6228" s="7">
        <v>-2.5200000000000001E-3</v>
      </c>
      <c r="G6228" s="7">
        <v>-4.1000000000000003E-3</v>
      </c>
    </row>
    <row r="6229" spans="2:7" x14ac:dyDescent="0.2">
      <c r="B6229" s="60">
        <v>44517</v>
      </c>
      <c r="C6229" s="7">
        <v>-2.4399999999999999E-3</v>
      </c>
      <c r="D6229" s="7">
        <v>-2.3999999999999998E-3</v>
      </c>
      <c r="E6229" s="7">
        <v>-2.2899999999999999E-3</v>
      </c>
      <c r="F6229" s="7">
        <v>-2.5600000000000002E-3</v>
      </c>
      <c r="G6229" s="7">
        <v>0</v>
      </c>
    </row>
    <row r="6230" spans="2:7" x14ac:dyDescent="0.2">
      <c r="B6230" s="60">
        <v>44518</v>
      </c>
      <c r="C6230" s="7">
        <v>-2.8000000000000004E-3</v>
      </c>
      <c r="D6230" s="7">
        <v>-2.4599999999999999E-3</v>
      </c>
      <c r="E6230" s="7">
        <v>-2.4499999999999999E-3</v>
      </c>
      <c r="F6230" s="7">
        <v>-2.8199999999999996E-3</v>
      </c>
      <c r="G6230" s="7">
        <v>0.14749999999999999</v>
      </c>
    </row>
    <row r="6231" spans="2:7" x14ac:dyDescent="0.2">
      <c r="B6231" s="60">
        <v>44519</v>
      </c>
      <c r="C6231" s="7">
        <v>-3.4100000000000003E-3</v>
      </c>
      <c r="D6231" s="7">
        <v>-2.7500000000000003E-3</v>
      </c>
      <c r="E6231" s="7">
        <v>-2.5200000000000001E-3</v>
      </c>
      <c r="F6231" s="7">
        <v>-3.4399999999999999E-3</v>
      </c>
      <c r="G6231" s="7">
        <v>0.21790000000000001</v>
      </c>
    </row>
    <row r="6232" spans="2:7" x14ac:dyDescent="0.2">
      <c r="B6232" s="60">
        <v>44520</v>
      </c>
      <c r="C6232" s="7">
        <v>-3.4399999999999999E-3</v>
      </c>
      <c r="D6232" s="7">
        <v>-3.4399999999999999E-3</v>
      </c>
      <c r="E6232" s="7">
        <v>-3.4399999999999999E-3</v>
      </c>
      <c r="F6232" s="7">
        <v>-3.4399999999999999E-3</v>
      </c>
      <c r="G6232" s="7">
        <v>8.8000000000000005E-3</v>
      </c>
    </row>
    <row r="6233" spans="2:7" x14ac:dyDescent="0.2">
      <c r="B6233" s="60">
        <v>44522</v>
      </c>
      <c r="C6233" s="7">
        <v>-2.96E-3</v>
      </c>
      <c r="D6233" s="7">
        <v>-3.4200000000000003E-3</v>
      </c>
      <c r="E6233" s="7">
        <v>-2.9499999999999999E-3</v>
      </c>
      <c r="F6233" s="7">
        <v>-3.5599999999999998E-3</v>
      </c>
      <c r="G6233" s="7">
        <v>-0.13950000000000001</v>
      </c>
    </row>
    <row r="6234" spans="2:7" x14ac:dyDescent="0.2">
      <c r="B6234" s="60">
        <v>44523</v>
      </c>
      <c r="C6234" s="7">
        <v>-2.2799999999999999E-3</v>
      </c>
      <c r="D6234" s="7">
        <v>-2.99E-3</v>
      </c>
      <c r="E6234" s="7">
        <v>-2.2500000000000003E-3</v>
      </c>
      <c r="F6234" s="7">
        <v>-2.99E-3</v>
      </c>
      <c r="G6234" s="7">
        <v>-0.22969999999999999</v>
      </c>
    </row>
    <row r="6235" spans="2:7" x14ac:dyDescent="0.2">
      <c r="B6235" s="60">
        <v>44524</v>
      </c>
      <c r="C6235" s="7">
        <v>-2.1900000000000001E-3</v>
      </c>
      <c r="D6235" s="7">
        <v>-2.5000000000000001E-3</v>
      </c>
      <c r="E6235" s="7">
        <v>-1.99E-3</v>
      </c>
      <c r="F6235" s="7">
        <v>-2.5000000000000001E-3</v>
      </c>
      <c r="G6235" s="7">
        <v>-3.95E-2</v>
      </c>
    </row>
    <row r="6236" spans="2:7" x14ac:dyDescent="0.2">
      <c r="B6236" s="60">
        <v>44525</v>
      </c>
      <c r="C6236" s="7">
        <v>-2.4599999999999999E-3</v>
      </c>
      <c r="D6236" s="7">
        <v>-2.2599999999999999E-3</v>
      </c>
      <c r="E6236" s="7">
        <v>-2.1900000000000001E-3</v>
      </c>
      <c r="F6236" s="7">
        <v>-2.5000000000000001E-3</v>
      </c>
      <c r="G6236" s="7">
        <v>0.12330000000000001</v>
      </c>
    </row>
    <row r="6237" spans="2:7" x14ac:dyDescent="0.2">
      <c r="B6237" s="60">
        <v>44526</v>
      </c>
      <c r="C6237" s="7">
        <v>-3.3800000000000002E-3</v>
      </c>
      <c r="D6237" s="7">
        <v>-2.49E-3</v>
      </c>
      <c r="E6237" s="7">
        <v>-2.49E-3</v>
      </c>
      <c r="F6237" s="7">
        <v>-3.4300000000000003E-3</v>
      </c>
      <c r="G6237" s="7">
        <v>0.374</v>
      </c>
    </row>
    <row r="6238" spans="2:7" x14ac:dyDescent="0.2">
      <c r="B6238" s="60">
        <v>44527</v>
      </c>
      <c r="C6238" s="7">
        <v>-3.4150000000000001E-3</v>
      </c>
      <c r="D6238" s="7">
        <v>-3.4150000000000001E-3</v>
      </c>
      <c r="E6238" s="7">
        <v>-3.4150000000000001E-3</v>
      </c>
      <c r="F6238" s="7">
        <v>-3.4150000000000001E-3</v>
      </c>
      <c r="G6238" s="7">
        <v>1.04E-2</v>
      </c>
    </row>
    <row r="6239" spans="2:7" x14ac:dyDescent="0.2">
      <c r="B6239" s="60">
        <v>44529</v>
      </c>
      <c r="C6239" s="7">
        <v>-3.2300000000000002E-3</v>
      </c>
      <c r="D6239" s="7">
        <v>-3.3600000000000001E-3</v>
      </c>
      <c r="E6239" s="7">
        <v>-2.9399999999999999E-3</v>
      </c>
      <c r="F6239" s="7">
        <v>-3.4100000000000003E-3</v>
      </c>
      <c r="G6239" s="7">
        <v>-5.4199999999999998E-2</v>
      </c>
    </row>
    <row r="6240" spans="2:7" x14ac:dyDescent="0.2">
      <c r="B6240" s="60">
        <v>44530</v>
      </c>
      <c r="C6240" s="7">
        <v>-3.4300000000000003E-3</v>
      </c>
      <c r="D6240" s="7">
        <v>-3.1700000000000001E-3</v>
      </c>
      <c r="E6240" s="7">
        <v>-3.1700000000000001E-3</v>
      </c>
      <c r="F6240" s="7">
        <v>-3.63E-3</v>
      </c>
      <c r="G6240" s="7">
        <v>6.1899999999999997E-2</v>
      </c>
    </row>
    <row r="6241" spans="2:7" x14ac:dyDescent="0.2">
      <c r="B6241" s="60">
        <v>44531</v>
      </c>
      <c r="C6241" s="7">
        <v>-3.31E-3</v>
      </c>
      <c r="D6241" s="7">
        <v>-3.4899999999999996E-3</v>
      </c>
      <c r="E6241" s="7">
        <v>-2.99E-3</v>
      </c>
      <c r="F6241" s="7">
        <v>-3.4999999999999996E-3</v>
      </c>
      <c r="G6241" s="7">
        <v>-3.5000000000000003E-2</v>
      </c>
    </row>
    <row r="6242" spans="2:7" x14ac:dyDescent="0.2">
      <c r="B6242" s="60">
        <v>44532</v>
      </c>
      <c r="C6242" s="7">
        <v>-3.7299999999999998E-3</v>
      </c>
      <c r="D6242" s="7">
        <v>-3.4599999999999995E-3</v>
      </c>
      <c r="E6242" s="7">
        <v>-3.3300000000000001E-3</v>
      </c>
      <c r="F6242" s="7">
        <v>-3.9399999999999999E-3</v>
      </c>
      <c r="G6242" s="7">
        <v>0.12690000000000001</v>
      </c>
    </row>
    <row r="6243" spans="2:7" x14ac:dyDescent="0.2">
      <c r="B6243" s="60">
        <v>44533</v>
      </c>
      <c r="C6243" s="7">
        <v>-3.7799999999999999E-3</v>
      </c>
      <c r="D6243" s="7">
        <v>-3.7299999999999998E-3</v>
      </c>
      <c r="E6243" s="7">
        <v>-3.5099999999999997E-3</v>
      </c>
      <c r="F6243" s="7">
        <v>-3.8700000000000002E-3</v>
      </c>
      <c r="G6243" s="7">
        <v>1.34E-2</v>
      </c>
    </row>
    <row r="6244" spans="2:7" x14ac:dyDescent="0.2">
      <c r="B6244" s="60">
        <v>44536</v>
      </c>
      <c r="C6244" s="7">
        <v>-3.8700000000000002E-3</v>
      </c>
      <c r="D6244" s="7">
        <v>-3.9000000000000003E-3</v>
      </c>
      <c r="E6244" s="7">
        <v>-3.6600000000000001E-3</v>
      </c>
      <c r="F6244" s="7">
        <v>-3.9399999999999999E-3</v>
      </c>
      <c r="G6244" s="7">
        <v>2.3800000000000002E-2</v>
      </c>
    </row>
    <row r="6245" spans="2:7" x14ac:dyDescent="0.2">
      <c r="B6245" s="60">
        <v>44537</v>
      </c>
      <c r="C6245" s="7">
        <v>-3.7499999999999999E-3</v>
      </c>
      <c r="D6245" s="7">
        <v>-3.5599999999999998E-3</v>
      </c>
      <c r="E6245" s="7">
        <v>-3.4799999999999996E-3</v>
      </c>
      <c r="F6245" s="7">
        <v>-3.8400000000000001E-3</v>
      </c>
      <c r="G6245" s="7">
        <v>-3.1E-2</v>
      </c>
    </row>
    <row r="6246" spans="2:7" x14ac:dyDescent="0.2">
      <c r="B6246" s="60">
        <v>44538</v>
      </c>
      <c r="C6246" s="7">
        <v>-3.0899999999999999E-3</v>
      </c>
      <c r="D6246" s="7">
        <v>-3.7199999999999998E-3</v>
      </c>
      <c r="E6246" s="7">
        <v>-3.0599999999999998E-3</v>
      </c>
      <c r="F6246" s="7">
        <v>-4.0899999999999999E-3</v>
      </c>
      <c r="G6246" s="7">
        <v>-0.17599999999999999</v>
      </c>
    </row>
    <row r="6247" spans="2:7" x14ac:dyDescent="0.2">
      <c r="B6247" s="60">
        <v>44539</v>
      </c>
      <c r="C6247" s="7">
        <v>-3.5099999999999997E-3</v>
      </c>
      <c r="D6247" s="7">
        <v>-3.1700000000000001E-3</v>
      </c>
      <c r="E6247" s="7">
        <v>-3.13E-3</v>
      </c>
      <c r="F6247" s="7">
        <v>-3.64E-3</v>
      </c>
      <c r="G6247" s="7">
        <v>0.13589999999999999</v>
      </c>
    </row>
    <row r="6248" spans="2:7" x14ac:dyDescent="0.2">
      <c r="B6248" s="60">
        <v>44540</v>
      </c>
      <c r="C6248" s="7">
        <v>-3.4999999999999996E-3</v>
      </c>
      <c r="D6248" s="7">
        <v>-3.5499999999999998E-3</v>
      </c>
      <c r="E6248" s="7">
        <v>-3.2799999999999999E-3</v>
      </c>
      <c r="F6248" s="7">
        <v>-3.5899999999999999E-3</v>
      </c>
      <c r="G6248" s="7">
        <v>-2.8E-3</v>
      </c>
    </row>
    <row r="6249" spans="2:7" x14ac:dyDescent="0.2">
      <c r="B6249" s="60">
        <v>44543</v>
      </c>
      <c r="C6249" s="7">
        <v>-3.8E-3</v>
      </c>
      <c r="D6249" s="7">
        <v>-3.4499999999999999E-3</v>
      </c>
      <c r="E6249" s="7">
        <v>-3.3900000000000002E-3</v>
      </c>
      <c r="F6249" s="7">
        <v>-3.8500000000000001E-3</v>
      </c>
      <c r="G6249" s="7">
        <v>8.5699999999999998E-2</v>
      </c>
    </row>
    <row r="6250" spans="2:7" x14ac:dyDescent="0.2">
      <c r="B6250" s="60">
        <v>44544</v>
      </c>
      <c r="C6250" s="7">
        <v>-3.63E-3</v>
      </c>
      <c r="D6250" s="7">
        <v>-3.8E-3</v>
      </c>
      <c r="E6250" s="7">
        <v>-3.4999999999999996E-3</v>
      </c>
      <c r="F6250" s="7">
        <v>-3.8400000000000001E-3</v>
      </c>
      <c r="G6250" s="7">
        <v>-4.4699999999999997E-2</v>
      </c>
    </row>
    <row r="6251" spans="2:7" x14ac:dyDescent="0.2">
      <c r="B6251" s="60">
        <v>44545</v>
      </c>
      <c r="C6251" s="7">
        <v>-3.62E-3</v>
      </c>
      <c r="D6251" s="7">
        <v>-3.6800000000000001E-3</v>
      </c>
      <c r="E6251" s="7">
        <v>-3.4300000000000003E-3</v>
      </c>
      <c r="F6251" s="7">
        <v>-3.7699999999999999E-3</v>
      </c>
      <c r="G6251" s="7">
        <v>-2.8E-3</v>
      </c>
    </row>
    <row r="6252" spans="2:7" x14ac:dyDescent="0.2">
      <c r="B6252" s="60">
        <v>44546</v>
      </c>
      <c r="C6252" s="7">
        <v>-3.4599999999999995E-3</v>
      </c>
      <c r="D6252" s="7">
        <v>-3.62E-3</v>
      </c>
      <c r="E6252" s="7">
        <v>-3.0899999999999999E-3</v>
      </c>
      <c r="F6252" s="7">
        <v>-3.7099999999999998E-3</v>
      </c>
      <c r="G6252" s="7">
        <v>-4.4200000000000003E-2</v>
      </c>
    </row>
    <row r="6253" spans="2:7" x14ac:dyDescent="0.2">
      <c r="B6253" s="60">
        <v>44547</v>
      </c>
      <c r="C6253" s="7">
        <v>-3.7499999999999999E-3</v>
      </c>
      <c r="D6253" s="7">
        <v>-3.5099999999999997E-3</v>
      </c>
      <c r="E6253" s="7">
        <v>-3.4699999999999996E-3</v>
      </c>
      <c r="F6253" s="7">
        <v>-3.8600000000000001E-3</v>
      </c>
      <c r="G6253" s="7">
        <v>8.3799999999999999E-2</v>
      </c>
    </row>
    <row r="6254" spans="2:7" x14ac:dyDescent="0.2">
      <c r="B6254" s="60">
        <v>44550</v>
      </c>
      <c r="C6254" s="7">
        <v>-3.6600000000000001E-3</v>
      </c>
      <c r="D6254" s="7">
        <v>-3.7799999999999999E-3</v>
      </c>
      <c r="E6254" s="7">
        <v>-3.5199999999999997E-3</v>
      </c>
      <c r="F6254" s="7">
        <v>-4.0200000000000001E-3</v>
      </c>
      <c r="G6254" s="7">
        <v>-2.4E-2</v>
      </c>
    </row>
    <row r="6255" spans="2:7" x14ac:dyDescent="0.2">
      <c r="B6255" s="60">
        <v>44551</v>
      </c>
      <c r="C6255" s="7">
        <v>-3.0299999999999997E-3</v>
      </c>
      <c r="D6255" s="7">
        <v>-3.6900000000000001E-3</v>
      </c>
      <c r="E6255" s="7">
        <v>-2.99E-3</v>
      </c>
      <c r="F6255" s="7">
        <v>-3.7299999999999998E-3</v>
      </c>
      <c r="G6255" s="7">
        <v>-0.1721</v>
      </c>
    </row>
    <row r="6256" spans="2:7" x14ac:dyDescent="0.2">
      <c r="B6256" s="60">
        <v>44552</v>
      </c>
      <c r="C6256" s="7">
        <v>-2.9299999999999999E-3</v>
      </c>
      <c r="D6256" s="7">
        <v>-3.0999999999999999E-3</v>
      </c>
      <c r="E6256" s="7">
        <v>-2.6800000000000001E-3</v>
      </c>
      <c r="F6256" s="7">
        <v>-3.14E-3</v>
      </c>
      <c r="G6256" s="7">
        <v>-3.3000000000000002E-2</v>
      </c>
    </row>
    <row r="6257" spans="2:7" x14ac:dyDescent="0.2">
      <c r="B6257" s="60">
        <v>44553</v>
      </c>
      <c r="C6257" s="7">
        <v>-2.5200000000000001E-3</v>
      </c>
      <c r="D6257" s="7">
        <v>-2.8499999999999997E-3</v>
      </c>
      <c r="E6257" s="7">
        <v>-2.3499999999999997E-3</v>
      </c>
      <c r="F6257" s="7">
        <v>-2.9299999999999999E-3</v>
      </c>
      <c r="G6257" s="7">
        <v>-0.1399</v>
      </c>
    </row>
    <row r="6258" spans="2:7" x14ac:dyDescent="0.2">
      <c r="B6258" s="60">
        <v>44554</v>
      </c>
      <c r="C6258" s="7">
        <v>-2.5100000000000001E-3</v>
      </c>
      <c r="D6258" s="7">
        <v>-2.5100000000000001E-3</v>
      </c>
      <c r="E6258" s="7">
        <v>-2.5100000000000001E-3</v>
      </c>
      <c r="F6258" s="7">
        <v>-2.5100000000000001E-3</v>
      </c>
      <c r="G6258" s="7">
        <v>-4.0000000000000001E-3</v>
      </c>
    </row>
    <row r="6259" spans="2:7" x14ac:dyDescent="0.2">
      <c r="B6259" s="60">
        <v>44557</v>
      </c>
      <c r="C6259" s="7">
        <v>-2.4399999999999999E-3</v>
      </c>
      <c r="D6259" s="7">
        <v>-2.5400000000000002E-3</v>
      </c>
      <c r="E6259" s="7">
        <v>-2.2200000000000002E-3</v>
      </c>
      <c r="F6259" s="7">
        <v>-2.5700000000000002E-3</v>
      </c>
      <c r="G6259" s="7">
        <v>-2.7900000000000001E-2</v>
      </c>
    </row>
    <row r="6260" spans="2:7" x14ac:dyDescent="0.2">
      <c r="B6260" s="60">
        <v>44558</v>
      </c>
      <c r="C6260" s="7">
        <v>-2.3899999999999998E-3</v>
      </c>
      <c r="D6260" s="7">
        <v>-2.4099999999999998E-3</v>
      </c>
      <c r="E6260" s="7">
        <v>-2.2100000000000002E-3</v>
      </c>
      <c r="F6260" s="7">
        <v>-2.49E-3</v>
      </c>
      <c r="G6260" s="7">
        <v>-2.0500000000000001E-2</v>
      </c>
    </row>
    <row r="6261" spans="2:7" x14ac:dyDescent="0.2">
      <c r="B6261" s="60">
        <v>44559</v>
      </c>
      <c r="C6261" s="7">
        <v>-1.8E-3</v>
      </c>
      <c r="D6261" s="7">
        <v>-2.3999999999999998E-3</v>
      </c>
      <c r="E6261" s="7">
        <v>-1.7899999999999999E-3</v>
      </c>
      <c r="F6261" s="7">
        <v>-2.4399999999999999E-3</v>
      </c>
      <c r="G6261" s="7">
        <v>-0.24690000000000001</v>
      </c>
    </row>
    <row r="6262" spans="2:7" x14ac:dyDescent="0.2">
      <c r="B6262" s="60">
        <v>44560</v>
      </c>
      <c r="C6262" s="7">
        <v>-1.7599999999999998E-3</v>
      </c>
      <c r="D6262" s="7">
        <v>-1.8E-3</v>
      </c>
      <c r="E6262" s="7">
        <v>-1.7100000000000001E-3</v>
      </c>
      <c r="F6262" s="7">
        <v>-2.0499999999999997E-3</v>
      </c>
      <c r="G6262" s="7">
        <v>-2.2200000000000001E-2</v>
      </c>
    </row>
    <row r="6263" spans="2:7" x14ac:dyDescent="0.2">
      <c r="B6263" s="60">
        <v>44561</v>
      </c>
      <c r="C6263" s="7">
        <v>-1.7899999999999999E-3</v>
      </c>
      <c r="D6263" s="7">
        <v>-1.7899999999999999E-3</v>
      </c>
      <c r="E6263" s="7">
        <v>-1.7899999999999999E-3</v>
      </c>
      <c r="F6263" s="7">
        <v>-1.7899999999999999E-3</v>
      </c>
      <c r="G6263" s="7">
        <v>1.7000000000000001E-2</v>
      </c>
    </row>
    <row r="6264" spans="2:7" x14ac:dyDescent="0.2">
      <c r="B6264" s="60">
        <v>44564</v>
      </c>
      <c r="C6264" s="7">
        <v>-1.24E-3</v>
      </c>
      <c r="D6264" s="7">
        <v>-1.7699999999999999E-3</v>
      </c>
      <c r="E6264" s="7">
        <v>-1.23E-3</v>
      </c>
      <c r="F6264" s="7">
        <v>-1.8500000000000001E-3</v>
      </c>
      <c r="G6264" s="7">
        <v>-0.30730000000000002</v>
      </c>
    </row>
    <row r="6265" spans="2:7" x14ac:dyDescent="0.2">
      <c r="B6265" s="60">
        <v>44565</v>
      </c>
      <c r="C6265" s="7">
        <v>-1.2800000000000001E-3</v>
      </c>
      <c r="D6265" s="7">
        <v>-1.1999999999999999E-3</v>
      </c>
      <c r="E6265" s="7">
        <v>-1.16E-3</v>
      </c>
      <c r="F6265" s="7">
        <v>-1.5499999999999999E-3</v>
      </c>
      <c r="G6265" s="7">
        <v>3.2300000000000002E-2</v>
      </c>
    </row>
    <row r="6266" spans="2:7" x14ac:dyDescent="0.2">
      <c r="B6266" s="60">
        <v>44566</v>
      </c>
      <c r="C6266" s="7">
        <v>-1.24E-3</v>
      </c>
      <c r="D6266" s="7">
        <v>-1.2199999999999999E-3</v>
      </c>
      <c r="E6266" s="7">
        <v>-1.14E-3</v>
      </c>
      <c r="F6266" s="7">
        <v>-1.3800000000000002E-3</v>
      </c>
      <c r="G6266" s="7">
        <v>-3.1300000000000001E-2</v>
      </c>
    </row>
    <row r="6267" spans="2:7" x14ac:dyDescent="0.2">
      <c r="B6267" s="60">
        <v>44567</v>
      </c>
      <c r="C6267" s="7">
        <v>-6.8000000000000005E-4</v>
      </c>
      <c r="D6267" s="7">
        <v>-6.4999999999999997E-4</v>
      </c>
      <c r="E6267" s="7">
        <v>-3.1E-4</v>
      </c>
      <c r="F6267" s="7">
        <v>-7.1999999999999994E-4</v>
      </c>
      <c r="G6267" s="7">
        <v>-0.4516</v>
      </c>
    </row>
    <row r="6268" spans="2:7" x14ac:dyDescent="0.2">
      <c r="B6268" s="60">
        <v>44568</v>
      </c>
      <c r="C6268" s="7">
        <v>-2.9E-4</v>
      </c>
      <c r="D6268" s="7">
        <v>-5.6999999999999998E-4</v>
      </c>
      <c r="E6268" s="7">
        <v>-2.9E-4</v>
      </c>
      <c r="F6268" s="7">
        <v>-6.7000000000000002E-4</v>
      </c>
      <c r="G6268" s="7">
        <v>-0.57350000000000001</v>
      </c>
    </row>
    <row r="6269" spans="2:7" x14ac:dyDescent="0.2">
      <c r="B6269" s="60">
        <v>44571</v>
      </c>
      <c r="C6269" s="7">
        <v>-3.5999999999999997E-4</v>
      </c>
      <c r="D6269" s="7">
        <v>-3.7999999999999997E-4</v>
      </c>
      <c r="E6269" s="7">
        <v>-2.5000000000000001E-4</v>
      </c>
      <c r="F6269" s="7">
        <v>-5.6000000000000006E-4</v>
      </c>
      <c r="G6269" s="7">
        <v>0.2414</v>
      </c>
    </row>
    <row r="6270" spans="2:7" x14ac:dyDescent="0.2">
      <c r="B6270" s="60">
        <v>44572</v>
      </c>
      <c r="C6270" s="7">
        <v>-3.2000000000000003E-4</v>
      </c>
      <c r="D6270" s="7">
        <v>-4.0000000000000002E-4</v>
      </c>
      <c r="E6270" s="7">
        <v>-1.4000000000000001E-4</v>
      </c>
      <c r="F6270" s="7">
        <v>-5.5000000000000003E-4</v>
      </c>
      <c r="G6270" s="7">
        <v>-0.1111</v>
      </c>
    </row>
    <row r="6271" spans="2:7" x14ac:dyDescent="0.2">
      <c r="B6271" s="60">
        <v>44573</v>
      </c>
      <c r="C6271" s="7">
        <v>-5.6999999999999998E-4</v>
      </c>
      <c r="D6271" s="7">
        <v>-3.7999999999999997E-4</v>
      </c>
      <c r="E6271" s="7">
        <v>-2.5999999999999998E-4</v>
      </c>
      <c r="F6271" s="7">
        <v>-7.6999999999999996E-4</v>
      </c>
      <c r="G6271" s="7">
        <v>0.78120000000000001</v>
      </c>
    </row>
    <row r="6272" spans="2:7" x14ac:dyDescent="0.2">
      <c r="B6272" s="60">
        <v>44574</v>
      </c>
      <c r="C6272" s="7">
        <v>-8.5999999999999998E-4</v>
      </c>
      <c r="D6272" s="7">
        <v>-4.6999999999999999E-4</v>
      </c>
      <c r="E6272" s="7">
        <v>-3.4000000000000002E-4</v>
      </c>
      <c r="F6272" s="7">
        <v>-9.8999999999999999E-4</v>
      </c>
      <c r="G6272" s="7">
        <v>0.50880000000000003</v>
      </c>
    </row>
    <row r="6273" spans="2:7" x14ac:dyDescent="0.2">
      <c r="B6273" s="60">
        <v>44575</v>
      </c>
      <c r="C6273" s="7">
        <v>-4.8999999999999998E-4</v>
      </c>
      <c r="D6273" s="7">
        <v>-8.7999999999999992E-4</v>
      </c>
      <c r="E6273" s="7">
        <v>-4.6999999999999999E-4</v>
      </c>
      <c r="F6273" s="7">
        <v>-1.0499999999999999E-3</v>
      </c>
      <c r="G6273" s="7">
        <v>-0.43020000000000003</v>
      </c>
    </row>
    <row r="6274" spans="2:7" x14ac:dyDescent="0.2">
      <c r="B6274" s="60">
        <v>44578</v>
      </c>
      <c r="C6274" s="7">
        <v>-2.5999999999999998E-4</v>
      </c>
      <c r="D6274" s="7">
        <v>-4.6000000000000001E-4</v>
      </c>
      <c r="E6274" s="7">
        <v>-2.0000000000000001E-4</v>
      </c>
      <c r="F6274" s="7">
        <v>-4.6000000000000001E-4</v>
      </c>
      <c r="G6274" s="7">
        <v>-0.46939999999999998</v>
      </c>
    </row>
    <row r="6275" spans="2:7" x14ac:dyDescent="0.2">
      <c r="B6275" s="60">
        <v>44579</v>
      </c>
      <c r="C6275" s="7">
        <v>-1.7999999999999998E-4</v>
      </c>
      <c r="D6275" s="7">
        <v>-1.6000000000000001E-4</v>
      </c>
      <c r="E6275" s="7">
        <v>-2.0000000000000002E-5</v>
      </c>
      <c r="F6275" s="7">
        <v>-3.1E-4</v>
      </c>
      <c r="G6275" s="7">
        <v>-0.30769999999999997</v>
      </c>
    </row>
    <row r="6276" spans="2:7" x14ac:dyDescent="0.2">
      <c r="B6276" s="60">
        <v>44580</v>
      </c>
      <c r="C6276" s="7">
        <v>-8.9999999999999992E-5</v>
      </c>
      <c r="D6276" s="7">
        <v>4.0000000000000003E-5</v>
      </c>
      <c r="E6276" s="7">
        <v>2.5000000000000001E-4</v>
      </c>
      <c r="F6276" s="7">
        <v>-1.2999999999999999E-4</v>
      </c>
      <c r="G6276" s="7">
        <v>-0.5</v>
      </c>
    </row>
    <row r="6277" spans="2:7" x14ac:dyDescent="0.2">
      <c r="B6277" s="60">
        <v>44581</v>
      </c>
      <c r="C6277" s="7">
        <v>-2.7E-4</v>
      </c>
      <c r="D6277" s="7">
        <v>3.0000000000000001E-5</v>
      </c>
      <c r="E6277" s="7">
        <v>8.0000000000000007E-5</v>
      </c>
      <c r="F6277" s="7">
        <v>-4.0999999999999999E-4</v>
      </c>
      <c r="G6277" s="7">
        <v>2</v>
      </c>
    </row>
    <row r="6278" spans="2:7" x14ac:dyDescent="0.2">
      <c r="B6278" s="60">
        <v>44582</v>
      </c>
      <c r="C6278" s="7">
        <v>-5.9999999999999995E-4</v>
      </c>
      <c r="D6278" s="7">
        <v>-3.4000000000000002E-4</v>
      </c>
      <c r="E6278" s="7">
        <v>-3.4000000000000002E-4</v>
      </c>
      <c r="F6278" s="7">
        <v>-8.699999999999999E-4</v>
      </c>
      <c r="G6278" s="7">
        <v>1.2222</v>
      </c>
    </row>
    <row r="6279" spans="2:7" x14ac:dyDescent="0.2">
      <c r="B6279" s="60">
        <v>44583</v>
      </c>
      <c r="C6279" s="7">
        <v>-6.7000000000000002E-4</v>
      </c>
      <c r="D6279" s="7">
        <v>-6.7000000000000002E-4</v>
      </c>
      <c r="E6279" s="7">
        <v>-6.7000000000000002E-4</v>
      </c>
      <c r="F6279" s="7">
        <v>-6.7000000000000002E-4</v>
      </c>
      <c r="G6279" s="7">
        <v>0.1167</v>
      </c>
    </row>
    <row r="6280" spans="2:7" x14ac:dyDescent="0.2">
      <c r="B6280" s="60">
        <v>44585</v>
      </c>
      <c r="C6280" s="7">
        <v>-9.7999999999999997E-4</v>
      </c>
      <c r="D6280" s="7">
        <v>-6.4999999999999997E-4</v>
      </c>
      <c r="E6280" s="7">
        <v>-5.9999999999999995E-4</v>
      </c>
      <c r="F6280" s="7">
        <v>-1.1000000000000001E-3</v>
      </c>
      <c r="G6280" s="7">
        <v>0.4627</v>
      </c>
    </row>
    <row r="6281" spans="2:7" x14ac:dyDescent="0.2">
      <c r="B6281" s="60">
        <v>44586</v>
      </c>
      <c r="C6281" s="7">
        <v>-8.1000000000000006E-4</v>
      </c>
      <c r="D6281" s="7">
        <v>-1.07E-3</v>
      </c>
      <c r="E6281" s="7">
        <v>-6.6E-4</v>
      </c>
      <c r="F6281" s="7">
        <v>-1.07E-3</v>
      </c>
      <c r="G6281" s="7">
        <v>-0.17349999999999999</v>
      </c>
    </row>
    <row r="6282" spans="2:7" x14ac:dyDescent="0.2">
      <c r="B6282" s="60">
        <v>44587</v>
      </c>
      <c r="C6282" s="7">
        <v>-7.0999999999999991E-4</v>
      </c>
      <c r="D6282" s="7">
        <v>-7.7999999999999999E-4</v>
      </c>
      <c r="E6282" s="7">
        <v>-6.2E-4</v>
      </c>
      <c r="F6282" s="7">
        <v>-8.1999999999999998E-4</v>
      </c>
      <c r="G6282" s="7">
        <v>-0.1235</v>
      </c>
    </row>
    <row r="6283" spans="2:7" x14ac:dyDescent="0.2">
      <c r="B6283" s="60">
        <v>44588</v>
      </c>
      <c r="C6283" s="7">
        <v>-5.6999999999999998E-4</v>
      </c>
      <c r="D6283" s="7">
        <v>-5.9999999999999995E-4</v>
      </c>
      <c r="E6283" s="7">
        <v>-2.3000000000000001E-4</v>
      </c>
      <c r="F6283" s="7">
        <v>-5.9999999999999995E-4</v>
      </c>
      <c r="G6283" s="7">
        <v>-0.19719999999999999</v>
      </c>
    </row>
    <row r="6284" spans="2:7" x14ac:dyDescent="0.2">
      <c r="B6284" s="60">
        <v>44589</v>
      </c>
      <c r="C6284" s="7">
        <v>-4.6999999999999999E-4</v>
      </c>
      <c r="D6284" s="7">
        <v>-4.8999999999999998E-4</v>
      </c>
      <c r="E6284" s="7">
        <v>-8.0000000000000007E-5</v>
      </c>
      <c r="F6284" s="7">
        <v>-5.6999999999999998E-4</v>
      </c>
      <c r="G6284" s="7">
        <v>-0.1754</v>
      </c>
    </row>
    <row r="6285" spans="2:7" x14ac:dyDescent="0.2">
      <c r="B6285" s="60">
        <v>44592</v>
      </c>
      <c r="C6285" s="7">
        <v>1.4000000000000001E-4</v>
      </c>
      <c r="D6285" s="7">
        <v>-3.2000000000000003E-4</v>
      </c>
      <c r="E6285" s="7">
        <v>3.2000000000000003E-4</v>
      </c>
      <c r="F6285" s="7">
        <v>-4.0000000000000002E-4</v>
      </c>
      <c r="G6285" s="7">
        <v>-1.2979000000000001</v>
      </c>
    </row>
    <row r="6286" spans="2:7" x14ac:dyDescent="0.2">
      <c r="B6286" s="60">
        <v>44593</v>
      </c>
      <c r="C6286" s="7">
        <v>3.6999999999999999E-4</v>
      </c>
      <c r="D6286" s="7">
        <v>1.0999999999999999E-4</v>
      </c>
      <c r="E6286" s="7">
        <v>4.3999999999999996E-4</v>
      </c>
      <c r="F6286" s="7">
        <v>-1.4999999999999999E-4</v>
      </c>
      <c r="G6286" s="7">
        <v>1.6429</v>
      </c>
    </row>
    <row r="6287" spans="2:7" x14ac:dyDescent="0.2">
      <c r="B6287" s="60">
        <v>44594</v>
      </c>
      <c r="C6287" s="7">
        <v>3.5000000000000005E-4</v>
      </c>
      <c r="D6287" s="7">
        <v>2.9E-4</v>
      </c>
      <c r="E6287" s="7">
        <v>5.8E-4</v>
      </c>
      <c r="F6287" s="7">
        <v>8.9999999999999992E-5</v>
      </c>
      <c r="G6287" s="7">
        <v>-5.4100000000000002E-2</v>
      </c>
    </row>
    <row r="6288" spans="2:7" x14ac:dyDescent="0.2">
      <c r="B6288" s="60">
        <v>44595</v>
      </c>
      <c r="C6288" s="7">
        <v>1.5499999999999999E-3</v>
      </c>
      <c r="D6288" s="7">
        <v>3.5000000000000005E-4</v>
      </c>
      <c r="E6288" s="7">
        <v>1.5900000000000001E-3</v>
      </c>
      <c r="F6288" s="7">
        <v>3.2000000000000003E-4</v>
      </c>
      <c r="G6288" s="7">
        <v>3.4285999999999999</v>
      </c>
    </row>
    <row r="6289" spans="2:7" x14ac:dyDescent="0.2">
      <c r="B6289" s="60">
        <v>44596</v>
      </c>
      <c r="C6289" s="7">
        <v>2.0799999999999998E-3</v>
      </c>
      <c r="D6289" s="7">
        <v>1.4199999999999998E-3</v>
      </c>
      <c r="E6289" s="7">
        <v>2.2899999999999999E-3</v>
      </c>
      <c r="F6289" s="7">
        <v>1.4099999999999998E-3</v>
      </c>
      <c r="G6289" s="7">
        <v>0.34189999999999998</v>
      </c>
    </row>
    <row r="6290" spans="2:7" x14ac:dyDescent="0.2">
      <c r="B6290" s="60">
        <v>44599</v>
      </c>
      <c r="C6290" s="7">
        <v>2.2400000000000002E-3</v>
      </c>
      <c r="D6290" s="7">
        <v>1.8699999999999999E-3</v>
      </c>
      <c r="E6290" s="7">
        <v>2.5000000000000001E-3</v>
      </c>
      <c r="F6290" s="7">
        <v>1.83E-3</v>
      </c>
      <c r="G6290" s="7">
        <v>7.6899999999999996E-2</v>
      </c>
    </row>
    <row r="6291" spans="2:7" x14ac:dyDescent="0.2">
      <c r="B6291" s="60">
        <v>44600</v>
      </c>
      <c r="C6291" s="7">
        <v>2.64E-3</v>
      </c>
      <c r="D6291" s="7">
        <v>2.4299999999999999E-3</v>
      </c>
      <c r="E6291" s="7">
        <v>2.7500000000000003E-3</v>
      </c>
      <c r="F6291" s="7">
        <v>2.0300000000000001E-3</v>
      </c>
      <c r="G6291" s="7">
        <v>0.17860000000000001</v>
      </c>
    </row>
    <row r="6292" spans="2:7" x14ac:dyDescent="0.2">
      <c r="B6292" s="60">
        <v>44601</v>
      </c>
      <c r="C6292" s="7">
        <v>2.2000000000000001E-3</v>
      </c>
      <c r="D6292" s="7">
        <v>2.65E-3</v>
      </c>
      <c r="E6292" s="7">
        <v>2.6700000000000001E-3</v>
      </c>
      <c r="F6292" s="7">
        <v>2.0899999999999998E-3</v>
      </c>
      <c r="G6292" s="7">
        <v>-0.16669999999999999</v>
      </c>
    </row>
    <row r="6293" spans="2:7" x14ac:dyDescent="0.2">
      <c r="B6293" s="60">
        <v>44602</v>
      </c>
      <c r="C6293" s="7">
        <v>2.9199999999999999E-3</v>
      </c>
      <c r="D6293" s="7">
        <v>2.3E-3</v>
      </c>
      <c r="E6293" s="7">
        <v>2.9499999999999999E-3</v>
      </c>
      <c r="F6293" s="7">
        <v>2.1199999999999999E-3</v>
      </c>
      <c r="G6293" s="7">
        <v>0.32729999999999998</v>
      </c>
    </row>
    <row r="6294" spans="2:7" x14ac:dyDescent="0.2">
      <c r="B6294" s="60">
        <v>44603</v>
      </c>
      <c r="C6294" s="7">
        <v>2.9199999999999999E-3</v>
      </c>
      <c r="D6294" s="7">
        <v>2.99E-3</v>
      </c>
      <c r="E6294" s="7">
        <v>3.0100000000000001E-3</v>
      </c>
      <c r="F6294" s="7">
        <v>2.49E-3</v>
      </c>
      <c r="G6294" s="7">
        <v>0</v>
      </c>
    </row>
    <row r="6295" spans="2:7" x14ac:dyDescent="0.2">
      <c r="B6295" s="60">
        <v>44606</v>
      </c>
      <c r="C6295" s="7">
        <v>2.7300000000000002E-3</v>
      </c>
      <c r="D6295" s="7">
        <v>2.3999999999999998E-3</v>
      </c>
      <c r="E6295" s="7">
        <v>2.7400000000000002E-3</v>
      </c>
      <c r="F6295" s="7">
        <v>1.9E-3</v>
      </c>
      <c r="G6295" s="7">
        <v>-6.5100000000000005E-2</v>
      </c>
    </row>
    <row r="6296" spans="2:7" x14ac:dyDescent="0.2">
      <c r="B6296" s="60">
        <v>44607</v>
      </c>
      <c r="C6296" s="7">
        <v>3.1099999999999999E-3</v>
      </c>
      <c r="D6296" s="7">
        <v>2.5800000000000003E-3</v>
      </c>
      <c r="E6296" s="7">
        <v>3.2600000000000003E-3</v>
      </c>
      <c r="F6296" s="7">
        <v>2.5200000000000001E-3</v>
      </c>
      <c r="G6296" s="7">
        <v>0.13919999999999999</v>
      </c>
    </row>
    <row r="6297" spans="2:7" x14ac:dyDescent="0.2">
      <c r="B6297" s="60">
        <v>44608</v>
      </c>
      <c r="C6297" s="7">
        <v>2.7200000000000002E-3</v>
      </c>
      <c r="D6297" s="7">
        <v>3.14E-3</v>
      </c>
      <c r="E6297" s="7">
        <v>3.31E-3</v>
      </c>
      <c r="F6297" s="7">
        <v>2.5900000000000003E-3</v>
      </c>
      <c r="G6297" s="7">
        <v>-0.12540000000000001</v>
      </c>
    </row>
    <row r="6298" spans="2:7" x14ac:dyDescent="0.2">
      <c r="B6298" s="60">
        <v>44609</v>
      </c>
      <c r="C6298" s="7">
        <v>2.33E-3</v>
      </c>
      <c r="D6298" s="7">
        <v>2.5400000000000002E-3</v>
      </c>
      <c r="E6298" s="7">
        <v>2.7900000000000004E-3</v>
      </c>
      <c r="F6298" s="7">
        <v>2.2599999999999999E-3</v>
      </c>
      <c r="G6298" s="7">
        <v>-0.1434</v>
      </c>
    </row>
    <row r="6299" spans="2:7" x14ac:dyDescent="0.2">
      <c r="B6299" s="60">
        <v>44610</v>
      </c>
      <c r="C6299" s="7">
        <v>2.0499999999999997E-3</v>
      </c>
      <c r="D6299" s="7">
        <v>2.32E-3</v>
      </c>
      <c r="E6299" s="7">
        <v>2.48E-3</v>
      </c>
      <c r="F6299" s="7">
        <v>1.9599999999999999E-3</v>
      </c>
      <c r="G6299" s="7">
        <v>-0.1202</v>
      </c>
    </row>
    <row r="6300" spans="2:7" x14ac:dyDescent="0.2">
      <c r="B6300" s="60">
        <v>44613</v>
      </c>
      <c r="C6300" s="7">
        <v>2E-3</v>
      </c>
      <c r="D6300" s="7">
        <v>2.0100000000000001E-3</v>
      </c>
      <c r="E6300" s="7">
        <v>2.3699999999999997E-3</v>
      </c>
      <c r="F6300" s="7">
        <v>1.7399999999999998E-3</v>
      </c>
      <c r="G6300" s="7">
        <v>-2.4400000000000002E-2</v>
      </c>
    </row>
    <row r="6301" spans="2:7" x14ac:dyDescent="0.2">
      <c r="B6301" s="60">
        <v>44614</v>
      </c>
      <c r="C6301" s="7">
        <v>2.4299999999999999E-3</v>
      </c>
      <c r="D6301" s="7">
        <v>1.4599999999999999E-3</v>
      </c>
      <c r="E6301" s="7">
        <v>2.8000000000000004E-3</v>
      </c>
      <c r="F6301" s="7">
        <v>1.4599999999999999E-3</v>
      </c>
      <c r="G6301" s="7">
        <v>0.215</v>
      </c>
    </row>
    <row r="6302" spans="2:7" x14ac:dyDescent="0.2">
      <c r="B6302" s="60">
        <v>44615</v>
      </c>
      <c r="C6302" s="7">
        <v>2.2500000000000003E-3</v>
      </c>
      <c r="D6302" s="7">
        <v>2.33E-3</v>
      </c>
      <c r="E6302" s="7">
        <v>2.66E-3</v>
      </c>
      <c r="F6302" s="7">
        <v>2.16E-3</v>
      </c>
      <c r="G6302" s="7">
        <v>-7.4099999999999999E-2</v>
      </c>
    </row>
    <row r="6303" spans="2:7" x14ac:dyDescent="0.2">
      <c r="B6303" s="60">
        <v>44616</v>
      </c>
      <c r="C6303" s="7">
        <v>1.7100000000000001E-3</v>
      </c>
      <c r="D6303" s="7">
        <v>2.2300000000000002E-3</v>
      </c>
      <c r="E6303" s="7">
        <v>2.2300000000000002E-3</v>
      </c>
      <c r="F6303" s="7">
        <v>1.1100000000000001E-3</v>
      </c>
      <c r="G6303" s="7">
        <v>-0.24</v>
      </c>
    </row>
    <row r="6304" spans="2:7" x14ac:dyDescent="0.2">
      <c r="B6304" s="60">
        <v>44617</v>
      </c>
      <c r="C6304" s="7">
        <v>2.2400000000000002E-3</v>
      </c>
      <c r="D6304" s="7">
        <v>1.7000000000000001E-3</v>
      </c>
      <c r="E6304" s="7">
        <v>2.3499999999999997E-3</v>
      </c>
      <c r="F6304" s="7">
        <v>1.4499999999999999E-3</v>
      </c>
      <c r="G6304" s="7">
        <v>0.30990000000000001</v>
      </c>
    </row>
    <row r="6305" spans="2:7" x14ac:dyDescent="0.2">
      <c r="B6305" s="60">
        <v>44620</v>
      </c>
      <c r="C6305" s="7">
        <v>1.5900000000000001E-3</v>
      </c>
      <c r="D6305" s="7">
        <v>1.67E-3</v>
      </c>
      <c r="E6305" s="7">
        <v>2.1299999999999999E-3</v>
      </c>
      <c r="F6305" s="7">
        <v>1.5299999999999999E-3</v>
      </c>
      <c r="G6305" s="7">
        <v>-0.29020000000000001</v>
      </c>
    </row>
    <row r="6306" spans="2:7" x14ac:dyDescent="0.2">
      <c r="B6306" s="60">
        <v>44621</v>
      </c>
      <c r="C6306" s="7">
        <v>-6.9000000000000008E-4</v>
      </c>
      <c r="D6306" s="7">
        <v>1.32E-3</v>
      </c>
      <c r="E6306" s="7">
        <v>1.4299999999999998E-3</v>
      </c>
      <c r="F6306" s="7">
        <v>-7.1999999999999994E-4</v>
      </c>
      <c r="G6306" s="7">
        <v>-1.4339999999999999</v>
      </c>
    </row>
    <row r="6307" spans="2:7" x14ac:dyDescent="0.2">
      <c r="B6307" s="60">
        <v>44622</v>
      </c>
      <c r="C6307" s="7">
        <v>1E-4</v>
      </c>
      <c r="D6307" s="7">
        <v>-6.8000000000000005E-4</v>
      </c>
      <c r="E6307" s="7">
        <v>2.3000000000000001E-4</v>
      </c>
      <c r="F6307" s="7">
        <v>-8.0000000000000004E-4</v>
      </c>
      <c r="G6307" s="7">
        <v>-1.1449</v>
      </c>
    </row>
    <row r="6308" spans="2:7" x14ac:dyDescent="0.2">
      <c r="B6308" s="60">
        <v>44623</v>
      </c>
      <c r="C6308" s="7">
        <v>2.1999999999999998E-4</v>
      </c>
      <c r="D6308" s="7">
        <v>1.4000000000000001E-4</v>
      </c>
      <c r="E6308" s="7">
        <v>7.6999999999999996E-4</v>
      </c>
      <c r="F6308" s="7">
        <v>-2.0000000000000002E-5</v>
      </c>
      <c r="G6308" s="7">
        <v>1.2</v>
      </c>
    </row>
    <row r="6309" spans="2:7" x14ac:dyDescent="0.2">
      <c r="B6309" s="60">
        <v>44624</v>
      </c>
      <c r="C6309" s="7">
        <v>-1.01E-3</v>
      </c>
      <c r="D6309" s="7">
        <v>1.0999999999999999E-4</v>
      </c>
      <c r="E6309" s="7">
        <v>1.7000000000000001E-4</v>
      </c>
      <c r="F6309" s="7">
        <v>-1.09E-3</v>
      </c>
      <c r="G6309" s="7">
        <v>-5.5909000000000004</v>
      </c>
    </row>
    <row r="6310" spans="2:7" x14ac:dyDescent="0.2">
      <c r="B6310" s="60">
        <v>44627</v>
      </c>
      <c r="C6310" s="7">
        <v>-1.2999999999999999E-4</v>
      </c>
      <c r="D6310" s="7">
        <v>-6.8000000000000005E-4</v>
      </c>
      <c r="E6310" s="7">
        <v>9.9999999999999995E-7</v>
      </c>
      <c r="F6310" s="7">
        <v>-1.01E-3</v>
      </c>
      <c r="G6310" s="7">
        <v>-0.87129999999999996</v>
      </c>
    </row>
    <row r="6311" spans="2:7" x14ac:dyDescent="0.2">
      <c r="B6311" s="60">
        <v>44628</v>
      </c>
      <c r="C6311" s="7">
        <v>1.07E-3</v>
      </c>
      <c r="D6311" s="7">
        <v>-2.4000000000000001E-4</v>
      </c>
      <c r="E6311" s="7">
        <v>1.3800000000000002E-3</v>
      </c>
      <c r="F6311" s="7">
        <v>-3.7999999999999997E-4</v>
      </c>
      <c r="G6311" s="7">
        <v>-9.2308000000000003</v>
      </c>
    </row>
    <row r="6312" spans="2:7" x14ac:dyDescent="0.2">
      <c r="B6312" s="60">
        <v>44629</v>
      </c>
      <c r="C6312" s="7">
        <v>1.91E-3</v>
      </c>
      <c r="D6312" s="7">
        <v>1.1200000000000001E-3</v>
      </c>
      <c r="E6312" s="7">
        <v>2.15E-3</v>
      </c>
      <c r="F6312" s="7">
        <v>8.9999999999999998E-4</v>
      </c>
      <c r="G6312" s="7">
        <v>0.78500000000000003</v>
      </c>
    </row>
    <row r="6313" spans="2:7" x14ac:dyDescent="0.2">
      <c r="B6313" s="60">
        <v>44630</v>
      </c>
      <c r="C6313" s="7">
        <v>2.7000000000000001E-3</v>
      </c>
      <c r="D6313" s="7">
        <v>2.0899999999999998E-3</v>
      </c>
      <c r="E6313" s="7">
        <v>3.0399999999999997E-3</v>
      </c>
      <c r="F6313" s="7">
        <v>1.5100000000000001E-3</v>
      </c>
      <c r="G6313" s="7">
        <v>0.41360000000000002</v>
      </c>
    </row>
    <row r="6314" spans="2:7" x14ac:dyDescent="0.2">
      <c r="B6314" s="60">
        <v>44631</v>
      </c>
      <c r="C6314" s="7">
        <v>2.7000000000000001E-3</v>
      </c>
      <c r="D6314" s="7">
        <v>2.7200000000000002E-3</v>
      </c>
      <c r="E6314" s="7">
        <v>3.16E-3</v>
      </c>
      <c r="F6314" s="7">
        <v>2.47E-3</v>
      </c>
      <c r="G6314" s="7">
        <v>0</v>
      </c>
    </row>
    <row r="6315" spans="2:7" x14ac:dyDescent="0.2">
      <c r="B6315" s="60">
        <v>44634</v>
      </c>
      <c r="C6315" s="7">
        <v>3.7299999999999998E-3</v>
      </c>
      <c r="D6315" s="7">
        <v>2.7200000000000002E-3</v>
      </c>
      <c r="E6315" s="7">
        <v>3.79E-3</v>
      </c>
      <c r="F6315" s="7">
        <v>2.65E-3</v>
      </c>
      <c r="G6315" s="7">
        <v>0.38150000000000001</v>
      </c>
    </row>
    <row r="6316" spans="2:7" x14ac:dyDescent="0.2">
      <c r="B6316" s="60">
        <v>44635</v>
      </c>
      <c r="C6316" s="7">
        <v>3.31E-3</v>
      </c>
      <c r="D6316" s="7">
        <v>3.6900000000000001E-3</v>
      </c>
      <c r="E6316" s="7">
        <v>3.7000000000000002E-3</v>
      </c>
      <c r="F6316" s="7">
        <v>3.15E-3</v>
      </c>
      <c r="G6316" s="7">
        <v>-0.11260000000000001</v>
      </c>
    </row>
    <row r="6317" spans="2:7" x14ac:dyDescent="0.2">
      <c r="B6317" s="60">
        <v>44636</v>
      </c>
      <c r="C6317" s="7">
        <v>3.9300000000000003E-3</v>
      </c>
      <c r="D6317" s="7">
        <v>3.31E-3</v>
      </c>
      <c r="E6317" s="7">
        <v>4.0300000000000006E-3</v>
      </c>
      <c r="F6317" s="7">
        <v>3.31E-3</v>
      </c>
      <c r="G6317" s="7">
        <v>0.18729999999999999</v>
      </c>
    </row>
    <row r="6318" spans="2:7" x14ac:dyDescent="0.2">
      <c r="B6318" s="60">
        <v>44637</v>
      </c>
      <c r="C6318" s="7">
        <v>3.8800000000000002E-3</v>
      </c>
      <c r="D6318" s="7">
        <v>4.0000000000000001E-3</v>
      </c>
      <c r="E6318" s="7">
        <v>4.0999999999999995E-3</v>
      </c>
      <c r="F6318" s="7">
        <v>3.5199999999999997E-3</v>
      </c>
      <c r="G6318" s="7">
        <v>-1.2699999999999999E-2</v>
      </c>
    </row>
    <row r="6319" spans="2:7" x14ac:dyDescent="0.2">
      <c r="B6319" s="60">
        <v>44638</v>
      </c>
      <c r="C6319" s="7">
        <v>3.6700000000000001E-3</v>
      </c>
      <c r="D6319" s="7">
        <v>3.9900000000000005E-3</v>
      </c>
      <c r="E6319" s="7">
        <v>4.0799999999999994E-3</v>
      </c>
      <c r="F6319" s="7">
        <v>3.3700000000000002E-3</v>
      </c>
      <c r="G6319" s="7">
        <v>-5.4100000000000002E-2</v>
      </c>
    </row>
    <row r="6320" spans="2:7" x14ac:dyDescent="0.2">
      <c r="B6320" s="60">
        <v>44641</v>
      </c>
      <c r="C6320" s="7">
        <v>4.5900000000000003E-3</v>
      </c>
      <c r="D6320" s="7">
        <v>3.7199999999999998E-3</v>
      </c>
      <c r="E6320" s="7">
        <v>4.6500000000000005E-3</v>
      </c>
      <c r="F6320" s="7">
        <v>3.7199999999999998E-3</v>
      </c>
      <c r="G6320" s="7">
        <v>0.25069999999999998</v>
      </c>
    </row>
    <row r="6321" spans="2:7" x14ac:dyDescent="0.2">
      <c r="B6321" s="60">
        <v>44642</v>
      </c>
      <c r="C6321" s="7">
        <v>5.0499999999999998E-3</v>
      </c>
      <c r="D6321" s="7">
        <v>4.7799999999999995E-3</v>
      </c>
      <c r="E6321" s="7">
        <v>5.3E-3</v>
      </c>
      <c r="F6321" s="7">
        <v>4.6700000000000005E-3</v>
      </c>
      <c r="G6321" s="7">
        <v>0.1002</v>
      </c>
    </row>
    <row r="6322" spans="2:7" x14ac:dyDescent="0.2">
      <c r="B6322" s="60">
        <v>44643</v>
      </c>
      <c r="C6322" s="7">
        <v>4.79E-3</v>
      </c>
      <c r="D6322" s="7">
        <v>5.1600000000000005E-3</v>
      </c>
      <c r="E6322" s="7">
        <v>5.2300000000000003E-3</v>
      </c>
      <c r="F6322" s="7">
        <v>4.64E-3</v>
      </c>
      <c r="G6322" s="7">
        <v>-5.1499999999999997E-2</v>
      </c>
    </row>
    <row r="6323" spans="2:7" x14ac:dyDescent="0.2">
      <c r="B6323" s="60">
        <v>44644</v>
      </c>
      <c r="C6323" s="7">
        <v>5.2599999999999999E-3</v>
      </c>
      <c r="D6323" s="7">
        <v>4.6600000000000001E-3</v>
      </c>
      <c r="E6323" s="7">
        <v>5.5500000000000002E-3</v>
      </c>
      <c r="F6323" s="7">
        <v>4.4400000000000004E-3</v>
      </c>
      <c r="G6323" s="7">
        <v>9.8100000000000007E-2</v>
      </c>
    </row>
    <row r="6324" spans="2:7" x14ac:dyDescent="0.2">
      <c r="B6324" s="60">
        <v>44645</v>
      </c>
      <c r="C6324" s="7">
        <v>5.6999999999999993E-3</v>
      </c>
      <c r="D6324" s="7">
        <v>5.2500000000000003E-3</v>
      </c>
      <c r="E6324" s="7">
        <v>5.8599999999999998E-3</v>
      </c>
      <c r="F6324" s="7">
        <v>4.9300000000000004E-3</v>
      </c>
      <c r="G6324" s="7">
        <v>8.3699999999999997E-2</v>
      </c>
    </row>
    <row r="6325" spans="2:7" x14ac:dyDescent="0.2">
      <c r="B6325" s="60">
        <v>44648</v>
      </c>
      <c r="C6325" s="7">
        <v>5.8199999999999997E-3</v>
      </c>
      <c r="D6325" s="7">
        <v>6.0699999999999999E-3</v>
      </c>
      <c r="E6325" s="7">
        <v>6.3099999999999996E-3</v>
      </c>
      <c r="F6325" s="7">
        <v>5.5600000000000007E-3</v>
      </c>
      <c r="G6325" s="7">
        <v>2.1100000000000001E-2</v>
      </c>
    </row>
    <row r="6326" spans="2:7" x14ac:dyDescent="0.2">
      <c r="B6326" s="60">
        <v>44649</v>
      </c>
      <c r="C6326" s="7">
        <v>6.4099999999999999E-3</v>
      </c>
      <c r="D6326" s="7">
        <v>6.0499999999999998E-3</v>
      </c>
      <c r="E6326" s="7">
        <v>7.4099999999999999E-3</v>
      </c>
      <c r="F6326" s="7">
        <v>5.9499999999999996E-3</v>
      </c>
      <c r="G6326" s="7">
        <v>0.1014</v>
      </c>
    </row>
    <row r="6327" spans="2:7" x14ac:dyDescent="0.2">
      <c r="B6327" s="60">
        <v>44650</v>
      </c>
      <c r="C6327" s="7">
        <v>6.5799999999999999E-3</v>
      </c>
      <c r="D6327" s="7">
        <v>6.2399999999999999E-3</v>
      </c>
      <c r="E6327" s="7">
        <v>7.1999999999999998E-3</v>
      </c>
      <c r="F6327" s="7">
        <v>6.13E-3</v>
      </c>
      <c r="G6327" s="7">
        <v>2.6499999999999999E-2</v>
      </c>
    </row>
    <row r="6328" spans="2:7" x14ac:dyDescent="0.2">
      <c r="B6328" s="60">
        <v>44651</v>
      </c>
      <c r="C6328" s="7">
        <v>5.47E-3</v>
      </c>
      <c r="D6328" s="7">
        <v>6.6500000000000005E-3</v>
      </c>
      <c r="E6328" s="7">
        <v>6.7100000000000007E-3</v>
      </c>
      <c r="F6328" s="7">
        <v>5.2500000000000003E-3</v>
      </c>
      <c r="G6328" s="7">
        <v>-0.16869999999999999</v>
      </c>
    </row>
    <row r="6329" spans="2:7" x14ac:dyDescent="0.2">
      <c r="B6329" s="60">
        <v>44652</v>
      </c>
      <c r="C6329" s="7">
        <v>5.6599999999999992E-3</v>
      </c>
      <c r="D6329" s="7">
        <v>5.7999999999999996E-3</v>
      </c>
      <c r="E6329" s="7">
        <v>6.2599999999999999E-3</v>
      </c>
      <c r="F6329" s="7">
        <v>5.5800000000000008E-3</v>
      </c>
      <c r="G6329" s="7">
        <v>3.4700000000000002E-2</v>
      </c>
    </row>
    <row r="6330" spans="2:7" x14ac:dyDescent="0.2">
      <c r="B6330" s="60">
        <v>44655</v>
      </c>
      <c r="C6330" s="7">
        <v>5.1700000000000001E-3</v>
      </c>
      <c r="D6330" s="7">
        <v>5.8099999999999992E-3</v>
      </c>
      <c r="E6330" s="7">
        <v>5.8599999999999998E-3</v>
      </c>
      <c r="F6330" s="7">
        <v>4.7299999999999998E-3</v>
      </c>
      <c r="G6330" s="7">
        <v>-8.6599999999999996E-2</v>
      </c>
    </row>
    <row r="6331" spans="2:7" x14ac:dyDescent="0.2">
      <c r="B6331" s="60">
        <v>44656</v>
      </c>
      <c r="C6331" s="7">
        <v>6.0999999999999995E-3</v>
      </c>
      <c r="D6331" s="7">
        <v>5.2900000000000004E-3</v>
      </c>
      <c r="E6331" s="7">
        <v>6.28E-3</v>
      </c>
      <c r="F6331" s="7">
        <v>5.1600000000000005E-3</v>
      </c>
      <c r="G6331" s="7">
        <v>0.1799</v>
      </c>
    </row>
    <row r="6332" spans="2:7" x14ac:dyDescent="0.2">
      <c r="B6332" s="60">
        <v>44657</v>
      </c>
      <c r="C6332" s="7">
        <v>6.4800000000000005E-3</v>
      </c>
      <c r="D6332" s="7">
        <v>6.3499999999999997E-3</v>
      </c>
      <c r="E6332" s="7">
        <v>6.8400000000000006E-3</v>
      </c>
      <c r="F6332" s="7">
        <v>6.1900000000000002E-3</v>
      </c>
      <c r="G6332" s="7">
        <v>6.2300000000000001E-2</v>
      </c>
    </row>
    <row r="6333" spans="2:7" x14ac:dyDescent="0.2">
      <c r="B6333" s="60">
        <v>44658</v>
      </c>
      <c r="C6333" s="7">
        <v>6.8000000000000005E-3</v>
      </c>
      <c r="D6333" s="7">
        <v>6.5100000000000002E-3</v>
      </c>
      <c r="E6333" s="7">
        <v>7.2199999999999999E-3</v>
      </c>
      <c r="F6333" s="7">
        <v>6.13E-3</v>
      </c>
      <c r="G6333" s="7">
        <v>4.9399999999999999E-2</v>
      </c>
    </row>
    <row r="6334" spans="2:7" x14ac:dyDescent="0.2">
      <c r="B6334" s="60">
        <v>44659</v>
      </c>
      <c r="C6334" s="7">
        <v>7.0999999999999995E-3</v>
      </c>
      <c r="D6334" s="7">
        <v>6.7500000000000008E-3</v>
      </c>
      <c r="E6334" s="7">
        <v>7.28E-3</v>
      </c>
      <c r="F6334" s="7">
        <v>6.5500000000000003E-3</v>
      </c>
      <c r="G6334" s="7">
        <v>4.41E-2</v>
      </c>
    </row>
    <row r="6335" spans="2:7" x14ac:dyDescent="0.2">
      <c r="B6335" s="60">
        <v>44662</v>
      </c>
      <c r="C6335" s="7">
        <v>8.1300000000000001E-3</v>
      </c>
      <c r="D6335" s="7">
        <v>7.0699999999999999E-3</v>
      </c>
      <c r="E6335" s="7">
        <v>8.2199999999999999E-3</v>
      </c>
      <c r="F6335" s="7">
        <v>7.0699999999999999E-3</v>
      </c>
      <c r="G6335" s="7">
        <v>0.14510000000000001</v>
      </c>
    </row>
    <row r="6336" spans="2:7" x14ac:dyDescent="0.2">
      <c r="B6336" s="60">
        <v>44663</v>
      </c>
      <c r="C6336" s="7">
        <v>7.9000000000000008E-3</v>
      </c>
      <c r="D6336" s="7">
        <v>8.2500000000000004E-3</v>
      </c>
      <c r="E6336" s="7">
        <v>8.7899999999999992E-3</v>
      </c>
      <c r="F6336" s="7">
        <v>7.6699999999999997E-3</v>
      </c>
      <c r="G6336" s="7">
        <v>-2.8299999999999999E-2</v>
      </c>
    </row>
    <row r="6337" spans="2:7" x14ac:dyDescent="0.2">
      <c r="B6337" s="60">
        <v>44664</v>
      </c>
      <c r="C6337" s="7">
        <v>7.7499999999999999E-3</v>
      </c>
      <c r="D6337" s="7">
        <v>7.980000000000001E-3</v>
      </c>
      <c r="E6337" s="7">
        <v>8.6099999999999996E-3</v>
      </c>
      <c r="F6337" s="7">
        <v>7.5799999999999999E-3</v>
      </c>
      <c r="G6337" s="7">
        <v>-1.9E-2</v>
      </c>
    </row>
    <row r="6338" spans="2:7" x14ac:dyDescent="0.2">
      <c r="B6338" s="60">
        <v>44665</v>
      </c>
      <c r="C6338" s="7">
        <v>8.3899999999999999E-3</v>
      </c>
      <c r="D6338" s="7">
        <v>7.7200000000000003E-3</v>
      </c>
      <c r="E6338" s="7">
        <v>8.4700000000000001E-3</v>
      </c>
      <c r="F6338" s="7">
        <v>7.5100000000000002E-3</v>
      </c>
      <c r="G6338" s="7">
        <v>8.2600000000000007E-2</v>
      </c>
    </row>
    <row r="6339" spans="2:7" x14ac:dyDescent="0.2">
      <c r="B6339" s="60">
        <v>44666</v>
      </c>
      <c r="C6339" s="7">
        <v>8.3949999999999997E-3</v>
      </c>
      <c r="D6339" s="7">
        <v>8.4250000000000002E-3</v>
      </c>
      <c r="E6339" s="7">
        <v>8.4250000000000002E-3</v>
      </c>
      <c r="F6339" s="7">
        <v>8.3949999999999997E-3</v>
      </c>
      <c r="G6339" s="7">
        <v>5.9999999999999995E-4</v>
      </c>
    </row>
    <row r="6340" spans="2:7" x14ac:dyDescent="0.2">
      <c r="B6340" s="60">
        <v>44669</v>
      </c>
      <c r="C6340" s="7">
        <v>8.3949999999999997E-3</v>
      </c>
      <c r="D6340" s="7">
        <v>8.4250000000000002E-3</v>
      </c>
      <c r="E6340" s="7">
        <v>8.4250000000000002E-3</v>
      </c>
      <c r="F6340" s="7">
        <v>8.3949999999999997E-3</v>
      </c>
      <c r="G6340" s="7">
        <v>0</v>
      </c>
    </row>
    <row r="6341" spans="2:7" x14ac:dyDescent="0.2">
      <c r="B6341" s="60">
        <v>44670</v>
      </c>
      <c r="C6341" s="7">
        <v>9.1800000000000007E-3</v>
      </c>
      <c r="D6341" s="7">
        <v>8.3999999999999995E-3</v>
      </c>
      <c r="E6341" s="7">
        <v>9.6100000000000005E-3</v>
      </c>
      <c r="F6341" s="7">
        <v>8.3999999999999995E-3</v>
      </c>
      <c r="G6341" s="7">
        <v>9.35E-2</v>
      </c>
    </row>
    <row r="6342" spans="2:7" x14ac:dyDescent="0.2">
      <c r="B6342" s="60">
        <v>44671</v>
      </c>
      <c r="C6342" s="7">
        <v>8.6199999999999992E-3</v>
      </c>
      <c r="D6342" s="7">
        <v>9.2200000000000008E-3</v>
      </c>
      <c r="E6342" s="7">
        <v>9.4399999999999987E-3</v>
      </c>
      <c r="F6342" s="7">
        <v>8.3499999999999998E-3</v>
      </c>
      <c r="G6342" s="7">
        <v>-6.0999999999999999E-2</v>
      </c>
    </row>
    <row r="6343" spans="2:7" x14ac:dyDescent="0.2">
      <c r="B6343" s="60">
        <v>44672</v>
      </c>
      <c r="C6343" s="7">
        <v>9.2500000000000013E-3</v>
      </c>
      <c r="D6343" s="7">
        <v>8.5699999999999995E-3</v>
      </c>
      <c r="E6343" s="7">
        <v>9.389999999999999E-3</v>
      </c>
      <c r="F6343" s="7">
        <v>8.5699999999999995E-3</v>
      </c>
      <c r="G6343" s="7">
        <v>7.3099999999999998E-2</v>
      </c>
    </row>
    <row r="6344" spans="2:7" x14ac:dyDescent="0.2">
      <c r="B6344" s="60">
        <v>44673</v>
      </c>
      <c r="C6344" s="7">
        <v>9.6299999999999997E-3</v>
      </c>
      <c r="D6344" s="7">
        <v>9.4500000000000001E-3</v>
      </c>
      <c r="E6344" s="7">
        <v>9.7299999999999991E-3</v>
      </c>
      <c r="F6344" s="7">
        <v>9.1800000000000007E-3</v>
      </c>
      <c r="G6344" s="7">
        <v>4.1099999999999998E-2</v>
      </c>
    </row>
    <row r="6345" spans="2:7" x14ac:dyDescent="0.2">
      <c r="B6345" s="60">
        <v>44676</v>
      </c>
      <c r="C6345" s="7">
        <v>8.4799999999999997E-3</v>
      </c>
      <c r="D6345" s="7">
        <v>9.7400000000000004E-3</v>
      </c>
      <c r="E6345" s="7">
        <v>9.7400000000000004E-3</v>
      </c>
      <c r="F6345" s="7">
        <v>8.4099999999999991E-3</v>
      </c>
      <c r="G6345" s="7">
        <v>-0.11940000000000001</v>
      </c>
    </row>
    <row r="6346" spans="2:7" x14ac:dyDescent="0.2">
      <c r="B6346" s="60">
        <v>44677</v>
      </c>
      <c r="C6346" s="7">
        <v>8.0200000000000011E-3</v>
      </c>
      <c r="D6346" s="7">
        <v>8.8199999999999997E-3</v>
      </c>
      <c r="E6346" s="7">
        <v>8.9099999999999995E-3</v>
      </c>
      <c r="F6346" s="7">
        <v>7.8900000000000012E-3</v>
      </c>
      <c r="G6346" s="7">
        <v>-5.4199999999999998E-2</v>
      </c>
    </row>
    <row r="6347" spans="2:7" x14ac:dyDescent="0.2">
      <c r="B6347" s="60">
        <v>44678</v>
      </c>
      <c r="C6347" s="7">
        <v>8.1000000000000013E-3</v>
      </c>
      <c r="D6347" s="7">
        <v>8.2899999999999988E-3</v>
      </c>
      <c r="E6347" s="7">
        <v>8.5299999999999994E-3</v>
      </c>
      <c r="F6347" s="7">
        <v>7.79E-3</v>
      </c>
      <c r="G6347" s="7">
        <v>0.01</v>
      </c>
    </row>
    <row r="6348" spans="2:7" x14ac:dyDescent="0.2">
      <c r="B6348" s="60">
        <v>44679</v>
      </c>
      <c r="C6348" s="7">
        <v>8.9499999999999996E-3</v>
      </c>
      <c r="D6348" s="7">
        <v>8.0400000000000003E-3</v>
      </c>
      <c r="E6348" s="7">
        <v>9.1500000000000001E-3</v>
      </c>
      <c r="F6348" s="7">
        <v>7.7000000000000002E-3</v>
      </c>
      <c r="G6348" s="7">
        <v>0.10489999999999999</v>
      </c>
    </row>
    <row r="6349" spans="2:7" x14ac:dyDescent="0.2">
      <c r="B6349" s="60">
        <v>44680</v>
      </c>
      <c r="C6349" s="7">
        <v>9.3500000000000007E-3</v>
      </c>
      <c r="D6349" s="7">
        <v>9.0100000000000006E-3</v>
      </c>
      <c r="E6349" s="7">
        <v>9.5599999999999991E-3</v>
      </c>
      <c r="F6349" s="7">
        <v>8.6599999999999993E-3</v>
      </c>
      <c r="G6349" s="7">
        <v>4.4699999999999997E-2</v>
      </c>
    </row>
    <row r="6350" spans="2:7" x14ac:dyDescent="0.2">
      <c r="B6350" s="60">
        <v>44683</v>
      </c>
      <c r="C6350" s="7">
        <v>9.6299999999999997E-3</v>
      </c>
      <c r="D6350" s="7">
        <v>9.4199999999999996E-3</v>
      </c>
      <c r="E6350" s="7">
        <v>9.7400000000000004E-3</v>
      </c>
      <c r="F6350" s="7">
        <v>9.0399999999999994E-3</v>
      </c>
      <c r="G6350" s="7">
        <v>2.9899999999999999E-2</v>
      </c>
    </row>
    <row r="6351" spans="2:7" x14ac:dyDescent="0.2">
      <c r="B6351" s="60">
        <v>44684</v>
      </c>
      <c r="C6351" s="7">
        <v>9.5399999999999999E-3</v>
      </c>
      <c r="D6351" s="7">
        <v>9.5599999999999991E-3</v>
      </c>
      <c r="E6351" s="7">
        <v>1.0160000000000001E-2</v>
      </c>
      <c r="F6351" s="7">
        <v>9.1000000000000004E-3</v>
      </c>
      <c r="G6351" s="7">
        <v>-9.2999999999999992E-3</v>
      </c>
    </row>
    <row r="6352" spans="2:7" x14ac:dyDescent="0.2">
      <c r="B6352" s="60">
        <v>44685</v>
      </c>
      <c r="C6352" s="7">
        <v>9.7800000000000005E-3</v>
      </c>
      <c r="D6352" s="7">
        <v>1.0240000000000001E-2</v>
      </c>
      <c r="E6352" s="7">
        <v>1.0360000000000001E-2</v>
      </c>
      <c r="F6352" s="7">
        <v>9.689999999999999E-3</v>
      </c>
      <c r="G6352" s="7">
        <v>2.52E-2</v>
      </c>
    </row>
    <row r="6353" spans="2:7" x14ac:dyDescent="0.2">
      <c r="B6353" s="60">
        <v>44686</v>
      </c>
      <c r="C6353" s="7">
        <v>1.048E-2</v>
      </c>
      <c r="D6353" s="7">
        <v>9.7199999999999995E-3</v>
      </c>
      <c r="E6353" s="7">
        <v>1.0489999999999999E-2</v>
      </c>
      <c r="F6353" s="7">
        <v>9.0900000000000009E-3</v>
      </c>
      <c r="G6353" s="7">
        <v>7.1599999999999997E-2</v>
      </c>
    </row>
    <row r="6354" spans="2:7" x14ac:dyDescent="0.2">
      <c r="B6354" s="60">
        <v>44687</v>
      </c>
      <c r="C6354" s="7">
        <v>1.137E-2</v>
      </c>
      <c r="D6354" s="7">
        <v>1.0369999999999999E-2</v>
      </c>
      <c r="E6354" s="7">
        <v>1.1599999999999999E-2</v>
      </c>
      <c r="F6354" s="7">
        <v>1.0149999999999999E-2</v>
      </c>
      <c r="G6354" s="7">
        <v>8.4900000000000003E-2</v>
      </c>
    </row>
    <row r="6355" spans="2:7" x14ac:dyDescent="0.2">
      <c r="B6355" s="60">
        <v>44690</v>
      </c>
      <c r="C6355" s="7">
        <v>1.0880000000000001E-2</v>
      </c>
      <c r="D6355" s="7">
        <v>1.1350000000000001E-2</v>
      </c>
      <c r="E6355" s="7">
        <v>1.1890000000000001E-2</v>
      </c>
      <c r="F6355" s="7">
        <v>1.0860000000000002E-2</v>
      </c>
      <c r="G6355" s="7">
        <v>-4.3099999999999999E-2</v>
      </c>
    </row>
    <row r="6356" spans="2:7" x14ac:dyDescent="0.2">
      <c r="B6356" s="60">
        <v>44691</v>
      </c>
      <c r="C6356" s="7">
        <v>1.0029999999999999E-2</v>
      </c>
      <c r="D6356" s="7">
        <v>1.091E-2</v>
      </c>
      <c r="E6356" s="7">
        <v>1.1140000000000001E-2</v>
      </c>
      <c r="F6356" s="7">
        <v>9.8799999999999999E-3</v>
      </c>
      <c r="G6356" s="7">
        <v>-7.8100000000000003E-2</v>
      </c>
    </row>
    <row r="6357" spans="2:7" x14ac:dyDescent="0.2">
      <c r="B6357" s="60">
        <v>44692</v>
      </c>
      <c r="C6357" s="7">
        <v>1.004E-2</v>
      </c>
      <c r="D6357" s="7">
        <v>1.031E-2</v>
      </c>
      <c r="E6357" s="7">
        <v>1.0920000000000001E-2</v>
      </c>
      <c r="F6357" s="7">
        <v>9.5899999999999996E-3</v>
      </c>
      <c r="G6357" s="7">
        <v>1E-3</v>
      </c>
    </row>
    <row r="6358" spans="2:7" x14ac:dyDescent="0.2">
      <c r="B6358" s="60">
        <v>44693</v>
      </c>
      <c r="C6358" s="7">
        <v>8.6899999999999998E-3</v>
      </c>
      <c r="D6358" s="7">
        <v>9.2700000000000005E-3</v>
      </c>
      <c r="E6358" s="7">
        <v>9.3100000000000006E-3</v>
      </c>
      <c r="F6358" s="7">
        <v>8.4600000000000005E-3</v>
      </c>
      <c r="G6358" s="7">
        <v>-0.13450000000000001</v>
      </c>
    </row>
    <row r="6359" spans="2:7" x14ac:dyDescent="0.2">
      <c r="B6359" s="60">
        <v>44694</v>
      </c>
      <c r="C6359" s="7">
        <v>9.4699999999999993E-3</v>
      </c>
      <c r="D6359" s="7">
        <v>8.8999999999999999E-3</v>
      </c>
      <c r="E6359" s="7">
        <v>9.6299999999999997E-3</v>
      </c>
      <c r="F6359" s="7">
        <v>8.7399999999999995E-3</v>
      </c>
      <c r="G6359" s="7">
        <v>8.9800000000000005E-2</v>
      </c>
    </row>
    <row r="6360" spans="2:7" x14ac:dyDescent="0.2">
      <c r="B6360" s="60">
        <v>44695</v>
      </c>
      <c r="C6360" s="7">
        <v>9.3849999999999992E-3</v>
      </c>
      <c r="D6360" s="7">
        <v>9.3849999999999992E-3</v>
      </c>
      <c r="E6360" s="7">
        <v>9.3849999999999992E-3</v>
      </c>
      <c r="F6360" s="7">
        <v>9.3849999999999992E-3</v>
      </c>
      <c r="G6360" s="7">
        <v>-8.9999999999999993E-3</v>
      </c>
    </row>
    <row r="6361" spans="2:7" x14ac:dyDescent="0.2">
      <c r="B6361" s="60">
        <v>44697</v>
      </c>
      <c r="C6361" s="7">
        <v>9.3699999999999999E-3</v>
      </c>
      <c r="D6361" s="7">
        <v>9.4500000000000001E-3</v>
      </c>
      <c r="E6361" s="7">
        <v>1.014E-2</v>
      </c>
      <c r="F6361" s="7">
        <v>9.2600000000000009E-3</v>
      </c>
      <c r="G6361" s="7">
        <v>-1.6000000000000001E-3</v>
      </c>
    </row>
    <row r="6362" spans="2:7" x14ac:dyDescent="0.2">
      <c r="B6362" s="60">
        <v>44698</v>
      </c>
      <c r="C6362" s="7">
        <v>1.056E-2</v>
      </c>
      <c r="D6362" s="7">
        <v>9.3999999999999986E-3</v>
      </c>
      <c r="E6362" s="7">
        <v>1.0629999999999999E-2</v>
      </c>
      <c r="F6362" s="7">
        <v>9.3600000000000003E-3</v>
      </c>
      <c r="G6362" s="7">
        <v>0.127</v>
      </c>
    </row>
    <row r="6363" spans="2:7" x14ac:dyDescent="0.2">
      <c r="B6363" s="60">
        <v>44699</v>
      </c>
      <c r="C6363" s="7">
        <v>1.0120000000000001E-2</v>
      </c>
      <c r="D6363" s="7">
        <v>1.0509999999999999E-2</v>
      </c>
      <c r="E6363" s="7">
        <v>1.095E-2</v>
      </c>
      <c r="F6363" s="7">
        <v>1.008E-2</v>
      </c>
      <c r="G6363" s="7">
        <v>-4.1700000000000001E-2</v>
      </c>
    </row>
    <row r="6364" spans="2:7" x14ac:dyDescent="0.2">
      <c r="B6364" s="60">
        <v>44700</v>
      </c>
      <c r="C6364" s="7">
        <v>9.3999999999999986E-3</v>
      </c>
      <c r="D6364" s="7">
        <v>1.0329999999999999E-2</v>
      </c>
      <c r="E6364" s="7">
        <v>1.044E-2</v>
      </c>
      <c r="F6364" s="7">
        <v>9.0000000000000011E-3</v>
      </c>
      <c r="G6364" s="7">
        <v>-7.1099999999999997E-2</v>
      </c>
    </row>
    <row r="6365" spans="2:7" x14ac:dyDescent="0.2">
      <c r="B6365" s="60">
        <v>44701</v>
      </c>
      <c r="C6365" s="7">
        <v>9.4199999999999996E-3</v>
      </c>
      <c r="D6365" s="7">
        <v>9.8099999999999993E-3</v>
      </c>
      <c r="E6365" s="7">
        <v>1.0009999999999998E-2</v>
      </c>
      <c r="F6365" s="7">
        <v>9.3299999999999998E-3</v>
      </c>
      <c r="G6365" s="7">
        <v>2.0999999999999999E-3</v>
      </c>
    </row>
    <row r="6366" spans="2:7" x14ac:dyDescent="0.2">
      <c r="B6366" s="60">
        <v>44704</v>
      </c>
      <c r="C6366" s="7">
        <v>1.0200000000000001E-2</v>
      </c>
      <c r="D6366" s="7">
        <v>9.6699999999999998E-3</v>
      </c>
      <c r="E6366" s="7">
        <v>1.0240000000000001E-2</v>
      </c>
      <c r="F6366" s="7">
        <v>9.300000000000001E-3</v>
      </c>
      <c r="G6366" s="7">
        <v>8.2799999999999999E-2</v>
      </c>
    </row>
    <row r="6367" spans="2:7" x14ac:dyDescent="0.2">
      <c r="B6367" s="60">
        <v>44705</v>
      </c>
      <c r="C6367" s="7">
        <v>9.5399999999999999E-3</v>
      </c>
      <c r="D6367" s="7">
        <v>1.0189999999999999E-2</v>
      </c>
      <c r="E6367" s="7">
        <v>1.0329999999999999E-2</v>
      </c>
      <c r="F6367" s="7">
        <v>9.3999999999999986E-3</v>
      </c>
      <c r="G6367" s="7">
        <v>-6.4699999999999994E-2</v>
      </c>
    </row>
    <row r="6368" spans="2:7" x14ac:dyDescent="0.2">
      <c r="B6368" s="60">
        <v>44706</v>
      </c>
      <c r="C6368" s="7">
        <v>9.5499999999999995E-3</v>
      </c>
      <c r="D6368" s="7">
        <v>9.7199999999999995E-3</v>
      </c>
      <c r="E6368" s="7">
        <v>9.7900000000000001E-3</v>
      </c>
      <c r="F6368" s="7">
        <v>9.0799999999999995E-3</v>
      </c>
      <c r="G6368" s="7">
        <v>1E-3</v>
      </c>
    </row>
    <row r="6369" spans="2:7" x14ac:dyDescent="0.2">
      <c r="B6369" s="60">
        <v>44707</v>
      </c>
      <c r="C6369" s="7">
        <v>9.9900000000000006E-3</v>
      </c>
      <c r="D6369" s="7">
        <v>9.4999999999999998E-3</v>
      </c>
      <c r="E6369" s="7">
        <v>1.01E-2</v>
      </c>
      <c r="F6369" s="7">
        <v>8.8699999999999994E-3</v>
      </c>
      <c r="G6369" s="7">
        <v>4.6100000000000002E-2</v>
      </c>
    </row>
    <row r="6370" spans="2:7" x14ac:dyDescent="0.2">
      <c r="B6370" s="60">
        <v>44708</v>
      </c>
      <c r="C6370" s="7">
        <v>9.6299999999999997E-3</v>
      </c>
      <c r="D6370" s="7">
        <v>9.9600000000000001E-3</v>
      </c>
      <c r="E6370" s="7">
        <v>1.004E-2</v>
      </c>
      <c r="F6370" s="7">
        <v>9.3200000000000002E-3</v>
      </c>
      <c r="G6370" s="7">
        <v>-3.5999999999999997E-2</v>
      </c>
    </row>
    <row r="6371" spans="2:7" x14ac:dyDescent="0.2">
      <c r="B6371" s="60">
        <v>44711</v>
      </c>
      <c r="C6371" s="7">
        <v>1.044E-2</v>
      </c>
      <c r="D6371" s="7">
        <v>1.0059999999999999E-2</v>
      </c>
      <c r="E6371" s="7">
        <v>1.072E-2</v>
      </c>
      <c r="F6371" s="7">
        <v>9.9699999999999997E-3</v>
      </c>
      <c r="G6371" s="7">
        <v>8.4099999999999994E-2</v>
      </c>
    </row>
    <row r="6372" spans="2:7" x14ac:dyDescent="0.2">
      <c r="B6372" s="60">
        <v>44712</v>
      </c>
      <c r="C6372" s="7">
        <v>1.1270000000000001E-2</v>
      </c>
      <c r="D6372" s="7">
        <v>1.0549999999999999E-2</v>
      </c>
      <c r="E6372" s="7">
        <v>1.1479999999999999E-2</v>
      </c>
      <c r="F6372" s="7">
        <v>1.027E-2</v>
      </c>
      <c r="G6372" s="7">
        <v>7.9500000000000001E-2</v>
      </c>
    </row>
    <row r="6373" spans="2:7" x14ac:dyDescent="0.2">
      <c r="B6373" s="60">
        <v>44713</v>
      </c>
      <c r="C6373" s="7">
        <v>1.1810000000000001E-2</v>
      </c>
      <c r="D6373" s="7">
        <v>1.119E-2</v>
      </c>
      <c r="E6373" s="7">
        <v>1.184E-2</v>
      </c>
      <c r="F6373" s="7">
        <v>1.1049999999999999E-2</v>
      </c>
      <c r="G6373" s="7">
        <v>4.7899999999999998E-2</v>
      </c>
    </row>
    <row r="6374" spans="2:7" x14ac:dyDescent="0.2">
      <c r="B6374" s="60">
        <v>44714</v>
      </c>
      <c r="C6374" s="7">
        <v>1.2350000000000002E-2</v>
      </c>
      <c r="D6374" s="7">
        <v>1.183E-2</v>
      </c>
      <c r="E6374" s="7">
        <v>1.248E-2</v>
      </c>
      <c r="F6374" s="7">
        <v>1.1730000000000001E-2</v>
      </c>
      <c r="G6374" s="7">
        <v>4.5699999999999998E-2</v>
      </c>
    </row>
    <row r="6375" spans="2:7" x14ac:dyDescent="0.2">
      <c r="B6375" s="60">
        <v>44715</v>
      </c>
      <c r="C6375" s="7">
        <v>1.2699999999999999E-2</v>
      </c>
      <c r="D6375" s="7">
        <v>1.2359999999999999E-2</v>
      </c>
      <c r="E6375" s="7">
        <v>1.2889999999999999E-2</v>
      </c>
      <c r="F6375" s="7">
        <v>1.225E-2</v>
      </c>
      <c r="G6375" s="7">
        <v>2.8299999999999999E-2</v>
      </c>
    </row>
    <row r="6376" spans="2:7" x14ac:dyDescent="0.2">
      <c r="B6376" s="60">
        <v>44718</v>
      </c>
      <c r="C6376" s="7">
        <v>1.3220000000000001E-2</v>
      </c>
      <c r="D6376" s="7">
        <v>1.2529999999999999E-2</v>
      </c>
      <c r="E6376" s="7">
        <v>1.3340000000000001E-2</v>
      </c>
      <c r="F6376" s="7">
        <v>1.248E-2</v>
      </c>
      <c r="G6376" s="7">
        <v>4.0899999999999999E-2</v>
      </c>
    </row>
    <row r="6377" spans="2:7" x14ac:dyDescent="0.2">
      <c r="B6377" s="60">
        <v>44719</v>
      </c>
      <c r="C6377" s="7">
        <v>1.2869999999999999E-2</v>
      </c>
      <c r="D6377" s="7">
        <v>1.3389999999999999E-2</v>
      </c>
      <c r="E6377" s="7">
        <v>1.3429999999999999E-2</v>
      </c>
      <c r="F6377" s="7">
        <v>1.2749999999999999E-2</v>
      </c>
      <c r="G6377" s="7">
        <v>-2.6499999999999999E-2</v>
      </c>
    </row>
    <row r="6378" spans="2:7" x14ac:dyDescent="0.2">
      <c r="B6378" s="60">
        <v>44720</v>
      </c>
      <c r="C6378" s="7">
        <v>1.355E-2</v>
      </c>
      <c r="D6378" s="7">
        <v>1.3129999999999999E-2</v>
      </c>
      <c r="E6378" s="7">
        <v>1.3680000000000001E-2</v>
      </c>
      <c r="F6378" s="7">
        <v>1.299E-2</v>
      </c>
      <c r="G6378" s="7">
        <v>5.28E-2</v>
      </c>
    </row>
    <row r="6379" spans="2:7" x14ac:dyDescent="0.2">
      <c r="B6379" s="60">
        <v>44721</v>
      </c>
      <c r="C6379" s="7">
        <v>1.435E-2</v>
      </c>
      <c r="D6379" s="7">
        <v>1.357E-2</v>
      </c>
      <c r="E6379" s="7">
        <v>1.47E-2</v>
      </c>
      <c r="F6379" s="7">
        <v>1.3340000000000001E-2</v>
      </c>
      <c r="G6379" s="7">
        <v>5.8999999999999997E-2</v>
      </c>
    </row>
    <row r="6380" spans="2:7" x14ac:dyDescent="0.2">
      <c r="B6380" s="60">
        <v>44722</v>
      </c>
      <c r="C6380" s="7">
        <v>1.502E-2</v>
      </c>
      <c r="D6380" s="7">
        <v>1.4370000000000001E-2</v>
      </c>
      <c r="E6380" s="7">
        <v>1.5029999999999998E-2</v>
      </c>
      <c r="F6380" s="7">
        <v>1.3839999999999998E-2</v>
      </c>
      <c r="G6380" s="7">
        <v>4.6699999999999998E-2</v>
      </c>
    </row>
    <row r="6381" spans="2:7" x14ac:dyDescent="0.2">
      <c r="B6381" s="60">
        <v>44725</v>
      </c>
      <c r="C6381" s="7">
        <v>1.627E-2</v>
      </c>
      <c r="D6381" s="7">
        <v>1.4830000000000001E-2</v>
      </c>
      <c r="E6381" s="7">
        <v>1.6369999999999999E-2</v>
      </c>
      <c r="F6381" s="7">
        <v>1.478E-2</v>
      </c>
      <c r="G6381" s="7">
        <v>8.3199999999999996E-2</v>
      </c>
    </row>
    <row r="6382" spans="2:7" x14ac:dyDescent="0.2">
      <c r="B6382" s="60">
        <v>44726</v>
      </c>
      <c r="C6382" s="7">
        <v>1.7509999999999998E-2</v>
      </c>
      <c r="D6382" s="7">
        <v>1.634E-2</v>
      </c>
      <c r="E6382" s="7">
        <v>1.7509999999999998E-2</v>
      </c>
      <c r="F6382" s="7">
        <v>1.592E-2</v>
      </c>
      <c r="G6382" s="7">
        <v>7.6200000000000004E-2</v>
      </c>
    </row>
    <row r="6383" spans="2:7" x14ac:dyDescent="0.2">
      <c r="B6383" s="60">
        <v>44727</v>
      </c>
      <c r="C6383" s="7">
        <v>1.652E-2</v>
      </c>
      <c r="D6383" s="7">
        <v>1.7600000000000001E-2</v>
      </c>
      <c r="E6383" s="7">
        <v>1.7729999999999999E-2</v>
      </c>
      <c r="F6383" s="7">
        <v>1.585E-2</v>
      </c>
      <c r="G6383" s="7">
        <v>-5.6500000000000002E-2</v>
      </c>
    </row>
    <row r="6384" spans="2:7" x14ac:dyDescent="0.2">
      <c r="B6384" s="60">
        <v>44728</v>
      </c>
      <c r="C6384" s="7">
        <v>1.703E-2</v>
      </c>
      <c r="D6384" s="7">
        <v>1.6410000000000001E-2</v>
      </c>
      <c r="E6384" s="7">
        <v>1.9259999999999999E-2</v>
      </c>
      <c r="F6384" s="7">
        <v>1.6080000000000001E-2</v>
      </c>
      <c r="G6384" s="7">
        <v>3.09E-2</v>
      </c>
    </row>
    <row r="6385" spans="2:7" x14ac:dyDescent="0.2">
      <c r="B6385" s="60">
        <v>44729</v>
      </c>
      <c r="C6385" s="7">
        <v>1.669E-2</v>
      </c>
      <c r="D6385" s="7">
        <v>1.712E-2</v>
      </c>
      <c r="E6385" s="7">
        <v>1.787E-2</v>
      </c>
      <c r="F6385" s="7">
        <v>1.6160000000000001E-2</v>
      </c>
      <c r="G6385" s="7">
        <v>-0.02</v>
      </c>
    </row>
    <row r="6386" spans="2:7" x14ac:dyDescent="0.2">
      <c r="B6386" s="60">
        <v>44732</v>
      </c>
      <c r="C6386" s="7">
        <v>1.7430000000000001E-2</v>
      </c>
      <c r="D6386" s="7">
        <v>1.6579999999999998E-2</v>
      </c>
      <c r="E6386" s="7">
        <v>1.7430000000000001E-2</v>
      </c>
      <c r="F6386" s="7">
        <v>1.619E-2</v>
      </c>
      <c r="G6386" s="7">
        <v>4.4299999999999999E-2</v>
      </c>
    </row>
    <row r="6387" spans="2:7" x14ac:dyDescent="0.2">
      <c r="B6387" s="60">
        <v>44733</v>
      </c>
      <c r="C6387" s="7">
        <v>1.762E-2</v>
      </c>
      <c r="D6387" s="7">
        <v>1.7440000000000001E-2</v>
      </c>
      <c r="E6387" s="7">
        <v>1.797E-2</v>
      </c>
      <c r="F6387" s="7">
        <v>1.712E-2</v>
      </c>
      <c r="G6387" s="7">
        <v>1.09E-2</v>
      </c>
    </row>
    <row r="6388" spans="2:7" x14ac:dyDescent="0.2">
      <c r="B6388" s="60">
        <v>44734</v>
      </c>
      <c r="C6388" s="7">
        <v>1.6200000000000003E-2</v>
      </c>
      <c r="D6388" s="7">
        <v>1.77E-2</v>
      </c>
      <c r="E6388" s="7">
        <v>1.77E-2</v>
      </c>
      <c r="F6388" s="7">
        <v>1.5880000000000002E-2</v>
      </c>
      <c r="G6388" s="7">
        <v>-8.0600000000000005E-2</v>
      </c>
    </row>
    <row r="6389" spans="2:7" x14ac:dyDescent="0.2">
      <c r="B6389" s="60">
        <v>44735</v>
      </c>
      <c r="C6389" s="7">
        <v>1.427E-2</v>
      </c>
      <c r="D6389" s="7">
        <v>1.6299999999999999E-2</v>
      </c>
      <c r="E6389" s="7">
        <v>1.661E-2</v>
      </c>
      <c r="F6389" s="7">
        <v>1.3899999999999999E-2</v>
      </c>
      <c r="G6389" s="7">
        <v>-0.1191</v>
      </c>
    </row>
    <row r="6390" spans="2:7" x14ac:dyDescent="0.2">
      <c r="B6390" s="60">
        <v>44736</v>
      </c>
      <c r="C6390" s="7">
        <v>1.44E-2</v>
      </c>
      <c r="D6390" s="7">
        <v>1.4419999999999999E-2</v>
      </c>
      <c r="E6390" s="7">
        <v>1.508E-2</v>
      </c>
      <c r="F6390" s="7">
        <v>1.3540000000000002E-2</v>
      </c>
      <c r="G6390" s="7">
        <v>9.1000000000000004E-3</v>
      </c>
    </row>
    <row r="6391" spans="2:7" x14ac:dyDescent="0.2">
      <c r="B6391" s="60">
        <v>44737</v>
      </c>
      <c r="C6391" s="7">
        <v>1.4375000000000001E-2</v>
      </c>
      <c r="D6391" s="7">
        <v>1.4375000000000001E-2</v>
      </c>
      <c r="E6391" s="7">
        <v>1.4375000000000001E-2</v>
      </c>
      <c r="F6391" s="7">
        <v>1.4375000000000001E-2</v>
      </c>
      <c r="G6391" s="7">
        <v>-1.6999999999999999E-3</v>
      </c>
    </row>
    <row r="6392" spans="2:7" x14ac:dyDescent="0.2">
      <c r="B6392" s="60">
        <v>44739</v>
      </c>
      <c r="C6392" s="7">
        <v>1.5440000000000001E-2</v>
      </c>
      <c r="D6392" s="7">
        <v>1.44E-2</v>
      </c>
      <c r="E6392" s="7">
        <v>1.5720000000000001E-2</v>
      </c>
      <c r="F6392" s="7">
        <v>1.44E-2</v>
      </c>
      <c r="G6392" s="7">
        <v>7.4099999999999999E-2</v>
      </c>
    </row>
    <row r="6393" spans="2:7" x14ac:dyDescent="0.2">
      <c r="B6393" s="60">
        <v>44740</v>
      </c>
      <c r="C6393" s="7">
        <v>1.635E-2</v>
      </c>
      <c r="D6393" s="7">
        <v>1.5489999999999999E-2</v>
      </c>
      <c r="E6393" s="7">
        <v>1.6730000000000002E-2</v>
      </c>
      <c r="F6393" s="7">
        <v>1.5349999999999999E-2</v>
      </c>
      <c r="G6393" s="7">
        <v>5.8900000000000001E-2</v>
      </c>
    </row>
    <row r="6394" spans="2:7" x14ac:dyDescent="0.2">
      <c r="B6394" s="60">
        <v>44741</v>
      </c>
      <c r="C6394" s="7">
        <v>1.504E-2</v>
      </c>
      <c r="D6394" s="7">
        <v>1.6289999999999999E-2</v>
      </c>
      <c r="E6394" s="7">
        <v>1.6420000000000001E-2</v>
      </c>
      <c r="F6394" s="7">
        <v>1.498E-2</v>
      </c>
      <c r="G6394" s="7">
        <v>-8.0100000000000005E-2</v>
      </c>
    </row>
    <row r="6395" spans="2:7" x14ac:dyDescent="0.2">
      <c r="B6395" s="60">
        <v>44742</v>
      </c>
      <c r="C6395" s="7">
        <v>1.3680000000000001E-2</v>
      </c>
      <c r="D6395" s="7">
        <v>1.5300000000000001E-2</v>
      </c>
      <c r="E6395" s="7">
        <v>1.5300000000000001E-2</v>
      </c>
      <c r="F6395" s="7">
        <v>1.3480000000000001E-2</v>
      </c>
      <c r="G6395" s="7">
        <v>-9.0399999999999994E-2</v>
      </c>
    </row>
    <row r="6396" spans="2:7" x14ac:dyDescent="0.2">
      <c r="B6396" s="60">
        <v>44743</v>
      </c>
      <c r="C6396" s="7">
        <v>1.226E-2</v>
      </c>
      <c r="D6396" s="7">
        <v>1.341E-2</v>
      </c>
      <c r="E6396" s="7">
        <v>1.41E-2</v>
      </c>
      <c r="F6396" s="7">
        <v>1.163E-2</v>
      </c>
      <c r="G6396" s="7">
        <v>-0.1038</v>
      </c>
    </row>
    <row r="6397" spans="2:7" x14ac:dyDescent="0.2">
      <c r="B6397" s="60">
        <v>44746</v>
      </c>
      <c r="C6397" s="7">
        <v>1.337E-2</v>
      </c>
      <c r="D6397" s="7">
        <v>1.2319999999999999E-2</v>
      </c>
      <c r="E6397" s="7">
        <v>1.3520000000000001E-2</v>
      </c>
      <c r="F6397" s="7">
        <v>1.2319999999999999E-2</v>
      </c>
      <c r="G6397" s="7">
        <v>9.0499999999999997E-2</v>
      </c>
    </row>
    <row r="6398" spans="2:7" x14ac:dyDescent="0.2">
      <c r="B6398" s="60">
        <v>44747</v>
      </c>
      <c r="C6398" s="7">
        <v>1.187E-2</v>
      </c>
      <c r="D6398" s="7">
        <v>1.3380000000000001E-2</v>
      </c>
      <c r="E6398" s="7">
        <v>1.3540000000000002E-2</v>
      </c>
      <c r="F6398" s="7">
        <v>1.1770000000000001E-2</v>
      </c>
      <c r="G6398" s="7">
        <v>-0.11219999999999999</v>
      </c>
    </row>
    <row r="6399" spans="2:7" x14ac:dyDescent="0.2">
      <c r="B6399" s="60">
        <v>44748</v>
      </c>
      <c r="C6399" s="7">
        <v>1.158E-2</v>
      </c>
      <c r="D6399" s="7">
        <v>1.192E-2</v>
      </c>
      <c r="E6399" s="7">
        <v>1.242E-2</v>
      </c>
      <c r="F6399" s="7">
        <v>1.072E-2</v>
      </c>
      <c r="G6399" s="7">
        <v>-2.4400000000000002E-2</v>
      </c>
    </row>
    <row r="6400" spans="2:7" x14ac:dyDescent="0.2">
      <c r="B6400" s="60">
        <v>44749</v>
      </c>
      <c r="C6400" s="7">
        <v>1.291E-2</v>
      </c>
      <c r="D6400" s="7">
        <v>1.2319999999999999E-2</v>
      </c>
      <c r="E6400" s="7">
        <v>1.321E-2</v>
      </c>
      <c r="F6400" s="7">
        <v>1.2330000000000001E-2</v>
      </c>
      <c r="G6400" s="7">
        <v>0.1149</v>
      </c>
    </row>
    <row r="6401" spans="2:7" x14ac:dyDescent="0.2">
      <c r="B6401" s="60">
        <v>44750</v>
      </c>
      <c r="C6401" s="7">
        <v>1.3460000000000001E-2</v>
      </c>
      <c r="D6401" s="7">
        <v>1.2869999999999999E-2</v>
      </c>
      <c r="E6401" s="7">
        <v>1.3500000000000002E-2</v>
      </c>
      <c r="F6401" s="7">
        <v>1.248E-2</v>
      </c>
      <c r="G6401" s="7">
        <v>4.2599999999999999E-2</v>
      </c>
    </row>
    <row r="6402" spans="2:7" x14ac:dyDescent="0.2">
      <c r="B6402" s="60">
        <v>44753</v>
      </c>
      <c r="C6402" s="7">
        <v>1.2500000000000001E-2</v>
      </c>
      <c r="D6402" s="7">
        <v>1.3269999999999999E-2</v>
      </c>
      <c r="E6402" s="7">
        <v>1.328E-2</v>
      </c>
      <c r="F6402" s="7">
        <v>1.2190000000000001E-2</v>
      </c>
      <c r="G6402" s="7">
        <v>-7.1300000000000002E-2</v>
      </c>
    </row>
    <row r="6403" spans="2:7" x14ac:dyDescent="0.2">
      <c r="B6403" s="60">
        <v>44754</v>
      </c>
      <c r="C6403" s="7">
        <v>1.1339999999999999E-2</v>
      </c>
      <c r="D6403" s="7">
        <v>1.2460000000000001E-2</v>
      </c>
      <c r="E6403" s="7">
        <v>1.2500000000000001E-2</v>
      </c>
      <c r="F6403" s="7">
        <v>1.094E-2</v>
      </c>
      <c r="G6403" s="7">
        <v>-9.2799999999999994E-2</v>
      </c>
    </row>
    <row r="6404" spans="2:7" x14ac:dyDescent="0.2">
      <c r="B6404" s="60">
        <v>44755</v>
      </c>
      <c r="C6404" s="7">
        <v>1.145E-2</v>
      </c>
      <c r="D6404" s="7">
        <v>1.1310000000000001E-2</v>
      </c>
      <c r="E6404" s="7">
        <v>1.2239999999999999E-2</v>
      </c>
      <c r="F6404" s="7">
        <v>1.125E-2</v>
      </c>
      <c r="G6404" s="7">
        <v>9.7000000000000003E-3</v>
      </c>
    </row>
    <row r="6405" spans="2:7" x14ac:dyDescent="0.2">
      <c r="B6405" s="60">
        <v>44756</v>
      </c>
      <c r="C6405" s="7">
        <v>1.179E-2</v>
      </c>
      <c r="D6405" s="7">
        <v>1.149E-2</v>
      </c>
      <c r="E6405" s="7">
        <v>1.26E-2</v>
      </c>
      <c r="F6405" s="7">
        <v>1.1299999999999999E-2</v>
      </c>
      <c r="G6405" s="7">
        <v>2.9700000000000001E-2</v>
      </c>
    </row>
    <row r="6406" spans="2:7" x14ac:dyDescent="0.2">
      <c r="B6406" s="60">
        <v>44757</v>
      </c>
      <c r="C6406" s="7">
        <v>1.1279999999999998E-2</v>
      </c>
      <c r="D6406" s="7">
        <v>1.129E-2</v>
      </c>
      <c r="E6406" s="7">
        <v>1.176E-2</v>
      </c>
      <c r="F6406" s="7">
        <v>1.0709999999999999E-2</v>
      </c>
      <c r="G6406" s="7">
        <v>-4.3299999999999998E-2</v>
      </c>
    </row>
    <row r="6407" spans="2:7" x14ac:dyDescent="0.2">
      <c r="B6407" s="60">
        <v>44760</v>
      </c>
      <c r="C6407" s="7">
        <v>1.214E-2</v>
      </c>
      <c r="D6407" s="7">
        <v>1.1279999999999998E-2</v>
      </c>
      <c r="E6407" s="7">
        <v>1.2430000000000002E-2</v>
      </c>
      <c r="F6407" s="7">
        <v>1.115E-2</v>
      </c>
      <c r="G6407" s="7">
        <v>7.6200000000000004E-2</v>
      </c>
    </row>
    <row r="6408" spans="2:7" x14ac:dyDescent="0.2">
      <c r="B6408" s="60">
        <v>44761</v>
      </c>
      <c r="C6408" s="7">
        <v>1.278E-2</v>
      </c>
      <c r="D6408" s="7">
        <v>1.192E-2</v>
      </c>
      <c r="E6408" s="7">
        <v>1.3080000000000001E-2</v>
      </c>
      <c r="F6408" s="7">
        <v>1.1639999999999999E-2</v>
      </c>
      <c r="G6408" s="7">
        <v>5.2699999999999997E-2</v>
      </c>
    </row>
    <row r="6409" spans="2:7" x14ac:dyDescent="0.2">
      <c r="B6409" s="60">
        <v>44762</v>
      </c>
      <c r="C6409" s="7">
        <v>1.26E-2</v>
      </c>
      <c r="D6409" s="7">
        <v>1.278E-2</v>
      </c>
      <c r="E6409" s="7">
        <v>1.295E-2</v>
      </c>
      <c r="F6409" s="7">
        <v>1.1859999999999999E-2</v>
      </c>
      <c r="G6409" s="7">
        <v>-1.41E-2</v>
      </c>
    </row>
    <row r="6410" spans="2:7" x14ac:dyDescent="0.2">
      <c r="B6410" s="60">
        <v>44763</v>
      </c>
      <c r="C6410" s="7">
        <v>1.2199999999999999E-2</v>
      </c>
      <c r="D6410" s="7">
        <v>1.2410000000000001E-2</v>
      </c>
      <c r="E6410" s="7">
        <v>1.3690000000000001E-2</v>
      </c>
      <c r="F6410" s="7">
        <v>1.1950000000000001E-2</v>
      </c>
      <c r="G6410" s="7">
        <v>-3.1699999999999999E-2</v>
      </c>
    </row>
    <row r="6411" spans="2:7" x14ac:dyDescent="0.2">
      <c r="B6411" s="60">
        <v>44764</v>
      </c>
      <c r="C6411" s="7">
        <v>1.023E-2</v>
      </c>
      <c r="D6411" s="7">
        <v>1.2230000000000001E-2</v>
      </c>
      <c r="E6411" s="7">
        <v>1.225E-2</v>
      </c>
      <c r="F6411" s="7">
        <v>9.8799999999999999E-3</v>
      </c>
      <c r="G6411" s="7">
        <v>-0.1615</v>
      </c>
    </row>
    <row r="6412" spans="2:7" x14ac:dyDescent="0.2">
      <c r="B6412" s="60">
        <v>44767</v>
      </c>
      <c r="C6412" s="7">
        <v>1.03E-2</v>
      </c>
      <c r="D6412" s="7">
        <v>1.031E-2</v>
      </c>
      <c r="E6412" s="7">
        <v>1.0880000000000001E-2</v>
      </c>
      <c r="F6412" s="7">
        <v>1.014E-2</v>
      </c>
      <c r="G6412" s="7">
        <v>6.7999999999999996E-3</v>
      </c>
    </row>
    <row r="6413" spans="2:7" x14ac:dyDescent="0.2">
      <c r="B6413" s="60">
        <v>44768</v>
      </c>
      <c r="C6413" s="7">
        <v>9.2800000000000001E-3</v>
      </c>
      <c r="D6413" s="7">
        <v>1.018E-2</v>
      </c>
      <c r="E6413" s="7">
        <v>1.0329999999999999E-2</v>
      </c>
      <c r="F6413" s="7">
        <v>9.1000000000000004E-3</v>
      </c>
      <c r="G6413" s="7">
        <v>-9.9000000000000005E-2</v>
      </c>
    </row>
    <row r="6414" spans="2:7" x14ac:dyDescent="0.2">
      <c r="B6414" s="60">
        <v>44769</v>
      </c>
      <c r="C6414" s="7">
        <v>9.3799999999999994E-3</v>
      </c>
      <c r="D6414" s="7">
        <v>9.4599999999999997E-3</v>
      </c>
      <c r="E6414" s="7">
        <v>9.7599999999999996E-3</v>
      </c>
      <c r="F6414" s="7">
        <v>9.1999999999999998E-3</v>
      </c>
      <c r="G6414" s="7">
        <v>1.0800000000000001E-2</v>
      </c>
    </row>
    <row r="6415" spans="2:7" x14ac:dyDescent="0.2">
      <c r="B6415" s="60">
        <v>44770</v>
      </c>
      <c r="C6415" s="7">
        <v>8.0099999999999998E-3</v>
      </c>
      <c r="D6415" s="7">
        <v>9.4399999999999987E-3</v>
      </c>
      <c r="E6415" s="7">
        <v>1.0029999999999999E-2</v>
      </c>
      <c r="F6415" s="7">
        <v>7.9699999999999997E-3</v>
      </c>
      <c r="G6415" s="7">
        <v>-0.14610000000000001</v>
      </c>
    </row>
    <row r="6416" spans="2:7" x14ac:dyDescent="0.2">
      <c r="B6416" s="60">
        <v>44771</v>
      </c>
      <c r="C6416" s="7">
        <v>8.2500000000000004E-3</v>
      </c>
      <c r="D6416" s="7">
        <v>8.2799999999999992E-3</v>
      </c>
      <c r="E6416" s="7">
        <v>9.1800000000000007E-3</v>
      </c>
      <c r="F6416" s="7">
        <v>8.0300000000000007E-3</v>
      </c>
      <c r="G6416" s="7">
        <v>0.03</v>
      </c>
    </row>
    <row r="6417" spans="2:7" x14ac:dyDescent="0.2">
      <c r="B6417" s="60">
        <v>44774</v>
      </c>
      <c r="C6417" s="7">
        <v>7.6100000000000004E-3</v>
      </c>
      <c r="D6417" s="7">
        <v>8.1799999999999998E-3</v>
      </c>
      <c r="E6417" s="7">
        <v>8.8500000000000002E-3</v>
      </c>
      <c r="F6417" s="7">
        <v>7.5799999999999999E-3</v>
      </c>
      <c r="G6417" s="7">
        <v>-7.7600000000000002E-2</v>
      </c>
    </row>
    <row r="6418" spans="2:7" x14ac:dyDescent="0.2">
      <c r="B6418" s="60">
        <v>44775</v>
      </c>
      <c r="C6418" s="7">
        <v>7.8200000000000006E-3</v>
      </c>
      <c r="D6418" s="7">
        <v>7.8000000000000005E-3</v>
      </c>
      <c r="E6418" s="7">
        <v>8.0200000000000011E-3</v>
      </c>
      <c r="F6418" s="7">
        <v>6.7800000000000004E-3</v>
      </c>
      <c r="G6418" s="7">
        <v>2.76E-2</v>
      </c>
    </row>
    <row r="6419" spans="2:7" x14ac:dyDescent="0.2">
      <c r="B6419" s="60">
        <v>44776</v>
      </c>
      <c r="C6419" s="7">
        <v>8.7399999999999995E-3</v>
      </c>
      <c r="D6419" s="7">
        <v>8.26E-3</v>
      </c>
      <c r="E6419" s="7">
        <v>9.1400000000000006E-3</v>
      </c>
      <c r="F6419" s="7">
        <v>7.8500000000000011E-3</v>
      </c>
      <c r="G6419" s="7">
        <v>0.1176</v>
      </c>
    </row>
    <row r="6420" spans="2:7" x14ac:dyDescent="0.2">
      <c r="B6420" s="60">
        <v>44777</v>
      </c>
      <c r="C6420" s="7">
        <v>8.09E-3</v>
      </c>
      <c r="D6420" s="7">
        <v>8.6899999999999998E-3</v>
      </c>
      <c r="E6420" s="7">
        <v>8.9600000000000009E-3</v>
      </c>
      <c r="F6420" s="7">
        <v>7.8799999999999999E-3</v>
      </c>
      <c r="G6420" s="7">
        <v>-7.4399999999999994E-2</v>
      </c>
    </row>
    <row r="6421" spans="2:7" x14ac:dyDescent="0.2">
      <c r="B6421" s="60">
        <v>44778</v>
      </c>
      <c r="C6421" s="7">
        <v>9.6100000000000005E-3</v>
      </c>
      <c r="D6421" s="7">
        <v>8.09E-3</v>
      </c>
      <c r="E6421" s="7">
        <v>9.6399999999999993E-3</v>
      </c>
      <c r="F6421" s="7">
        <v>7.8799999999999999E-3</v>
      </c>
      <c r="G6421" s="7">
        <v>0.18790000000000001</v>
      </c>
    </row>
    <row r="6422" spans="2:7" x14ac:dyDescent="0.2">
      <c r="B6422" s="60">
        <v>44781</v>
      </c>
      <c r="C6422" s="7">
        <v>8.9700000000000005E-3</v>
      </c>
      <c r="D6422" s="7">
        <v>9.2600000000000009E-3</v>
      </c>
      <c r="E6422" s="7">
        <v>9.3999999999999986E-3</v>
      </c>
      <c r="F6422" s="7">
        <v>8.6499999999999997E-3</v>
      </c>
      <c r="G6422" s="7">
        <v>-6.6600000000000006E-2</v>
      </c>
    </row>
    <row r="6423" spans="2:7" x14ac:dyDescent="0.2">
      <c r="B6423" s="60">
        <v>44782</v>
      </c>
      <c r="C6423" s="7">
        <v>9.2300000000000004E-3</v>
      </c>
      <c r="D6423" s="7">
        <v>8.8999999999999999E-3</v>
      </c>
      <c r="E6423" s="7">
        <v>9.6399999999999993E-3</v>
      </c>
      <c r="F6423" s="7">
        <v>8.7100000000000007E-3</v>
      </c>
      <c r="G6423" s="7">
        <v>2.9000000000000001E-2</v>
      </c>
    </row>
    <row r="6424" spans="2:7" x14ac:dyDescent="0.2">
      <c r="B6424" s="60">
        <v>44783</v>
      </c>
      <c r="C6424" s="7">
        <v>8.8599999999999998E-3</v>
      </c>
      <c r="D6424" s="7">
        <v>9.1800000000000007E-3</v>
      </c>
      <c r="E6424" s="7">
        <v>9.4500000000000001E-3</v>
      </c>
      <c r="F6424" s="7">
        <v>8.369999999999999E-3</v>
      </c>
      <c r="G6424" s="7">
        <v>-4.0099999999999997E-2</v>
      </c>
    </row>
    <row r="6425" spans="2:7" x14ac:dyDescent="0.2">
      <c r="B6425" s="60">
        <v>44784</v>
      </c>
      <c r="C6425" s="7">
        <v>9.6699999999999998E-3</v>
      </c>
      <c r="D6425" s="7">
        <v>8.8999999999999999E-3</v>
      </c>
      <c r="E6425" s="7">
        <v>9.8999999999999991E-3</v>
      </c>
      <c r="F6425" s="7">
        <v>8.5199999999999998E-3</v>
      </c>
      <c r="G6425" s="7">
        <v>9.1399999999999995E-2</v>
      </c>
    </row>
    <row r="6426" spans="2:7" x14ac:dyDescent="0.2">
      <c r="B6426" s="60">
        <v>44785</v>
      </c>
      <c r="C6426" s="7">
        <v>9.8999999999999991E-3</v>
      </c>
      <c r="D6426" s="7">
        <v>9.7900000000000001E-3</v>
      </c>
      <c r="E6426" s="7">
        <v>1.0249999999999999E-2</v>
      </c>
      <c r="F6426" s="7">
        <v>9.5399999999999999E-3</v>
      </c>
      <c r="G6426" s="7">
        <v>2.3800000000000002E-2</v>
      </c>
    </row>
    <row r="6427" spans="2:7" x14ac:dyDescent="0.2">
      <c r="B6427" s="60">
        <v>44788</v>
      </c>
      <c r="C6427" s="7">
        <v>9.0299999999999998E-3</v>
      </c>
      <c r="D6427" s="7">
        <v>9.8700000000000003E-3</v>
      </c>
      <c r="E6427" s="7">
        <v>1.0169999999999998E-2</v>
      </c>
      <c r="F6427" s="7">
        <v>8.8599999999999998E-3</v>
      </c>
      <c r="G6427" s="7">
        <v>-8.7900000000000006E-2</v>
      </c>
    </row>
    <row r="6428" spans="2:7" x14ac:dyDescent="0.2">
      <c r="B6428" s="60">
        <v>44789</v>
      </c>
      <c r="C6428" s="7">
        <v>9.7900000000000001E-3</v>
      </c>
      <c r="D6428" s="7">
        <v>8.9700000000000005E-3</v>
      </c>
      <c r="E6428" s="7">
        <v>1.0049999999999998E-2</v>
      </c>
      <c r="F6428" s="7">
        <v>8.9700000000000005E-3</v>
      </c>
      <c r="G6428" s="7">
        <v>8.4199999999999997E-2</v>
      </c>
    </row>
    <row r="6429" spans="2:7" x14ac:dyDescent="0.2">
      <c r="B6429" s="60">
        <v>44790</v>
      </c>
      <c r="C6429" s="7">
        <v>1.0780000000000001E-2</v>
      </c>
      <c r="D6429" s="7">
        <v>9.6699999999999998E-3</v>
      </c>
      <c r="E6429" s="7">
        <v>1.11E-2</v>
      </c>
      <c r="F6429" s="7">
        <v>9.6699999999999998E-3</v>
      </c>
      <c r="G6429" s="7">
        <v>0.1011</v>
      </c>
    </row>
    <row r="6430" spans="2:7" x14ac:dyDescent="0.2">
      <c r="B6430" s="60">
        <v>44791</v>
      </c>
      <c r="C6430" s="7">
        <v>1.098E-2</v>
      </c>
      <c r="D6430" s="7">
        <v>1.091E-2</v>
      </c>
      <c r="E6430" s="7">
        <v>1.15E-2</v>
      </c>
      <c r="F6430" s="7">
        <v>1.0660000000000001E-2</v>
      </c>
      <c r="G6430" s="7">
        <v>1.8599999999999998E-2</v>
      </c>
    </row>
    <row r="6431" spans="2:7" x14ac:dyDescent="0.2">
      <c r="B6431" s="60">
        <v>44792</v>
      </c>
      <c r="C6431" s="7">
        <v>1.234E-2</v>
      </c>
      <c r="D6431" s="7">
        <v>1.102E-2</v>
      </c>
      <c r="E6431" s="7">
        <v>1.242E-2</v>
      </c>
      <c r="F6431" s="7">
        <v>1.1000000000000001E-2</v>
      </c>
      <c r="G6431" s="7">
        <v>0.1239</v>
      </c>
    </row>
    <row r="6432" spans="2:7" x14ac:dyDescent="0.2">
      <c r="B6432" s="60">
        <v>44795</v>
      </c>
      <c r="C6432" s="7">
        <v>1.3009999999999999E-2</v>
      </c>
      <c r="D6432" s="7">
        <v>1.225E-2</v>
      </c>
      <c r="E6432" s="7">
        <v>1.311E-2</v>
      </c>
      <c r="F6432" s="7">
        <v>1.1810000000000001E-2</v>
      </c>
      <c r="G6432" s="7">
        <v>5.4300000000000001E-2</v>
      </c>
    </row>
    <row r="6433" spans="2:7" x14ac:dyDescent="0.2">
      <c r="B6433" s="60">
        <v>44796</v>
      </c>
      <c r="C6433" s="7">
        <v>1.321E-2</v>
      </c>
      <c r="D6433" s="7">
        <v>1.3009999999999999E-2</v>
      </c>
      <c r="E6433" s="7">
        <v>1.375E-2</v>
      </c>
      <c r="F6433" s="7">
        <v>1.2490000000000001E-2</v>
      </c>
      <c r="G6433" s="7">
        <v>1.54E-2</v>
      </c>
    </row>
    <row r="6434" spans="2:7" x14ac:dyDescent="0.2">
      <c r="B6434" s="60">
        <v>44797</v>
      </c>
      <c r="C6434" s="7">
        <v>1.363E-2</v>
      </c>
      <c r="D6434" s="7">
        <v>1.3309999999999999E-2</v>
      </c>
      <c r="E6434" s="7">
        <v>1.3899999999999999E-2</v>
      </c>
      <c r="F6434" s="7">
        <v>1.311E-2</v>
      </c>
      <c r="G6434" s="7">
        <v>3.1800000000000002E-2</v>
      </c>
    </row>
    <row r="6435" spans="2:7" x14ac:dyDescent="0.2">
      <c r="B6435" s="60">
        <v>44798</v>
      </c>
      <c r="C6435" s="7">
        <v>1.329E-2</v>
      </c>
      <c r="D6435" s="7">
        <v>1.363E-2</v>
      </c>
      <c r="E6435" s="7">
        <v>1.3899999999999999E-2</v>
      </c>
      <c r="F6435" s="7">
        <v>1.3169999999999999E-2</v>
      </c>
      <c r="G6435" s="7">
        <v>-2.4899999999999999E-2</v>
      </c>
    </row>
    <row r="6436" spans="2:7" x14ac:dyDescent="0.2">
      <c r="B6436" s="60">
        <v>44799</v>
      </c>
      <c r="C6436" s="7">
        <v>1.3979999999999999E-2</v>
      </c>
      <c r="D6436" s="7">
        <v>1.316E-2</v>
      </c>
      <c r="E6436" s="7">
        <v>1.435E-2</v>
      </c>
      <c r="F6436" s="7">
        <v>1.311E-2</v>
      </c>
      <c r="G6436" s="7">
        <v>5.1900000000000002E-2</v>
      </c>
    </row>
    <row r="6437" spans="2:7" x14ac:dyDescent="0.2">
      <c r="B6437" s="60">
        <v>44802</v>
      </c>
      <c r="C6437" s="7">
        <v>1.5049999999999999E-2</v>
      </c>
      <c r="D6437" s="7">
        <v>1.4950000000000001E-2</v>
      </c>
      <c r="E6437" s="7">
        <v>1.5480000000000001E-2</v>
      </c>
      <c r="F6437" s="7">
        <v>1.4630000000000001E-2</v>
      </c>
      <c r="G6437" s="7">
        <v>7.6499999999999999E-2</v>
      </c>
    </row>
    <row r="6438" spans="2:7" x14ac:dyDescent="0.2">
      <c r="B6438" s="60">
        <v>44803</v>
      </c>
      <c r="C6438" s="7">
        <v>1.5100000000000001E-2</v>
      </c>
      <c r="D6438" s="7">
        <v>1.5089999999999999E-2</v>
      </c>
      <c r="E6438" s="7">
        <v>1.5440000000000001E-2</v>
      </c>
      <c r="F6438" s="7">
        <v>1.4379999999999999E-2</v>
      </c>
      <c r="G6438" s="7">
        <v>3.3E-3</v>
      </c>
    </row>
    <row r="6439" spans="2:7" x14ac:dyDescent="0.2">
      <c r="B6439" s="60">
        <v>44804</v>
      </c>
      <c r="C6439" s="7">
        <v>1.536E-2</v>
      </c>
      <c r="D6439" s="7">
        <v>1.4950000000000001E-2</v>
      </c>
      <c r="E6439" s="7">
        <v>1.584E-2</v>
      </c>
      <c r="F6439" s="7">
        <v>1.4619999999999999E-2</v>
      </c>
      <c r="G6439" s="7">
        <v>1.72E-2</v>
      </c>
    </row>
    <row r="6440" spans="2:7" x14ac:dyDescent="0.2">
      <c r="B6440" s="60">
        <v>44805</v>
      </c>
      <c r="C6440" s="7">
        <v>1.5709999999999998E-2</v>
      </c>
      <c r="D6440" s="7">
        <v>1.54E-2</v>
      </c>
      <c r="E6440" s="7">
        <v>1.634E-2</v>
      </c>
      <c r="F6440" s="7">
        <v>1.54E-2</v>
      </c>
      <c r="G6440" s="7">
        <v>2.2800000000000001E-2</v>
      </c>
    </row>
    <row r="6441" spans="2:7" x14ac:dyDescent="0.2">
      <c r="B6441" s="60">
        <v>44806</v>
      </c>
      <c r="C6441" s="7">
        <v>1.52E-2</v>
      </c>
      <c r="D6441" s="7">
        <v>1.5629999999999998E-2</v>
      </c>
      <c r="E6441" s="7">
        <v>1.609E-2</v>
      </c>
      <c r="F6441" s="7">
        <v>1.474E-2</v>
      </c>
      <c r="G6441" s="7">
        <v>-3.2500000000000001E-2</v>
      </c>
    </row>
    <row r="6442" spans="2:7" x14ac:dyDescent="0.2">
      <c r="B6442" s="60">
        <v>44809</v>
      </c>
      <c r="C6442" s="7">
        <v>1.566E-2</v>
      </c>
      <c r="D6442" s="7">
        <v>1.5220000000000001E-2</v>
      </c>
      <c r="E6442" s="7">
        <v>1.5910000000000001E-2</v>
      </c>
      <c r="F6442" s="7">
        <v>1.478E-2</v>
      </c>
      <c r="G6442" s="7">
        <v>3.0300000000000001E-2</v>
      </c>
    </row>
    <row r="6443" spans="2:7" x14ac:dyDescent="0.2">
      <c r="B6443" s="60">
        <v>44810</v>
      </c>
      <c r="C6443" s="7">
        <v>1.6049999999999998E-2</v>
      </c>
      <c r="D6443" s="7">
        <v>1.562E-2</v>
      </c>
      <c r="E6443" s="7">
        <v>1.6399999999999998E-2</v>
      </c>
      <c r="F6443" s="7">
        <v>1.485E-2</v>
      </c>
      <c r="G6443" s="7">
        <v>2.4899999999999999E-2</v>
      </c>
    </row>
    <row r="6444" spans="2:7" x14ac:dyDescent="0.2">
      <c r="B6444" s="60">
        <v>44811</v>
      </c>
      <c r="C6444" s="7">
        <v>1.575E-2</v>
      </c>
      <c r="D6444" s="7">
        <v>1.6449999999999999E-2</v>
      </c>
      <c r="E6444" s="7">
        <v>1.6449999999999999E-2</v>
      </c>
      <c r="F6444" s="7">
        <v>1.546E-2</v>
      </c>
      <c r="G6444" s="7">
        <v>-1.8700000000000001E-2</v>
      </c>
    </row>
    <row r="6445" spans="2:7" x14ac:dyDescent="0.2">
      <c r="B6445" s="60">
        <v>44812</v>
      </c>
      <c r="C6445" s="7">
        <v>1.712E-2</v>
      </c>
      <c r="D6445" s="7">
        <v>1.576E-2</v>
      </c>
      <c r="E6445" s="7">
        <v>1.7159999999999998E-2</v>
      </c>
      <c r="F6445" s="7">
        <v>1.5429999999999999E-2</v>
      </c>
      <c r="G6445" s="7">
        <v>8.6999999999999994E-2</v>
      </c>
    </row>
    <row r="6446" spans="2:7" x14ac:dyDescent="0.2">
      <c r="B6446" s="60">
        <v>44813</v>
      </c>
      <c r="C6446" s="7">
        <v>1.7000000000000001E-2</v>
      </c>
      <c r="D6446" s="7">
        <v>1.7410000000000002E-2</v>
      </c>
      <c r="E6446" s="7">
        <v>1.796E-2</v>
      </c>
      <c r="F6446" s="7">
        <v>1.6390000000000002E-2</v>
      </c>
      <c r="G6446" s="7">
        <v>-7.0000000000000001E-3</v>
      </c>
    </row>
    <row r="6447" spans="2:7" x14ac:dyDescent="0.2">
      <c r="B6447" s="60">
        <v>44816</v>
      </c>
      <c r="C6447" s="7">
        <v>1.6449999999999999E-2</v>
      </c>
      <c r="D6447" s="7">
        <v>1.6969999999999999E-2</v>
      </c>
      <c r="E6447" s="7">
        <v>1.755E-2</v>
      </c>
      <c r="F6447" s="7">
        <v>1.636E-2</v>
      </c>
      <c r="G6447" s="7">
        <v>-3.2399999999999998E-2</v>
      </c>
    </row>
    <row r="6448" spans="2:7" x14ac:dyDescent="0.2">
      <c r="B6448" s="60">
        <v>44817</v>
      </c>
      <c r="C6448" s="7">
        <v>1.7239999999999998E-2</v>
      </c>
      <c r="D6448" s="7">
        <v>1.6549999999999999E-2</v>
      </c>
      <c r="E6448" s="7">
        <v>1.7559999999999999E-2</v>
      </c>
      <c r="F6448" s="7">
        <v>1.6420000000000001E-2</v>
      </c>
      <c r="G6448" s="7">
        <v>4.8000000000000001E-2</v>
      </c>
    </row>
    <row r="6449" spans="2:7" x14ac:dyDescent="0.2">
      <c r="B6449" s="60">
        <v>44818</v>
      </c>
      <c r="C6449" s="7">
        <v>1.6979999999999999E-2</v>
      </c>
      <c r="D6449" s="7">
        <v>1.7310000000000002E-2</v>
      </c>
      <c r="E6449" s="7">
        <v>1.779E-2</v>
      </c>
      <c r="F6449" s="7">
        <v>1.6830000000000001E-2</v>
      </c>
      <c r="G6449" s="7">
        <v>-1.5100000000000001E-2</v>
      </c>
    </row>
    <row r="6450" spans="2:7" x14ac:dyDescent="0.2">
      <c r="B6450" s="60">
        <v>44819</v>
      </c>
      <c r="C6450" s="7">
        <v>1.7410000000000002E-2</v>
      </c>
      <c r="D6450" s="7">
        <v>1.7159999999999998E-2</v>
      </c>
      <c r="E6450" s="7">
        <v>1.7680000000000001E-2</v>
      </c>
      <c r="F6450" s="7">
        <v>1.704E-2</v>
      </c>
      <c r="G6450" s="7">
        <v>2.53E-2</v>
      </c>
    </row>
    <row r="6451" spans="2:7" x14ac:dyDescent="0.2">
      <c r="B6451" s="60">
        <v>44820</v>
      </c>
      <c r="C6451" s="7">
        <v>1.7649999999999999E-2</v>
      </c>
      <c r="D6451" s="7">
        <v>1.7659999999999999E-2</v>
      </c>
      <c r="E6451" s="7">
        <v>1.8169999999999999E-2</v>
      </c>
      <c r="F6451" s="7">
        <v>1.7469999999999999E-2</v>
      </c>
      <c r="G6451" s="7">
        <v>1.38E-2</v>
      </c>
    </row>
    <row r="6452" spans="2:7" x14ac:dyDescent="0.2">
      <c r="B6452" s="60">
        <v>44823</v>
      </c>
      <c r="C6452" s="7">
        <v>1.7909999999999999E-2</v>
      </c>
      <c r="D6452" s="7">
        <v>1.7559999999999999E-2</v>
      </c>
      <c r="E6452" s="7">
        <v>1.8180000000000002E-2</v>
      </c>
      <c r="F6452" s="7">
        <v>1.7440000000000001E-2</v>
      </c>
      <c r="G6452" s="7">
        <v>1.47E-2</v>
      </c>
    </row>
    <row r="6453" spans="2:7" x14ac:dyDescent="0.2">
      <c r="B6453" s="60">
        <v>44824</v>
      </c>
      <c r="C6453" s="7">
        <v>1.9390000000000001E-2</v>
      </c>
      <c r="D6453" s="7">
        <v>1.804E-2</v>
      </c>
      <c r="E6453" s="7">
        <v>1.9539999999999998E-2</v>
      </c>
      <c r="F6453" s="7">
        <v>1.804E-2</v>
      </c>
      <c r="G6453" s="7">
        <v>8.2600000000000007E-2</v>
      </c>
    </row>
    <row r="6454" spans="2:7" x14ac:dyDescent="0.2">
      <c r="B6454" s="60">
        <v>44825</v>
      </c>
      <c r="C6454" s="7">
        <v>1.8919999999999999E-2</v>
      </c>
      <c r="D6454" s="7">
        <v>1.9279999999999999E-2</v>
      </c>
      <c r="E6454" s="7">
        <v>1.9279999999999999E-2</v>
      </c>
      <c r="F6454" s="7">
        <v>1.839E-2</v>
      </c>
      <c r="G6454" s="7">
        <v>-2.4199999999999999E-2</v>
      </c>
    </row>
    <row r="6455" spans="2:7" x14ac:dyDescent="0.2">
      <c r="B6455" s="60">
        <v>44826</v>
      </c>
      <c r="C6455" s="7">
        <v>1.9779999999999999E-2</v>
      </c>
      <c r="D6455" s="7">
        <v>1.8879999999999997E-2</v>
      </c>
      <c r="E6455" s="7">
        <v>1.9959999999999999E-2</v>
      </c>
      <c r="F6455" s="7">
        <v>1.83E-2</v>
      </c>
      <c r="G6455" s="7">
        <v>4.5499999999999999E-2</v>
      </c>
    </row>
    <row r="6456" spans="2:7" x14ac:dyDescent="0.2">
      <c r="B6456" s="60">
        <v>44827</v>
      </c>
      <c r="C6456" s="7">
        <v>2.0310000000000002E-2</v>
      </c>
      <c r="D6456" s="7">
        <v>1.966E-2</v>
      </c>
      <c r="E6456" s="7">
        <v>2.1150000000000002E-2</v>
      </c>
      <c r="F6456" s="7">
        <v>1.9089999999999999E-2</v>
      </c>
      <c r="G6456" s="7">
        <v>2.6800000000000001E-2</v>
      </c>
    </row>
    <row r="6457" spans="2:7" x14ac:dyDescent="0.2">
      <c r="B6457" s="60">
        <v>44830</v>
      </c>
      <c r="C6457" s="7">
        <v>2.0920000000000001E-2</v>
      </c>
      <c r="D6457" s="7">
        <v>2.0240000000000001E-2</v>
      </c>
      <c r="E6457" s="7">
        <v>2.1320000000000002E-2</v>
      </c>
      <c r="F6457" s="7">
        <v>2.0240000000000001E-2</v>
      </c>
      <c r="G6457" s="7">
        <v>0.03</v>
      </c>
    </row>
    <row r="6458" spans="2:7" x14ac:dyDescent="0.2">
      <c r="B6458" s="60">
        <v>44831</v>
      </c>
      <c r="C6458" s="7">
        <v>2.2519999999999998E-2</v>
      </c>
      <c r="D6458" s="7">
        <v>2.1419999999999998E-2</v>
      </c>
      <c r="E6458" s="7">
        <v>2.2550000000000001E-2</v>
      </c>
      <c r="F6458" s="7">
        <v>2.0400000000000001E-2</v>
      </c>
      <c r="G6458" s="7">
        <v>7.6499999999999999E-2</v>
      </c>
    </row>
    <row r="6459" spans="2:7" x14ac:dyDescent="0.2">
      <c r="B6459" s="60">
        <v>44832</v>
      </c>
      <c r="C6459" s="7">
        <v>2.155E-2</v>
      </c>
      <c r="D6459" s="7">
        <v>2.231E-2</v>
      </c>
      <c r="E6459" s="7">
        <v>2.3519999999999999E-2</v>
      </c>
      <c r="F6459" s="7">
        <v>2.1299999999999999E-2</v>
      </c>
      <c r="G6459" s="7">
        <v>-4.3099999999999999E-2</v>
      </c>
    </row>
    <row r="6460" spans="2:7" x14ac:dyDescent="0.2">
      <c r="B6460" s="60">
        <v>44833</v>
      </c>
      <c r="C6460" s="7">
        <v>2.2080000000000002E-2</v>
      </c>
      <c r="D6460" s="7">
        <v>2.2330000000000003E-2</v>
      </c>
      <c r="E6460" s="7">
        <v>2.2970000000000001E-2</v>
      </c>
      <c r="F6460" s="7">
        <v>2.1770000000000001E-2</v>
      </c>
      <c r="G6460" s="7">
        <v>2.46E-2</v>
      </c>
    </row>
    <row r="6461" spans="2:7" x14ac:dyDescent="0.2">
      <c r="B6461" s="60">
        <v>44834</v>
      </c>
      <c r="C6461" s="7">
        <v>2.1090000000000001E-2</v>
      </c>
      <c r="D6461" s="7">
        <v>2.206E-2</v>
      </c>
      <c r="E6461" s="7">
        <v>2.2090000000000002E-2</v>
      </c>
      <c r="F6461" s="7">
        <v>2.061E-2</v>
      </c>
      <c r="G6461" s="7">
        <v>-4.48E-2</v>
      </c>
    </row>
    <row r="6462" spans="2:7" x14ac:dyDescent="0.2">
      <c r="B6462" s="60">
        <v>44837</v>
      </c>
      <c r="C6462" s="7">
        <v>1.8939999999999999E-2</v>
      </c>
      <c r="D6462" s="7">
        <v>2.1139999999999999E-2</v>
      </c>
      <c r="E6462" s="7">
        <v>2.155E-2</v>
      </c>
      <c r="F6462" s="7">
        <v>1.8839999999999999E-2</v>
      </c>
      <c r="G6462" s="7">
        <v>-0.1019</v>
      </c>
    </row>
    <row r="6463" spans="2:7" x14ac:dyDescent="0.2">
      <c r="B6463" s="60">
        <v>44838</v>
      </c>
      <c r="C6463" s="7">
        <v>1.882E-2</v>
      </c>
      <c r="D6463" s="7">
        <v>1.9140000000000001E-2</v>
      </c>
      <c r="E6463" s="7">
        <v>1.924E-2</v>
      </c>
      <c r="F6463" s="7">
        <v>1.7689999999999997E-2</v>
      </c>
      <c r="G6463" s="7">
        <v>-6.3E-3</v>
      </c>
    </row>
    <row r="6464" spans="2:7" x14ac:dyDescent="0.2">
      <c r="B6464" s="60">
        <v>44839</v>
      </c>
      <c r="C6464" s="7">
        <v>2.017E-2</v>
      </c>
      <c r="D6464" s="7">
        <v>1.8710000000000001E-2</v>
      </c>
      <c r="E6464" s="7">
        <v>2.0419999999999997E-2</v>
      </c>
      <c r="F6464" s="7">
        <v>1.864E-2</v>
      </c>
      <c r="G6464" s="7">
        <v>7.17E-2</v>
      </c>
    </row>
    <row r="6465" spans="2:7" x14ac:dyDescent="0.2">
      <c r="B6465" s="60">
        <v>44840</v>
      </c>
      <c r="C6465" s="7">
        <v>2.086E-2</v>
      </c>
      <c r="D6465" s="7">
        <v>2.017E-2</v>
      </c>
      <c r="E6465" s="7">
        <v>2.1179999999999997E-2</v>
      </c>
      <c r="F6465" s="7">
        <v>2.0039999999999999E-2</v>
      </c>
      <c r="G6465" s="7">
        <v>3.4200000000000001E-2</v>
      </c>
    </row>
    <row r="6466" spans="2:7" x14ac:dyDescent="0.2">
      <c r="B6466" s="60">
        <v>44841</v>
      </c>
      <c r="C6466" s="7">
        <v>2.197E-2</v>
      </c>
      <c r="D6466" s="7">
        <v>2.086E-2</v>
      </c>
      <c r="E6466" s="7">
        <v>2.2200000000000001E-2</v>
      </c>
      <c r="F6466" s="7">
        <v>2.086E-2</v>
      </c>
      <c r="G6466" s="7">
        <v>5.3199999999999997E-2</v>
      </c>
    </row>
    <row r="6467" spans="2:7" x14ac:dyDescent="0.2">
      <c r="B6467" s="60">
        <v>44844</v>
      </c>
      <c r="C6467" s="7">
        <v>2.3269999999999999E-2</v>
      </c>
      <c r="D6467" s="7">
        <v>2.1860000000000001E-2</v>
      </c>
      <c r="E6467" s="7">
        <v>2.3530000000000002E-2</v>
      </c>
      <c r="F6467" s="7">
        <v>2.1360000000000001E-2</v>
      </c>
      <c r="G6467" s="7">
        <v>5.9200000000000003E-2</v>
      </c>
    </row>
    <row r="6468" spans="2:7" x14ac:dyDescent="0.2">
      <c r="B6468" s="60">
        <v>44845</v>
      </c>
      <c r="C6468" s="7">
        <v>2.308E-2</v>
      </c>
      <c r="D6468" s="7">
        <v>2.3290000000000002E-2</v>
      </c>
      <c r="E6468" s="7">
        <v>2.3799999999999998E-2</v>
      </c>
      <c r="F6468" s="7">
        <v>2.2789999999999998E-2</v>
      </c>
      <c r="G6468" s="7">
        <v>-8.2000000000000007E-3</v>
      </c>
    </row>
    <row r="6469" spans="2:7" x14ac:dyDescent="0.2">
      <c r="B6469" s="60">
        <v>44846</v>
      </c>
      <c r="C6469" s="7">
        <v>2.3460000000000002E-2</v>
      </c>
      <c r="D6469" s="7">
        <v>2.3390000000000001E-2</v>
      </c>
      <c r="E6469" s="7">
        <v>2.4230000000000002E-2</v>
      </c>
      <c r="F6469" s="7">
        <v>2.3010000000000003E-2</v>
      </c>
      <c r="G6469" s="7">
        <v>1.6500000000000001E-2</v>
      </c>
    </row>
    <row r="6470" spans="2:7" x14ac:dyDescent="0.2">
      <c r="B6470" s="60">
        <v>44847</v>
      </c>
      <c r="C6470" s="7">
        <v>2.3E-2</v>
      </c>
      <c r="D6470" s="7">
        <v>2.3279999999999999E-2</v>
      </c>
      <c r="E6470" s="7">
        <v>2.4199999999999999E-2</v>
      </c>
      <c r="F6470" s="7">
        <v>2.222E-2</v>
      </c>
      <c r="G6470" s="7">
        <v>-1.9599999999999999E-2</v>
      </c>
    </row>
    <row r="6471" spans="2:7" x14ac:dyDescent="0.2">
      <c r="B6471" s="60">
        <v>44848</v>
      </c>
      <c r="C6471" s="7">
        <v>2.3610000000000003E-2</v>
      </c>
      <c r="D6471" s="7">
        <v>2.2860000000000002E-2</v>
      </c>
      <c r="E6471" s="7">
        <v>2.3639999999999998E-2</v>
      </c>
      <c r="F6471" s="7">
        <v>2.137E-2</v>
      </c>
      <c r="G6471" s="7">
        <v>2.6499999999999999E-2</v>
      </c>
    </row>
    <row r="6472" spans="2:7" x14ac:dyDescent="0.2">
      <c r="B6472" s="60">
        <v>44851</v>
      </c>
      <c r="C6472" s="7">
        <v>2.2709999999999998E-2</v>
      </c>
      <c r="D6472" s="7">
        <v>2.3439999999999999E-2</v>
      </c>
      <c r="E6472" s="7">
        <v>2.3439999999999999E-2</v>
      </c>
      <c r="F6472" s="7">
        <v>2.2120000000000001E-2</v>
      </c>
      <c r="G6472" s="7">
        <v>-3.8100000000000002E-2</v>
      </c>
    </row>
    <row r="6473" spans="2:7" x14ac:dyDescent="0.2">
      <c r="B6473" s="60">
        <v>44852</v>
      </c>
      <c r="C6473" s="7">
        <v>2.2780000000000002E-2</v>
      </c>
      <c r="D6473" s="7">
        <v>2.273E-2</v>
      </c>
      <c r="E6473" s="7">
        <v>2.3599999999999999E-2</v>
      </c>
      <c r="F6473" s="7">
        <v>2.2170000000000002E-2</v>
      </c>
      <c r="G6473" s="7">
        <v>3.0999999999999999E-3</v>
      </c>
    </row>
    <row r="6474" spans="2:7" x14ac:dyDescent="0.2">
      <c r="B6474" s="60">
        <v>44853</v>
      </c>
      <c r="C6474" s="7">
        <v>2.3690000000000003E-2</v>
      </c>
      <c r="D6474" s="7">
        <v>2.2850000000000002E-2</v>
      </c>
      <c r="E6474" s="7">
        <v>2.3809999999999998E-2</v>
      </c>
      <c r="F6474" s="7">
        <v>2.2780000000000002E-2</v>
      </c>
      <c r="G6474" s="7">
        <v>3.9899999999999998E-2</v>
      </c>
    </row>
    <row r="6475" spans="2:7" x14ac:dyDescent="0.2">
      <c r="B6475" s="60">
        <v>44854</v>
      </c>
      <c r="C6475" s="7">
        <v>2.3940000000000003E-2</v>
      </c>
      <c r="D6475" s="7">
        <v>2.375E-2</v>
      </c>
      <c r="E6475" s="7">
        <v>2.4580000000000001E-2</v>
      </c>
      <c r="F6475" s="7">
        <v>2.3559999999999998E-2</v>
      </c>
      <c r="G6475" s="7">
        <v>1.06E-2</v>
      </c>
    </row>
    <row r="6476" spans="2:7" x14ac:dyDescent="0.2">
      <c r="B6476" s="60">
        <v>44855</v>
      </c>
      <c r="C6476" s="7">
        <v>2.4369999999999999E-2</v>
      </c>
      <c r="D6476" s="7">
        <v>2.4940000000000004E-2</v>
      </c>
      <c r="E6476" s="7">
        <v>2.5319999999999999E-2</v>
      </c>
      <c r="F6476" s="7">
        <v>2.4140000000000002E-2</v>
      </c>
      <c r="G6476" s="7">
        <v>1.7999999999999999E-2</v>
      </c>
    </row>
    <row r="6477" spans="2:7" x14ac:dyDescent="0.2">
      <c r="B6477" s="60">
        <v>44858</v>
      </c>
      <c r="C6477" s="7">
        <v>2.3439999999999999E-2</v>
      </c>
      <c r="D6477" s="7">
        <v>2.35E-2</v>
      </c>
      <c r="E6477" s="7">
        <v>2.4279999999999999E-2</v>
      </c>
      <c r="F6477" s="7">
        <v>2.299E-2</v>
      </c>
      <c r="G6477" s="7">
        <v>-3.8199999999999998E-2</v>
      </c>
    </row>
    <row r="6478" spans="2:7" x14ac:dyDescent="0.2">
      <c r="B6478" s="60">
        <v>44859</v>
      </c>
      <c r="C6478" s="7">
        <v>2.1700000000000001E-2</v>
      </c>
      <c r="D6478" s="7">
        <v>2.2789999999999998E-2</v>
      </c>
      <c r="E6478" s="7">
        <v>2.291E-2</v>
      </c>
      <c r="F6478" s="7">
        <v>2.1659999999999999E-2</v>
      </c>
      <c r="G6478" s="7">
        <v>-7.4200000000000002E-2</v>
      </c>
    </row>
    <row r="6479" spans="2:7" x14ac:dyDescent="0.2">
      <c r="B6479" s="60">
        <v>44860</v>
      </c>
      <c r="C6479" s="7">
        <v>2.1150000000000002E-2</v>
      </c>
      <c r="D6479" s="7">
        <v>2.1680000000000001E-2</v>
      </c>
      <c r="E6479" s="7">
        <v>2.2189999999999998E-2</v>
      </c>
      <c r="F6479" s="7">
        <v>2.1150000000000002E-2</v>
      </c>
      <c r="G6479" s="7">
        <v>-2.53E-2</v>
      </c>
    </row>
    <row r="6480" spans="2:7" x14ac:dyDescent="0.2">
      <c r="B6480" s="60">
        <v>44861</v>
      </c>
      <c r="C6480" s="7">
        <v>1.9779999999999999E-2</v>
      </c>
      <c r="D6480" s="7">
        <v>2.1480000000000003E-2</v>
      </c>
      <c r="E6480" s="7">
        <v>2.206E-2</v>
      </c>
      <c r="F6480" s="7">
        <v>1.9779999999999999E-2</v>
      </c>
      <c r="G6480" s="7">
        <v>-6.4799999999999996E-2</v>
      </c>
    </row>
    <row r="6481" spans="2:7" x14ac:dyDescent="0.2">
      <c r="B6481" s="60">
        <v>44862</v>
      </c>
      <c r="C6481" s="7">
        <v>2.086E-2</v>
      </c>
      <c r="D6481" s="7">
        <v>1.9630000000000002E-2</v>
      </c>
      <c r="E6481" s="7">
        <v>2.1600000000000001E-2</v>
      </c>
      <c r="F6481" s="7">
        <v>1.9630000000000002E-2</v>
      </c>
      <c r="G6481" s="7">
        <v>5.4600000000000003E-2</v>
      </c>
    </row>
    <row r="6482" spans="2:7" x14ac:dyDescent="0.2">
      <c r="B6482" s="60">
        <v>44865</v>
      </c>
      <c r="C6482" s="7">
        <v>2.1499999999999998E-2</v>
      </c>
      <c r="D6482" s="7">
        <v>2.0979999999999999E-2</v>
      </c>
      <c r="E6482" s="7">
        <v>2.1680000000000001E-2</v>
      </c>
      <c r="F6482" s="7">
        <v>2.0950000000000003E-2</v>
      </c>
      <c r="G6482" s="7">
        <v>3.0700000000000002E-2</v>
      </c>
    </row>
    <row r="6483" spans="2:7" x14ac:dyDescent="0.2">
      <c r="B6483" s="60">
        <v>44866</v>
      </c>
      <c r="C6483" s="7">
        <v>2.1240000000000002E-2</v>
      </c>
      <c r="D6483" s="7">
        <v>2.1080000000000002E-2</v>
      </c>
      <c r="E6483" s="7">
        <v>2.1509999999999998E-2</v>
      </c>
      <c r="F6483" s="7">
        <v>2.027E-2</v>
      </c>
      <c r="G6483" s="7">
        <v>-1.21E-2</v>
      </c>
    </row>
    <row r="6484" spans="2:7" x14ac:dyDescent="0.2">
      <c r="B6484" s="60">
        <v>44867</v>
      </c>
      <c r="C6484" s="7">
        <v>2.1349999999999997E-2</v>
      </c>
      <c r="D6484" s="7">
        <v>2.1360000000000001E-2</v>
      </c>
      <c r="E6484" s="7">
        <v>2.155E-2</v>
      </c>
      <c r="F6484" s="7">
        <v>2.1070000000000002E-2</v>
      </c>
      <c r="G6484" s="7">
        <v>5.1999999999999998E-3</v>
      </c>
    </row>
    <row r="6485" spans="2:7" x14ac:dyDescent="0.2">
      <c r="B6485" s="60">
        <v>44868</v>
      </c>
      <c r="C6485" s="7">
        <v>2.2509999999999999E-2</v>
      </c>
      <c r="D6485" s="7">
        <v>2.1429999999999998E-2</v>
      </c>
      <c r="E6485" s="7">
        <v>2.2970000000000001E-2</v>
      </c>
      <c r="F6485" s="7">
        <v>2.1429999999999998E-2</v>
      </c>
      <c r="G6485" s="7">
        <v>5.4300000000000001E-2</v>
      </c>
    </row>
    <row r="6486" spans="2:7" x14ac:dyDescent="0.2">
      <c r="B6486" s="60">
        <v>44869</v>
      </c>
      <c r="C6486" s="7">
        <v>2.2890000000000001E-2</v>
      </c>
      <c r="D6486" s="7">
        <v>2.2409999999999999E-2</v>
      </c>
      <c r="E6486" s="7">
        <v>2.316E-2</v>
      </c>
      <c r="F6486" s="7">
        <v>2.2000000000000002E-2</v>
      </c>
      <c r="G6486" s="7">
        <v>1.6899999999999998E-2</v>
      </c>
    </row>
    <row r="6487" spans="2:7" x14ac:dyDescent="0.2">
      <c r="B6487" s="60">
        <v>44872</v>
      </c>
      <c r="C6487" s="7">
        <v>2.3250000000000003E-2</v>
      </c>
      <c r="D6487" s="7">
        <v>2.2949999999999998E-2</v>
      </c>
      <c r="E6487" s="7">
        <v>2.35E-2</v>
      </c>
      <c r="F6487" s="7">
        <v>2.2610000000000002E-2</v>
      </c>
      <c r="G6487" s="7">
        <v>1.5699999999999999E-2</v>
      </c>
    </row>
    <row r="6488" spans="2:7" x14ac:dyDescent="0.2">
      <c r="B6488" s="60">
        <v>44873</v>
      </c>
      <c r="C6488" s="7">
        <v>2.2719999999999997E-2</v>
      </c>
      <c r="D6488" s="7">
        <v>2.3429999999999999E-2</v>
      </c>
      <c r="E6488" s="7">
        <v>2.3780000000000003E-2</v>
      </c>
      <c r="F6488" s="7">
        <v>2.2519999999999998E-2</v>
      </c>
      <c r="G6488" s="7">
        <v>-2.2800000000000001E-2</v>
      </c>
    </row>
    <row r="6489" spans="2:7" x14ac:dyDescent="0.2">
      <c r="B6489" s="60">
        <v>44874</v>
      </c>
      <c r="C6489" s="7">
        <v>2.1770000000000001E-2</v>
      </c>
      <c r="D6489" s="7">
        <v>2.2700000000000001E-2</v>
      </c>
      <c r="E6489" s="7">
        <v>2.2799999999999997E-2</v>
      </c>
      <c r="F6489" s="7">
        <v>2.1709999999999997E-2</v>
      </c>
      <c r="G6489" s="7">
        <v>-4.1799999999999997E-2</v>
      </c>
    </row>
    <row r="6490" spans="2:7" x14ac:dyDescent="0.2">
      <c r="B6490" s="60">
        <v>44875</v>
      </c>
      <c r="C6490" s="7">
        <v>2.0030000000000003E-2</v>
      </c>
      <c r="D6490" s="7">
        <v>2.1569999999999999E-2</v>
      </c>
      <c r="E6490" s="7">
        <v>2.2000000000000002E-2</v>
      </c>
      <c r="F6490" s="7">
        <v>1.9790000000000002E-2</v>
      </c>
      <c r="G6490" s="7">
        <v>-7.9899999999999999E-2</v>
      </c>
    </row>
    <row r="6491" spans="2:7" x14ac:dyDescent="0.2">
      <c r="B6491" s="60">
        <v>44876</v>
      </c>
      <c r="C6491" s="7">
        <v>2.1579999999999998E-2</v>
      </c>
      <c r="D6491" s="7">
        <v>2.0030000000000003E-2</v>
      </c>
      <c r="E6491" s="7">
        <v>2.162E-2</v>
      </c>
      <c r="F6491" s="7">
        <v>2.0030000000000003E-2</v>
      </c>
      <c r="G6491" s="7">
        <v>7.7399999999999997E-2</v>
      </c>
    </row>
    <row r="6492" spans="2:7" x14ac:dyDescent="0.2">
      <c r="B6492" s="60">
        <v>44879</v>
      </c>
      <c r="C6492" s="7">
        <v>2.1589999999999998E-2</v>
      </c>
      <c r="D6492" s="7">
        <v>2.1659999999999999E-2</v>
      </c>
      <c r="E6492" s="7">
        <v>2.1739999999999999E-2</v>
      </c>
      <c r="F6492" s="7">
        <v>2.0979999999999999E-2</v>
      </c>
      <c r="G6492" s="7">
        <v>5.0000000000000001E-4</v>
      </c>
    </row>
    <row r="6493" spans="2:7" x14ac:dyDescent="0.2">
      <c r="B6493" s="60">
        <v>44880</v>
      </c>
      <c r="C6493" s="7">
        <v>2.0979999999999999E-2</v>
      </c>
      <c r="D6493" s="7">
        <v>2.145E-2</v>
      </c>
      <c r="E6493" s="7">
        <v>2.162E-2</v>
      </c>
      <c r="F6493" s="7">
        <v>2.053E-2</v>
      </c>
      <c r="G6493" s="7">
        <v>-2.8299999999999999E-2</v>
      </c>
    </row>
    <row r="6494" spans="2:7" x14ac:dyDescent="0.2">
      <c r="B6494" s="60">
        <v>44881</v>
      </c>
      <c r="C6494" s="7">
        <v>2.001E-2</v>
      </c>
      <c r="D6494" s="7">
        <v>2.1090000000000001E-2</v>
      </c>
      <c r="E6494" s="7">
        <v>2.137E-2</v>
      </c>
      <c r="F6494" s="7">
        <v>1.9870000000000002E-2</v>
      </c>
      <c r="G6494" s="7">
        <v>-4.6199999999999998E-2</v>
      </c>
    </row>
    <row r="6495" spans="2:7" x14ac:dyDescent="0.2">
      <c r="B6495" s="60">
        <v>44882</v>
      </c>
      <c r="C6495" s="7">
        <v>2.0299999999999999E-2</v>
      </c>
      <c r="D6495" s="7">
        <v>1.9980000000000001E-2</v>
      </c>
      <c r="E6495" s="7">
        <v>2.0499999999999997E-2</v>
      </c>
      <c r="F6495" s="7">
        <v>1.949E-2</v>
      </c>
      <c r="G6495" s="7">
        <v>1.4500000000000001E-2</v>
      </c>
    </row>
    <row r="6496" spans="2:7" x14ac:dyDescent="0.2">
      <c r="B6496" s="60">
        <v>44883</v>
      </c>
      <c r="C6496" s="7">
        <v>2.0179999999999997E-2</v>
      </c>
      <c r="D6496" s="7">
        <v>2.019E-2</v>
      </c>
      <c r="E6496" s="7">
        <v>2.0979999999999999E-2</v>
      </c>
      <c r="F6496" s="7">
        <v>1.9900000000000001E-2</v>
      </c>
      <c r="G6496" s="7">
        <v>-5.8999999999999999E-3</v>
      </c>
    </row>
    <row r="6497" spans="2:7" x14ac:dyDescent="0.2">
      <c r="B6497" s="60">
        <v>44884</v>
      </c>
      <c r="C6497" s="7">
        <v>2.0099999999999996E-2</v>
      </c>
      <c r="D6497" s="7">
        <v>2.0099999999999996E-2</v>
      </c>
      <c r="E6497" s="7">
        <v>2.0099999999999996E-2</v>
      </c>
      <c r="F6497" s="7">
        <v>2.0099999999999996E-2</v>
      </c>
      <c r="G6497" s="7">
        <v>-4.0000000000000001E-3</v>
      </c>
    </row>
    <row r="6498" spans="2:7" x14ac:dyDescent="0.2">
      <c r="B6498" s="60">
        <v>44886</v>
      </c>
      <c r="C6498" s="7">
        <v>1.9769999999999999E-2</v>
      </c>
      <c r="D6498" s="7">
        <v>2.0059999999999998E-2</v>
      </c>
      <c r="E6498" s="7">
        <v>2.0590000000000001E-2</v>
      </c>
      <c r="F6498" s="7">
        <v>1.9530000000000002E-2</v>
      </c>
      <c r="G6498" s="7">
        <v>-1.6400000000000001E-2</v>
      </c>
    </row>
    <row r="6499" spans="2:7" x14ac:dyDescent="0.2">
      <c r="B6499" s="60">
        <v>44887</v>
      </c>
      <c r="C6499" s="7">
        <v>1.9820000000000001E-2</v>
      </c>
      <c r="D6499" s="7">
        <v>1.9970000000000002E-2</v>
      </c>
      <c r="E6499" s="7">
        <v>2.0279999999999999E-2</v>
      </c>
      <c r="F6499" s="7">
        <v>1.9689999999999999E-2</v>
      </c>
      <c r="G6499" s="7">
        <v>2.5000000000000001E-3</v>
      </c>
    </row>
    <row r="6500" spans="2:7" x14ac:dyDescent="0.2">
      <c r="B6500" s="60">
        <v>44888</v>
      </c>
      <c r="C6500" s="7">
        <v>1.9220000000000001E-2</v>
      </c>
      <c r="D6500" s="7">
        <v>1.985E-2</v>
      </c>
      <c r="E6500" s="7">
        <v>2.0299999999999999E-2</v>
      </c>
      <c r="F6500" s="7">
        <v>1.908E-2</v>
      </c>
      <c r="G6500" s="7">
        <v>-3.0300000000000001E-2</v>
      </c>
    </row>
    <row r="6501" spans="2:7" x14ac:dyDescent="0.2">
      <c r="B6501" s="60">
        <v>44889</v>
      </c>
      <c r="C6501" s="7">
        <v>1.847E-2</v>
      </c>
      <c r="D6501" s="7">
        <v>1.908E-2</v>
      </c>
      <c r="E6501" s="7">
        <v>1.9119999999999998E-2</v>
      </c>
      <c r="F6501" s="7">
        <v>1.8020000000000001E-2</v>
      </c>
      <c r="G6501" s="7">
        <v>-3.9E-2</v>
      </c>
    </row>
    <row r="6502" spans="2:7" x14ac:dyDescent="0.2">
      <c r="B6502" s="60">
        <v>44890</v>
      </c>
      <c r="C6502" s="7">
        <v>1.9689999999999999E-2</v>
      </c>
      <c r="D6502" s="7">
        <v>1.8669999999999999E-2</v>
      </c>
      <c r="E6502" s="7">
        <v>1.985E-2</v>
      </c>
      <c r="F6502" s="7">
        <v>1.8540000000000001E-2</v>
      </c>
      <c r="G6502" s="7">
        <v>6.6100000000000006E-2</v>
      </c>
    </row>
    <row r="6503" spans="2:7" x14ac:dyDescent="0.2">
      <c r="B6503" s="60">
        <v>44893</v>
      </c>
      <c r="C6503" s="7">
        <v>1.992E-2</v>
      </c>
      <c r="D6503" s="7">
        <v>1.9810000000000001E-2</v>
      </c>
      <c r="E6503" s="7">
        <v>2.0299999999999999E-2</v>
      </c>
      <c r="F6503" s="7">
        <v>1.9119999999999998E-2</v>
      </c>
      <c r="G6503" s="7">
        <v>1.17E-2</v>
      </c>
    </row>
    <row r="6504" spans="2:7" x14ac:dyDescent="0.2">
      <c r="B6504" s="60">
        <v>44894</v>
      </c>
      <c r="C6504" s="7">
        <v>1.9130000000000001E-2</v>
      </c>
      <c r="D6504" s="7">
        <v>1.9560000000000001E-2</v>
      </c>
      <c r="E6504" s="7">
        <v>1.9740000000000001E-2</v>
      </c>
      <c r="F6504" s="7">
        <v>1.8759999999999999E-2</v>
      </c>
      <c r="G6504" s="7">
        <v>-3.9699999999999999E-2</v>
      </c>
    </row>
    <row r="6505" spans="2:7" x14ac:dyDescent="0.2">
      <c r="B6505" s="60">
        <v>44895</v>
      </c>
      <c r="C6505" s="7">
        <v>1.9439999999999999E-2</v>
      </c>
      <c r="D6505" s="7">
        <v>1.9179999999999999E-2</v>
      </c>
      <c r="E6505" s="7">
        <v>1.9730000000000001E-2</v>
      </c>
      <c r="F6505" s="7">
        <v>1.915E-2</v>
      </c>
      <c r="G6505" s="7">
        <v>1.6199999999999999E-2</v>
      </c>
    </row>
    <row r="6506" spans="2:7" x14ac:dyDescent="0.2">
      <c r="B6506" s="60">
        <v>44896</v>
      </c>
      <c r="C6506" s="7">
        <v>1.823E-2</v>
      </c>
      <c r="D6506" s="7">
        <v>1.8630000000000001E-2</v>
      </c>
      <c r="E6506" s="7">
        <v>1.873E-2</v>
      </c>
      <c r="F6506" s="7">
        <v>1.7950000000000001E-2</v>
      </c>
      <c r="G6506" s="7">
        <v>-6.2199999999999998E-2</v>
      </c>
    </row>
    <row r="6507" spans="2:7" x14ac:dyDescent="0.2">
      <c r="B6507" s="60">
        <v>44897</v>
      </c>
      <c r="C6507" s="7">
        <v>1.8550000000000001E-2</v>
      </c>
      <c r="D6507" s="7">
        <v>1.8260000000000002E-2</v>
      </c>
      <c r="E6507" s="7">
        <v>1.8720000000000001E-2</v>
      </c>
      <c r="F6507" s="7">
        <v>1.7600000000000001E-2</v>
      </c>
      <c r="G6507" s="7">
        <v>1.7600000000000001E-2</v>
      </c>
    </row>
    <row r="6508" spans="2:7" x14ac:dyDescent="0.2">
      <c r="B6508" s="60">
        <v>44900</v>
      </c>
      <c r="C6508" s="7">
        <v>1.8839999999999999E-2</v>
      </c>
      <c r="D6508" s="7">
        <v>1.8579999999999999E-2</v>
      </c>
      <c r="E6508" s="7">
        <v>1.9009999999999999E-2</v>
      </c>
      <c r="F6508" s="7">
        <v>1.8169999999999999E-2</v>
      </c>
      <c r="G6508" s="7">
        <v>1.5599999999999999E-2</v>
      </c>
    </row>
    <row r="6509" spans="2:7" x14ac:dyDescent="0.2">
      <c r="B6509" s="60">
        <v>44901</v>
      </c>
      <c r="C6509" s="7">
        <v>1.796E-2</v>
      </c>
      <c r="D6509" s="7">
        <v>1.891E-2</v>
      </c>
      <c r="E6509" s="7">
        <v>1.916E-2</v>
      </c>
      <c r="F6509" s="7">
        <v>1.7940000000000001E-2</v>
      </c>
      <c r="G6509" s="7">
        <v>-4.6699999999999998E-2</v>
      </c>
    </row>
    <row r="6510" spans="2:7" x14ac:dyDescent="0.2">
      <c r="B6510" s="60">
        <v>44902</v>
      </c>
      <c r="C6510" s="7">
        <v>1.7829999999999999E-2</v>
      </c>
      <c r="D6510" s="7">
        <v>1.7829999999999999E-2</v>
      </c>
      <c r="E6510" s="7">
        <v>1.8340000000000002E-2</v>
      </c>
      <c r="F6510" s="7">
        <v>1.753E-2</v>
      </c>
      <c r="G6510" s="7">
        <v>-7.1999999999999998E-3</v>
      </c>
    </row>
    <row r="6511" spans="2:7" x14ac:dyDescent="0.2">
      <c r="B6511" s="60">
        <v>44903</v>
      </c>
      <c r="C6511" s="7">
        <v>1.8200000000000001E-2</v>
      </c>
      <c r="D6511" s="7">
        <v>1.7860000000000001E-2</v>
      </c>
      <c r="E6511" s="7">
        <v>1.839E-2</v>
      </c>
      <c r="F6511" s="7">
        <v>1.763E-2</v>
      </c>
      <c r="G6511" s="7">
        <v>2.0799999999999999E-2</v>
      </c>
    </row>
    <row r="6512" spans="2:7" x14ac:dyDescent="0.2">
      <c r="B6512" s="60">
        <v>44904</v>
      </c>
      <c r="C6512" s="7">
        <v>1.9230000000000001E-2</v>
      </c>
      <c r="D6512" s="7">
        <v>1.8189999999999998E-2</v>
      </c>
      <c r="E6512" s="7">
        <v>1.941E-2</v>
      </c>
      <c r="F6512" s="7">
        <v>1.8189999999999998E-2</v>
      </c>
      <c r="G6512" s="7">
        <v>5.6599999999999998E-2</v>
      </c>
    </row>
    <row r="6513" spans="2:7" x14ac:dyDescent="0.2">
      <c r="B6513" s="60">
        <v>44905</v>
      </c>
      <c r="C6513" s="7">
        <v>1.9279999999999999E-2</v>
      </c>
      <c r="D6513" s="7">
        <v>1.9279999999999999E-2</v>
      </c>
      <c r="E6513" s="7">
        <v>1.9279999999999999E-2</v>
      </c>
      <c r="F6513" s="7">
        <v>1.9279999999999999E-2</v>
      </c>
      <c r="G6513" s="7">
        <v>2.5999999999999999E-3</v>
      </c>
    </row>
    <row r="6514" spans="2:7" x14ac:dyDescent="0.2">
      <c r="B6514" s="60">
        <v>44907</v>
      </c>
      <c r="C6514" s="7">
        <v>1.9349999999999999E-2</v>
      </c>
      <c r="D6514" s="7">
        <v>1.932E-2</v>
      </c>
      <c r="E6514" s="7">
        <v>1.95E-2</v>
      </c>
      <c r="F6514" s="7">
        <v>1.8790000000000001E-2</v>
      </c>
      <c r="G6514" s="7">
        <v>3.5999999999999999E-3</v>
      </c>
    </row>
    <row r="6515" spans="2:7" x14ac:dyDescent="0.2">
      <c r="B6515" s="60">
        <v>44908</v>
      </c>
      <c r="C6515" s="7">
        <v>1.908E-2</v>
      </c>
      <c r="D6515" s="7">
        <v>1.951E-2</v>
      </c>
      <c r="E6515" s="7">
        <v>1.9859999999999999E-2</v>
      </c>
      <c r="F6515" s="7">
        <v>1.8489999999999999E-2</v>
      </c>
      <c r="G6515" s="7">
        <v>-1.4E-2</v>
      </c>
    </row>
    <row r="6516" spans="2:7" x14ac:dyDescent="0.2">
      <c r="B6516" s="60">
        <v>44909</v>
      </c>
      <c r="C6516" s="7">
        <v>1.9379999999999998E-2</v>
      </c>
      <c r="D6516" s="7">
        <v>1.9060000000000001E-2</v>
      </c>
      <c r="E6516" s="7">
        <v>1.9950000000000002E-2</v>
      </c>
      <c r="F6516" s="7">
        <v>1.8849999999999999E-2</v>
      </c>
      <c r="G6516" s="7">
        <v>1.5699999999999999E-2</v>
      </c>
    </row>
    <row r="6517" spans="2:7" x14ac:dyDescent="0.2">
      <c r="B6517" s="60">
        <v>44910</v>
      </c>
      <c r="C6517" s="7">
        <v>2.0920000000000001E-2</v>
      </c>
      <c r="D6517" s="7">
        <v>1.9570000000000001E-2</v>
      </c>
      <c r="E6517" s="7">
        <v>2.1179999999999997E-2</v>
      </c>
      <c r="F6517" s="7">
        <v>1.9089999999999999E-2</v>
      </c>
      <c r="G6517" s="7">
        <v>7.9500000000000001E-2</v>
      </c>
    </row>
    <row r="6518" spans="2:7" x14ac:dyDescent="0.2">
      <c r="B6518" s="60">
        <v>44911</v>
      </c>
      <c r="C6518" s="7">
        <v>2.1589999999999998E-2</v>
      </c>
      <c r="D6518" s="7">
        <v>2.1030000000000004E-2</v>
      </c>
      <c r="E6518" s="7">
        <v>2.2080000000000002E-2</v>
      </c>
      <c r="F6518" s="7">
        <v>2.0959999999999999E-2</v>
      </c>
      <c r="G6518" s="7">
        <v>3.2000000000000001E-2</v>
      </c>
    </row>
    <row r="6519" spans="2:7" x14ac:dyDescent="0.2">
      <c r="B6519" s="60">
        <v>44913</v>
      </c>
      <c r="C6519" s="7">
        <v>2.146E-2</v>
      </c>
      <c r="D6519" s="7">
        <v>2.146E-2</v>
      </c>
      <c r="E6519" s="7">
        <v>2.146E-2</v>
      </c>
      <c r="F6519" s="7">
        <v>2.146E-2</v>
      </c>
      <c r="G6519" s="7">
        <v>-6.0000000000000001E-3</v>
      </c>
    </row>
    <row r="6520" spans="2:7" x14ac:dyDescent="0.2">
      <c r="B6520" s="60">
        <v>44914</v>
      </c>
      <c r="C6520" s="7">
        <v>2.2010000000000002E-2</v>
      </c>
      <c r="D6520" s="7">
        <v>2.1680000000000001E-2</v>
      </c>
      <c r="E6520" s="7">
        <v>2.222E-2</v>
      </c>
      <c r="F6520" s="7">
        <v>2.1489999999999999E-2</v>
      </c>
      <c r="G6520" s="7">
        <v>2.5600000000000001E-2</v>
      </c>
    </row>
    <row r="6521" spans="2:7" x14ac:dyDescent="0.2">
      <c r="B6521" s="60">
        <v>44915</v>
      </c>
      <c r="C6521" s="7">
        <v>2.3010000000000003E-2</v>
      </c>
      <c r="D6521" s="7">
        <v>2.2240000000000003E-2</v>
      </c>
      <c r="E6521" s="7">
        <v>2.308E-2</v>
      </c>
      <c r="F6521" s="7">
        <v>2.213E-2</v>
      </c>
      <c r="G6521" s="7">
        <v>4.5400000000000003E-2</v>
      </c>
    </row>
    <row r="6522" spans="2:7" x14ac:dyDescent="0.2">
      <c r="B6522" s="60">
        <v>44916</v>
      </c>
      <c r="C6522" s="7">
        <v>2.3029999999999998E-2</v>
      </c>
      <c r="D6522" s="7">
        <v>2.3029999999999998E-2</v>
      </c>
      <c r="E6522" s="7">
        <v>2.3179999999999999E-2</v>
      </c>
      <c r="F6522" s="7">
        <v>2.2669999999999999E-2</v>
      </c>
      <c r="G6522" s="7">
        <v>8.9999999999999998E-4</v>
      </c>
    </row>
    <row r="6523" spans="2:7" x14ac:dyDescent="0.2">
      <c r="B6523" s="60">
        <v>44917</v>
      </c>
      <c r="C6523" s="7">
        <v>2.367E-2</v>
      </c>
      <c r="D6523" s="7">
        <v>2.3019999999999999E-2</v>
      </c>
      <c r="E6523" s="7">
        <v>2.3809999999999998E-2</v>
      </c>
      <c r="F6523" s="7">
        <v>2.2780000000000002E-2</v>
      </c>
      <c r="G6523" s="7">
        <v>2.7799999999999998E-2</v>
      </c>
    </row>
    <row r="6524" spans="2:7" x14ac:dyDescent="0.2">
      <c r="B6524" s="60">
        <v>44918</v>
      </c>
      <c r="C6524" s="7">
        <v>2.3910000000000001E-2</v>
      </c>
      <c r="D6524" s="7">
        <v>2.3610000000000003E-2</v>
      </c>
      <c r="E6524" s="7">
        <v>2.4129999999999999E-2</v>
      </c>
      <c r="F6524" s="7">
        <v>2.351E-2</v>
      </c>
      <c r="G6524" s="7">
        <v>1.01E-2</v>
      </c>
    </row>
    <row r="6525" spans="2:7" x14ac:dyDescent="0.2">
      <c r="B6525" s="60">
        <v>44921</v>
      </c>
      <c r="C6525" s="7">
        <v>2.3885E-2</v>
      </c>
      <c r="D6525" s="7">
        <v>2.3855000000000001E-2</v>
      </c>
      <c r="E6525" s="7">
        <v>2.3889999999999998E-2</v>
      </c>
      <c r="F6525" s="7">
        <v>2.3855000000000001E-2</v>
      </c>
      <c r="G6525" s="7">
        <v>-1E-3</v>
      </c>
    </row>
    <row r="6526" spans="2:7" x14ac:dyDescent="0.2">
      <c r="B6526" s="60">
        <v>44922</v>
      </c>
      <c r="C6526" s="7">
        <v>2.5160000000000002E-2</v>
      </c>
      <c r="D6526" s="7">
        <v>2.418E-2</v>
      </c>
      <c r="E6526" s="7">
        <v>2.53E-2</v>
      </c>
      <c r="F6526" s="7">
        <v>2.4169999999999997E-2</v>
      </c>
      <c r="G6526" s="7">
        <v>5.3400000000000003E-2</v>
      </c>
    </row>
    <row r="6527" spans="2:7" x14ac:dyDescent="0.2">
      <c r="B6527" s="60">
        <v>44923</v>
      </c>
      <c r="C6527" s="7">
        <v>2.5080000000000002E-2</v>
      </c>
      <c r="D6527" s="7">
        <v>2.5150000000000002E-2</v>
      </c>
      <c r="E6527" s="7">
        <v>2.5259999999999998E-2</v>
      </c>
      <c r="F6527" s="7">
        <v>2.4559999999999998E-2</v>
      </c>
      <c r="G6527" s="7">
        <v>-3.2000000000000002E-3</v>
      </c>
    </row>
    <row r="6528" spans="2:7" x14ac:dyDescent="0.2">
      <c r="B6528" s="60">
        <v>44924</v>
      </c>
      <c r="C6528" s="7">
        <v>2.4629999999999999E-2</v>
      </c>
      <c r="D6528" s="7">
        <v>2.4969999999999999E-2</v>
      </c>
      <c r="E6528" s="7">
        <v>2.52E-2</v>
      </c>
      <c r="F6528" s="7">
        <v>2.46E-2</v>
      </c>
      <c r="G6528" s="7">
        <v>-1.7899999999999999E-2</v>
      </c>
    </row>
    <row r="6529" spans="2:7" x14ac:dyDescent="0.2">
      <c r="B6529" s="60">
        <v>44925</v>
      </c>
      <c r="C6529" s="7">
        <v>2.563E-2</v>
      </c>
      <c r="D6529" s="7">
        <v>2.469E-2</v>
      </c>
      <c r="E6529" s="7">
        <v>2.5690000000000001E-2</v>
      </c>
      <c r="F6529" s="7">
        <v>2.453E-2</v>
      </c>
      <c r="G6529" s="7">
        <v>4.0599999999999997E-2</v>
      </c>
    </row>
    <row r="6530" spans="2:7" x14ac:dyDescent="0.2">
      <c r="B6530" s="60">
        <v>44926</v>
      </c>
      <c r="C6530" s="7">
        <v>2.5644999999999998E-2</v>
      </c>
      <c r="D6530" s="7">
        <v>2.5649999999999999E-2</v>
      </c>
      <c r="E6530" s="7">
        <v>2.5649999999999999E-2</v>
      </c>
      <c r="F6530" s="7">
        <v>2.5644999999999998E-2</v>
      </c>
      <c r="G6530" s="7">
        <v>5.9999999999999995E-4</v>
      </c>
    </row>
    <row r="6531" spans="2:7" x14ac:dyDescent="0.2">
      <c r="B6531" s="60">
        <v>44928</v>
      </c>
      <c r="C6531" s="7">
        <v>2.443E-2</v>
      </c>
      <c r="D6531" s="7">
        <v>2.5499999999999998E-2</v>
      </c>
      <c r="E6531" s="7">
        <v>2.5690000000000001E-2</v>
      </c>
      <c r="F6531" s="7">
        <v>2.426E-2</v>
      </c>
      <c r="G6531" s="7">
        <v>-4.7399999999999998E-2</v>
      </c>
    </row>
    <row r="6532" spans="2:7" x14ac:dyDescent="0.2">
      <c r="B6532" s="60">
        <v>44929</v>
      </c>
      <c r="C6532" s="7">
        <v>2.376E-2</v>
      </c>
      <c r="D6532" s="7">
        <v>2.4479999999999998E-2</v>
      </c>
      <c r="E6532" s="7">
        <v>2.496E-2</v>
      </c>
      <c r="F6532" s="7">
        <v>2.3429999999999999E-2</v>
      </c>
      <c r="G6532" s="7">
        <v>-2.7400000000000001E-2</v>
      </c>
    </row>
    <row r="6533" spans="2:7" x14ac:dyDescent="0.2">
      <c r="B6533" s="60">
        <v>44930</v>
      </c>
      <c r="C6533" s="7">
        <v>2.2679999999999999E-2</v>
      </c>
      <c r="D6533" s="7">
        <v>2.3620000000000002E-2</v>
      </c>
      <c r="E6533" s="7">
        <v>2.3929999999999996E-2</v>
      </c>
      <c r="F6533" s="7">
        <v>2.2639999999999997E-2</v>
      </c>
      <c r="G6533" s="7">
        <v>-4.5499999999999999E-2</v>
      </c>
    </row>
    <row r="6534" spans="2:7" x14ac:dyDescent="0.2">
      <c r="B6534" s="60">
        <v>44931</v>
      </c>
      <c r="C6534" s="7">
        <v>2.307E-2</v>
      </c>
      <c r="D6534" s="7">
        <v>2.281E-2</v>
      </c>
      <c r="E6534" s="7">
        <v>2.3470000000000001E-2</v>
      </c>
      <c r="F6534" s="7">
        <v>2.2719999999999997E-2</v>
      </c>
      <c r="G6534" s="7">
        <v>1.72E-2</v>
      </c>
    </row>
    <row r="6535" spans="2:7" x14ac:dyDescent="0.2">
      <c r="B6535" s="60">
        <v>44932</v>
      </c>
      <c r="C6535" s="7">
        <v>2.2099999999999998E-2</v>
      </c>
      <c r="D6535" s="7">
        <v>2.298E-2</v>
      </c>
      <c r="E6535" s="7">
        <v>2.3269999999999999E-2</v>
      </c>
      <c r="F6535" s="7">
        <v>2.1920000000000002E-2</v>
      </c>
      <c r="G6535" s="7">
        <v>-4.2000000000000003E-2</v>
      </c>
    </row>
    <row r="6536" spans="2:7" x14ac:dyDescent="0.2">
      <c r="B6536" s="60">
        <v>44935</v>
      </c>
      <c r="C6536" s="7">
        <v>2.2179999999999998E-2</v>
      </c>
      <c r="D6536" s="7">
        <v>2.2099999999999998E-2</v>
      </c>
      <c r="E6536" s="7">
        <v>2.2799999999999997E-2</v>
      </c>
      <c r="F6536" s="7">
        <v>2.2099999999999998E-2</v>
      </c>
      <c r="G6536" s="7">
        <v>3.5999999999999999E-3</v>
      </c>
    </row>
    <row r="6537" spans="2:7" x14ac:dyDescent="0.2">
      <c r="B6537" s="60">
        <v>44936</v>
      </c>
      <c r="C6537" s="7">
        <v>2.3010000000000003E-2</v>
      </c>
      <c r="D6537" s="7">
        <v>2.2499999999999999E-2</v>
      </c>
      <c r="E6537" s="7">
        <v>2.3099999999999999E-2</v>
      </c>
      <c r="F6537" s="7">
        <v>2.2450000000000001E-2</v>
      </c>
      <c r="G6537" s="7">
        <v>3.7400000000000003E-2</v>
      </c>
    </row>
    <row r="6538" spans="2:7" x14ac:dyDescent="0.2">
      <c r="B6538" s="60">
        <v>44937</v>
      </c>
      <c r="C6538" s="7">
        <v>2.1840000000000002E-2</v>
      </c>
      <c r="D6538" s="7">
        <v>2.266E-2</v>
      </c>
      <c r="E6538" s="7">
        <v>2.273E-2</v>
      </c>
      <c r="F6538" s="7">
        <v>2.1739999999999999E-2</v>
      </c>
      <c r="G6538" s="7">
        <v>-5.0799999999999998E-2</v>
      </c>
    </row>
    <row r="6539" spans="2:7" x14ac:dyDescent="0.2">
      <c r="B6539" s="60">
        <v>44938</v>
      </c>
      <c r="C6539" s="7">
        <v>2.1320000000000002E-2</v>
      </c>
      <c r="D6539" s="7">
        <v>2.1600000000000001E-2</v>
      </c>
      <c r="E6539" s="7">
        <v>2.1819999999999999E-2</v>
      </c>
      <c r="F6539" s="7">
        <v>2.0630000000000003E-2</v>
      </c>
      <c r="G6539" s="7">
        <v>-2.3800000000000002E-2</v>
      </c>
    </row>
    <row r="6540" spans="2:7" x14ac:dyDescent="0.2">
      <c r="B6540" s="60">
        <v>44939</v>
      </c>
      <c r="C6540" s="7">
        <v>2.1429999999999998E-2</v>
      </c>
      <c r="D6540" s="7">
        <v>2.1000000000000001E-2</v>
      </c>
      <c r="E6540" s="7">
        <v>2.1429999999999998E-2</v>
      </c>
      <c r="F6540" s="7">
        <v>2.0969999999999999E-2</v>
      </c>
      <c r="G6540" s="7">
        <v>5.1999999999999998E-3</v>
      </c>
    </row>
    <row r="6541" spans="2:7" x14ac:dyDescent="0.2">
      <c r="B6541" s="60">
        <v>44941</v>
      </c>
      <c r="C6541" s="7">
        <v>2.1625000000000002E-2</v>
      </c>
      <c r="D6541" s="7">
        <v>2.1625000000000002E-2</v>
      </c>
      <c r="E6541" s="7">
        <v>2.1625000000000002E-2</v>
      </c>
      <c r="F6541" s="7">
        <v>2.1625000000000002E-2</v>
      </c>
      <c r="G6541" s="7">
        <v>9.1000000000000004E-3</v>
      </c>
    </row>
    <row r="6542" spans="2:7" x14ac:dyDescent="0.2">
      <c r="B6542" s="60">
        <v>44942</v>
      </c>
      <c r="C6542" s="7">
        <v>2.1729999999999999E-2</v>
      </c>
      <c r="D6542" s="7">
        <v>2.1720000000000003E-2</v>
      </c>
      <c r="E6542" s="7">
        <v>2.215E-2</v>
      </c>
      <c r="F6542" s="7">
        <v>2.1499999999999998E-2</v>
      </c>
      <c r="G6542" s="7">
        <v>4.8999999999999998E-3</v>
      </c>
    </row>
    <row r="6543" spans="2:7" x14ac:dyDescent="0.2">
      <c r="B6543" s="60">
        <v>44943</v>
      </c>
      <c r="C6543" s="7">
        <v>2.085E-2</v>
      </c>
      <c r="D6543" s="7">
        <v>2.1909999999999999E-2</v>
      </c>
      <c r="E6543" s="7">
        <v>2.2080000000000002E-2</v>
      </c>
      <c r="F6543" s="7">
        <v>2.0649999999999998E-2</v>
      </c>
      <c r="G6543" s="7">
        <v>-4.0500000000000001E-2</v>
      </c>
    </row>
    <row r="6544" spans="2:7" x14ac:dyDescent="0.2">
      <c r="B6544" s="60">
        <v>44944</v>
      </c>
      <c r="C6544" s="7">
        <v>2.0110000000000003E-2</v>
      </c>
      <c r="D6544" s="7">
        <v>2.0710000000000003E-2</v>
      </c>
      <c r="E6544" s="7">
        <v>2.1019999999999997E-2</v>
      </c>
      <c r="F6544" s="7">
        <v>1.967E-2</v>
      </c>
      <c r="G6544" s="7">
        <v>-3.5499999999999997E-2</v>
      </c>
    </row>
    <row r="6545" spans="2:7" x14ac:dyDescent="0.2">
      <c r="B6545" s="60">
        <v>44945</v>
      </c>
      <c r="C6545" s="7">
        <v>2.0499999999999997E-2</v>
      </c>
      <c r="D6545" s="7">
        <v>2.0219999999999998E-2</v>
      </c>
      <c r="E6545" s="7">
        <v>2.0910000000000002E-2</v>
      </c>
      <c r="F6545" s="7">
        <v>1.9799999999999998E-2</v>
      </c>
      <c r="G6545" s="7">
        <v>1.9400000000000001E-2</v>
      </c>
    </row>
    <row r="6546" spans="2:7" x14ac:dyDescent="0.2">
      <c r="B6546" s="60">
        <v>44946</v>
      </c>
      <c r="C6546" s="7">
        <v>2.1690000000000001E-2</v>
      </c>
      <c r="D6546" s="7">
        <v>2.0750000000000001E-2</v>
      </c>
      <c r="E6546" s="7">
        <v>2.1729999999999999E-2</v>
      </c>
      <c r="F6546" s="7">
        <v>2.06E-2</v>
      </c>
      <c r="G6546" s="7">
        <v>5.8000000000000003E-2</v>
      </c>
    </row>
    <row r="6547" spans="2:7" x14ac:dyDescent="0.2">
      <c r="B6547" s="60">
        <v>44948</v>
      </c>
      <c r="C6547" s="7">
        <v>2.1720000000000003E-2</v>
      </c>
      <c r="D6547" s="7">
        <v>2.1720000000000003E-2</v>
      </c>
      <c r="E6547" s="7">
        <v>2.1720000000000003E-2</v>
      </c>
      <c r="F6547" s="7">
        <v>2.1720000000000003E-2</v>
      </c>
      <c r="G6547" s="7">
        <v>1.4E-3</v>
      </c>
    </row>
    <row r="6548" spans="2:7" x14ac:dyDescent="0.2">
      <c r="B6548" s="60">
        <v>44949</v>
      </c>
      <c r="C6548" s="7">
        <v>2.1989999999999999E-2</v>
      </c>
      <c r="D6548" s="7">
        <v>2.1709999999999997E-2</v>
      </c>
      <c r="E6548" s="7">
        <v>2.214E-2</v>
      </c>
      <c r="F6548" s="7">
        <v>2.154E-2</v>
      </c>
      <c r="G6548" s="7">
        <v>1.24E-2</v>
      </c>
    </row>
    <row r="6549" spans="2:7" x14ac:dyDescent="0.2">
      <c r="B6549" s="60">
        <v>44950</v>
      </c>
      <c r="C6549" s="7">
        <v>2.1589999999999998E-2</v>
      </c>
      <c r="D6549" s="7">
        <v>2.2000000000000002E-2</v>
      </c>
      <c r="E6549" s="7">
        <v>2.2240000000000003E-2</v>
      </c>
      <c r="F6549" s="7">
        <v>2.154E-2</v>
      </c>
      <c r="G6549" s="7">
        <v>-1.8200000000000001E-2</v>
      </c>
    </row>
    <row r="6550" spans="2:7" x14ac:dyDescent="0.2">
      <c r="B6550" s="60">
        <v>44951</v>
      </c>
      <c r="C6550" s="7">
        <v>2.1600000000000001E-2</v>
      </c>
      <c r="D6550" s="7">
        <v>2.1610000000000001E-2</v>
      </c>
      <c r="E6550" s="7">
        <v>2.1729999999999999E-2</v>
      </c>
      <c r="F6550" s="7">
        <v>2.0790000000000003E-2</v>
      </c>
      <c r="G6550" s="7">
        <v>5.0000000000000001E-4</v>
      </c>
    </row>
    <row r="6551" spans="2:7" x14ac:dyDescent="0.2">
      <c r="B6551" s="60">
        <v>44952</v>
      </c>
      <c r="C6551" s="7">
        <v>2.215E-2</v>
      </c>
      <c r="D6551" s="7">
        <v>2.155E-2</v>
      </c>
      <c r="E6551" s="7">
        <v>2.2160000000000003E-2</v>
      </c>
      <c r="F6551" s="7">
        <v>2.1440000000000001E-2</v>
      </c>
      <c r="G6551" s="7">
        <v>2.5499999999999998E-2</v>
      </c>
    </row>
    <row r="6552" spans="2:7" x14ac:dyDescent="0.2">
      <c r="B6552" s="60">
        <v>44953</v>
      </c>
      <c r="C6552" s="7">
        <v>2.2400000000000003E-2</v>
      </c>
      <c r="D6552" s="7">
        <v>2.2330000000000003E-2</v>
      </c>
      <c r="E6552" s="7">
        <v>2.283E-2</v>
      </c>
      <c r="F6552" s="7">
        <v>2.2269999999999998E-2</v>
      </c>
      <c r="G6552" s="7">
        <v>1.1299999999999999E-2</v>
      </c>
    </row>
    <row r="6553" spans="2:7" x14ac:dyDescent="0.2">
      <c r="B6553" s="60">
        <v>44955</v>
      </c>
      <c r="C6553" s="7">
        <v>2.2380000000000001E-2</v>
      </c>
      <c r="D6553" s="7">
        <v>2.2380000000000001E-2</v>
      </c>
      <c r="E6553" s="7">
        <v>2.2380000000000001E-2</v>
      </c>
      <c r="F6553" s="7">
        <v>2.2380000000000001E-2</v>
      </c>
      <c r="G6553" s="7">
        <v>-8.9999999999999998E-4</v>
      </c>
    </row>
    <row r="6554" spans="2:7" x14ac:dyDescent="0.2">
      <c r="B6554" s="60">
        <v>44956</v>
      </c>
      <c r="C6554" s="7">
        <v>2.3090000000000003E-2</v>
      </c>
      <c r="D6554" s="7">
        <v>2.2069999999999999E-2</v>
      </c>
      <c r="E6554" s="7">
        <v>2.3250000000000003E-2</v>
      </c>
      <c r="F6554" s="7">
        <v>2.2000000000000002E-2</v>
      </c>
      <c r="G6554" s="7">
        <v>3.1699999999999999E-2</v>
      </c>
    </row>
    <row r="6555" spans="2:7" x14ac:dyDescent="0.2">
      <c r="B6555" s="60">
        <v>44957</v>
      </c>
      <c r="C6555" s="7">
        <v>2.2799999999999997E-2</v>
      </c>
      <c r="D6555" s="7">
        <v>2.307E-2</v>
      </c>
      <c r="E6555" s="7">
        <v>2.316E-2</v>
      </c>
      <c r="F6555" s="7">
        <v>2.2519999999999998E-2</v>
      </c>
      <c r="G6555" s="7">
        <v>-1.26E-2</v>
      </c>
    </row>
    <row r="6556" spans="2:7" x14ac:dyDescent="0.2">
      <c r="B6556" s="60">
        <v>44958</v>
      </c>
      <c r="C6556" s="7">
        <v>2.2959999999999998E-2</v>
      </c>
      <c r="D6556" s="7">
        <v>2.2709999999999998E-2</v>
      </c>
      <c r="E6556" s="7">
        <v>2.3029999999999998E-2</v>
      </c>
      <c r="F6556" s="7">
        <v>2.2440000000000002E-2</v>
      </c>
      <c r="G6556" s="7">
        <v>7.0000000000000001E-3</v>
      </c>
    </row>
    <row r="6557" spans="2:7" x14ac:dyDescent="0.2">
      <c r="B6557" s="60">
        <v>44959</v>
      </c>
      <c r="C6557" s="7">
        <v>2.06E-2</v>
      </c>
      <c r="D6557" s="7">
        <v>2.2700000000000001E-2</v>
      </c>
      <c r="E6557" s="7">
        <v>2.2719999999999997E-2</v>
      </c>
      <c r="F6557" s="7">
        <v>2.0419999999999997E-2</v>
      </c>
      <c r="G6557" s="7">
        <v>-0.1028</v>
      </c>
    </row>
    <row r="6558" spans="2:7" x14ac:dyDescent="0.2">
      <c r="B6558" s="60">
        <v>44960</v>
      </c>
      <c r="C6558" s="7">
        <v>2.196E-2</v>
      </c>
      <c r="D6558" s="7">
        <v>2.0809999999999999E-2</v>
      </c>
      <c r="E6558" s="7">
        <v>2.2160000000000003E-2</v>
      </c>
      <c r="F6558" s="7">
        <v>2.0670000000000001E-2</v>
      </c>
      <c r="G6558" s="7">
        <v>6.6000000000000003E-2</v>
      </c>
    </row>
    <row r="6559" spans="2:7" x14ac:dyDescent="0.2">
      <c r="B6559" s="60">
        <v>44962</v>
      </c>
      <c r="C6559" s="7">
        <v>2.1815000000000001E-2</v>
      </c>
      <c r="D6559" s="7">
        <v>2.1815000000000001E-2</v>
      </c>
      <c r="E6559" s="7">
        <v>2.1815000000000001E-2</v>
      </c>
      <c r="F6559" s="7">
        <v>2.1815000000000001E-2</v>
      </c>
      <c r="G6559" s="7">
        <v>-6.6E-3</v>
      </c>
    </row>
    <row r="6560" spans="2:7" x14ac:dyDescent="0.2">
      <c r="B6560" s="60">
        <v>44963</v>
      </c>
      <c r="C6560" s="7">
        <v>2.2839999999999999E-2</v>
      </c>
      <c r="D6560" s="7">
        <v>2.1949999999999997E-2</v>
      </c>
      <c r="E6560" s="7">
        <v>2.2970000000000001E-2</v>
      </c>
      <c r="F6560" s="7">
        <v>2.1949999999999997E-2</v>
      </c>
      <c r="G6560" s="7">
        <v>4.7E-2</v>
      </c>
    </row>
    <row r="6561" spans="2:7" x14ac:dyDescent="0.2">
      <c r="B6561" s="60">
        <v>44964</v>
      </c>
      <c r="C6561" s="7">
        <v>2.3119999999999998E-2</v>
      </c>
      <c r="D6561" s="7">
        <v>2.282E-2</v>
      </c>
      <c r="E6561" s="7">
        <v>2.334E-2</v>
      </c>
      <c r="F6561" s="7">
        <v>2.2780000000000002E-2</v>
      </c>
      <c r="G6561" s="7">
        <v>1.23E-2</v>
      </c>
    </row>
    <row r="6562" spans="2:7" x14ac:dyDescent="0.2">
      <c r="B6562" s="60">
        <v>44965</v>
      </c>
      <c r="C6562" s="7">
        <v>2.3650000000000001E-2</v>
      </c>
      <c r="D6562" s="7">
        <v>2.3460000000000002E-2</v>
      </c>
      <c r="E6562" s="7">
        <v>2.3959999999999999E-2</v>
      </c>
      <c r="F6562" s="7">
        <v>2.3380000000000001E-2</v>
      </c>
      <c r="G6562" s="7">
        <v>2.29E-2</v>
      </c>
    </row>
    <row r="6563" spans="2:7" x14ac:dyDescent="0.2">
      <c r="B6563" s="60">
        <v>44966</v>
      </c>
      <c r="C6563" s="7">
        <v>2.3060000000000001E-2</v>
      </c>
      <c r="D6563" s="7">
        <v>2.3300000000000001E-2</v>
      </c>
      <c r="E6563" s="7">
        <v>2.334E-2</v>
      </c>
      <c r="F6563" s="7">
        <v>2.2559999999999997E-2</v>
      </c>
      <c r="G6563" s="7">
        <v>-2.4899999999999999E-2</v>
      </c>
    </row>
    <row r="6564" spans="2:7" x14ac:dyDescent="0.2">
      <c r="B6564" s="60">
        <v>44967</v>
      </c>
      <c r="C6564" s="7">
        <v>2.367E-2</v>
      </c>
      <c r="D6564" s="7">
        <v>2.341E-2</v>
      </c>
      <c r="E6564" s="7">
        <v>2.3769999999999999E-2</v>
      </c>
      <c r="F6564" s="7">
        <v>2.315E-2</v>
      </c>
      <c r="G6564" s="7">
        <v>2.6499999999999999E-2</v>
      </c>
    </row>
    <row r="6565" spans="2:7" x14ac:dyDescent="0.2">
      <c r="B6565" s="60">
        <v>44969</v>
      </c>
      <c r="C6565" s="7">
        <v>2.3635000000000003E-2</v>
      </c>
      <c r="D6565" s="7">
        <v>2.3635000000000003E-2</v>
      </c>
      <c r="E6565" s="7">
        <v>2.3635000000000003E-2</v>
      </c>
      <c r="F6565" s="7">
        <v>2.3635000000000003E-2</v>
      </c>
      <c r="G6565" s="7">
        <v>-1.5E-3</v>
      </c>
    </row>
    <row r="6566" spans="2:7" x14ac:dyDescent="0.2">
      <c r="B6566" s="60">
        <v>44970</v>
      </c>
      <c r="C6566" s="7">
        <v>2.375E-2</v>
      </c>
      <c r="D6566" s="7">
        <v>2.349E-2</v>
      </c>
      <c r="E6566" s="7">
        <v>2.3959999999999999E-2</v>
      </c>
      <c r="F6566" s="7">
        <v>2.3399999999999997E-2</v>
      </c>
      <c r="G6566" s="7">
        <v>4.8999999999999998E-3</v>
      </c>
    </row>
    <row r="6567" spans="2:7" x14ac:dyDescent="0.2">
      <c r="B6567" s="60">
        <v>44971</v>
      </c>
      <c r="C6567" s="7">
        <v>2.4460000000000003E-2</v>
      </c>
      <c r="D6567" s="7">
        <v>2.35E-2</v>
      </c>
      <c r="E6567" s="7">
        <v>2.4470000000000002E-2</v>
      </c>
      <c r="F6567" s="7">
        <v>2.3189999999999999E-2</v>
      </c>
      <c r="G6567" s="7">
        <v>2.9899999999999999E-2</v>
      </c>
    </row>
    <row r="6568" spans="2:7" x14ac:dyDescent="0.2">
      <c r="B6568" s="60">
        <v>44972</v>
      </c>
      <c r="C6568" s="7">
        <v>2.4799999999999999E-2</v>
      </c>
      <c r="D6568" s="7">
        <v>2.4239999999999998E-2</v>
      </c>
      <c r="E6568" s="7">
        <v>2.4830000000000001E-2</v>
      </c>
      <c r="F6568" s="7">
        <v>2.3990000000000001E-2</v>
      </c>
      <c r="G6568" s="7">
        <v>1.3899999999999999E-2</v>
      </c>
    </row>
    <row r="6569" spans="2:7" x14ac:dyDescent="0.2">
      <c r="B6569" s="60">
        <v>44973</v>
      </c>
      <c r="C6569" s="7">
        <v>2.4760000000000001E-2</v>
      </c>
      <c r="D6569" s="7">
        <v>2.4649999999999998E-2</v>
      </c>
      <c r="E6569" s="7">
        <v>2.5169999999999998E-2</v>
      </c>
      <c r="F6569" s="7">
        <v>2.444E-2</v>
      </c>
      <c r="G6569" s="7">
        <v>-1.6000000000000001E-3</v>
      </c>
    </row>
    <row r="6570" spans="2:7" x14ac:dyDescent="0.2">
      <c r="B6570" s="60">
        <v>44974</v>
      </c>
      <c r="C6570" s="7">
        <v>2.4569999999999998E-2</v>
      </c>
      <c r="D6570" s="7">
        <v>2.5150000000000002E-2</v>
      </c>
      <c r="E6570" s="7">
        <v>2.5649999999999999E-2</v>
      </c>
      <c r="F6570" s="7">
        <v>2.4409999999999998E-2</v>
      </c>
      <c r="G6570" s="7">
        <v>-7.7000000000000002E-3</v>
      </c>
    </row>
    <row r="6571" spans="2:7" x14ac:dyDescent="0.2">
      <c r="B6571" s="60">
        <v>44975</v>
      </c>
      <c r="C6571" s="7">
        <v>2.4315000000000003E-2</v>
      </c>
      <c r="D6571" s="7">
        <v>2.4315000000000003E-2</v>
      </c>
      <c r="E6571" s="7">
        <v>2.4315000000000003E-2</v>
      </c>
      <c r="F6571" s="7">
        <v>2.4315000000000003E-2</v>
      </c>
      <c r="G6571" s="7">
        <v>-1.04E-2</v>
      </c>
    </row>
    <row r="6572" spans="2:7" x14ac:dyDescent="0.2">
      <c r="B6572" s="60">
        <v>44976</v>
      </c>
      <c r="C6572" s="7">
        <v>2.4455000000000001E-2</v>
      </c>
      <c r="D6572" s="7">
        <v>2.4455000000000001E-2</v>
      </c>
      <c r="E6572" s="7">
        <v>2.4455000000000001E-2</v>
      </c>
      <c r="F6572" s="7">
        <v>2.4455000000000001E-2</v>
      </c>
      <c r="G6572" s="7">
        <v>5.7999999999999996E-3</v>
      </c>
    </row>
    <row r="6573" spans="2:7" x14ac:dyDescent="0.2">
      <c r="B6573" s="60">
        <v>44977</v>
      </c>
      <c r="C6573" s="7">
        <v>2.461E-2</v>
      </c>
      <c r="D6573" s="7">
        <v>2.444E-2</v>
      </c>
      <c r="E6573" s="7">
        <v>2.4620000000000003E-2</v>
      </c>
      <c r="F6573" s="7">
        <v>2.4239999999999998E-2</v>
      </c>
      <c r="G6573" s="7">
        <v>6.3E-3</v>
      </c>
    </row>
    <row r="6574" spans="2:7" x14ac:dyDescent="0.2">
      <c r="B6574" s="60">
        <v>44978</v>
      </c>
      <c r="C6574" s="7">
        <v>2.5360000000000001E-2</v>
      </c>
      <c r="D6574" s="7">
        <v>2.4660000000000001E-2</v>
      </c>
      <c r="E6574" s="7">
        <v>2.5579999999999999E-2</v>
      </c>
      <c r="F6574" s="7">
        <v>2.4550000000000002E-2</v>
      </c>
      <c r="G6574" s="7">
        <v>3.0499999999999999E-2</v>
      </c>
    </row>
    <row r="6575" spans="2:7" x14ac:dyDescent="0.2">
      <c r="B6575" s="60">
        <v>44979</v>
      </c>
      <c r="C6575" s="7">
        <v>2.513E-2</v>
      </c>
      <c r="D6575" s="7">
        <v>2.5479999999999999E-2</v>
      </c>
      <c r="E6575" s="7">
        <v>2.5699999999999997E-2</v>
      </c>
      <c r="F6575" s="7">
        <v>2.503E-2</v>
      </c>
      <c r="G6575" s="7">
        <v>-9.1000000000000004E-3</v>
      </c>
    </row>
    <row r="6576" spans="2:7" x14ac:dyDescent="0.2">
      <c r="B6576" s="60">
        <v>44980</v>
      </c>
      <c r="C6576" s="7">
        <v>2.4700000000000003E-2</v>
      </c>
      <c r="D6576" s="7">
        <v>2.5319999999999999E-2</v>
      </c>
      <c r="E6576" s="7">
        <v>2.5569999999999999E-2</v>
      </c>
      <c r="F6576" s="7">
        <v>2.4700000000000003E-2</v>
      </c>
      <c r="G6576" s="7">
        <v>-1.7100000000000001E-2</v>
      </c>
    </row>
    <row r="6577" spans="2:7" x14ac:dyDescent="0.2">
      <c r="B6577" s="60">
        <v>44981</v>
      </c>
      <c r="C6577" s="7">
        <v>2.53E-2</v>
      </c>
      <c r="D6577" s="7">
        <v>2.4489999999999998E-2</v>
      </c>
      <c r="E6577" s="7">
        <v>2.5680000000000001E-2</v>
      </c>
      <c r="F6577" s="7">
        <v>2.4300000000000002E-2</v>
      </c>
      <c r="G6577" s="7">
        <v>2.4299999999999999E-2</v>
      </c>
    </row>
    <row r="6578" spans="2:7" x14ac:dyDescent="0.2">
      <c r="B6578" s="60">
        <v>44983</v>
      </c>
      <c r="C6578" s="7">
        <v>2.5259999999999998E-2</v>
      </c>
      <c r="D6578" s="7">
        <v>2.5259999999999998E-2</v>
      </c>
      <c r="E6578" s="7">
        <v>2.5259999999999998E-2</v>
      </c>
      <c r="F6578" s="7">
        <v>2.5259999999999998E-2</v>
      </c>
      <c r="G6578" s="7">
        <v>-1.6000000000000001E-3</v>
      </c>
    </row>
    <row r="6579" spans="2:7" x14ac:dyDescent="0.2">
      <c r="B6579" s="60">
        <v>44984</v>
      </c>
      <c r="C6579" s="7">
        <v>2.5870000000000001E-2</v>
      </c>
      <c r="D6579" s="7">
        <v>2.5360000000000001E-2</v>
      </c>
      <c r="E6579" s="7">
        <v>2.5910000000000002E-2</v>
      </c>
      <c r="F6579" s="7">
        <v>2.513E-2</v>
      </c>
      <c r="G6579" s="7">
        <v>2.41E-2</v>
      </c>
    </row>
    <row r="6580" spans="2:7" x14ac:dyDescent="0.2">
      <c r="B6580" s="60">
        <v>44985</v>
      </c>
      <c r="C6580" s="7">
        <v>2.6429999999999999E-2</v>
      </c>
      <c r="D6580" s="7">
        <v>2.581E-2</v>
      </c>
      <c r="E6580" s="7">
        <v>2.7099999999999999E-2</v>
      </c>
      <c r="F6580" s="7">
        <v>2.58E-2</v>
      </c>
      <c r="G6580" s="7">
        <v>2.1600000000000001E-2</v>
      </c>
    </row>
    <row r="6581" spans="2:7" x14ac:dyDescent="0.2">
      <c r="B6581" s="60">
        <v>44986</v>
      </c>
      <c r="C6581" s="7">
        <v>2.7179999999999999E-2</v>
      </c>
      <c r="D6581" s="7">
        <v>2.6880000000000001E-2</v>
      </c>
      <c r="E6581" s="7">
        <v>2.7280000000000002E-2</v>
      </c>
      <c r="F6581" s="7">
        <v>2.6619999999999998E-2</v>
      </c>
      <c r="G6581" s="7">
        <v>2.8400000000000002E-2</v>
      </c>
    </row>
    <row r="6582" spans="2:7" x14ac:dyDescent="0.2">
      <c r="B6582" s="60">
        <v>44987</v>
      </c>
      <c r="C6582" s="7">
        <v>2.7490000000000001E-2</v>
      </c>
      <c r="D6582" s="7">
        <v>2.7280000000000002E-2</v>
      </c>
      <c r="E6582" s="7">
        <v>2.7699999999999999E-2</v>
      </c>
      <c r="F6582" s="7">
        <v>2.7019999999999999E-2</v>
      </c>
      <c r="G6582" s="7">
        <v>1.14E-2</v>
      </c>
    </row>
    <row r="6583" spans="2:7" x14ac:dyDescent="0.2">
      <c r="B6583" s="60">
        <v>44988</v>
      </c>
      <c r="C6583" s="7">
        <v>2.7140000000000001E-2</v>
      </c>
      <c r="D6583" s="7">
        <v>2.7380000000000002E-2</v>
      </c>
      <c r="E6583" s="7">
        <v>2.7549999999999998E-2</v>
      </c>
      <c r="F6583" s="7">
        <v>2.6970000000000001E-2</v>
      </c>
      <c r="G6583" s="7">
        <v>-1.2699999999999999E-2</v>
      </c>
    </row>
    <row r="6584" spans="2:7" x14ac:dyDescent="0.2">
      <c r="B6584" s="60">
        <v>44990</v>
      </c>
      <c r="C6584" s="7">
        <v>2.7210000000000002E-2</v>
      </c>
      <c r="D6584" s="7">
        <v>2.7210000000000002E-2</v>
      </c>
      <c r="E6584" s="7">
        <v>2.7210000000000002E-2</v>
      </c>
      <c r="F6584" s="7">
        <v>2.7210000000000002E-2</v>
      </c>
      <c r="G6584" s="7">
        <v>2.5999999999999999E-3</v>
      </c>
    </row>
    <row r="6585" spans="2:7" x14ac:dyDescent="0.2">
      <c r="B6585" s="60">
        <v>44991</v>
      </c>
      <c r="C6585" s="7">
        <v>2.7269999999999999E-2</v>
      </c>
      <c r="D6585" s="7">
        <v>2.6709999999999998E-2</v>
      </c>
      <c r="E6585" s="7">
        <v>2.7349999999999999E-2</v>
      </c>
      <c r="F6585" s="7">
        <v>2.6370000000000001E-2</v>
      </c>
      <c r="G6585" s="7">
        <v>2.2000000000000001E-3</v>
      </c>
    </row>
    <row r="6586" spans="2:7" x14ac:dyDescent="0.2">
      <c r="B6586" s="60">
        <v>44992</v>
      </c>
      <c r="C6586" s="7">
        <v>2.6920000000000003E-2</v>
      </c>
      <c r="D6586" s="7">
        <v>2.7320000000000001E-2</v>
      </c>
      <c r="E6586" s="7">
        <v>2.741E-2</v>
      </c>
      <c r="F6586" s="7">
        <v>2.6429999999999999E-2</v>
      </c>
      <c r="G6586" s="7">
        <v>-1.2800000000000001E-2</v>
      </c>
    </row>
    <row r="6587" spans="2:7" x14ac:dyDescent="0.2">
      <c r="B6587" s="60">
        <v>44993</v>
      </c>
      <c r="C6587" s="7">
        <v>2.6440000000000002E-2</v>
      </c>
      <c r="D6587" s="7">
        <v>2.7060000000000001E-2</v>
      </c>
      <c r="E6587" s="7">
        <v>2.7280000000000002E-2</v>
      </c>
      <c r="F6587" s="7">
        <v>2.622E-2</v>
      </c>
      <c r="G6587" s="7">
        <v>-1.78E-2</v>
      </c>
    </row>
    <row r="6588" spans="2:7" x14ac:dyDescent="0.2">
      <c r="B6588" s="60">
        <v>44994</v>
      </c>
      <c r="C6588" s="7">
        <v>2.6380000000000001E-2</v>
      </c>
      <c r="D6588" s="7">
        <v>2.6610000000000002E-2</v>
      </c>
      <c r="E6588" s="7">
        <v>2.7019999999999999E-2</v>
      </c>
      <c r="F6588" s="7">
        <v>2.6290000000000001E-2</v>
      </c>
      <c r="G6588" s="7">
        <v>-2.3E-3</v>
      </c>
    </row>
    <row r="6589" spans="2:7" x14ac:dyDescent="0.2">
      <c r="B6589" s="60">
        <v>44995</v>
      </c>
      <c r="C6589" s="7">
        <v>2.4980000000000002E-2</v>
      </c>
      <c r="D6589" s="7">
        <v>2.5239999999999999E-2</v>
      </c>
      <c r="E6589" s="7">
        <v>2.5559999999999999E-2</v>
      </c>
      <c r="F6589" s="7">
        <v>2.4289999999999999E-2</v>
      </c>
      <c r="G6589" s="7">
        <v>-5.3100000000000001E-2</v>
      </c>
    </row>
    <row r="6590" spans="2:7" x14ac:dyDescent="0.2">
      <c r="B6590" s="60">
        <v>44997</v>
      </c>
      <c r="C6590" s="7">
        <v>2.4965000000000001E-2</v>
      </c>
      <c r="D6590" s="7">
        <v>2.4965000000000001E-2</v>
      </c>
      <c r="E6590" s="7">
        <v>2.4965000000000001E-2</v>
      </c>
      <c r="F6590" s="7">
        <v>2.4965000000000001E-2</v>
      </c>
      <c r="G6590" s="7">
        <v>-5.9999999999999995E-4</v>
      </c>
    </row>
    <row r="6591" spans="2:7" x14ac:dyDescent="0.2">
      <c r="B6591" s="60">
        <v>44998</v>
      </c>
      <c r="C6591" s="7">
        <v>2.2749999999999999E-2</v>
      </c>
      <c r="D6591" s="7">
        <v>2.4510000000000001E-2</v>
      </c>
      <c r="E6591" s="7">
        <v>2.4820000000000002E-2</v>
      </c>
      <c r="F6591" s="7">
        <v>2.1680000000000001E-2</v>
      </c>
      <c r="G6591" s="7">
        <v>-8.8700000000000001E-2</v>
      </c>
    </row>
    <row r="6592" spans="2:7" x14ac:dyDescent="0.2">
      <c r="B6592" s="60">
        <v>44999</v>
      </c>
      <c r="C6592" s="7">
        <v>2.4559999999999998E-2</v>
      </c>
      <c r="D6592" s="7">
        <v>2.2519999999999998E-2</v>
      </c>
      <c r="E6592" s="7">
        <v>2.461E-2</v>
      </c>
      <c r="F6592" s="7">
        <v>2.1869999999999997E-2</v>
      </c>
      <c r="G6592" s="7">
        <v>7.9600000000000004E-2</v>
      </c>
    </row>
    <row r="6593" spans="2:7" x14ac:dyDescent="0.2">
      <c r="B6593" s="60">
        <v>45000</v>
      </c>
      <c r="C6593" s="7">
        <v>2.1160000000000002E-2</v>
      </c>
      <c r="D6593" s="7">
        <v>2.4340000000000001E-2</v>
      </c>
      <c r="E6593" s="7">
        <v>2.503E-2</v>
      </c>
      <c r="F6593" s="7">
        <v>2.112E-2</v>
      </c>
      <c r="G6593" s="7">
        <v>-0.1384</v>
      </c>
    </row>
    <row r="6594" spans="2:7" x14ac:dyDescent="0.2">
      <c r="B6594" s="60">
        <v>45001</v>
      </c>
      <c r="C6594" s="7">
        <v>2.2450000000000001E-2</v>
      </c>
      <c r="D6594" s="7">
        <v>2.2559999999999997E-2</v>
      </c>
      <c r="E6594" s="7">
        <v>2.2919999999999999E-2</v>
      </c>
      <c r="F6594" s="7">
        <v>2.1170000000000001E-2</v>
      </c>
      <c r="G6594" s="7">
        <v>6.0999999999999999E-2</v>
      </c>
    </row>
    <row r="6595" spans="2:7" x14ac:dyDescent="0.2">
      <c r="B6595" s="60">
        <v>45002</v>
      </c>
      <c r="C6595" s="7">
        <v>2.1309999999999999E-2</v>
      </c>
      <c r="D6595" s="7">
        <v>2.273E-2</v>
      </c>
      <c r="E6595" s="7">
        <v>2.281E-2</v>
      </c>
      <c r="F6595" s="7">
        <v>2.069E-2</v>
      </c>
      <c r="G6595" s="7">
        <v>-5.0799999999999998E-2</v>
      </c>
    </row>
    <row r="6596" spans="2:7" x14ac:dyDescent="0.2">
      <c r="B6596" s="60">
        <v>45004</v>
      </c>
      <c r="C6596" s="7">
        <v>2.0985E-2</v>
      </c>
      <c r="D6596" s="7">
        <v>2.0985E-2</v>
      </c>
      <c r="E6596" s="7">
        <v>2.0985E-2</v>
      </c>
      <c r="F6596" s="7">
        <v>2.0985E-2</v>
      </c>
      <c r="G6596" s="7">
        <v>-1.5299999999999999E-2</v>
      </c>
    </row>
    <row r="6597" spans="2:7" x14ac:dyDescent="0.2">
      <c r="B6597" s="60">
        <v>45005</v>
      </c>
      <c r="C6597" s="7">
        <v>2.1019999999999997E-2</v>
      </c>
      <c r="D6597" s="7">
        <v>1.976E-2</v>
      </c>
      <c r="E6597" s="7">
        <v>2.1299999999999999E-2</v>
      </c>
      <c r="F6597" s="7">
        <v>1.9230000000000001E-2</v>
      </c>
      <c r="G6597" s="7">
        <v>1.6999999999999999E-3</v>
      </c>
    </row>
    <row r="6598" spans="2:7" x14ac:dyDescent="0.2">
      <c r="B6598" s="60">
        <v>45006</v>
      </c>
      <c r="C6598" s="7">
        <v>2.2780000000000002E-2</v>
      </c>
      <c r="D6598" s="7">
        <v>2.1269999999999997E-2</v>
      </c>
      <c r="E6598" s="7">
        <v>2.2860000000000002E-2</v>
      </c>
      <c r="F6598" s="7">
        <v>2.0959999999999999E-2</v>
      </c>
      <c r="G6598" s="7">
        <v>8.3699999999999997E-2</v>
      </c>
    </row>
    <row r="6599" spans="2:7" x14ac:dyDescent="0.2">
      <c r="B6599" s="60">
        <v>45007</v>
      </c>
      <c r="C6599" s="7">
        <v>2.3290000000000002E-2</v>
      </c>
      <c r="D6599" s="7">
        <v>2.2770000000000002E-2</v>
      </c>
      <c r="E6599" s="7">
        <v>2.3900000000000001E-2</v>
      </c>
      <c r="F6599" s="7">
        <v>2.2770000000000002E-2</v>
      </c>
      <c r="G6599" s="7">
        <v>2.24E-2</v>
      </c>
    </row>
    <row r="6600" spans="2:7" x14ac:dyDescent="0.2">
      <c r="B6600" s="60">
        <v>45008</v>
      </c>
      <c r="C6600" s="7">
        <v>2.1899999999999999E-2</v>
      </c>
      <c r="D6600" s="7">
        <v>2.274E-2</v>
      </c>
      <c r="E6600" s="7">
        <v>2.3E-2</v>
      </c>
      <c r="F6600" s="7">
        <v>2.1729999999999999E-2</v>
      </c>
      <c r="G6600" s="7">
        <v>-5.9700000000000003E-2</v>
      </c>
    </row>
    <row r="6601" spans="2:7" x14ac:dyDescent="0.2">
      <c r="B6601" s="60">
        <v>45009</v>
      </c>
      <c r="C6601" s="7">
        <v>2.1219999999999999E-2</v>
      </c>
      <c r="D6601" s="7">
        <v>2.1589999999999998E-2</v>
      </c>
      <c r="E6601" s="7">
        <v>2.1869999999999997E-2</v>
      </c>
      <c r="F6601" s="7">
        <v>1.9939999999999999E-2</v>
      </c>
      <c r="G6601" s="7">
        <v>-3.1099999999999999E-2</v>
      </c>
    </row>
    <row r="6602" spans="2:7" x14ac:dyDescent="0.2">
      <c r="B6602" s="60">
        <v>45011</v>
      </c>
      <c r="C6602" s="7">
        <v>2.1230000000000002E-2</v>
      </c>
      <c r="D6602" s="7">
        <v>2.1230000000000002E-2</v>
      </c>
      <c r="E6602" s="7">
        <v>2.1230000000000002E-2</v>
      </c>
      <c r="F6602" s="7">
        <v>2.1230000000000002E-2</v>
      </c>
      <c r="G6602" s="7">
        <v>5.0000000000000001E-4</v>
      </c>
    </row>
    <row r="6603" spans="2:7" x14ac:dyDescent="0.2">
      <c r="B6603" s="60">
        <v>45012</v>
      </c>
      <c r="C6603" s="7">
        <v>2.2269999999999998E-2</v>
      </c>
      <c r="D6603" s="7">
        <v>2.1259999999999998E-2</v>
      </c>
      <c r="E6603" s="7">
        <v>2.2759999999999999E-2</v>
      </c>
      <c r="F6603" s="7">
        <v>2.1259999999999998E-2</v>
      </c>
      <c r="G6603" s="7">
        <v>4.9000000000000002E-2</v>
      </c>
    </row>
    <row r="6604" spans="2:7" x14ac:dyDescent="0.2">
      <c r="B6604" s="60">
        <v>45013</v>
      </c>
      <c r="C6604" s="7">
        <v>2.2839999999999999E-2</v>
      </c>
      <c r="D6604" s="7">
        <v>2.2579999999999999E-2</v>
      </c>
      <c r="E6604" s="7">
        <v>2.3269999999999999E-2</v>
      </c>
      <c r="F6604" s="7">
        <v>2.2360000000000001E-2</v>
      </c>
      <c r="G6604" s="7">
        <v>2.5600000000000001E-2</v>
      </c>
    </row>
    <row r="6605" spans="2:7" x14ac:dyDescent="0.2">
      <c r="B6605" s="60">
        <v>45014</v>
      </c>
      <c r="C6605" s="7">
        <v>2.307E-2</v>
      </c>
      <c r="D6605" s="7">
        <v>2.3239999999999997E-2</v>
      </c>
      <c r="E6605" s="7">
        <v>2.3359999999999999E-2</v>
      </c>
      <c r="F6605" s="7">
        <v>2.2679999999999999E-2</v>
      </c>
      <c r="G6605" s="7">
        <v>1.01E-2</v>
      </c>
    </row>
    <row r="6606" spans="2:7" x14ac:dyDescent="0.2">
      <c r="B6606" s="60">
        <v>45015</v>
      </c>
      <c r="C6606" s="7">
        <v>2.368E-2</v>
      </c>
      <c r="D6606" s="7">
        <v>2.2930000000000002E-2</v>
      </c>
      <c r="E6606" s="7">
        <v>2.3959999999999999E-2</v>
      </c>
      <c r="F6606" s="7">
        <v>2.2280000000000001E-2</v>
      </c>
      <c r="G6606" s="7">
        <v>2.64E-2</v>
      </c>
    </row>
    <row r="6607" spans="2:7" x14ac:dyDescent="0.2">
      <c r="B6607" s="60">
        <v>45016</v>
      </c>
      <c r="C6607" s="7">
        <v>2.3010000000000003E-2</v>
      </c>
      <c r="D6607" s="7">
        <v>2.3479999999999997E-2</v>
      </c>
      <c r="E6607" s="7">
        <v>2.4029999999999999E-2</v>
      </c>
      <c r="F6607" s="7">
        <v>2.3E-2</v>
      </c>
      <c r="G6607" s="7">
        <v>-2.8299999999999999E-2</v>
      </c>
    </row>
    <row r="6608" spans="2:7" x14ac:dyDescent="0.2">
      <c r="B6608" s="60">
        <v>45018</v>
      </c>
      <c r="C6608" s="7">
        <v>2.2855E-2</v>
      </c>
      <c r="D6608" s="7">
        <v>2.2855E-2</v>
      </c>
      <c r="E6608" s="7">
        <v>2.2855E-2</v>
      </c>
      <c r="F6608" s="7">
        <v>2.2855E-2</v>
      </c>
      <c r="G6608" s="7">
        <v>-6.7000000000000002E-3</v>
      </c>
    </row>
    <row r="6609" spans="2:7" x14ac:dyDescent="0.2">
      <c r="B6609" s="60">
        <v>45019</v>
      </c>
      <c r="C6609" s="7">
        <v>2.2450000000000001E-2</v>
      </c>
      <c r="D6609" s="7">
        <v>2.316E-2</v>
      </c>
      <c r="E6609" s="7">
        <v>2.3650000000000001E-2</v>
      </c>
      <c r="F6609" s="7">
        <v>2.2339999999999999E-2</v>
      </c>
      <c r="G6609" s="7">
        <v>-1.77E-2</v>
      </c>
    </row>
    <row r="6610" spans="2:7" x14ac:dyDescent="0.2">
      <c r="B6610" s="60">
        <v>45020</v>
      </c>
      <c r="C6610" s="7">
        <v>2.266E-2</v>
      </c>
      <c r="D6610" s="7">
        <v>2.2589999999999999E-2</v>
      </c>
      <c r="E6610" s="7">
        <v>2.3390000000000001E-2</v>
      </c>
      <c r="F6610" s="7">
        <v>2.2540000000000001E-2</v>
      </c>
      <c r="G6610" s="7">
        <v>9.4000000000000004E-3</v>
      </c>
    </row>
    <row r="6611" spans="2:7" x14ac:dyDescent="0.2">
      <c r="B6611" s="60">
        <v>45021</v>
      </c>
      <c r="C6611" s="7">
        <v>2.18E-2</v>
      </c>
      <c r="D6611" s="7">
        <v>2.265E-2</v>
      </c>
      <c r="E6611" s="7">
        <v>2.3029999999999998E-2</v>
      </c>
      <c r="F6611" s="7">
        <v>2.1640000000000003E-2</v>
      </c>
      <c r="G6611" s="7">
        <v>-3.7999999999999999E-2</v>
      </c>
    </row>
    <row r="6612" spans="2:7" x14ac:dyDescent="0.2">
      <c r="B6612" s="60">
        <v>45022</v>
      </c>
      <c r="C6612" s="7">
        <v>2.181E-2</v>
      </c>
      <c r="D6612" s="7">
        <v>2.1940000000000001E-2</v>
      </c>
      <c r="E6612" s="7">
        <v>2.2080000000000002E-2</v>
      </c>
      <c r="F6612" s="7">
        <v>2.1219999999999999E-2</v>
      </c>
      <c r="G6612" s="7">
        <v>5.0000000000000001E-4</v>
      </c>
    </row>
    <row r="6613" spans="2:7" x14ac:dyDescent="0.2">
      <c r="B6613" s="60">
        <v>45023</v>
      </c>
      <c r="C6613" s="7">
        <v>2.1739999999999999E-2</v>
      </c>
      <c r="D6613" s="7">
        <v>2.188E-2</v>
      </c>
      <c r="E6613" s="7">
        <v>2.188E-2</v>
      </c>
      <c r="F6613" s="7">
        <v>2.1739999999999999E-2</v>
      </c>
      <c r="G6613" s="7">
        <v>-3.2000000000000002E-3</v>
      </c>
    </row>
    <row r="6614" spans="2:7" x14ac:dyDescent="0.2">
      <c r="B6614" s="60">
        <v>45026</v>
      </c>
      <c r="C6614" s="7">
        <v>2.1874999999999999E-2</v>
      </c>
      <c r="D6614" s="7">
        <v>2.1874999999999999E-2</v>
      </c>
      <c r="E6614" s="7">
        <v>2.1874999999999999E-2</v>
      </c>
      <c r="F6614" s="7">
        <v>2.1874999999999999E-2</v>
      </c>
      <c r="G6614" s="7">
        <v>6.1999999999999998E-3</v>
      </c>
    </row>
    <row r="6615" spans="2:7" x14ac:dyDescent="0.2">
      <c r="B6615" s="60">
        <v>45027</v>
      </c>
      <c r="C6615" s="7">
        <v>2.3029999999999998E-2</v>
      </c>
      <c r="D6615" s="7">
        <v>2.2579999999999999E-2</v>
      </c>
      <c r="E6615" s="7">
        <v>2.315E-2</v>
      </c>
      <c r="F6615" s="7">
        <v>2.2250000000000002E-2</v>
      </c>
      <c r="G6615" s="7">
        <v>5.28E-2</v>
      </c>
    </row>
    <row r="6616" spans="2:7" x14ac:dyDescent="0.2">
      <c r="B6616" s="60">
        <v>45028</v>
      </c>
      <c r="C6616" s="7">
        <v>2.3599999999999999E-2</v>
      </c>
      <c r="D6616" s="7">
        <v>2.3090000000000003E-2</v>
      </c>
      <c r="E6616" s="7">
        <v>2.3980000000000001E-2</v>
      </c>
      <c r="F6616" s="7">
        <v>2.2540000000000001E-2</v>
      </c>
      <c r="G6616" s="7">
        <v>2.4799999999999999E-2</v>
      </c>
    </row>
    <row r="6617" spans="2:7" x14ac:dyDescent="0.2">
      <c r="B6617" s="60">
        <v>45029</v>
      </c>
      <c r="C6617" s="7">
        <v>2.3709999999999998E-2</v>
      </c>
      <c r="D6617" s="7">
        <v>2.368E-2</v>
      </c>
      <c r="E6617" s="7">
        <v>2.3949999999999999E-2</v>
      </c>
      <c r="F6617" s="7">
        <v>2.3300000000000001E-2</v>
      </c>
      <c r="G6617" s="7">
        <v>4.7000000000000002E-3</v>
      </c>
    </row>
    <row r="6618" spans="2:7" x14ac:dyDescent="0.2">
      <c r="B6618" s="60">
        <v>45030</v>
      </c>
      <c r="C6618" s="7">
        <v>2.4329999999999997E-2</v>
      </c>
      <c r="D6618" s="7">
        <v>2.3820000000000001E-2</v>
      </c>
      <c r="E6618" s="7">
        <v>2.4340000000000001E-2</v>
      </c>
      <c r="F6618" s="7">
        <v>2.3550000000000001E-2</v>
      </c>
      <c r="G6618" s="7">
        <v>2.6100000000000002E-2</v>
      </c>
    </row>
    <row r="6619" spans="2:7" x14ac:dyDescent="0.2">
      <c r="B6619" s="60">
        <v>45032</v>
      </c>
      <c r="C6619" s="7">
        <v>2.4324999999999999E-2</v>
      </c>
      <c r="D6619" s="7">
        <v>2.4324999999999999E-2</v>
      </c>
      <c r="E6619" s="7">
        <v>2.4324999999999999E-2</v>
      </c>
      <c r="F6619" s="7">
        <v>2.4324999999999999E-2</v>
      </c>
      <c r="G6619" s="7">
        <v>-2.0000000000000001E-4</v>
      </c>
    </row>
    <row r="6620" spans="2:7" x14ac:dyDescent="0.2">
      <c r="B6620" s="60">
        <v>45033</v>
      </c>
      <c r="C6620" s="7">
        <v>2.4809999999999999E-2</v>
      </c>
      <c r="D6620" s="7">
        <v>2.435E-2</v>
      </c>
      <c r="E6620" s="7">
        <v>2.495E-2</v>
      </c>
      <c r="F6620" s="7">
        <v>2.419E-2</v>
      </c>
      <c r="G6620" s="7">
        <v>1.9900000000000001E-2</v>
      </c>
    </row>
    <row r="6621" spans="2:7" x14ac:dyDescent="0.2">
      <c r="B6621" s="60">
        <v>45034</v>
      </c>
      <c r="C6621" s="7">
        <v>2.4700000000000003E-2</v>
      </c>
      <c r="D6621" s="7">
        <v>2.4799999999999999E-2</v>
      </c>
      <c r="E6621" s="7">
        <v>2.5019999999999997E-2</v>
      </c>
      <c r="F6621" s="7">
        <v>2.4399999999999998E-2</v>
      </c>
      <c r="G6621" s="7">
        <v>-4.4000000000000003E-3</v>
      </c>
    </row>
    <row r="6622" spans="2:7" x14ac:dyDescent="0.2">
      <c r="B6622" s="60">
        <v>45035</v>
      </c>
      <c r="C6622" s="7">
        <v>2.5049999999999999E-2</v>
      </c>
      <c r="D6622" s="7">
        <v>2.477E-2</v>
      </c>
      <c r="E6622" s="7">
        <v>2.5399999999999999E-2</v>
      </c>
      <c r="F6622" s="7">
        <v>2.477E-2</v>
      </c>
      <c r="G6622" s="7">
        <v>1.4200000000000001E-2</v>
      </c>
    </row>
    <row r="6623" spans="2:7" x14ac:dyDescent="0.2">
      <c r="B6623" s="60">
        <v>45036</v>
      </c>
      <c r="C6623" s="7">
        <v>2.444E-2</v>
      </c>
      <c r="D6623" s="7">
        <v>2.4990000000000002E-2</v>
      </c>
      <c r="E6623" s="7">
        <v>2.512E-2</v>
      </c>
      <c r="F6623" s="7">
        <v>2.443E-2</v>
      </c>
      <c r="G6623" s="7">
        <v>-2.4400000000000002E-2</v>
      </c>
    </row>
    <row r="6624" spans="2:7" x14ac:dyDescent="0.2">
      <c r="B6624" s="60">
        <v>45037</v>
      </c>
      <c r="C6624" s="7">
        <v>2.4849999999999997E-2</v>
      </c>
      <c r="D6624" s="7">
        <v>2.443E-2</v>
      </c>
      <c r="E6624" s="7">
        <v>2.4940000000000004E-2</v>
      </c>
      <c r="F6624" s="7">
        <v>2.4199999999999999E-2</v>
      </c>
      <c r="G6624" s="7">
        <v>1.6799999999999999E-2</v>
      </c>
    </row>
    <row r="6625" spans="2:7" x14ac:dyDescent="0.2">
      <c r="B6625" s="60">
        <v>45039</v>
      </c>
      <c r="C6625" s="7">
        <v>2.4815E-2</v>
      </c>
      <c r="D6625" s="7">
        <v>2.4815E-2</v>
      </c>
      <c r="E6625" s="7">
        <v>2.4815E-2</v>
      </c>
      <c r="F6625" s="7">
        <v>2.4815E-2</v>
      </c>
      <c r="G6625" s="7">
        <v>-1.4E-3</v>
      </c>
    </row>
    <row r="6626" spans="2:7" x14ac:dyDescent="0.2">
      <c r="B6626" s="60">
        <v>45040</v>
      </c>
      <c r="C6626" s="7">
        <v>2.4910000000000002E-2</v>
      </c>
      <c r="D6626" s="7">
        <v>2.477E-2</v>
      </c>
      <c r="E6626" s="7">
        <v>2.504E-2</v>
      </c>
      <c r="F6626" s="7">
        <v>2.4380000000000002E-2</v>
      </c>
      <c r="G6626" s="7">
        <v>3.8E-3</v>
      </c>
    </row>
    <row r="6627" spans="2:7" x14ac:dyDescent="0.2">
      <c r="B6627" s="60">
        <v>45041</v>
      </c>
      <c r="C6627" s="7">
        <v>2.3780000000000003E-2</v>
      </c>
      <c r="D6627" s="7">
        <v>2.4780000000000003E-2</v>
      </c>
      <c r="E6627" s="7">
        <v>2.487E-2</v>
      </c>
      <c r="F6627" s="7">
        <v>2.358E-2</v>
      </c>
      <c r="G6627" s="7">
        <v>-4.5400000000000003E-2</v>
      </c>
    </row>
    <row r="6628" spans="2:7" x14ac:dyDescent="0.2">
      <c r="B6628" s="60">
        <v>45042</v>
      </c>
      <c r="C6628" s="7">
        <v>2.3860000000000003E-2</v>
      </c>
      <c r="D6628" s="7">
        <v>2.3690000000000003E-2</v>
      </c>
      <c r="E6628" s="7">
        <v>2.3900000000000001E-2</v>
      </c>
      <c r="F6628" s="7">
        <v>2.3109999999999999E-2</v>
      </c>
      <c r="G6628" s="7">
        <v>3.3999999999999998E-3</v>
      </c>
    </row>
    <row r="6629" spans="2:7" x14ac:dyDescent="0.2">
      <c r="B6629" s="60">
        <v>45043</v>
      </c>
      <c r="C6629" s="7">
        <v>2.453E-2</v>
      </c>
      <c r="D6629" s="7">
        <v>2.4160000000000001E-2</v>
      </c>
      <c r="E6629" s="7">
        <v>2.4580000000000001E-2</v>
      </c>
      <c r="F6629" s="7">
        <v>2.392E-2</v>
      </c>
      <c r="G6629" s="7">
        <v>2.81E-2</v>
      </c>
    </row>
    <row r="6630" spans="2:7" x14ac:dyDescent="0.2">
      <c r="B6630" s="60">
        <v>45044</v>
      </c>
      <c r="C6630" s="7">
        <v>2.3220000000000001E-2</v>
      </c>
      <c r="D6630" s="7">
        <v>2.427E-2</v>
      </c>
      <c r="E6630" s="7">
        <v>2.4809999999999999E-2</v>
      </c>
      <c r="F6630" s="7">
        <v>2.3170000000000003E-2</v>
      </c>
      <c r="G6630" s="7">
        <v>-5.3400000000000003E-2</v>
      </c>
    </row>
    <row r="6631" spans="2:7" x14ac:dyDescent="0.2">
      <c r="B6631" s="60">
        <v>45047</v>
      </c>
      <c r="C6631" s="7">
        <v>2.3134999999999999E-2</v>
      </c>
      <c r="D6631" s="7">
        <v>2.3130000000000001E-2</v>
      </c>
      <c r="E6631" s="7">
        <v>2.3205E-2</v>
      </c>
      <c r="F6631" s="7">
        <v>2.3130000000000001E-2</v>
      </c>
      <c r="G6631" s="7">
        <v>-3.7000000000000002E-3</v>
      </c>
    </row>
    <row r="6632" spans="2:7" x14ac:dyDescent="0.2">
      <c r="B6632" s="60">
        <v>45048</v>
      </c>
      <c r="C6632" s="7">
        <v>2.2509999999999999E-2</v>
      </c>
      <c r="D6632" s="7">
        <v>2.41E-2</v>
      </c>
      <c r="E6632" s="7">
        <v>2.4249999999999997E-2</v>
      </c>
      <c r="F6632" s="7">
        <v>2.249E-2</v>
      </c>
      <c r="G6632" s="7">
        <v>-2.7E-2</v>
      </c>
    </row>
    <row r="6633" spans="2:7" x14ac:dyDescent="0.2">
      <c r="B6633" s="60">
        <v>45049</v>
      </c>
      <c r="C6633" s="7">
        <v>2.247E-2</v>
      </c>
      <c r="D6633" s="7">
        <v>2.2719999999999997E-2</v>
      </c>
      <c r="E6633" s="7">
        <v>2.274E-2</v>
      </c>
      <c r="F6633" s="7">
        <v>2.2179999999999998E-2</v>
      </c>
      <c r="G6633" s="7">
        <v>-1.8E-3</v>
      </c>
    </row>
    <row r="6634" spans="2:7" x14ac:dyDescent="0.2">
      <c r="B6634" s="60">
        <v>45050</v>
      </c>
      <c r="C6634" s="7">
        <v>2.1940000000000001E-2</v>
      </c>
      <c r="D6634" s="7">
        <v>2.2429999999999999E-2</v>
      </c>
      <c r="E6634" s="7">
        <v>2.3060000000000001E-2</v>
      </c>
      <c r="F6634" s="7">
        <v>2.1780000000000001E-2</v>
      </c>
      <c r="G6634" s="7">
        <v>-2.3599999999999999E-2</v>
      </c>
    </row>
    <row r="6635" spans="2:7" x14ac:dyDescent="0.2">
      <c r="B6635" s="60">
        <v>45051</v>
      </c>
      <c r="C6635" s="7">
        <v>2.2949999999999998E-2</v>
      </c>
      <c r="D6635" s="7">
        <v>2.1909999999999999E-2</v>
      </c>
      <c r="E6635" s="7">
        <v>2.3029999999999998E-2</v>
      </c>
      <c r="F6635" s="7">
        <v>2.1909999999999999E-2</v>
      </c>
      <c r="G6635" s="7">
        <v>4.5999999999999999E-2</v>
      </c>
    </row>
    <row r="6636" spans="2:7" x14ac:dyDescent="0.2">
      <c r="B6636" s="60">
        <v>45053</v>
      </c>
      <c r="C6636" s="7">
        <v>2.2884999999999999E-2</v>
      </c>
      <c r="D6636" s="7">
        <v>2.2884999999999999E-2</v>
      </c>
      <c r="E6636" s="7">
        <v>2.2884999999999999E-2</v>
      </c>
      <c r="F6636" s="7">
        <v>2.2884999999999999E-2</v>
      </c>
      <c r="G6636" s="7">
        <v>-2.8E-3</v>
      </c>
    </row>
    <row r="6637" spans="2:7" x14ac:dyDescent="0.2">
      <c r="B6637" s="60">
        <v>45054</v>
      </c>
      <c r="C6637" s="7">
        <v>2.3179999999999999E-2</v>
      </c>
      <c r="D6637" s="7">
        <v>2.2759999999999999E-2</v>
      </c>
      <c r="E6637" s="7">
        <v>2.349E-2</v>
      </c>
      <c r="F6637" s="7">
        <v>2.2700000000000001E-2</v>
      </c>
      <c r="G6637" s="7">
        <v>1.29E-2</v>
      </c>
    </row>
    <row r="6638" spans="2:7" x14ac:dyDescent="0.2">
      <c r="B6638" s="60">
        <v>45055</v>
      </c>
      <c r="C6638" s="7">
        <v>2.3380000000000001E-2</v>
      </c>
      <c r="D6638" s="7">
        <v>2.3220000000000001E-2</v>
      </c>
      <c r="E6638" s="7">
        <v>2.342E-2</v>
      </c>
      <c r="F6638" s="7">
        <v>2.2919999999999999E-2</v>
      </c>
      <c r="G6638" s="7">
        <v>8.6E-3</v>
      </c>
    </row>
    <row r="6639" spans="2:7" x14ac:dyDescent="0.2">
      <c r="B6639" s="60">
        <v>45056</v>
      </c>
      <c r="C6639" s="7">
        <v>2.2959999999999998E-2</v>
      </c>
      <c r="D6639" s="7">
        <v>2.351E-2</v>
      </c>
      <c r="E6639" s="7">
        <v>2.3690000000000003E-2</v>
      </c>
      <c r="F6639" s="7">
        <v>2.2770000000000002E-2</v>
      </c>
      <c r="G6639" s="7">
        <v>-1.7999999999999999E-2</v>
      </c>
    </row>
    <row r="6640" spans="2:7" x14ac:dyDescent="0.2">
      <c r="B6640" s="60">
        <v>45057</v>
      </c>
      <c r="C6640" s="7">
        <v>2.2179999999999998E-2</v>
      </c>
      <c r="D6640" s="7">
        <v>2.2959999999999998E-2</v>
      </c>
      <c r="E6640" s="7">
        <v>2.2970000000000001E-2</v>
      </c>
      <c r="F6640" s="7">
        <v>2.1739999999999999E-2</v>
      </c>
      <c r="G6640" s="7">
        <v>-3.4000000000000002E-2</v>
      </c>
    </row>
    <row r="6641" spans="2:7" x14ac:dyDescent="0.2">
      <c r="B6641" s="60">
        <v>45058</v>
      </c>
      <c r="C6641" s="7">
        <v>2.266E-2</v>
      </c>
      <c r="D6641" s="7">
        <v>2.2330000000000003E-2</v>
      </c>
      <c r="E6641" s="7">
        <v>2.273E-2</v>
      </c>
      <c r="F6641" s="7">
        <v>2.2269999999999998E-2</v>
      </c>
      <c r="G6641" s="7">
        <v>2.1600000000000001E-2</v>
      </c>
    </row>
    <row r="6642" spans="2:7" x14ac:dyDescent="0.2">
      <c r="B6642" s="60">
        <v>45061</v>
      </c>
      <c r="C6642" s="7">
        <v>2.3090000000000003E-2</v>
      </c>
      <c r="D6642" s="7">
        <v>2.307E-2</v>
      </c>
      <c r="E6642" s="7">
        <v>2.3179999999999999E-2</v>
      </c>
      <c r="F6642" s="7">
        <v>2.282E-2</v>
      </c>
      <c r="G6642" s="7">
        <v>1.9E-2</v>
      </c>
    </row>
    <row r="6643" spans="2:7" x14ac:dyDescent="0.2">
      <c r="B6643" s="60">
        <v>45062</v>
      </c>
      <c r="C6643" s="7">
        <v>2.3399999999999997E-2</v>
      </c>
      <c r="D6643" s="7">
        <v>2.291E-2</v>
      </c>
      <c r="E6643" s="7">
        <v>2.3460000000000002E-2</v>
      </c>
      <c r="F6643" s="7">
        <v>2.2530000000000001E-2</v>
      </c>
      <c r="G6643" s="7">
        <v>1.34E-2</v>
      </c>
    </row>
    <row r="6644" spans="2:7" x14ac:dyDescent="0.2">
      <c r="B6644" s="60">
        <v>45063</v>
      </c>
      <c r="C6644" s="7">
        <v>2.3399999999999997E-2</v>
      </c>
      <c r="D6644" s="7">
        <v>2.3370000000000002E-2</v>
      </c>
      <c r="E6644" s="7">
        <v>2.3460000000000002E-2</v>
      </c>
      <c r="F6644" s="7">
        <v>2.2919999999999999E-2</v>
      </c>
      <c r="G6644" s="7">
        <v>0</v>
      </c>
    </row>
    <row r="6645" spans="2:7" x14ac:dyDescent="0.2">
      <c r="B6645" s="60">
        <v>45064</v>
      </c>
      <c r="C6645" s="7">
        <v>2.4129999999999999E-2</v>
      </c>
      <c r="D6645" s="7">
        <v>2.35E-2</v>
      </c>
      <c r="E6645" s="7">
        <v>2.4580000000000001E-2</v>
      </c>
      <c r="F6645" s="7">
        <v>2.3470000000000001E-2</v>
      </c>
      <c r="G6645" s="7">
        <v>3.1199999999999999E-2</v>
      </c>
    </row>
    <row r="6646" spans="2:7" x14ac:dyDescent="0.2">
      <c r="B6646" s="60">
        <v>45065</v>
      </c>
      <c r="C6646" s="7">
        <v>2.4279999999999999E-2</v>
      </c>
      <c r="D6646" s="7">
        <v>2.4569999999999998E-2</v>
      </c>
      <c r="E6646" s="7">
        <v>2.4990000000000002E-2</v>
      </c>
      <c r="F6646" s="7">
        <v>2.4209999999999999E-2</v>
      </c>
      <c r="G6646" s="7">
        <v>6.1999999999999998E-3</v>
      </c>
    </row>
    <row r="6647" spans="2:7" x14ac:dyDescent="0.2">
      <c r="B6647" s="60">
        <v>45067</v>
      </c>
      <c r="C6647" s="7">
        <v>2.4109999999999999E-2</v>
      </c>
      <c r="D6647" s="7">
        <v>2.4109999999999999E-2</v>
      </c>
      <c r="E6647" s="7">
        <v>2.4109999999999999E-2</v>
      </c>
      <c r="F6647" s="7">
        <v>2.4109999999999999E-2</v>
      </c>
      <c r="G6647" s="7">
        <v>-7.0000000000000001E-3</v>
      </c>
    </row>
    <row r="6648" spans="2:7" x14ac:dyDescent="0.2">
      <c r="B6648" s="60">
        <v>45068</v>
      </c>
      <c r="C6648" s="7">
        <v>2.4510000000000001E-2</v>
      </c>
      <c r="D6648" s="7">
        <v>2.4319999999999998E-2</v>
      </c>
      <c r="E6648" s="7">
        <v>2.4649999999999998E-2</v>
      </c>
      <c r="F6648" s="7">
        <v>2.3959999999999999E-2</v>
      </c>
      <c r="G6648" s="7">
        <v>1.66E-2</v>
      </c>
    </row>
    <row r="6649" spans="2:7" x14ac:dyDescent="0.2">
      <c r="B6649" s="60">
        <v>45069</v>
      </c>
      <c r="C6649" s="7">
        <v>2.4649999999999998E-2</v>
      </c>
      <c r="D6649" s="7">
        <v>2.46E-2</v>
      </c>
      <c r="E6649" s="7">
        <v>2.4969999999999999E-2</v>
      </c>
      <c r="F6649" s="7">
        <v>2.4550000000000002E-2</v>
      </c>
      <c r="G6649" s="7">
        <v>5.7000000000000002E-3</v>
      </c>
    </row>
    <row r="6650" spans="2:7" x14ac:dyDescent="0.2">
      <c r="B6650" s="60">
        <v>45070</v>
      </c>
      <c r="C6650" s="7">
        <v>2.453E-2</v>
      </c>
      <c r="D6650" s="7">
        <v>2.444E-2</v>
      </c>
      <c r="E6650" s="7">
        <v>2.5009999999999998E-2</v>
      </c>
      <c r="F6650" s="7">
        <v>2.4169999999999997E-2</v>
      </c>
      <c r="G6650" s="7">
        <v>-4.8999999999999998E-3</v>
      </c>
    </row>
    <row r="6651" spans="2:7" x14ac:dyDescent="0.2">
      <c r="B6651" s="60">
        <v>45071</v>
      </c>
      <c r="C6651" s="7">
        <v>2.4879999999999999E-2</v>
      </c>
      <c r="D6651" s="7">
        <v>2.4840000000000001E-2</v>
      </c>
      <c r="E6651" s="7">
        <v>2.4920000000000001E-2</v>
      </c>
      <c r="F6651" s="7">
        <v>2.4380000000000002E-2</v>
      </c>
      <c r="G6651" s="7">
        <v>1.43E-2</v>
      </c>
    </row>
    <row r="6652" spans="2:7" x14ac:dyDescent="0.2">
      <c r="B6652" s="60">
        <v>45072</v>
      </c>
      <c r="C6652" s="7">
        <v>2.538E-2</v>
      </c>
      <c r="D6652" s="7">
        <v>2.5329999999999998E-2</v>
      </c>
      <c r="E6652" s="7">
        <v>2.5559999999999999E-2</v>
      </c>
      <c r="F6652" s="7">
        <v>2.495E-2</v>
      </c>
      <c r="G6652" s="7">
        <v>2.01E-2</v>
      </c>
    </row>
    <row r="6653" spans="2:7" x14ac:dyDescent="0.2">
      <c r="B6653" s="60">
        <v>45074</v>
      </c>
      <c r="C6653" s="7">
        <v>2.5344999999999999E-2</v>
      </c>
      <c r="D6653" s="7">
        <v>2.5344999999999999E-2</v>
      </c>
      <c r="E6653" s="7">
        <v>2.5344999999999999E-2</v>
      </c>
      <c r="F6653" s="7">
        <v>2.5344999999999999E-2</v>
      </c>
      <c r="G6653" s="7">
        <v>-1.4E-3</v>
      </c>
    </row>
    <row r="6654" spans="2:7" x14ac:dyDescent="0.2">
      <c r="B6654" s="60">
        <v>45075</v>
      </c>
      <c r="C6654" s="7">
        <v>2.4329999999999997E-2</v>
      </c>
      <c r="D6654" s="7">
        <v>2.5259999999999998E-2</v>
      </c>
      <c r="E6654" s="7">
        <v>2.5339999999999998E-2</v>
      </c>
      <c r="F6654" s="7">
        <v>2.4230000000000002E-2</v>
      </c>
      <c r="G6654" s="7">
        <v>-0.04</v>
      </c>
    </row>
    <row r="6655" spans="2:7" x14ac:dyDescent="0.2">
      <c r="B6655" s="60">
        <v>45076</v>
      </c>
      <c r="C6655" s="7">
        <v>2.3599999999999999E-2</v>
      </c>
      <c r="D6655" s="7">
        <v>2.426E-2</v>
      </c>
      <c r="E6655" s="7">
        <v>2.4390000000000002E-2</v>
      </c>
      <c r="F6655" s="7">
        <v>2.3380000000000001E-2</v>
      </c>
      <c r="G6655" s="7">
        <v>-0.03</v>
      </c>
    </row>
    <row r="6656" spans="2:7" x14ac:dyDescent="0.2">
      <c r="B6656" s="60">
        <v>45077</v>
      </c>
      <c r="C6656" s="7">
        <v>2.2719999999999997E-2</v>
      </c>
      <c r="D6656" s="7">
        <v>2.2869999999999998E-2</v>
      </c>
      <c r="E6656" s="7">
        <v>2.3E-2</v>
      </c>
      <c r="F6656" s="7">
        <v>2.2400000000000003E-2</v>
      </c>
      <c r="G6656" s="7">
        <v>-3.73E-2</v>
      </c>
    </row>
    <row r="6657" spans="2:7" x14ac:dyDescent="0.2">
      <c r="B6657" s="60">
        <v>45078</v>
      </c>
      <c r="C6657" s="7">
        <v>2.2599999999999999E-2</v>
      </c>
      <c r="D6657" s="7">
        <v>2.2890000000000001E-2</v>
      </c>
      <c r="E6657" s="7">
        <v>2.3060000000000001E-2</v>
      </c>
      <c r="F6657" s="7">
        <v>2.2400000000000003E-2</v>
      </c>
      <c r="G6657" s="7">
        <v>-5.3E-3</v>
      </c>
    </row>
    <row r="6658" spans="2:7" x14ac:dyDescent="0.2">
      <c r="B6658" s="60">
        <v>45079</v>
      </c>
      <c r="C6658" s="7">
        <v>2.307E-2</v>
      </c>
      <c r="D6658" s="7">
        <v>2.2589999999999999E-2</v>
      </c>
      <c r="E6658" s="7">
        <v>2.3210000000000001E-2</v>
      </c>
      <c r="F6658" s="7">
        <v>2.2540000000000001E-2</v>
      </c>
      <c r="G6658" s="7">
        <v>2.0799999999999999E-2</v>
      </c>
    </row>
    <row r="6659" spans="2:7" x14ac:dyDescent="0.2">
      <c r="B6659" s="60">
        <v>45081</v>
      </c>
      <c r="C6659" s="7">
        <v>2.3119999999999998E-2</v>
      </c>
      <c r="D6659" s="7">
        <v>2.3119999999999998E-2</v>
      </c>
      <c r="E6659" s="7">
        <v>2.3119999999999998E-2</v>
      </c>
      <c r="F6659" s="7">
        <v>2.3119999999999998E-2</v>
      </c>
      <c r="G6659" s="7">
        <v>2.2000000000000001E-3</v>
      </c>
    </row>
    <row r="6660" spans="2:7" x14ac:dyDescent="0.2">
      <c r="B6660" s="60">
        <v>45082</v>
      </c>
      <c r="C6660" s="7">
        <v>2.375E-2</v>
      </c>
      <c r="D6660" s="7">
        <v>2.3470000000000001E-2</v>
      </c>
      <c r="E6660" s="7">
        <v>2.3949999999999999E-2</v>
      </c>
      <c r="F6660" s="7">
        <v>2.3429999999999999E-2</v>
      </c>
      <c r="G6660" s="7">
        <v>2.7199999999999998E-2</v>
      </c>
    </row>
    <row r="6661" spans="2:7" x14ac:dyDescent="0.2">
      <c r="B6661" s="60">
        <v>45083</v>
      </c>
      <c r="C6661" s="7">
        <v>2.368E-2</v>
      </c>
      <c r="D6661" s="7">
        <v>2.4029999999999999E-2</v>
      </c>
      <c r="E6661" s="7">
        <v>2.4070000000000001E-2</v>
      </c>
      <c r="F6661" s="7">
        <v>2.3090000000000003E-2</v>
      </c>
      <c r="G6661" s="7">
        <v>-2.8999999999999998E-3</v>
      </c>
    </row>
    <row r="6662" spans="2:7" x14ac:dyDescent="0.2">
      <c r="B6662" s="60">
        <v>45084</v>
      </c>
      <c r="C6662" s="7">
        <v>2.444E-2</v>
      </c>
      <c r="D6662" s="7">
        <v>2.3559999999999998E-2</v>
      </c>
      <c r="E6662" s="7">
        <v>2.445E-2</v>
      </c>
      <c r="F6662" s="7">
        <v>2.3470000000000001E-2</v>
      </c>
      <c r="G6662" s="7">
        <v>3.2099999999999997E-2</v>
      </c>
    </row>
    <row r="6663" spans="2:7" x14ac:dyDescent="0.2">
      <c r="B6663" s="60">
        <v>45085</v>
      </c>
      <c r="C6663" s="7">
        <v>2.4239999999999998E-2</v>
      </c>
      <c r="D6663" s="7">
        <v>2.4629999999999999E-2</v>
      </c>
      <c r="E6663" s="7">
        <v>2.4799999999999999E-2</v>
      </c>
      <c r="F6663" s="7">
        <v>2.4140000000000002E-2</v>
      </c>
      <c r="G6663" s="7">
        <v>-8.2000000000000007E-3</v>
      </c>
    </row>
    <row r="6664" spans="2:7" x14ac:dyDescent="0.2">
      <c r="B6664" s="60">
        <v>45086</v>
      </c>
      <c r="C6664" s="7">
        <v>2.3789999999999999E-2</v>
      </c>
      <c r="D6664" s="7">
        <v>2.4169999999999997E-2</v>
      </c>
      <c r="E6664" s="7">
        <v>2.4319999999999998E-2</v>
      </c>
      <c r="F6664" s="7">
        <v>2.367E-2</v>
      </c>
      <c r="G6664" s="7">
        <v>-1.8599999999999998E-2</v>
      </c>
    </row>
    <row r="6665" spans="2:7" x14ac:dyDescent="0.2">
      <c r="B6665" s="60">
        <v>45088</v>
      </c>
      <c r="C6665" s="7">
        <v>2.3805E-2</v>
      </c>
      <c r="D6665" s="7">
        <v>2.3805E-2</v>
      </c>
      <c r="E6665" s="7">
        <v>2.3805E-2</v>
      </c>
      <c r="F6665" s="7">
        <v>2.3805E-2</v>
      </c>
      <c r="G6665" s="7">
        <v>5.9999999999999995E-4</v>
      </c>
    </row>
    <row r="6666" spans="2:7" x14ac:dyDescent="0.2">
      <c r="B6666" s="60">
        <v>45089</v>
      </c>
      <c r="C6666" s="7">
        <v>2.3820000000000001E-2</v>
      </c>
      <c r="D6666" s="7">
        <v>2.3889999999999998E-2</v>
      </c>
      <c r="E6666" s="7">
        <v>2.3980000000000001E-2</v>
      </c>
      <c r="F6666" s="7">
        <v>2.3250000000000003E-2</v>
      </c>
      <c r="G6666" s="7">
        <v>5.9999999999999995E-4</v>
      </c>
    </row>
    <row r="6667" spans="2:7" x14ac:dyDescent="0.2">
      <c r="B6667" s="60">
        <v>45090</v>
      </c>
      <c r="C6667" s="7">
        <v>2.426E-2</v>
      </c>
      <c r="D6667" s="7">
        <v>2.3570000000000001E-2</v>
      </c>
      <c r="E6667" s="7">
        <v>2.426E-2</v>
      </c>
      <c r="F6667" s="7">
        <v>2.3370000000000002E-2</v>
      </c>
      <c r="G6667" s="7">
        <v>1.8499999999999999E-2</v>
      </c>
    </row>
    <row r="6668" spans="2:7" x14ac:dyDescent="0.2">
      <c r="B6668" s="60">
        <v>45091</v>
      </c>
      <c r="C6668" s="7">
        <v>2.443E-2</v>
      </c>
      <c r="D6668" s="7">
        <v>2.445E-2</v>
      </c>
      <c r="E6668" s="7">
        <v>2.4670000000000001E-2</v>
      </c>
      <c r="F6668" s="7">
        <v>2.419E-2</v>
      </c>
      <c r="G6668" s="7">
        <v>7.0000000000000001E-3</v>
      </c>
    </row>
    <row r="6669" spans="2:7" x14ac:dyDescent="0.2">
      <c r="B6669" s="60">
        <v>45092</v>
      </c>
      <c r="C6669" s="7">
        <v>2.5009999999999998E-2</v>
      </c>
      <c r="D6669" s="7">
        <v>2.4799999999999999E-2</v>
      </c>
      <c r="E6669" s="7">
        <v>2.5479999999999999E-2</v>
      </c>
      <c r="F6669" s="7">
        <v>2.4399999999999998E-2</v>
      </c>
      <c r="G6669" s="7">
        <v>2.3699999999999999E-2</v>
      </c>
    </row>
    <row r="6670" spans="2:7" x14ac:dyDescent="0.2">
      <c r="B6670" s="60">
        <v>45093</v>
      </c>
      <c r="C6670" s="7">
        <v>2.461E-2</v>
      </c>
      <c r="D6670" s="7">
        <v>2.5080000000000002E-2</v>
      </c>
      <c r="E6670" s="7">
        <v>2.5479999999999999E-2</v>
      </c>
      <c r="F6670" s="7">
        <v>2.4559999999999998E-2</v>
      </c>
      <c r="G6670" s="7">
        <v>-1.6E-2</v>
      </c>
    </row>
    <row r="6671" spans="2:7" x14ac:dyDescent="0.2">
      <c r="B6671" s="60">
        <v>45095</v>
      </c>
      <c r="C6671" s="7">
        <v>2.4649999999999998E-2</v>
      </c>
      <c r="D6671" s="7">
        <v>2.4649999999999998E-2</v>
      </c>
      <c r="E6671" s="7">
        <v>2.4649999999999998E-2</v>
      </c>
      <c r="F6671" s="7">
        <v>2.4649999999999998E-2</v>
      </c>
      <c r="G6671" s="7">
        <v>1.6000000000000001E-3</v>
      </c>
    </row>
    <row r="6672" spans="2:7" x14ac:dyDescent="0.2">
      <c r="B6672" s="60">
        <v>45096</v>
      </c>
      <c r="C6672" s="7">
        <v>2.5179999999999998E-2</v>
      </c>
      <c r="D6672" s="7">
        <v>2.4500000000000001E-2</v>
      </c>
      <c r="E6672" s="7">
        <v>2.5259999999999998E-2</v>
      </c>
      <c r="F6672" s="7">
        <v>2.427E-2</v>
      </c>
      <c r="G6672" s="7">
        <v>2.1499999999999998E-2</v>
      </c>
    </row>
    <row r="6673" spans="2:7" x14ac:dyDescent="0.2">
      <c r="B6673" s="60">
        <v>45097</v>
      </c>
      <c r="C6673" s="7">
        <v>2.4060000000000002E-2</v>
      </c>
      <c r="D6673" s="7">
        <v>2.5089999999999998E-2</v>
      </c>
      <c r="E6673" s="7">
        <v>2.5089999999999998E-2</v>
      </c>
      <c r="F6673" s="7">
        <v>2.3980000000000001E-2</v>
      </c>
      <c r="G6673" s="7">
        <v>-4.4499999999999998E-2</v>
      </c>
    </row>
    <row r="6674" spans="2:7" x14ac:dyDescent="0.2">
      <c r="B6674" s="60">
        <v>45098</v>
      </c>
      <c r="C6674" s="7">
        <v>2.4319999999999998E-2</v>
      </c>
      <c r="D6674" s="7">
        <v>2.4080000000000001E-2</v>
      </c>
      <c r="E6674" s="7">
        <v>2.452E-2</v>
      </c>
      <c r="F6674" s="7">
        <v>2.3940000000000003E-2</v>
      </c>
      <c r="G6674" s="7">
        <v>1.0800000000000001E-2</v>
      </c>
    </row>
    <row r="6675" spans="2:7" x14ac:dyDescent="0.2">
      <c r="B6675" s="60">
        <v>45099</v>
      </c>
      <c r="C6675" s="7">
        <v>2.4879999999999999E-2</v>
      </c>
      <c r="D6675" s="7">
        <v>2.4070000000000001E-2</v>
      </c>
      <c r="E6675" s="7">
        <v>2.5000000000000001E-2</v>
      </c>
      <c r="F6675" s="7">
        <v>2.4060000000000002E-2</v>
      </c>
      <c r="G6675" s="7">
        <v>2.3E-2</v>
      </c>
    </row>
    <row r="6676" spans="2:7" x14ac:dyDescent="0.2">
      <c r="B6676" s="60">
        <v>45100</v>
      </c>
      <c r="C6676" s="7">
        <v>2.3570000000000001E-2</v>
      </c>
      <c r="D6676" s="7">
        <v>2.4760000000000001E-2</v>
      </c>
      <c r="E6676" s="7">
        <v>2.4820000000000002E-2</v>
      </c>
      <c r="F6676" s="7">
        <v>2.316E-2</v>
      </c>
      <c r="G6676" s="7">
        <v>-5.2699999999999997E-2</v>
      </c>
    </row>
    <row r="6677" spans="2:7" x14ac:dyDescent="0.2">
      <c r="B6677" s="60">
        <v>45102</v>
      </c>
      <c r="C6677" s="7">
        <v>2.3494999999999999E-2</v>
      </c>
      <c r="D6677" s="7">
        <v>2.3494999999999999E-2</v>
      </c>
      <c r="E6677" s="7">
        <v>2.3494999999999999E-2</v>
      </c>
      <c r="F6677" s="7">
        <v>2.3494999999999999E-2</v>
      </c>
      <c r="G6677" s="7">
        <v>-3.2000000000000002E-3</v>
      </c>
    </row>
    <row r="6678" spans="2:7" x14ac:dyDescent="0.2">
      <c r="B6678" s="60">
        <v>45103</v>
      </c>
      <c r="C6678" s="7">
        <v>2.3E-2</v>
      </c>
      <c r="D6678" s="7">
        <v>2.351E-2</v>
      </c>
      <c r="E6678" s="7">
        <v>2.368E-2</v>
      </c>
      <c r="F6678" s="7">
        <v>2.2919999999999999E-2</v>
      </c>
      <c r="G6678" s="7">
        <v>-2.1100000000000001E-2</v>
      </c>
    </row>
    <row r="6679" spans="2:7" x14ac:dyDescent="0.2">
      <c r="B6679" s="60">
        <v>45104</v>
      </c>
      <c r="C6679" s="7">
        <v>2.3650000000000001E-2</v>
      </c>
      <c r="D6679" s="7">
        <v>2.3130000000000001E-2</v>
      </c>
      <c r="E6679" s="7">
        <v>2.3650000000000001E-2</v>
      </c>
      <c r="F6679" s="7">
        <v>2.2860000000000002E-2</v>
      </c>
      <c r="G6679" s="7">
        <v>2.8299999999999999E-2</v>
      </c>
    </row>
    <row r="6680" spans="2:7" x14ac:dyDescent="0.2">
      <c r="B6680" s="60">
        <v>45105</v>
      </c>
      <c r="C6680" s="7">
        <v>2.3140000000000001E-2</v>
      </c>
      <c r="D6680" s="7">
        <v>2.3719999999999998E-2</v>
      </c>
      <c r="E6680" s="7">
        <v>2.3719999999999998E-2</v>
      </c>
      <c r="F6680" s="7">
        <v>2.3E-2</v>
      </c>
      <c r="G6680" s="7">
        <v>-2.1600000000000001E-2</v>
      </c>
    </row>
    <row r="6681" spans="2:7" x14ac:dyDescent="0.2">
      <c r="B6681" s="60">
        <v>45106</v>
      </c>
      <c r="C6681" s="7">
        <v>2.4140000000000002E-2</v>
      </c>
      <c r="D6681" s="7">
        <v>2.3429999999999999E-2</v>
      </c>
      <c r="E6681" s="7">
        <v>2.4340000000000001E-2</v>
      </c>
      <c r="F6681" s="7">
        <v>2.3259999999999999E-2</v>
      </c>
      <c r="G6681" s="7">
        <v>4.3200000000000002E-2</v>
      </c>
    </row>
    <row r="6682" spans="2:7" x14ac:dyDescent="0.2">
      <c r="B6682" s="60">
        <v>45107</v>
      </c>
      <c r="C6682" s="7">
        <v>2.3910000000000001E-2</v>
      </c>
      <c r="D6682" s="7">
        <v>2.4039999999999999E-2</v>
      </c>
      <c r="E6682" s="7">
        <v>2.4559999999999998E-2</v>
      </c>
      <c r="F6682" s="7">
        <v>2.3879999999999998E-2</v>
      </c>
      <c r="G6682" s="7">
        <v>-9.4999999999999998E-3</v>
      </c>
    </row>
    <row r="6683" spans="2:7" x14ac:dyDescent="0.2">
      <c r="B6683" s="60">
        <v>45109</v>
      </c>
      <c r="C6683" s="7">
        <v>2.3910000000000001E-2</v>
      </c>
      <c r="D6683" s="7">
        <v>2.3910000000000001E-2</v>
      </c>
      <c r="E6683" s="7">
        <v>2.3910000000000001E-2</v>
      </c>
      <c r="F6683" s="7">
        <v>2.3910000000000001E-2</v>
      </c>
      <c r="G6683" s="7">
        <v>0</v>
      </c>
    </row>
    <row r="6684" spans="2:7" x14ac:dyDescent="0.2">
      <c r="B6684" s="60">
        <v>45110</v>
      </c>
      <c r="C6684" s="7">
        <v>2.4329999999999997E-2</v>
      </c>
      <c r="D6684" s="7">
        <v>2.4009999999999997E-2</v>
      </c>
      <c r="E6684" s="7">
        <v>2.4489999999999998E-2</v>
      </c>
      <c r="F6684" s="7">
        <v>2.3629999999999998E-2</v>
      </c>
      <c r="G6684" s="7">
        <v>1.7600000000000001E-2</v>
      </c>
    </row>
    <row r="6685" spans="2:7" x14ac:dyDescent="0.2">
      <c r="B6685" s="60">
        <v>45111</v>
      </c>
      <c r="C6685" s="7">
        <v>2.4550000000000002E-2</v>
      </c>
      <c r="D6685" s="7">
        <v>2.4329999999999997E-2</v>
      </c>
      <c r="E6685" s="7">
        <v>2.4799999999999999E-2</v>
      </c>
      <c r="F6685" s="7">
        <v>2.4300000000000002E-2</v>
      </c>
      <c r="G6685" s="7">
        <v>8.9999999999999993E-3</v>
      </c>
    </row>
    <row r="6686" spans="2:7" x14ac:dyDescent="0.2">
      <c r="B6686" s="60">
        <v>45112</v>
      </c>
      <c r="C6686" s="7">
        <v>2.4799999999999999E-2</v>
      </c>
      <c r="D6686" s="7">
        <v>2.4489999999999998E-2</v>
      </c>
      <c r="E6686" s="7">
        <v>2.4799999999999999E-2</v>
      </c>
      <c r="F6686" s="7">
        <v>2.4049999999999998E-2</v>
      </c>
      <c r="G6686" s="7">
        <v>1.0200000000000001E-2</v>
      </c>
    </row>
    <row r="6687" spans="2:7" x14ac:dyDescent="0.2">
      <c r="B6687" s="60">
        <v>45113</v>
      </c>
      <c r="C6687" s="7">
        <v>2.63E-2</v>
      </c>
      <c r="D6687" s="7">
        <v>2.5190000000000001E-2</v>
      </c>
      <c r="E6687" s="7">
        <v>2.6409999999999999E-2</v>
      </c>
      <c r="F6687" s="7">
        <v>2.496E-2</v>
      </c>
      <c r="G6687" s="7">
        <v>6.0499999999999998E-2</v>
      </c>
    </row>
    <row r="6688" spans="2:7" x14ac:dyDescent="0.2">
      <c r="B6688" s="60">
        <v>45114</v>
      </c>
      <c r="C6688" s="7">
        <v>2.6349999999999998E-2</v>
      </c>
      <c r="D6688" s="7">
        <v>2.622E-2</v>
      </c>
      <c r="E6688" s="7">
        <v>2.6770000000000002E-2</v>
      </c>
      <c r="F6688" s="7">
        <v>2.6009999999999998E-2</v>
      </c>
      <c r="G6688" s="7">
        <v>1.9E-3</v>
      </c>
    </row>
    <row r="6689" spans="2:7" x14ac:dyDescent="0.2">
      <c r="B6689" s="60">
        <v>45117</v>
      </c>
      <c r="C6689" s="7">
        <v>2.6360000000000001E-2</v>
      </c>
      <c r="D6689" s="7">
        <v>2.648E-2</v>
      </c>
      <c r="E6689" s="7">
        <v>2.6789999999999998E-2</v>
      </c>
      <c r="F6689" s="7">
        <v>2.622E-2</v>
      </c>
      <c r="G6689" s="7">
        <v>4.0000000000000002E-4</v>
      </c>
    </row>
    <row r="6690" spans="2:7" x14ac:dyDescent="0.2">
      <c r="B6690" s="60">
        <v>45118</v>
      </c>
      <c r="C6690" s="7">
        <v>2.6509999999999999E-2</v>
      </c>
      <c r="D6690" s="7">
        <v>2.613E-2</v>
      </c>
      <c r="E6690" s="7">
        <v>2.657E-2</v>
      </c>
      <c r="F6690" s="7">
        <v>2.5910000000000002E-2</v>
      </c>
      <c r="G6690" s="7">
        <v>5.7000000000000002E-3</v>
      </c>
    </row>
    <row r="6691" spans="2:7" x14ac:dyDescent="0.2">
      <c r="B6691" s="60">
        <v>45119</v>
      </c>
      <c r="C6691" s="7">
        <v>2.5499999999999998E-2</v>
      </c>
      <c r="D6691" s="7">
        <v>2.6360000000000001E-2</v>
      </c>
      <c r="E6691" s="7">
        <v>2.6360000000000001E-2</v>
      </c>
      <c r="F6691" s="7">
        <v>2.5470000000000003E-2</v>
      </c>
      <c r="G6691" s="7">
        <v>-3.8100000000000002E-2</v>
      </c>
    </row>
    <row r="6692" spans="2:7" x14ac:dyDescent="0.2">
      <c r="B6692" s="60">
        <v>45120</v>
      </c>
      <c r="C6692" s="7">
        <v>2.4649999999999998E-2</v>
      </c>
      <c r="D6692" s="7">
        <v>2.5510000000000001E-2</v>
      </c>
      <c r="E6692" s="7">
        <v>2.5530000000000001E-2</v>
      </c>
      <c r="F6692" s="7">
        <v>2.4380000000000002E-2</v>
      </c>
      <c r="G6692" s="7">
        <v>-3.3300000000000003E-2</v>
      </c>
    </row>
    <row r="6693" spans="2:7" x14ac:dyDescent="0.2">
      <c r="B6693" s="60">
        <v>45121</v>
      </c>
      <c r="C6693" s="7">
        <v>2.477E-2</v>
      </c>
      <c r="D6693" s="7">
        <v>2.461E-2</v>
      </c>
      <c r="E6693" s="7">
        <v>2.4830000000000001E-2</v>
      </c>
      <c r="F6693" s="7">
        <v>2.4340000000000001E-2</v>
      </c>
      <c r="G6693" s="7">
        <v>4.8999999999999998E-3</v>
      </c>
    </row>
    <row r="6694" spans="2:7" x14ac:dyDescent="0.2">
      <c r="B6694" s="60">
        <v>45123</v>
      </c>
      <c r="C6694" s="7">
        <v>2.4760000000000001E-2</v>
      </c>
      <c r="D6694" s="7">
        <v>2.4760000000000001E-2</v>
      </c>
      <c r="E6694" s="7">
        <v>2.4760000000000001E-2</v>
      </c>
      <c r="F6694" s="7">
        <v>2.4760000000000001E-2</v>
      </c>
      <c r="G6694" s="7">
        <v>-4.0000000000000002E-4</v>
      </c>
    </row>
    <row r="6695" spans="2:7" x14ac:dyDescent="0.2">
      <c r="B6695" s="60">
        <v>45124</v>
      </c>
      <c r="C6695" s="7">
        <v>2.453E-2</v>
      </c>
      <c r="D6695" s="7">
        <v>2.4740000000000002E-2</v>
      </c>
      <c r="E6695" s="7">
        <v>2.4889999999999999E-2</v>
      </c>
      <c r="F6695" s="7">
        <v>2.4119999999999999E-2</v>
      </c>
      <c r="G6695" s="7">
        <v>-9.2999999999999992E-3</v>
      </c>
    </row>
    <row r="6696" spans="2:7" x14ac:dyDescent="0.2">
      <c r="B6696" s="60">
        <v>45125</v>
      </c>
      <c r="C6696" s="7">
        <v>2.35E-2</v>
      </c>
      <c r="D6696" s="7">
        <v>2.4300000000000002E-2</v>
      </c>
      <c r="E6696" s="7">
        <v>2.4340000000000001E-2</v>
      </c>
      <c r="F6696" s="7">
        <v>2.3359999999999999E-2</v>
      </c>
      <c r="G6696" s="7">
        <v>-4.2000000000000003E-2</v>
      </c>
    </row>
    <row r="6697" spans="2:7" x14ac:dyDescent="0.2">
      <c r="B6697" s="60">
        <v>45126</v>
      </c>
      <c r="C6697" s="7">
        <v>2.3969999999999998E-2</v>
      </c>
      <c r="D6697" s="7">
        <v>2.2970000000000001E-2</v>
      </c>
      <c r="E6697" s="7">
        <v>2.4009999999999997E-2</v>
      </c>
      <c r="F6697" s="7">
        <v>2.2850000000000002E-2</v>
      </c>
      <c r="G6697" s="7">
        <v>0.02</v>
      </c>
    </row>
    <row r="6698" spans="2:7" x14ac:dyDescent="0.2">
      <c r="B6698" s="60">
        <v>45127</v>
      </c>
      <c r="C6698" s="7">
        <v>2.4489999999999998E-2</v>
      </c>
      <c r="D6698" s="7">
        <v>2.3929999999999996E-2</v>
      </c>
      <c r="E6698" s="7">
        <v>2.4569999999999998E-2</v>
      </c>
      <c r="F6698" s="7">
        <v>2.3809999999999998E-2</v>
      </c>
      <c r="G6698" s="7">
        <v>2.1700000000000001E-2</v>
      </c>
    </row>
    <row r="6699" spans="2:7" x14ac:dyDescent="0.2">
      <c r="B6699" s="60">
        <v>45128</v>
      </c>
      <c r="C6699" s="7">
        <v>2.4279999999999999E-2</v>
      </c>
      <c r="D6699" s="7">
        <v>2.4569999999999998E-2</v>
      </c>
      <c r="E6699" s="7">
        <v>2.4719999999999999E-2</v>
      </c>
      <c r="F6699" s="7">
        <v>2.4150000000000001E-2</v>
      </c>
      <c r="G6699" s="7">
        <v>-8.6E-3</v>
      </c>
    </row>
    <row r="6700" spans="2:7" x14ac:dyDescent="0.2">
      <c r="B6700" s="60">
        <v>45130</v>
      </c>
      <c r="C6700" s="7">
        <v>2.4239999999999998E-2</v>
      </c>
      <c r="D6700" s="7">
        <v>2.4239999999999998E-2</v>
      </c>
      <c r="E6700" s="7">
        <v>2.4239999999999998E-2</v>
      </c>
      <c r="F6700" s="7">
        <v>2.4239999999999998E-2</v>
      </c>
      <c r="G6700" s="7">
        <v>-1.6000000000000001E-3</v>
      </c>
    </row>
    <row r="6701" spans="2:7" x14ac:dyDescent="0.2">
      <c r="B6701" s="60">
        <v>45131</v>
      </c>
      <c r="C6701" s="7">
        <v>2.3879999999999998E-2</v>
      </c>
      <c r="D6701" s="7">
        <v>2.4510000000000001E-2</v>
      </c>
      <c r="E6701" s="7">
        <v>2.46E-2</v>
      </c>
      <c r="F6701" s="7">
        <v>2.3650000000000001E-2</v>
      </c>
      <c r="G6701" s="7">
        <v>-1.49E-2</v>
      </c>
    </row>
    <row r="6702" spans="2:7" x14ac:dyDescent="0.2">
      <c r="B6702" s="60">
        <v>45132</v>
      </c>
      <c r="C6702" s="7">
        <v>2.4009999999999997E-2</v>
      </c>
      <c r="D6702" s="7">
        <v>2.4109999999999999E-2</v>
      </c>
      <c r="E6702" s="7">
        <v>2.4409999999999998E-2</v>
      </c>
      <c r="F6702" s="7">
        <v>2.3969999999999998E-2</v>
      </c>
      <c r="G6702" s="7">
        <v>5.4000000000000003E-3</v>
      </c>
    </row>
    <row r="6703" spans="2:7" x14ac:dyDescent="0.2">
      <c r="B6703" s="60">
        <v>45133</v>
      </c>
      <c r="C6703" s="7">
        <v>2.4540000000000003E-2</v>
      </c>
      <c r="D6703" s="7">
        <v>2.3959999999999999E-2</v>
      </c>
      <c r="E6703" s="7">
        <v>2.4620000000000003E-2</v>
      </c>
      <c r="F6703" s="7">
        <v>2.3959999999999999E-2</v>
      </c>
      <c r="G6703" s="7">
        <v>2.2100000000000002E-2</v>
      </c>
    </row>
    <row r="6704" spans="2:7" x14ac:dyDescent="0.2">
      <c r="B6704" s="60">
        <v>45134</v>
      </c>
      <c r="C6704" s="7">
        <v>2.435E-2</v>
      </c>
      <c r="D6704" s="7">
        <v>2.4249999999999997E-2</v>
      </c>
      <c r="E6704" s="7">
        <v>2.4680000000000001E-2</v>
      </c>
      <c r="F6704" s="7">
        <v>2.3740000000000001E-2</v>
      </c>
      <c r="G6704" s="7">
        <v>-7.7000000000000002E-3</v>
      </c>
    </row>
    <row r="6705" spans="2:7" x14ac:dyDescent="0.2">
      <c r="B6705" s="60">
        <v>45135</v>
      </c>
      <c r="C6705" s="7">
        <v>2.4580000000000001E-2</v>
      </c>
      <c r="D6705" s="7">
        <v>2.4879999999999999E-2</v>
      </c>
      <c r="E6705" s="7">
        <v>2.5539999999999997E-2</v>
      </c>
      <c r="F6705" s="7">
        <v>2.426E-2</v>
      </c>
      <c r="G6705" s="7">
        <v>9.4000000000000004E-3</v>
      </c>
    </row>
    <row r="6706" spans="2:7" x14ac:dyDescent="0.2">
      <c r="B6706" s="60">
        <v>45138</v>
      </c>
      <c r="C6706" s="7">
        <v>2.4649999999999998E-2</v>
      </c>
      <c r="D6706" s="7">
        <v>2.4929999999999997E-2</v>
      </c>
      <c r="E6706" s="7">
        <v>2.503E-2</v>
      </c>
      <c r="F6706" s="7">
        <v>2.4500000000000001E-2</v>
      </c>
      <c r="G6706" s="7">
        <v>2.8E-3</v>
      </c>
    </row>
    <row r="6707" spans="2:7" x14ac:dyDescent="0.2">
      <c r="B6707" s="60">
        <v>45139</v>
      </c>
      <c r="C6707" s="7">
        <v>2.5259999999999998E-2</v>
      </c>
      <c r="D6707" s="7">
        <v>2.4559999999999998E-2</v>
      </c>
      <c r="E6707" s="7">
        <v>2.529E-2</v>
      </c>
      <c r="F6707" s="7">
        <v>2.4479999999999998E-2</v>
      </c>
      <c r="G6707" s="7">
        <v>2.47E-2</v>
      </c>
    </row>
    <row r="6708" spans="2:7" x14ac:dyDescent="0.2">
      <c r="B6708" s="60">
        <v>45140</v>
      </c>
      <c r="C6708" s="7">
        <v>2.5080000000000002E-2</v>
      </c>
      <c r="D6708" s="7">
        <v>2.511E-2</v>
      </c>
      <c r="E6708" s="7">
        <v>2.5230000000000002E-2</v>
      </c>
      <c r="F6708" s="7">
        <v>2.4660000000000001E-2</v>
      </c>
      <c r="G6708" s="7">
        <v>-7.1000000000000004E-3</v>
      </c>
    </row>
    <row r="6709" spans="2:7" x14ac:dyDescent="0.2">
      <c r="B6709" s="60">
        <v>45141</v>
      </c>
      <c r="C6709" s="7">
        <v>2.5520000000000001E-2</v>
      </c>
      <c r="D6709" s="7">
        <v>2.5259999999999998E-2</v>
      </c>
      <c r="E6709" s="7">
        <v>2.5659999999999999E-2</v>
      </c>
      <c r="F6709" s="7">
        <v>2.5080000000000002E-2</v>
      </c>
      <c r="G6709" s="7">
        <v>1.7500000000000002E-2</v>
      </c>
    </row>
    <row r="6710" spans="2:7" x14ac:dyDescent="0.2">
      <c r="B6710" s="60">
        <v>45142</v>
      </c>
      <c r="C6710" s="7">
        <v>2.5409999999999999E-2</v>
      </c>
      <c r="D6710" s="7">
        <v>2.572E-2</v>
      </c>
      <c r="E6710" s="7">
        <v>2.6200000000000001E-2</v>
      </c>
      <c r="F6710" s="7">
        <v>2.5329999999999998E-2</v>
      </c>
      <c r="G6710" s="7">
        <v>-4.3E-3</v>
      </c>
    </row>
    <row r="6711" spans="2:7" x14ac:dyDescent="0.2">
      <c r="B6711" s="60">
        <v>45144</v>
      </c>
      <c r="C6711" s="7">
        <v>2.528E-2</v>
      </c>
      <c r="D6711" s="7">
        <v>2.528E-2</v>
      </c>
      <c r="E6711" s="7">
        <v>2.528E-2</v>
      </c>
      <c r="F6711" s="7">
        <v>2.528E-2</v>
      </c>
      <c r="G6711" s="7">
        <v>-5.1000000000000004E-3</v>
      </c>
    </row>
    <row r="6712" spans="2:7" x14ac:dyDescent="0.2">
      <c r="B6712" s="60">
        <v>45145</v>
      </c>
      <c r="C6712" s="7">
        <v>2.5610000000000001E-2</v>
      </c>
      <c r="D6712" s="7">
        <v>2.511E-2</v>
      </c>
      <c r="E6712" s="7">
        <v>2.605E-2</v>
      </c>
      <c r="F6712" s="7">
        <v>2.511E-2</v>
      </c>
      <c r="G6712" s="7">
        <v>1.3100000000000001E-2</v>
      </c>
    </row>
    <row r="6713" spans="2:7" x14ac:dyDescent="0.2">
      <c r="B6713" s="60">
        <v>45146</v>
      </c>
      <c r="C6713" s="7">
        <v>2.4409999999999998E-2</v>
      </c>
      <c r="D6713" s="7">
        <v>2.5259999999999998E-2</v>
      </c>
      <c r="E6713" s="7">
        <v>2.5360000000000001E-2</v>
      </c>
      <c r="F6713" s="7">
        <v>2.4119999999999999E-2</v>
      </c>
      <c r="G6713" s="7">
        <v>-4.6899999999999997E-2</v>
      </c>
    </row>
    <row r="6714" spans="2:7" x14ac:dyDescent="0.2">
      <c r="B6714" s="60">
        <v>45147</v>
      </c>
      <c r="C6714" s="7">
        <v>2.4670000000000001E-2</v>
      </c>
      <c r="D6714" s="7">
        <v>2.4199999999999999E-2</v>
      </c>
      <c r="E6714" s="7">
        <v>2.4920000000000001E-2</v>
      </c>
      <c r="F6714" s="7">
        <v>2.4199999999999999E-2</v>
      </c>
      <c r="G6714" s="7">
        <v>1.0699999999999999E-2</v>
      </c>
    </row>
    <row r="6715" spans="2:7" x14ac:dyDescent="0.2">
      <c r="B6715" s="60">
        <v>45148</v>
      </c>
      <c r="C6715" s="7">
        <v>2.504E-2</v>
      </c>
      <c r="D6715" s="7">
        <v>2.4940000000000004E-2</v>
      </c>
      <c r="E6715" s="7">
        <v>2.511E-2</v>
      </c>
      <c r="F6715" s="7">
        <v>2.4629999999999999E-2</v>
      </c>
      <c r="G6715" s="7">
        <v>1.4999999999999999E-2</v>
      </c>
    </row>
    <row r="6716" spans="2:7" x14ac:dyDescent="0.2">
      <c r="B6716" s="60">
        <v>45149</v>
      </c>
      <c r="C6716" s="7">
        <v>2.6200000000000001E-2</v>
      </c>
      <c r="D6716" s="7">
        <v>2.597E-2</v>
      </c>
      <c r="E6716" s="7">
        <v>2.6259999999999999E-2</v>
      </c>
      <c r="F6716" s="7">
        <v>2.5559999999999999E-2</v>
      </c>
      <c r="G6716" s="7">
        <v>4.6300000000000001E-2</v>
      </c>
    </row>
    <row r="6717" spans="2:7" x14ac:dyDescent="0.2">
      <c r="B6717" s="60">
        <v>45152</v>
      </c>
      <c r="C6717" s="7">
        <v>2.6380000000000001E-2</v>
      </c>
      <c r="D6717" s="7">
        <v>2.6290000000000001E-2</v>
      </c>
      <c r="E6717" s="7">
        <v>2.6499999999999999E-2</v>
      </c>
      <c r="F6717" s="7">
        <v>2.6009999999999998E-2</v>
      </c>
      <c r="G6717" s="7">
        <v>6.8999999999999999E-3</v>
      </c>
    </row>
    <row r="6718" spans="2:7" x14ac:dyDescent="0.2">
      <c r="B6718" s="60">
        <v>45153</v>
      </c>
      <c r="C6718" s="7">
        <v>2.6779999999999998E-2</v>
      </c>
      <c r="D6718" s="7">
        <v>2.6520000000000002E-2</v>
      </c>
      <c r="E6718" s="7">
        <v>2.7290000000000002E-2</v>
      </c>
      <c r="F6718" s="7">
        <v>2.648E-2</v>
      </c>
      <c r="G6718" s="7">
        <v>1.52E-2</v>
      </c>
    </row>
    <row r="6719" spans="2:7" x14ac:dyDescent="0.2">
      <c r="B6719" s="60">
        <v>45154</v>
      </c>
      <c r="C6719" s="7">
        <v>2.6450000000000001E-2</v>
      </c>
      <c r="D6719" s="7">
        <v>2.6800000000000001E-2</v>
      </c>
      <c r="E6719" s="7">
        <v>2.6800000000000001E-2</v>
      </c>
      <c r="F6719" s="7">
        <v>2.6349999999999998E-2</v>
      </c>
      <c r="G6719" s="7">
        <v>-1.23E-2</v>
      </c>
    </row>
    <row r="6720" spans="2:7" x14ac:dyDescent="0.2">
      <c r="B6720" s="60">
        <v>45155</v>
      </c>
      <c r="C6720" s="7">
        <v>2.7000000000000003E-2</v>
      </c>
      <c r="D6720" s="7">
        <v>2.7130000000000001E-2</v>
      </c>
      <c r="E6720" s="7">
        <v>2.7140000000000001E-2</v>
      </c>
      <c r="F6720" s="7">
        <v>2.6720000000000001E-2</v>
      </c>
      <c r="G6720" s="7">
        <v>2.0799999999999999E-2</v>
      </c>
    </row>
    <row r="6721" spans="2:7" x14ac:dyDescent="0.2">
      <c r="B6721" s="60">
        <v>45156</v>
      </c>
      <c r="C6721" s="7">
        <v>2.6210000000000001E-2</v>
      </c>
      <c r="D6721" s="7">
        <v>2.6840000000000003E-2</v>
      </c>
      <c r="E6721" s="7">
        <v>2.6840000000000003E-2</v>
      </c>
      <c r="F6721" s="7">
        <v>2.5910000000000002E-2</v>
      </c>
      <c r="G6721" s="7">
        <v>-2.93E-2</v>
      </c>
    </row>
    <row r="6722" spans="2:7" x14ac:dyDescent="0.2">
      <c r="B6722" s="60">
        <v>45159</v>
      </c>
      <c r="C6722" s="7">
        <v>2.7069999999999997E-2</v>
      </c>
      <c r="D6722" s="7">
        <v>2.622E-2</v>
      </c>
      <c r="E6722" s="7">
        <v>2.7089999999999999E-2</v>
      </c>
      <c r="F6722" s="7">
        <v>2.622E-2</v>
      </c>
      <c r="G6722" s="7">
        <v>3.2800000000000003E-2</v>
      </c>
    </row>
    <row r="6723" spans="2:7" x14ac:dyDescent="0.2">
      <c r="B6723" s="60">
        <v>45160</v>
      </c>
      <c r="C6723" s="7">
        <v>2.6549999999999997E-2</v>
      </c>
      <c r="D6723" s="7">
        <v>2.691E-2</v>
      </c>
      <c r="E6723" s="7">
        <v>2.7050000000000001E-2</v>
      </c>
      <c r="F6723" s="7">
        <v>2.6509999999999999E-2</v>
      </c>
      <c r="G6723" s="7">
        <v>-1.9199999999999998E-2</v>
      </c>
    </row>
    <row r="6724" spans="2:7" x14ac:dyDescent="0.2">
      <c r="B6724" s="60">
        <v>45161</v>
      </c>
      <c r="C6724" s="7">
        <v>2.5230000000000002E-2</v>
      </c>
      <c r="D6724" s="7">
        <v>2.6409999999999999E-2</v>
      </c>
      <c r="E6724" s="7">
        <v>2.648E-2</v>
      </c>
      <c r="F6724" s="7">
        <v>2.5179999999999998E-2</v>
      </c>
      <c r="G6724" s="7">
        <v>-4.9700000000000001E-2</v>
      </c>
    </row>
    <row r="6725" spans="2:7" x14ac:dyDescent="0.2">
      <c r="B6725" s="60">
        <v>45162</v>
      </c>
      <c r="C6725" s="7">
        <v>2.5219999999999999E-2</v>
      </c>
      <c r="D6725" s="7">
        <v>2.521E-2</v>
      </c>
      <c r="E6725" s="7">
        <v>2.5339999999999998E-2</v>
      </c>
      <c r="F6725" s="7">
        <v>2.4479999999999998E-2</v>
      </c>
      <c r="G6725" s="7">
        <v>-4.0000000000000002E-4</v>
      </c>
    </row>
    <row r="6726" spans="2:7" x14ac:dyDescent="0.2">
      <c r="B6726" s="60">
        <v>45163</v>
      </c>
      <c r="C6726" s="7">
        <v>2.5569999999999999E-2</v>
      </c>
      <c r="D6726" s="7">
        <v>2.513E-2</v>
      </c>
      <c r="E6726" s="7">
        <v>2.579E-2</v>
      </c>
      <c r="F6726" s="7">
        <v>2.513E-2</v>
      </c>
      <c r="G6726" s="7">
        <v>1.3899999999999999E-2</v>
      </c>
    </row>
    <row r="6727" spans="2:7" x14ac:dyDescent="0.2">
      <c r="B6727" s="60">
        <v>45166</v>
      </c>
      <c r="C6727" s="7">
        <v>2.5659999999999999E-2</v>
      </c>
      <c r="D6727" s="7">
        <v>2.5569999999999999E-2</v>
      </c>
      <c r="E6727" s="7">
        <v>2.5950000000000001E-2</v>
      </c>
      <c r="F6727" s="7">
        <v>2.5409999999999999E-2</v>
      </c>
      <c r="G6727" s="7">
        <v>3.5000000000000001E-3</v>
      </c>
    </row>
    <row r="6728" spans="2:7" x14ac:dyDescent="0.2">
      <c r="B6728" s="60">
        <v>45167</v>
      </c>
      <c r="C6728" s="7">
        <v>2.5099999999999997E-2</v>
      </c>
      <c r="D6728" s="7">
        <v>2.5360000000000001E-2</v>
      </c>
      <c r="E6728" s="7">
        <v>2.5760000000000002E-2</v>
      </c>
      <c r="F6728" s="7">
        <v>2.5070000000000002E-2</v>
      </c>
      <c r="G6728" s="7">
        <v>-2.18E-2</v>
      </c>
    </row>
    <row r="6729" spans="2:7" x14ac:dyDescent="0.2">
      <c r="B6729" s="60">
        <v>45168</v>
      </c>
      <c r="C6729" s="7">
        <v>2.5360000000000001E-2</v>
      </c>
      <c r="D6729" s="7">
        <v>2.5270000000000001E-2</v>
      </c>
      <c r="E6729" s="7">
        <v>2.5870000000000001E-2</v>
      </c>
      <c r="F6729" s="7">
        <v>2.5190000000000001E-2</v>
      </c>
      <c r="G6729" s="7">
        <v>1.04E-2</v>
      </c>
    </row>
    <row r="6730" spans="2:7" x14ac:dyDescent="0.2">
      <c r="B6730" s="60">
        <v>45169</v>
      </c>
      <c r="C6730" s="7">
        <v>2.4709999999999999E-2</v>
      </c>
      <c r="D6730" s="7">
        <v>2.5470000000000003E-2</v>
      </c>
      <c r="E6730" s="7">
        <v>2.571E-2</v>
      </c>
      <c r="F6730" s="7">
        <v>2.4550000000000002E-2</v>
      </c>
      <c r="G6730" s="7">
        <v>-2.5600000000000001E-2</v>
      </c>
    </row>
    <row r="6731" spans="2:7" x14ac:dyDescent="0.2">
      <c r="B6731" s="60">
        <v>45170</v>
      </c>
      <c r="C6731" s="7">
        <v>2.5440000000000001E-2</v>
      </c>
      <c r="D6731" s="7">
        <v>2.4760000000000001E-2</v>
      </c>
      <c r="E6731" s="7">
        <v>2.545E-2</v>
      </c>
      <c r="F6731" s="7">
        <v>2.4460000000000003E-2</v>
      </c>
      <c r="G6731" s="7">
        <v>2.9499999999999998E-2</v>
      </c>
    </row>
    <row r="6732" spans="2:7" x14ac:dyDescent="0.2">
      <c r="B6732" s="60">
        <v>45173</v>
      </c>
      <c r="C6732" s="7">
        <v>2.5770000000000001E-2</v>
      </c>
      <c r="D6732" s="7">
        <v>2.5530000000000001E-2</v>
      </c>
      <c r="E6732" s="7">
        <v>2.5840000000000002E-2</v>
      </c>
      <c r="F6732" s="7">
        <v>2.5489999999999999E-2</v>
      </c>
      <c r="G6732" s="7">
        <v>1.2999999999999999E-2</v>
      </c>
    </row>
    <row r="6733" spans="2:7" x14ac:dyDescent="0.2">
      <c r="B6733" s="60">
        <v>45174</v>
      </c>
      <c r="C6733" s="7">
        <v>2.6089999999999999E-2</v>
      </c>
      <c r="D6733" s="7">
        <v>2.581E-2</v>
      </c>
      <c r="E6733" s="7">
        <v>2.6110000000000001E-2</v>
      </c>
      <c r="F6733" s="7">
        <v>2.5739999999999999E-2</v>
      </c>
      <c r="G6733" s="7">
        <v>1.24E-2</v>
      </c>
    </row>
    <row r="6734" spans="2:7" x14ac:dyDescent="0.2">
      <c r="B6734" s="60">
        <v>45175</v>
      </c>
      <c r="C6734" s="7">
        <v>2.6579999999999999E-2</v>
      </c>
      <c r="D6734" s="7">
        <v>2.6009999999999998E-2</v>
      </c>
      <c r="E6734" s="7">
        <v>2.6589999999999999E-2</v>
      </c>
      <c r="F6734" s="7">
        <v>2.5950000000000001E-2</v>
      </c>
      <c r="G6734" s="7">
        <v>1.8800000000000001E-2</v>
      </c>
    </row>
    <row r="6735" spans="2:7" x14ac:dyDescent="0.2">
      <c r="B6735" s="60">
        <v>45176</v>
      </c>
      <c r="C6735" s="7">
        <v>2.6210000000000001E-2</v>
      </c>
      <c r="D6735" s="7">
        <v>2.664E-2</v>
      </c>
      <c r="E6735" s="7">
        <v>2.664E-2</v>
      </c>
      <c r="F6735" s="7">
        <v>2.6099999999999998E-2</v>
      </c>
      <c r="G6735" s="7">
        <v>-1.3899999999999999E-2</v>
      </c>
    </row>
    <row r="6736" spans="2:7" x14ac:dyDescent="0.2">
      <c r="B6736" s="60">
        <v>45177</v>
      </c>
      <c r="C6736" s="7">
        <v>2.598E-2</v>
      </c>
      <c r="D6736" s="7">
        <v>2.5750000000000002E-2</v>
      </c>
      <c r="E6736" s="7">
        <v>2.6239999999999999E-2</v>
      </c>
      <c r="F6736" s="7">
        <v>2.5649999999999999E-2</v>
      </c>
      <c r="G6736" s="7">
        <v>-8.8000000000000005E-3</v>
      </c>
    </row>
    <row r="6737" spans="2:7" x14ac:dyDescent="0.2">
      <c r="B6737" s="60">
        <v>45178</v>
      </c>
      <c r="C6737" s="7">
        <v>2.6084999999999997E-2</v>
      </c>
      <c r="D6737" s="7">
        <v>2.6084999999999997E-2</v>
      </c>
      <c r="E6737" s="7">
        <v>2.6084999999999997E-2</v>
      </c>
      <c r="F6737" s="7">
        <v>2.6084999999999997E-2</v>
      </c>
      <c r="G6737" s="7">
        <v>4.0000000000000001E-3</v>
      </c>
    </row>
    <row r="6738" spans="2:7" x14ac:dyDescent="0.2">
      <c r="B6738" s="60">
        <v>45180</v>
      </c>
      <c r="C6738" s="7">
        <v>2.6360000000000001E-2</v>
      </c>
      <c r="D6738" s="7">
        <v>2.6099999999999998E-2</v>
      </c>
      <c r="E6738" s="7">
        <v>2.6440000000000002E-2</v>
      </c>
      <c r="F6738" s="7">
        <v>2.6099999999999998E-2</v>
      </c>
      <c r="G6738" s="7">
        <v>1.0500000000000001E-2</v>
      </c>
    </row>
    <row r="6739" spans="2:7" x14ac:dyDescent="0.2">
      <c r="B6739" s="60">
        <v>45181</v>
      </c>
      <c r="C6739" s="7">
        <v>2.6419999999999999E-2</v>
      </c>
      <c r="D6739" s="7">
        <v>2.64E-2</v>
      </c>
      <c r="E6739" s="7">
        <v>2.6429999999999999E-2</v>
      </c>
      <c r="F6739" s="7">
        <v>2.6089999999999999E-2</v>
      </c>
      <c r="G6739" s="7">
        <v>2.3E-3</v>
      </c>
    </row>
    <row r="6740" spans="2:7" x14ac:dyDescent="0.2">
      <c r="B6740" s="60">
        <v>45182</v>
      </c>
      <c r="C6740" s="7">
        <v>2.6530000000000001E-2</v>
      </c>
      <c r="D6740" s="7">
        <v>2.6440000000000002E-2</v>
      </c>
      <c r="E6740" s="7">
        <v>2.69E-2</v>
      </c>
      <c r="F6740" s="7">
        <v>2.6409999999999999E-2</v>
      </c>
      <c r="G6740" s="7">
        <v>4.1999999999999997E-3</v>
      </c>
    </row>
    <row r="6741" spans="2:7" x14ac:dyDescent="0.2">
      <c r="B6741" s="60">
        <v>45183</v>
      </c>
      <c r="C6741" s="7">
        <v>2.5950000000000001E-2</v>
      </c>
      <c r="D6741" s="7">
        <v>2.6520000000000002E-2</v>
      </c>
      <c r="E6741" s="7">
        <v>2.6579999999999999E-2</v>
      </c>
      <c r="F6741" s="7">
        <v>2.564E-2</v>
      </c>
      <c r="G6741" s="7">
        <v>-2.1899999999999999E-2</v>
      </c>
    </row>
    <row r="6742" spans="2:7" x14ac:dyDescent="0.2">
      <c r="B6742" s="60">
        <v>45184</v>
      </c>
      <c r="C6742" s="7">
        <v>2.6699999999999998E-2</v>
      </c>
      <c r="D6742" s="7">
        <v>2.5830000000000002E-2</v>
      </c>
      <c r="E6742" s="7">
        <v>2.6779999999999998E-2</v>
      </c>
      <c r="F6742" s="7">
        <v>2.5830000000000002E-2</v>
      </c>
      <c r="G6742" s="7">
        <v>2.8899999999999999E-2</v>
      </c>
    </row>
    <row r="6743" spans="2:7" x14ac:dyDescent="0.2">
      <c r="B6743" s="60">
        <v>45187</v>
      </c>
      <c r="C6743" s="7">
        <v>2.717E-2</v>
      </c>
      <c r="D6743" s="7">
        <v>2.6890000000000001E-2</v>
      </c>
      <c r="E6743" s="7">
        <v>2.7220000000000001E-2</v>
      </c>
      <c r="F6743" s="7">
        <v>2.6770000000000002E-2</v>
      </c>
      <c r="G6743" s="7">
        <v>1.7600000000000001E-2</v>
      </c>
    </row>
    <row r="6744" spans="2:7" x14ac:dyDescent="0.2">
      <c r="B6744" s="60">
        <v>45188</v>
      </c>
      <c r="C6744" s="7">
        <v>2.741E-2</v>
      </c>
      <c r="D6744" s="7">
        <v>2.699E-2</v>
      </c>
      <c r="E6744" s="7">
        <v>2.751E-2</v>
      </c>
      <c r="F6744" s="7">
        <v>2.6920000000000003E-2</v>
      </c>
      <c r="G6744" s="7">
        <v>8.8000000000000005E-3</v>
      </c>
    </row>
    <row r="6745" spans="2:7" x14ac:dyDescent="0.2">
      <c r="B6745" s="60">
        <v>45189</v>
      </c>
      <c r="C6745" s="7">
        <v>2.7040000000000002E-2</v>
      </c>
      <c r="D6745" s="7">
        <v>2.751E-2</v>
      </c>
      <c r="E6745" s="7">
        <v>2.751E-2</v>
      </c>
      <c r="F6745" s="7">
        <v>2.7029999999999998E-2</v>
      </c>
      <c r="G6745" s="7">
        <v>-1.35E-2</v>
      </c>
    </row>
    <row r="6746" spans="2:7" x14ac:dyDescent="0.2">
      <c r="B6746" s="60">
        <v>45190</v>
      </c>
      <c r="C6746" s="7">
        <v>2.7469999999999998E-2</v>
      </c>
      <c r="D6746" s="7">
        <v>2.7519999999999999E-2</v>
      </c>
      <c r="E6746" s="7">
        <v>2.7789999999999999E-2</v>
      </c>
      <c r="F6746" s="7">
        <v>2.7269999999999999E-2</v>
      </c>
      <c r="G6746" s="7">
        <v>1.5900000000000001E-2</v>
      </c>
    </row>
    <row r="6747" spans="2:7" x14ac:dyDescent="0.2">
      <c r="B6747" s="60">
        <v>45191</v>
      </c>
      <c r="C6747" s="7">
        <v>2.7349999999999999E-2</v>
      </c>
      <c r="D6747" s="7">
        <v>2.734E-2</v>
      </c>
      <c r="E6747" s="7">
        <v>2.7660000000000001E-2</v>
      </c>
      <c r="F6747" s="7">
        <v>2.6800000000000001E-2</v>
      </c>
      <c r="G6747" s="7">
        <v>-4.4000000000000003E-3</v>
      </c>
    </row>
    <row r="6748" spans="2:7" x14ac:dyDescent="0.2">
      <c r="B6748" s="60">
        <v>45194</v>
      </c>
      <c r="C6748" s="7">
        <v>2.7890000000000002E-2</v>
      </c>
      <c r="D6748" s="7">
        <v>2.7459999999999998E-2</v>
      </c>
      <c r="E6748" s="7">
        <v>2.811E-2</v>
      </c>
      <c r="F6748" s="7">
        <v>2.743E-2</v>
      </c>
      <c r="G6748" s="7">
        <v>1.9699999999999999E-2</v>
      </c>
    </row>
    <row r="6749" spans="2:7" x14ac:dyDescent="0.2">
      <c r="B6749" s="60">
        <v>45195</v>
      </c>
      <c r="C6749" s="7">
        <v>2.7990000000000001E-2</v>
      </c>
      <c r="D6749" s="7">
        <v>2.8119999999999999E-2</v>
      </c>
      <c r="E6749" s="7">
        <v>2.8210000000000002E-2</v>
      </c>
      <c r="F6749" s="7">
        <v>2.7639999999999998E-2</v>
      </c>
      <c r="G6749" s="7">
        <v>3.5999999999999999E-3</v>
      </c>
    </row>
    <row r="6750" spans="2:7" x14ac:dyDescent="0.2">
      <c r="B6750" s="60">
        <v>45196</v>
      </c>
      <c r="C6750" s="7">
        <v>2.8330000000000001E-2</v>
      </c>
      <c r="D6750" s="7">
        <v>2.8069999999999998E-2</v>
      </c>
      <c r="E6750" s="7">
        <v>2.836E-2</v>
      </c>
      <c r="F6750" s="7">
        <v>2.7719999999999998E-2</v>
      </c>
      <c r="G6750" s="7">
        <v>1.21E-2</v>
      </c>
    </row>
    <row r="6751" spans="2:7" x14ac:dyDescent="0.2">
      <c r="B6751" s="60">
        <v>45197</v>
      </c>
      <c r="C6751" s="7">
        <v>2.9679999999999998E-2</v>
      </c>
      <c r="D6751" s="7">
        <v>2.8340000000000001E-2</v>
      </c>
      <c r="E6751" s="7">
        <v>2.98E-2</v>
      </c>
      <c r="F6751" s="7">
        <v>2.8340000000000001E-2</v>
      </c>
      <c r="G6751" s="7">
        <v>4.7699999999999999E-2</v>
      </c>
    </row>
    <row r="6752" spans="2:7" x14ac:dyDescent="0.2">
      <c r="B6752" s="60">
        <v>45198</v>
      </c>
      <c r="C6752" s="7">
        <v>2.8380000000000002E-2</v>
      </c>
      <c r="D6752" s="7">
        <v>2.9309999999999999E-2</v>
      </c>
      <c r="E6752" s="7">
        <v>2.9309999999999999E-2</v>
      </c>
      <c r="F6752" s="7">
        <v>2.811E-2</v>
      </c>
      <c r="G6752" s="7">
        <v>-4.3799999999999999E-2</v>
      </c>
    </row>
    <row r="6753" spans="2:7" x14ac:dyDescent="0.2">
      <c r="B6753" s="60">
        <v>45201</v>
      </c>
      <c r="C6753" s="7">
        <v>2.912E-2</v>
      </c>
      <c r="D6753" s="7">
        <v>2.8559999999999999E-2</v>
      </c>
      <c r="E6753" s="7">
        <v>2.9169999999999998E-2</v>
      </c>
      <c r="F6753" s="7">
        <v>2.8410000000000001E-2</v>
      </c>
      <c r="G6753" s="7">
        <v>2.6100000000000002E-2</v>
      </c>
    </row>
    <row r="6754" spans="2:7" x14ac:dyDescent="0.2">
      <c r="B6754" s="60">
        <v>45202</v>
      </c>
      <c r="C6754" s="7">
        <v>2.9569999999999999E-2</v>
      </c>
      <c r="D6754" s="7">
        <v>2.9190000000000001E-2</v>
      </c>
      <c r="E6754" s="7">
        <v>2.9609999999999997E-2</v>
      </c>
      <c r="F6754" s="7">
        <v>2.896E-2</v>
      </c>
      <c r="G6754" s="7">
        <v>1.55E-2</v>
      </c>
    </row>
    <row r="6755" spans="2:7" x14ac:dyDescent="0.2">
      <c r="B6755" s="60">
        <v>45203</v>
      </c>
      <c r="C6755" s="7">
        <v>2.9409999999999999E-2</v>
      </c>
      <c r="D6755" s="7">
        <v>3.0059999999999996E-2</v>
      </c>
      <c r="E6755" s="7">
        <v>3.024E-2</v>
      </c>
      <c r="F6755" s="7">
        <v>2.9309999999999999E-2</v>
      </c>
      <c r="G6755" s="7">
        <v>-5.4000000000000003E-3</v>
      </c>
    </row>
    <row r="6756" spans="2:7" x14ac:dyDescent="0.2">
      <c r="B6756" s="60">
        <v>45204</v>
      </c>
      <c r="C6756" s="7">
        <v>2.8820000000000002E-2</v>
      </c>
      <c r="D6756" s="7">
        <v>2.92E-2</v>
      </c>
      <c r="E6756" s="7">
        <v>2.9660000000000002E-2</v>
      </c>
      <c r="F6756" s="7">
        <v>2.8799999999999999E-2</v>
      </c>
      <c r="G6756" s="7">
        <v>-2.01E-2</v>
      </c>
    </row>
    <row r="6757" spans="2:7" x14ac:dyDescent="0.2">
      <c r="B6757" s="60">
        <v>45205</v>
      </c>
      <c r="C6757" s="7">
        <v>2.8849999999999997E-2</v>
      </c>
      <c r="D6757" s="7">
        <v>2.8849999999999997E-2</v>
      </c>
      <c r="E6757" s="7">
        <v>2.954E-2</v>
      </c>
      <c r="F6757" s="7">
        <v>2.8849999999999997E-2</v>
      </c>
      <c r="G6757" s="7">
        <v>1E-3</v>
      </c>
    </row>
    <row r="6758" spans="2:7" x14ac:dyDescent="0.2">
      <c r="B6758" s="60">
        <v>45208</v>
      </c>
      <c r="C6758" s="7">
        <v>2.7629999999999998E-2</v>
      </c>
      <c r="D6758" s="7">
        <v>2.8849999999999997E-2</v>
      </c>
      <c r="E6758" s="7">
        <v>2.8919999999999998E-2</v>
      </c>
      <c r="F6758" s="7">
        <v>2.7629999999999998E-2</v>
      </c>
      <c r="G6758" s="7">
        <v>-4.2299999999999997E-2</v>
      </c>
    </row>
    <row r="6759" spans="2:7" x14ac:dyDescent="0.2">
      <c r="B6759" s="60">
        <v>45209</v>
      </c>
      <c r="C6759" s="7">
        <v>2.7810000000000001E-2</v>
      </c>
      <c r="D6759" s="7">
        <v>2.7690000000000003E-2</v>
      </c>
      <c r="E6759" s="7">
        <v>2.8330000000000001E-2</v>
      </c>
      <c r="F6759" s="7">
        <v>2.759E-2</v>
      </c>
      <c r="G6759" s="7">
        <v>6.4999999999999997E-3</v>
      </c>
    </row>
    <row r="6760" spans="2:7" x14ac:dyDescent="0.2">
      <c r="B6760" s="60">
        <v>45210</v>
      </c>
      <c r="C6760" s="7">
        <v>2.717E-2</v>
      </c>
      <c r="D6760" s="7">
        <v>2.7779999999999999E-2</v>
      </c>
      <c r="E6760" s="7">
        <v>2.7949999999999999E-2</v>
      </c>
      <c r="F6760" s="7">
        <v>2.7029999999999998E-2</v>
      </c>
      <c r="G6760" s="7">
        <v>-2.3E-2</v>
      </c>
    </row>
    <row r="6761" spans="2:7" x14ac:dyDescent="0.2">
      <c r="B6761" s="60">
        <v>45211</v>
      </c>
      <c r="C6761" s="7">
        <v>2.7859999999999999E-2</v>
      </c>
      <c r="D6761" s="7">
        <v>2.7060000000000001E-2</v>
      </c>
      <c r="E6761" s="7">
        <v>2.7869999999999999E-2</v>
      </c>
      <c r="F6761" s="7">
        <v>2.6869999999999998E-2</v>
      </c>
      <c r="G6761" s="7">
        <v>2.5399999999999999E-2</v>
      </c>
    </row>
    <row r="6762" spans="2:7" x14ac:dyDescent="0.2">
      <c r="B6762" s="60">
        <v>45212</v>
      </c>
      <c r="C6762" s="7">
        <v>2.7320000000000001E-2</v>
      </c>
      <c r="D6762" s="7">
        <v>2.793E-2</v>
      </c>
      <c r="E6762" s="7">
        <v>2.793E-2</v>
      </c>
      <c r="F6762" s="7">
        <v>2.7040000000000002E-2</v>
      </c>
      <c r="G6762" s="7">
        <v>-1.9400000000000001E-2</v>
      </c>
    </row>
    <row r="6763" spans="2:7" x14ac:dyDescent="0.2">
      <c r="B6763" s="60">
        <v>45213</v>
      </c>
      <c r="C6763" s="7">
        <v>2.7355000000000001E-2</v>
      </c>
      <c r="D6763" s="7">
        <v>2.7355000000000001E-2</v>
      </c>
      <c r="E6763" s="7">
        <v>2.7355000000000001E-2</v>
      </c>
      <c r="F6763" s="7">
        <v>2.7355000000000001E-2</v>
      </c>
      <c r="G6763" s="7">
        <v>1.2999999999999999E-3</v>
      </c>
    </row>
    <row r="6764" spans="2:7" x14ac:dyDescent="0.2">
      <c r="B6764" s="60">
        <v>45215</v>
      </c>
      <c r="C6764" s="7">
        <v>2.7820000000000001E-2</v>
      </c>
      <c r="D6764" s="7">
        <v>2.743E-2</v>
      </c>
      <c r="E6764" s="7">
        <v>2.7999999999999997E-2</v>
      </c>
      <c r="F6764" s="7">
        <v>2.741E-2</v>
      </c>
      <c r="G6764" s="7">
        <v>1.7000000000000001E-2</v>
      </c>
    </row>
    <row r="6765" spans="2:7" x14ac:dyDescent="0.2">
      <c r="B6765" s="60">
        <v>45216</v>
      </c>
      <c r="C6765" s="7">
        <v>2.8830000000000001E-2</v>
      </c>
      <c r="D6765" s="7">
        <v>2.7949999999999999E-2</v>
      </c>
      <c r="E6765" s="7">
        <v>2.8919999999999998E-2</v>
      </c>
      <c r="F6765" s="7">
        <v>2.7859999999999999E-2</v>
      </c>
      <c r="G6765" s="7">
        <v>3.6299999999999999E-2</v>
      </c>
    </row>
    <row r="6766" spans="2:7" x14ac:dyDescent="0.2">
      <c r="B6766" s="60">
        <v>45217</v>
      </c>
      <c r="C6766" s="7">
        <v>2.9220000000000003E-2</v>
      </c>
      <c r="D6766" s="7">
        <v>2.878E-2</v>
      </c>
      <c r="E6766" s="7">
        <v>2.9309999999999999E-2</v>
      </c>
      <c r="F6766" s="7">
        <v>2.8629999999999999E-2</v>
      </c>
      <c r="G6766" s="7">
        <v>1.35E-2</v>
      </c>
    </row>
    <row r="6767" spans="2:7" x14ac:dyDescent="0.2">
      <c r="B6767" s="60">
        <v>45218</v>
      </c>
      <c r="C6767" s="7">
        <v>2.928E-2</v>
      </c>
      <c r="D6767" s="7">
        <v>2.9289999999999997E-2</v>
      </c>
      <c r="E6767" s="7">
        <v>2.9580000000000002E-2</v>
      </c>
      <c r="F6767" s="7">
        <v>2.9049999999999999E-2</v>
      </c>
      <c r="G6767" s="7">
        <v>2.0999999999999999E-3</v>
      </c>
    </row>
    <row r="6768" spans="2:7" x14ac:dyDescent="0.2">
      <c r="B6768" s="60">
        <v>45219</v>
      </c>
      <c r="C6768" s="7">
        <v>2.8830000000000001E-2</v>
      </c>
      <c r="D6768" s="7">
        <v>2.9089999999999998E-2</v>
      </c>
      <c r="E6768" s="7">
        <v>2.9399999999999999E-2</v>
      </c>
      <c r="F6768" s="7">
        <v>2.879E-2</v>
      </c>
      <c r="G6768" s="7">
        <v>-1.54E-2</v>
      </c>
    </row>
    <row r="6769" spans="2:7" x14ac:dyDescent="0.2">
      <c r="B6769" s="60">
        <v>45222</v>
      </c>
      <c r="C6769" s="7">
        <v>2.8639999999999999E-2</v>
      </c>
      <c r="D6769" s="7">
        <v>2.9190000000000001E-2</v>
      </c>
      <c r="E6769" s="7">
        <v>2.9679999999999998E-2</v>
      </c>
      <c r="F6769" s="7">
        <v>2.8639999999999999E-2</v>
      </c>
      <c r="G6769" s="7">
        <v>-6.6E-3</v>
      </c>
    </row>
    <row r="6770" spans="2:7" x14ac:dyDescent="0.2">
      <c r="B6770" s="60">
        <v>45223</v>
      </c>
      <c r="C6770" s="7">
        <v>2.8330000000000001E-2</v>
      </c>
      <c r="D6770" s="7">
        <v>2.8549999999999999E-2</v>
      </c>
      <c r="E6770" s="7">
        <v>2.8690000000000004E-2</v>
      </c>
      <c r="F6770" s="7">
        <v>2.7810000000000001E-2</v>
      </c>
      <c r="G6770" s="7">
        <v>-1.0800000000000001E-2</v>
      </c>
    </row>
    <row r="6771" spans="2:7" x14ac:dyDescent="0.2">
      <c r="B6771" s="60">
        <v>45224</v>
      </c>
      <c r="C6771" s="7">
        <v>2.8889999999999999E-2</v>
      </c>
      <c r="D6771" s="7">
        <v>2.827E-2</v>
      </c>
      <c r="E6771" s="7">
        <v>2.8900000000000002E-2</v>
      </c>
      <c r="F6771" s="7">
        <v>2.7919999999999997E-2</v>
      </c>
      <c r="G6771" s="7">
        <v>1.9800000000000002E-2</v>
      </c>
    </row>
    <row r="6772" spans="2:7" x14ac:dyDescent="0.2">
      <c r="B6772" s="60">
        <v>45225</v>
      </c>
      <c r="C6772" s="7">
        <v>2.8500000000000001E-2</v>
      </c>
      <c r="D6772" s="7">
        <v>2.9190000000000001E-2</v>
      </c>
      <c r="E6772" s="7">
        <v>2.9289999999999997E-2</v>
      </c>
      <c r="F6772" s="7">
        <v>2.8330000000000001E-2</v>
      </c>
      <c r="G6772" s="7">
        <v>-1.35E-2</v>
      </c>
    </row>
    <row r="6773" spans="2:7" x14ac:dyDescent="0.2">
      <c r="B6773" s="60">
        <v>45226</v>
      </c>
      <c r="C6773" s="7">
        <v>2.8340000000000001E-2</v>
      </c>
      <c r="D6773" s="7">
        <v>2.862E-2</v>
      </c>
      <c r="E6773" s="7">
        <v>2.862E-2</v>
      </c>
      <c r="F6773" s="7">
        <v>2.8199999999999999E-2</v>
      </c>
      <c r="G6773" s="7">
        <v>-5.5999999999999999E-3</v>
      </c>
    </row>
    <row r="6774" spans="2:7" x14ac:dyDescent="0.2">
      <c r="B6774" s="60">
        <v>45229</v>
      </c>
      <c r="C6774" s="7">
        <v>2.827E-2</v>
      </c>
      <c r="D6774" s="7">
        <v>2.7839999999999997E-2</v>
      </c>
      <c r="E6774" s="7">
        <v>2.8510000000000001E-2</v>
      </c>
      <c r="F6774" s="7">
        <v>2.7629999999999998E-2</v>
      </c>
      <c r="G6774" s="7">
        <v>-2.5000000000000001E-3</v>
      </c>
    </row>
    <row r="6775" spans="2:7" x14ac:dyDescent="0.2">
      <c r="B6775" s="60">
        <v>45230</v>
      </c>
      <c r="C6775" s="7">
        <v>2.809E-2</v>
      </c>
      <c r="D6775" s="7">
        <v>2.8159999999999998E-2</v>
      </c>
      <c r="E6775" s="7">
        <v>2.818E-2</v>
      </c>
      <c r="F6775" s="7">
        <v>2.7530000000000002E-2</v>
      </c>
      <c r="G6775" s="7">
        <v>-6.4000000000000003E-3</v>
      </c>
    </row>
    <row r="6776" spans="2:7" x14ac:dyDescent="0.2">
      <c r="B6776" s="60">
        <v>45231</v>
      </c>
      <c r="C6776" s="7">
        <v>2.758E-2</v>
      </c>
      <c r="D6776" s="7">
        <v>2.8410000000000001E-2</v>
      </c>
      <c r="E6776" s="7">
        <v>2.8530000000000003E-2</v>
      </c>
      <c r="F6776" s="7">
        <v>2.7480000000000001E-2</v>
      </c>
      <c r="G6776" s="7">
        <v>-1.8200000000000001E-2</v>
      </c>
    </row>
    <row r="6777" spans="2:7" x14ac:dyDescent="0.2">
      <c r="B6777" s="60">
        <v>45232</v>
      </c>
      <c r="C6777" s="7">
        <v>2.7080000000000003E-2</v>
      </c>
      <c r="D6777" s="7">
        <v>2.7120000000000002E-2</v>
      </c>
      <c r="E6777" s="7">
        <v>2.751E-2</v>
      </c>
      <c r="F6777" s="7">
        <v>2.665E-2</v>
      </c>
      <c r="G6777" s="7">
        <v>-1.8100000000000002E-2</v>
      </c>
    </row>
    <row r="6778" spans="2:7" x14ac:dyDescent="0.2">
      <c r="B6778" s="60">
        <v>45233</v>
      </c>
      <c r="C6778" s="7">
        <v>2.6380000000000001E-2</v>
      </c>
      <c r="D6778" s="7">
        <v>2.7160000000000004E-2</v>
      </c>
      <c r="E6778" s="7">
        <v>2.7309999999999997E-2</v>
      </c>
      <c r="F6778" s="7">
        <v>2.6290000000000001E-2</v>
      </c>
      <c r="G6778" s="7">
        <v>-2.58E-2</v>
      </c>
    </row>
    <row r="6779" spans="2:7" x14ac:dyDescent="0.2">
      <c r="B6779" s="60">
        <v>45236</v>
      </c>
      <c r="C6779" s="7">
        <v>2.7380000000000002E-2</v>
      </c>
      <c r="D6779" s="7">
        <v>2.681E-2</v>
      </c>
      <c r="E6779" s="7">
        <v>2.7389999999999998E-2</v>
      </c>
      <c r="F6779" s="7">
        <v>2.6749999999999999E-2</v>
      </c>
      <c r="G6779" s="7">
        <v>3.7900000000000003E-2</v>
      </c>
    </row>
    <row r="6780" spans="2:7" x14ac:dyDescent="0.2">
      <c r="B6780" s="60">
        <v>45237</v>
      </c>
      <c r="C6780" s="7">
        <v>2.6669999999999999E-2</v>
      </c>
      <c r="D6780" s="7">
        <v>2.7480000000000001E-2</v>
      </c>
      <c r="E6780" s="7">
        <v>2.76E-2</v>
      </c>
      <c r="F6780" s="7">
        <v>2.6589999999999999E-2</v>
      </c>
      <c r="G6780" s="7">
        <v>-2.5899999999999999E-2</v>
      </c>
    </row>
    <row r="6781" spans="2:7" x14ac:dyDescent="0.2">
      <c r="B6781" s="60">
        <v>45238</v>
      </c>
      <c r="C6781" s="7">
        <v>2.614E-2</v>
      </c>
      <c r="D6781" s="7">
        <v>2.666E-2</v>
      </c>
      <c r="E6781" s="7">
        <v>2.6669999999999999E-2</v>
      </c>
      <c r="F6781" s="7">
        <v>2.606E-2</v>
      </c>
      <c r="G6781" s="7">
        <v>-1.9900000000000001E-2</v>
      </c>
    </row>
    <row r="6782" spans="2:7" x14ac:dyDescent="0.2">
      <c r="B6782" s="60">
        <v>45239</v>
      </c>
      <c r="C6782" s="7">
        <v>2.6530000000000001E-2</v>
      </c>
      <c r="D6782" s="7">
        <v>2.614E-2</v>
      </c>
      <c r="E6782" s="7">
        <v>2.664E-2</v>
      </c>
      <c r="F6782" s="7">
        <v>2.6120000000000001E-2</v>
      </c>
      <c r="G6782" s="7">
        <v>1.49E-2</v>
      </c>
    </row>
    <row r="6783" spans="2:7" x14ac:dyDescent="0.2">
      <c r="B6783" s="60">
        <v>45240</v>
      </c>
      <c r="C6783" s="7">
        <v>2.7099999999999999E-2</v>
      </c>
      <c r="D6783" s="7">
        <v>2.7080000000000003E-2</v>
      </c>
      <c r="E6783" s="7">
        <v>2.742E-2</v>
      </c>
      <c r="F6783" s="7">
        <v>2.6800000000000001E-2</v>
      </c>
      <c r="G6783" s="7">
        <v>2.1499999999999998E-2</v>
      </c>
    </row>
    <row r="6784" spans="2:7" x14ac:dyDescent="0.2">
      <c r="B6784" s="60">
        <v>45243</v>
      </c>
      <c r="C6784" s="7">
        <v>2.7200000000000002E-2</v>
      </c>
      <c r="D6784" s="7">
        <v>2.726E-2</v>
      </c>
      <c r="E6784" s="7">
        <v>2.7469999999999998E-2</v>
      </c>
      <c r="F6784" s="7">
        <v>2.6880000000000001E-2</v>
      </c>
      <c r="G6784" s="7">
        <v>3.7000000000000002E-3</v>
      </c>
    </row>
    <row r="6785" spans="2:7" x14ac:dyDescent="0.2">
      <c r="B6785" s="60">
        <v>45244</v>
      </c>
      <c r="C6785" s="7">
        <v>2.6019999999999998E-2</v>
      </c>
      <c r="D6785" s="7">
        <v>2.7069999999999997E-2</v>
      </c>
      <c r="E6785" s="7">
        <v>2.717E-2</v>
      </c>
      <c r="F6785" s="7">
        <v>2.5990000000000003E-2</v>
      </c>
      <c r="G6785" s="7">
        <v>-4.3400000000000001E-2</v>
      </c>
    </row>
    <row r="6786" spans="2:7" x14ac:dyDescent="0.2">
      <c r="B6786" s="60">
        <v>45245</v>
      </c>
      <c r="C6786" s="7">
        <v>2.6309999999999997E-2</v>
      </c>
      <c r="D6786" s="7">
        <v>2.589E-2</v>
      </c>
      <c r="E6786" s="7">
        <v>2.648E-2</v>
      </c>
      <c r="F6786" s="7">
        <v>2.5670000000000002E-2</v>
      </c>
      <c r="G6786" s="7">
        <v>1.11E-2</v>
      </c>
    </row>
    <row r="6787" spans="2:7" x14ac:dyDescent="0.2">
      <c r="B6787" s="60">
        <v>45246</v>
      </c>
      <c r="C6787" s="7">
        <v>2.5849999999999998E-2</v>
      </c>
      <c r="D6787" s="7">
        <v>2.605E-2</v>
      </c>
      <c r="E6787" s="7">
        <v>2.6280000000000001E-2</v>
      </c>
      <c r="F6787" s="7">
        <v>2.5600000000000001E-2</v>
      </c>
      <c r="G6787" s="7">
        <v>-1.7500000000000002E-2</v>
      </c>
    </row>
    <row r="6788" spans="2:7" x14ac:dyDescent="0.2">
      <c r="B6788" s="60">
        <v>45247</v>
      </c>
      <c r="C6788" s="7">
        <v>2.5899999999999999E-2</v>
      </c>
      <c r="D6788" s="7">
        <v>2.588E-2</v>
      </c>
      <c r="E6788" s="7">
        <v>2.5910000000000002E-2</v>
      </c>
      <c r="F6788" s="7">
        <v>2.5169999999999998E-2</v>
      </c>
      <c r="G6788" s="7">
        <v>1.9E-3</v>
      </c>
    </row>
    <row r="6789" spans="2:7" x14ac:dyDescent="0.2">
      <c r="B6789" s="60">
        <v>45248</v>
      </c>
      <c r="C6789" s="7">
        <v>2.5859999999999998E-2</v>
      </c>
      <c r="D6789" s="7">
        <v>2.5859999999999998E-2</v>
      </c>
      <c r="E6789" s="7">
        <v>2.5859999999999998E-2</v>
      </c>
      <c r="F6789" s="7">
        <v>2.5859999999999998E-2</v>
      </c>
      <c r="G6789" s="7">
        <v>-1.5E-3</v>
      </c>
    </row>
    <row r="6790" spans="2:7" x14ac:dyDescent="0.2">
      <c r="B6790" s="60">
        <v>45250</v>
      </c>
      <c r="C6790" s="7">
        <v>2.6150000000000003E-2</v>
      </c>
      <c r="D6790" s="7">
        <v>2.6040000000000001E-2</v>
      </c>
      <c r="E6790" s="7">
        <v>2.6360000000000001E-2</v>
      </c>
      <c r="F6790" s="7">
        <v>2.5870000000000001E-2</v>
      </c>
      <c r="G6790" s="7">
        <v>1.12E-2</v>
      </c>
    </row>
    <row r="6791" spans="2:7" x14ac:dyDescent="0.2">
      <c r="B6791" s="60">
        <v>45251</v>
      </c>
      <c r="C6791" s="7">
        <v>2.5550000000000003E-2</v>
      </c>
      <c r="D6791" s="7">
        <v>2.613E-2</v>
      </c>
      <c r="E6791" s="7">
        <v>2.613E-2</v>
      </c>
      <c r="F6791" s="7">
        <v>2.5470000000000003E-2</v>
      </c>
      <c r="G6791" s="7">
        <v>-2.29E-2</v>
      </c>
    </row>
    <row r="6792" spans="2:7" x14ac:dyDescent="0.2">
      <c r="B6792" s="60">
        <v>45252</v>
      </c>
      <c r="C6792" s="7">
        <v>2.5649999999999999E-2</v>
      </c>
      <c r="D6792" s="7">
        <v>2.571E-2</v>
      </c>
      <c r="E6792" s="7">
        <v>2.596E-2</v>
      </c>
      <c r="F6792" s="7">
        <v>2.5160000000000002E-2</v>
      </c>
      <c r="G6792" s="7">
        <v>3.8999999999999998E-3</v>
      </c>
    </row>
    <row r="6793" spans="2:7" x14ac:dyDescent="0.2">
      <c r="B6793" s="60">
        <v>45253</v>
      </c>
      <c r="C6793" s="7">
        <v>2.6230000000000003E-2</v>
      </c>
      <c r="D6793" s="7">
        <v>2.5550000000000003E-2</v>
      </c>
      <c r="E6793" s="7">
        <v>2.6249999999999999E-2</v>
      </c>
      <c r="F6793" s="7">
        <v>2.5499999999999998E-2</v>
      </c>
      <c r="G6793" s="7">
        <v>2.2599999999999999E-2</v>
      </c>
    </row>
    <row r="6794" spans="2:7" x14ac:dyDescent="0.2">
      <c r="B6794" s="60">
        <v>45254</v>
      </c>
      <c r="C6794" s="7">
        <v>2.6450000000000001E-2</v>
      </c>
      <c r="D6794" s="7">
        <v>2.6339999999999999E-2</v>
      </c>
      <c r="E6794" s="7">
        <v>2.6629999999999997E-2</v>
      </c>
      <c r="F6794" s="7">
        <v>2.6239999999999999E-2</v>
      </c>
      <c r="G6794" s="7">
        <v>8.3999999999999995E-3</v>
      </c>
    </row>
    <row r="6795" spans="2:7" x14ac:dyDescent="0.2">
      <c r="B6795" s="60">
        <v>45257</v>
      </c>
      <c r="C6795" s="7">
        <v>2.5550000000000003E-2</v>
      </c>
      <c r="D6795" s="7">
        <v>2.6450000000000001E-2</v>
      </c>
      <c r="E6795" s="7">
        <v>2.649E-2</v>
      </c>
      <c r="F6795" s="7">
        <v>2.5479999999999999E-2</v>
      </c>
      <c r="G6795" s="7">
        <v>-3.4000000000000002E-2</v>
      </c>
    </row>
    <row r="6796" spans="2:7" x14ac:dyDescent="0.2">
      <c r="B6796" s="60">
        <v>45258</v>
      </c>
      <c r="C6796" s="7">
        <v>2.495E-2</v>
      </c>
      <c r="D6796" s="7">
        <v>2.5419999999999998E-2</v>
      </c>
      <c r="E6796" s="7">
        <v>2.5680000000000001E-2</v>
      </c>
      <c r="F6796" s="7">
        <v>2.4879999999999999E-2</v>
      </c>
      <c r="G6796" s="7">
        <v>-2.35E-2</v>
      </c>
    </row>
    <row r="6797" spans="2:7" x14ac:dyDescent="0.2">
      <c r="B6797" s="60">
        <v>45259</v>
      </c>
      <c r="C6797" s="7">
        <v>2.4239999999999998E-2</v>
      </c>
      <c r="D6797" s="7">
        <v>2.444E-2</v>
      </c>
      <c r="E6797" s="7">
        <v>2.4680000000000001E-2</v>
      </c>
      <c r="F6797" s="7">
        <v>2.4109999999999999E-2</v>
      </c>
      <c r="G6797" s="7">
        <v>-2.8500000000000001E-2</v>
      </c>
    </row>
    <row r="6798" spans="2:7" x14ac:dyDescent="0.2">
      <c r="B6798" s="60">
        <v>45260</v>
      </c>
      <c r="C6798" s="7">
        <v>2.4489999999999998E-2</v>
      </c>
      <c r="D6798" s="7">
        <v>2.4300000000000002E-2</v>
      </c>
      <c r="E6798" s="7">
        <v>2.4889999999999999E-2</v>
      </c>
      <c r="F6798" s="7">
        <v>2.3940000000000003E-2</v>
      </c>
      <c r="G6798" s="7">
        <v>1.03E-2</v>
      </c>
    </row>
    <row r="6799" spans="2:7" x14ac:dyDescent="0.2">
      <c r="B6799" s="60">
        <v>45261</v>
      </c>
      <c r="C6799" s="7">
        <v>2.3610000000000003E-2</v>
      </c>
      <c r="D6799" s="7">
        <v>2.4590000000000001E-2</v>
      </c>
      <c r="E6799" s="7">
        <v>2.461E-2</v>
      </c>
      <c r="F6799" s="7">
        <v>2.3610000000000003E-2</v>
      </c>
      <c r="G6799" s="7">
        <v>-3.5900000000000001E-2</v>
      </c>
    </row>
    <row r="6800" spans="2:7" x14ac:dyDescent="0.2">
      <c r="B6800" s="60">
        <v>45264</v>
      </c>
      <c r="C6800" s="7">
        <v>2.35E-2</v>
      </c>
      <c r="D6800" s="7">
        <v>2.3700000000000002E-2</v>
      </c>
      <c r="E6800" s="7">
        <v>2.383E-2</v>
      </c>
      <c r="F6800" s="7">
        <v>2.3130000000000001E-2</v>
      </c>
      <c r="G6800" s="7">
        <v>-4.7000000000000002E-3</v>
      </c>
    </row>
    <row r="6801" spans="2:7" x14ac:dyDescent="0.2">
      <c r="B6801" s="60">
        <v>45265</v>
      </c>
      <c r="C6801" s="7">
        <v>2.2380000000000001E-2</v>
      </c>
      <c r="D6801" s="7">
        <v>2.2890000000000001E-2</v>
      </c>
      <c r="E6801" s="7">
        <v>2.3239999999999997E-2</v>
      </c>
      <c r="F6801" s="7">
        <v>2.2360000000000001E-2</v>
      </c>
      <c r="G6801" s="7">
        <v>-4.7699999999999999E-2</v>
      </c>
    </row>
    <row r="6802" spans="2:7" x14ac:dyDescent="0.2">
      <c r="B6802" s="60">
        <v>45266</v>
      </c>
      <c r="C6802" s="7">
        <v>2.213E-2</v>
      </c>
      <c r="D6802" s="7">
        <v>2.2589999999999999E-2</v>
      </c>
      <c r="E6802" s="7">
        <v>2.2789999999999998E-2</v>
      </c>
      <c r="F6802" s="7">
        <v>2.2029999999999998E-2</v>
      </c>
      <c r="G6802" s="7">
        <v>-1.12E-2</v>
      </c>
    </row>
    <row r="6803" spans="2:7" x14ac:dyDescent="0.2">
      <c r="B6803" s="60">
        <v>45267</v>
      </c>
      <c r="C6803" s="7">
        <v>2.197E-2</v>
      </c>
      <c r="D6803" s="7">
        <v>2.2000000000000002E-2</v>
      </c>
      <c r="E6803" s="7">
        <v>2.2349999999999998E-2</v>
      </c>
      <c r="F6803" s="7">
        <v>2.1659999999999999E-2</v>
      </c>
      <c r="G6803" s="7">
        <v>-7.1999999999999998E-3</v>
      </c>
    </row>
    <row r="6804" spans="2:7" x14ac:dyDescent="0.2">
      <c r="B6804" s="60">
        <v>45268</v>
      </c>
      <c r="C6804" s="7">
        <v>2.2679999999999999E-2</v>
      </c>
      <c r="D6804" s="7">
        <v>2.2010000000000002E-2</v>
      </c>
      <c r="E6804" s="7">
        <v>2.2860000000000002E-2</v>
      </c>
      <c r="F6804" s="7">
        <v>2.196E-2</v>
      </c>
      <c r="G6804" s="7">
        <v>3.2300000000000002E-2</v>
      </c>
    </row>
    <row r="6805" spans="2:7" x14ac:dyDescent="0.2">
      <c r="B6805" s="60">
        <v>45271</v>
      </c>
      <c r="C6805" s="7">
        <v>2.2629999999999997E-2</v>
      </c>
      <c r="D6805" s="7">
        <v>2.273E-2</v>
      </c>
      <c r="E6805" s="7">
        <v>2.2770000000000002E-2</v>
      </c>
      <c r="F6805" s="7">
        <v>2.2460000000000001E-2</v>
      </c>
      <c r="G6805" s="7">
        <v>-2.2000000000000001E-3</v>
      </c>
    </row>
    <row r="6806" spans="2:7" x14ac:dyDescent="0.2">
      <c r="B6806" s="60">
        <v>45272</v>
      </c>
      <c r="C6806" s="7">
        <v>2.23E-2</v>
      </c>
      <c r="D6806" s="7">
        <v>2.231E-2</v>
      </c>
      <c r="E6806" s="7">
        <v>2.2429999999999999E-2</v>
      </c>
      <c r="F6806" s="7">
        <v>2.1949999999999997E-2</v>
      </c>
      <c r="G6806" s="7">
        <v>-1.46E-2</v>
      </c>
    </row>
    <row r="6807" spans="2:7" x14ac:dyDescent="0.2">
      <c r="B6807" s="60">
        <v>45273</v>
      </c>
      <c r="C6807" s="7">
        <v>2.1680000000000001E-2</v>
      </c>
      <c r="D6807" s="7">
        <v>2.223E-2</v>
      </c>
      <c r="E6807" s="7">
        <v>2.2280000000000001E-2</v>
      </c>
      <c r="F6807" s="7">
        <v>2.1680000000000001E-2</v>
      </c>
      <c r="G6807" s="7">
        <v>-2.7799999999999998E-2</v>
      </c>
    </row>
    <row r="6808" spans="2:7" x14ac:dyDescent="0.2">
      <c r="B6808" s="60">
        <v>45274</v>
      </c>
      <c r="C6808" s="7">
        <v>2.1259999999999998E-2</v>
      </c>
      <c r="D6808" s="7">
        <v>2.0720000000000002E-2</v>
      </c>
      <c r="E6808" s="7">
        <v>2.1509999999999998E-2</v>
      </c>
      <c r="F6808" s="7">
        <v>2.0289999999999999E-2</v>
      </c>
      <c r="G6808" s="7">
        <v>-1.9400000000000001E-2</v>
      </c>
    </row>
    <row r="6809" spans="2:7" x14ac:dyDescent="0.2">
      <c r="B6809" s="60">
        <v>45275</v>
      </c>
      <c r="C6809" s="7">
        <v>2.0129999999999999E-2</v>
      </c>
      <c r="D6809" s="7">
        <v>2.1269999999999997E-2</v>
      </c>
      <c r="E6809" s="7">
        <v>2.1409999999999998E-2</v>
      </c>
      <c r="F6809" s="7">
        <v>2.0119999999999999E-2</v>
      </c>
      <c r="G6809" s="7">
        <v>-5.3199999999999997E-2</v>
      </c>
    </row>
    <row r="6810" spans="2:7" x14ac:dyDescent="0.2">
      <c r="B6810" s="60">
        <v>45278</v>
      </c>
      <c r="C6810" s="7">
        <v>2.0739999999999998E-2</v>
      </c>
      <c r="D6810" s="7">
        <v>2.035E-2</v>
      </c>
      <c r="E6810" s="7">
        <v>2.0840000000000001E-2</v>
      </c>
      <c r="F6810" s="7">
        <v>2.009E-2</v>
      </c>
      <c r="G6810" s="7">
        <v>3.0300000000000001E-2</v>
      </c>
    </row>
    <row r="6811" spans="2:7" x14ac:dyDescent="0.2">
      <c r="B6811" s="60">
        <v>45279</v>
      </c>
      <c r="C6811" s="7">
        <v>2.0160000000000001E-2</v>
      </c>
      <c r="D6811" s="7">
        <v>2.0419999999999997E-2</v>
      </c>
      <c r="E6811" s="7">
        <v>2.0449999999999999E-2</v>
      </c>
      <c r="F6811" s="7">
        <v>2.009E-2</v>
      </c>
      <c r="G6811" s="7">
        <v>-2.8000000000000001E-2</v>
      </c>
    </row>
    <row r="6812" spans="2:7" x14ac:dyDescent="0.2">
      <c r="B6812" s="60">
        <v>45280</v>
      </c>
      <c r="C6812" s="7">
        <v>1.9779999999999999E-2</v>
      </c>
      <c r="D6812" s="7">
        <v>1.9980000000000001E-2</v>
      </c>
      <c r="E6812" s="7">
        <v>2.0030000000000003E-2</v>
      </c>
      <c r="F6812" s="7">
        <v>1.9539999999999998E-2</v>
      </c>
      <c r="G6812" s="7">
        <v>-1.8800000000000001E-2</v>
      </c>
    </row>
    <row r="6813" spans="2:7" x14ac:dyDescent="0.2">
      <c r="B6813" s="60">
        <v>45281</v>
      </c>
      <c r="C6813" s="7">
        <v>1.9539999999999998E-2</v>
      </c>
      <c r="D6813" s="7">
        <v>1.9769999999999999E-2</v>
      </c>
      <c r="E6813" s="7">
        <v>1.9890000000000001E-2</v>
      </c>
      <c r="F6813" s="7">
        <v>1.9400000000000001E-2</v>
      </c>
      <c r="G6813" s="7">
        <v>-1.21E-2</v>
      </c>
    </row>
    <row r="6814" spans="2:7" x14ac:dyDescent="0.2">
      <c r="B6814" s="60">
        <v>45282</v>
      </c>
      <c r="C6814" s="7">
        <v>1.9689999999999999E-2</v>
      </c>
      <c r="D6814" s="7">
        <v>1.983E-2</v>
      </c>
      <c r="E6814" s="7">
        <v>1.9890000000000001E-2</v>
      </c>
      <c r="F6814" s="7">
        <v>1.949E-2</v>
      </c>
      <c r="G6814" s="7">
        <v>7.7000000000000002E-3</v>
      </c>
    </row>
    <row r="6815" spans="2:7" x14ac:dyDescent="0.2">
      <c r="B6815" s="60">
        <v>45285</v>
      </c>
      <c r="C6815" s="7">
        <v>1.9744999999999999E-2</v>
      </c>
      <c r="D6815" s="7">
        <v>1.983E-2</v>
      </c>
      <c r="E6815" s="7">
        <v>1.9744999999999999E-2</v>
      </c>
      <c r="F6815" s="7">
        <v>1.9699999999999999E-2</v>
      </c>
      <c r="G6815" s="7">
        <v>2.8E-3</v>
      </c>
    </row>
    <row r="6816" spans="2:7" x14ac:dyDescent="0.2">
      <c r="B6816" s="60">
        <v>45286</v>
      </c>
      <c r="C6816" s="7">
        <v>1.9775000000000001E-2</v>
      </c>
      <c r="D6816" s="7">
        <v>1.983E-2</v>
      </c>
      <c r="E6816" s="7">
        <v>1.9775000000000001E-2</v>
      </c>
      <c r="F6816" s="7">
        <v>1.9775000000000001E-2</v>
      </c>
      <c r="G6816" s="7">
        <v>1.5E-3</v>
      </c>
    </row>
    <row r="6817" spans="2:7" x14ac:dyDescent="0.2">
      <c r="B6817" s="60">
        <v>45287</v>
      </c>
      <c r="C6817" s="7">
        <v>1.9E-2</v>
      </c>
      <c r="D6817" s="7">
        <v>1.9599999999999999E-2</v>
      </c>
      <c r="E6817" s="7">
        <v>1.9720000000000001E-2</v>
      </c>
      <c r="F6817" s="7">
        <v>1.898E-2</v>
      </c>
      <c r="G6817" s="7">
        <v>-3.9199999999999999E-2</v>
      </c>
    </row>
    <row r="6818" spans="2:7" x14ac:dyDescent="0.2">
      <c r="B6818" s="60">
        <v>45288</v>
      </c>
      <c r="C6818" s="7">
        <v>1.941E-2</v>
      </c>
      <c r="D6818" s="7">
        <v>1.907E-2</v>
      </c>
      <c r="E6818" s="7">
        <v>1.9539999999999998E-2</v>
      </c>
      <c r="F6818" s="7">
        <v>1.8959999999999998E-2</v>
      </c>
      <c r="G6818" s="7">
        <v>2.1600000000000001E-2</v>
      </c>
    </row>
    <row r="6819" spans="2:7" x14ac:dyDescent="0.2">
      <c r="B6819" s="60">
        <v>45289</v>
      </c>
      <c r="C6819" s="7">
        <v>2.0279999999999999E-2</v>
      </c>
      <c r="D6819" s="7">
        <v>1.9459999999999998E-2</v>
      </c>
      <c r="E6819" s="7">
        <v>2.0339999999999997E-2</v>
      </c>
      <c r="F6819" s="7">
        <v>1.9259999999999999E-2</v>
      </c>
      <c r="G6819" s="7">
        <v>4.48E-2</v>
      </c>
    </row>
    <row r="6820" spans="2:7" x14ac:dyDescent="0.2">
      <c r="B6820" s="60">
        <v>45292</v>
      </c>
      <c r="C6820" s="7">
        <v>2.0205000000000001E-2</v>
      </c>
      <c r="D6820" s="7">
        <v>1.9459999999999998E-2</v>
      </c>
      <c r="E6820" s="7">
        <v>2.0205000000000001E-2</v>
      </c>
      <c r="F6820" s="7">
        <v>2.017E-2</v>
      </c>
      <c r="G6820" s="7">
        <v>-3.7000000000000002E-3</v>
      </c>
    </row>
    <row r="6821" spans="2:7" x14ac:dyDescent="0.2">
      <c r="B6821" s="60">
        <v>45293</v>
      </c>
      <c r="C6821" s="7">
        <v>2.0670000000000001E-2</v>
      </c>
      <c r="D6821" s="7">
        <v>2.068E-2</v>
      </c>
      <c r="E6821" s="7">
        <v>2.1099999999999997E-2</v>
      </c>
      <c r="F6821" s="7">
        <v>2.0449999999999999E-2</v>
      </c>
      <c r="G6821" s="7">
        <v>2.3E-2</v>
      </c>
    </row>
    <row r="6822" spans="2:7" x14ac:dyDescent="0.2">
      <c r="B6822" s="60">
        <v>45294</v>
      </c>
      <c r="C6822" s="7">
        <v>2.017E-2</v>
      </c>
      <c r="D6822" s="7">
        <v>2.077E-2</v>
      </c>
      <c r="E6822" s="7">
        <v>2.1049999999999999E-2</v>
      </c>
      <c r="F6822" s="7">
        <v>2.0139999999999998E-2</v>
      </c>
      <c r="G6822" s="7">
        <v>-2.4199999999999999E-2</v>
      </c>
    </row>
    <row r="6823" spans="2:7" x14ac:dyDescent="0.2">
      <c r="B6823" s="60">
        <v>45295</v>
      </c>
      <c r="C6823" s="7">
        <v>2.104E-2</v>
      </c>
      <c r="D6823" s="7">
        <v>1.993E-2</v>
      </c>
      <c r="E6823" s="7">
        <v>2.1400000000000002E-2</v>
      </c>
      <c r="F6823" s="7">
        <v>1.975E-2</v>
      </c>
      <c r="G6823" s="7">
        <v>4.3099999999999999E-2</v>
      </c>
    </row>
    <row r="6824" spans="2:7" x14ac:dyDescent="0.2">
      <c r="B6824" s="60">
        <v>45296</v>
      </c>
      <c r="C6824" s="7">
        <v>2.1429999999999998E-2</v>
      </c>
      <c r="D6824" s="7">
        <v>2.1250000000000002E-2</v>
      </c>
      <c r="E6824" s="7">
        <v>2.2109999999999998E-2</v>
      </c>
      <c r="F6824" s="7">
        <v>2.1179999999999997E-2</v>
      </c>
      <c r="G6824" s="7">
        <v>1.8499999999999999E-2</v>
      </c>
    </row>
    <row r="6825" spans="2:7" x14ac:dyDescent="0.2">
      <c r="B6825" s="60">
        <v>45299</v>
      </c>
      <c r="C6825" s="7">
        <v>2.1230000000000002E-2</v>
      </c>
      <c r="D6825" s="7">
        <v>2.1560000000000003E-2</v>
      </c>
      <c r="E6825" s="7">
        <v>2.2080000000000002E-2</v>
      </c>
      <c r="F6825" s="7">
        <v>2.12E-2</v>
      </c>
      <c r="G6825" s="7">
        <v>-9.2999999999999992E-3</v>
      </c>
    </row>
    <row r="6826" spans="2:7" x14ac:dyDescent="0.2">
      <c r="B6826" s="60">
        <v>45300</v>
      </c>
      <c r="C6826" s="7">
        <v>2.189E-2</v>
      </c>
      <c r="D6826" s="7">
        <v>2.137E-2</v>
      </c>
      <c r="E6826" s="7">
        <v>2.1989999999999999E-2</v>
      </c>
      <c r="F6826" s="7">
        <v>2.137E-2</v>
      </c>
      <c r="G6826" s="7">
        <v>3.1099999999999999E-2</v>
      </c>
    </row>
    <row r="6827" spans="2:7" x14ac:dyDescent="0.2">
      <c r="B6827" s="60">
        <v>45301</v>
      </c>
      <c r="C6827" s="7">
        <v>2.213E-2</v>
      </c>
      <c r="D6827" s="7">
        <v>2.1949999999999997E-2</v>
      </c>
      <c r="E6827" s="7">
        <v>2.214E-2</v>
      </c>
      <c r="F6827" s="7">
        <v>2.1600000000000001E-2</v>
      </c>
      <c r="G6827" s="7">
        <v>1.0999999999999999E-2</v>
      </c>
    </row>
    <row r="6828" spans="2:7" x14ac:dyDescent="0.2">
      <c r="B6828" s="60">
        <v>45302</v>
      </c>
      <c r="C6828" s="7">
        <v>2.2069999999999999E-2</v>
      </c>
      <c r="D6828" s="7">
        <v>2.2099999999999998E-2</v>
      </c>
      <c r="E6828" s="7">
        <v>2.2250000000000002E-2</v>
      </c>
      <c r="F6828" s="7">
        <v>2.1649999999999999E-2</v>
      </c>
      <c r="G6828" s="7">
        <v>-2.7000000000000001E-3</v>
      </c>
    </row>
    <row r="6829" spans="2:7" x14ac:dyDescent="0.2">
      <c r="B6829" s="60">
        <v>45303</v>
      </c>
      <c r="C6829" s="7">
        <v>2.1429999999999998E-2</v>
      </c>
      <c r="D6829" s="7">
        <v>2.1600000000000001E-2</v>
      </c>
      <c r="E6829" s="7">
        <v>2.1869999999999997E-2</v>
      </c>
      <c r="F6829" s="7">
        <v>2.1309999999999999E-2</v>
      </c>
      <c r="G6829" s="7">
        <v>-2.9000000000000001E-2</v>
      </c>
    </row>
    <row r="6830" spans="2:7" x14ac:dyDescent="0.2">
      <c r="B6830" s="60">
        <v>45306</v>
      </c>
      <c r="C6830" s="7">
        <v>2.1989999999999999E-2</v>
      </c>
      <c r="D6830" s="7">
        <v>2.1499999999999998E-2</v>
      </c>
      <c r="E6830" s="7">
        <v>2.2179999999999998E-2</v>
      </c>
      <c r="F6830" s="7">
        <v>2.1499999999999998E-2</v>
      </c>
      <c r="G6830" s="7">
        <v>2.6100000000000002E-2</v>
      </c>
    </row>
    <row r="6831" spans="2:7" x14ac:dyDescent="0.2">
      <c r="B6831" s="60">
        <v>45307</v>
      </c>
      <c r="C6831" s="7">
        <v>2.2160000000000003E-2</v>
      </c>
      <c r="D6831" s="7">
        <v>2.1920000000000002E-2</v>
      </c>
      <c r="E6831" s="7">
        <v>2.2259999999999999E-2</v>
      </c>
      <c r="F6831" s="7">
        <v>2.1739999999999999E-2</v>
      </c>
      <c r="G6831" s="7">
        <v>7.7000000000000002E-3</v>
      </c>
    </row>
    <row r="6832" spans="2:7" x14ac:dyDescent="0.2">
      <c r="B6832" s="60">
        <v>45308</v>
      </c>
      <c r="C6832" s="7">
        <v>2.274E-2</v>
      </c>
      <c r="D6832" s="7">
        <v>2.2509999999999999E-2</v>
      </c>
      <c r="E6832" s="7">
        <v>2.2930000000000002E-2</v>
      </c>
      <c r="F6832" s="7">
        <v>2.223E-2</v>
      </c>
      <c r="G6832" s="7">
        <v>2.6200000000000001E-2</v>
      </c>
    </row>
    <row r="6833" spans="2:7" x14ac:dyDescent="0.2">
      <c r="B6833" s="60">
        <v>45309</v>
      </c>
      <c r="C6833" s="7">
        <v>2.307E-2</v>
      </c>
      <c r="D6833" s="7">
        <v>2.2770000000000002E-2</v>
      </c>
      <c r="E6833" s="7">
        <v>2.3119999999999998E-2</v>
      </c>
      <c r="F6833" s="7">
        <v>2.2629999999999997E-2</v>
      </c>
      <c r="G6833" s="7">
        <v>1.4500000000000001E-2</v>
      </c>
    </row>
    <row r="6834" spans="2:7" x14ac:dyDescent="0.2">
      <c r="B6834" s="60">
        <v>45310</v>
      </c>
      <c r="C6834" s="7">
        <v>2.3039999999999998E-2</v>
      </c>
      <c r="D6834" s="7">
        <v>2.3220000000000001E-2</v>
      </c>
      <c r="E6834" s="7">
        <v>2.3259999999999999E-2</v>
      </c>
      <c r="F6834" s="7">
        <v>2.2770000000000002E-2</v>
      </c>
      <c r="G6834" s="7">
        <v>-1.2999999999999999E-3</v>
      </c>
    </row>
    <row r="6835" spans="2:7" x14ac:dyDescent="0.2">
      <c r="B6835" s="60">
        <v>45313</v>
      </c>
      <c r="C6835" s="7">
        <v>2.2589999999999999E-2</v>
      </c>
      <c r="D6835" s="7">
        <v>2.273E-2</v>
      </c>
      <c r="E6835" s="7">
        <v>2.2869999999999998E-2</v>
      </c>
      <c r="F6835" s="7">
        <v>2.2440000000000002E-2</v>
      </c>
      <c r="G6835" s="7">
        <v>-1.95E-2</v>
      </c>
    </row>
    <row r="6836" spans="2:7" x14ac:dyDescent="0.2">
      <c r="B6836" s="60">
        <v>45314</v>
      </c>
      <c r="C6836" s="7">
        <v>2.349E-2</v>
      </c>
      <c r="D6836" s="7">
        <v>2.298E-2</v>
      </c>
      <c r="E6836" s="7">
        <v>2.35E-2</v>
      </c>
      <c r="F6836" s="7">
        <v>2.2930000000000002E-2</v>
      </c>
      <c r="G6836" s="7">
        <v>3.9800000000000002E-2</v>
      </c>
    </row>
    <row r="6837" spans="2:7" x14ac:dyDescent="0.2">
      <c r="B6837" s="60">
        <v>45315</v>
      </c>
      <c r="C6837" s="7">
        <v>2.334E-2</v>
      </c>
      <c r="D6837" s="7">
        <v>2.3239999999999997E-2</v>
      </c>
      <c r="E6837" s="7">
        <v>2.3399999999999997E-2</v>
      </c>
      <c r="F6837" s="7">
        <v>2.2940000000000002E-2</v>
      </c>
      <c r="G6837" s="7">
        <v>-6.4000000000000003E-3</v>
      </c>
    </row>
    <row r="6838" spans="2:7" x14ac:dyDescent="0.2">
      <c r="B6838" s="60">
        <v>45316</v>
      </c>
      <c r="C6838" s="7">
        <v>2.283E-2</v>
      </c>
      <c r="D6838" s="7">
        <v>2.3519999999999999E-2</v>
      </c>
      <c r="E6838" s="7">
        <v>2.3709999999999998E-2</v>
      </c>
      <c r="F6838" s="7">
        <v>2.2789999999999998E-2</v>
      </c>
      <c r="G6838" s="7">
        <v>-2.1899999999999999E-2</v>
      </c>
    </row>
    <row r="6839" spans="2:7" x14ac:dyDescent="0.2">
      <c r="B6839" s="60">
        <v>45317</v>
      </c>
      <c r="C6839" s="7">
        <v>2.2970000000000001E-2</v>
      </c>
      <c r="D6839" s="7">
        <v>2.2509999999999999E-2</v>
      </c>
      <c r="E6839" s="7">
        <v>2.3140000000000001E-2</v>
      </c>
      <c r="F6839" s="7">
        <v>2.2370000000000001E-2</v>
      </c>
      <c r="G6839" s="7">
        <v>6.1000000000000004E-3</v>
      </c>
    </row>
    <row r="6840" spans="2:7" x14ac:dyDescent="0.2">
      <c r="B6840" s="60">
        <v>45320</v>
      </c>
      <c r="C6840" s="7">
        <v>2.239E-2</v>
      </c>
      <c r="D6840" s="7">
        <v>2.266E-2</v>
      </c>
      <c r="E6840" s="7">
        <v>2.2709999999999998E-2</v>
      </c>
      <c r="F6840" s="7">
        <v>2.2280000000000001E-2</v>
      </c>
      <c r="G6840" s="7">
        <v>-2.53E-2</v>
      </c>
    </row>
    <row r="6841" spans="2:7" x14ac:dyDescent="0.2">
      <c r="B6841" s="60">
        <v>45321</v>
      </c>
      <c r="C6841" s="7">
        <v>2.273E-2</v>
      </c>
      <c r="D6841" s="7">
        <v>2.2349999999999998E-2</v>
      </c>
      <c r="E6841" s="7">
        <v>2.2930000000000002E-2</v>
      </c>
      <c r="F6841" s="7">
        <v>2.198E-2</v>
      </c>
      <c r="G6841" s="7">
        <v>1.52E-2</v>
      </c>
    </row>
    <row r="6842" spans="2:7" x14ac:dyDescent="0.2">
      <c r="B6842" s="60">
        <v>45322</v>
      </c>
      <c r="C6842" s="7">
        <v>2.1610000000000001E-2</v>
      </c>
      <c r="D6842" s="7">
        <v>2.2700000000000001E-2</v>
      </c>
      <c r="E6842" s="7">
        <v>2.2700000000000001E-2</v>
      </c>
      <c r="F6842" s="7">
        <v>2.154E-2</v>
      </c>
      <c r="G6842" s="7">
        <v>-4.9299999999999997E-2</v>
      </c>
    </row>
    <row r="6843" spans="2:7" x14ac:dyDescent="0.2">
      <c r="B6843" s="60">
        <v>45323</v>
      </c>
      <c r="C6843" s="7">
        <v>2.138E-2</v>
      </c>
      <c r="D6843" s="7">
        <v>2.1850000000000001E-2</v>
      </c>
      <c r="E6843" s="7">
        <v>2.2170000000000002E-2</v>
      </c>
      <c r="F6843" s="7">
        <v>2.1190000000000001E-2</v>
      </c>
      <c r="G6843" s="7">
        <v>-1.06E-2</v>
      </c>
    </row>
    <row r="6844" spans="2:7" x14ac:dyDescent="0.2">
      <c r="B6844" s="60">
        <v>45324</v>
      </c>
      <c r="C6844" s="7">
        <v>2.2290000000000001E-2</v>
      </c>
      <c r="D6844" s="7">
        <v>2.1739999999999999E-2</v>
      </c>
      <c r="E6844" s="7">
        <v>2.247E-2</v>
      </c>
      <c r="F6844" s="7">
        <v>2.1530000000000001E-2</v>
      </c>
      <c r="G6844" s="7">
        <v>4.2599999999999999E-2</v>
      </c>
    </row>
    <row r="6845" spans="2:7" x14ac:dyDescent="0.2">
      <c r="B6845" s="60">
        <v>45327</v>
      </c>
      <c r="C6845" s="7">
        <v>2.3239999999999997E-2</v>
      </c>
      <c r="D6845" s="7">
        <v>2.2419999999999999E-2</v>
      </c>
      <c r="E6845" s="7">
        <v>2.3330000000000004E-2</v>
      </c>
      <c r="F6845" s="7">
        <v>2.2370000000000001E-2</v>
      </c>
      <c r="G6845" s="7">
        <v>4.2599999999999999E-2</v>
      </c>
    </row>
    <row r="6846" spans="2:7" x14ac:dyDescent="0.2">
      <c r="B6846" s="60">
        <v>45328</v>
      </c>
      <c r="C6846" s="7">
        <v>2.2970000000000001E-2</v>
      </c>
      <c r="D6846" s="7">
        <v>2.3179999999999999E-2</v>
      </c>
      <c r="E6846" s="7">
        <v>2.3429999999999999E-2</v>
      </c>
      <c r="F6846" s="7">
        <v>2.281E-2</v>
      </c>
      <c r="G6846" s="7">
        <v>-1.1599999999999999E-2</v>
      </c>
    </row>
    <row r="6847" spans="2:7" x14ac:dyDescent="0.2">
      <c r="B6847" s="60">
        <v>45329</v>
      </c>
      <c r="C6847" s="7">
        <v>2.299E-2</v>
      </c>
      <c r="D6847" s="7">
        <v>2.2919999999999999E-2</v>
      </c>
      <c r="E6847" s="7">
        <v>2.3140000000000001E-2</v>
      </c>
      <c r="F6847" s="7">
        <v>2.2719999999999997E-2</v>
      </c>
      <c r="G6847" s="7">
        <v>8.9999999999999998E-4</v>
      </c>
    </row>
    <row r="6848" spans="2:7" x14ac:dyDescent="0.2">
      <c r="B6848" s="60">
        <v>45330</v>
      </c>
      <c r="C6848" s="7">
        <v>2.3559999999999998E-2</v>
      </c>
      <c r="D6848" s="7">
        <v>2.3170000000000003E-2</v>
      </c>
      <c r="E6848" s="7">
        <v>2.3599999999999999E-2</v>
      </c>
      <c r="F6848" s="7">
        <v>2.2949999999999998E-2</v>
      </c>
      <c r="G6848" s="7">
        <v>2.4799999999999999E-2</v>
      </c>
    </row>
    <row r="6849" spans="2:7" x14ac:dyDescent="0.2">
      <c r="B6849" s="60">
        <v>45331</v>
      </c>
      <c r="C6849" s="7">
        <v>2.3799999999999998E-2</v>
      </c>
      <c r="D6849" s="7">
        <v>2.367E-2</v>
      </c>
      <c r="E6849" s="7">
        <v>2.3900000000000001E-2</v>
      </c>
      <c r="F6849" s="7">
        <v>2.3330000000000004E-2</v>
      </c>
      <c r="G6849" s="7">
        <v>1.0200000000000001E-2</v>
      </c>
    </row>
    <row r="6850" spans="2:7" x14ac:dyDescent="0.2">
      <c r="B6850" s="60">
        <v>45334</v>
      </c>
      <c r="C6850" s="7">
        <v>2.366E-2</v>
      </c>
      <c r="D6850" s="7">
        <v>2.368E-2</v>
      </c>
      <c r="E6850" s="7">
        <v>2.3719999999999998E-2</v>
      </c>
      <c r="F6850" s="7">
        <v>2.3639999999999998E-2</v>
      </c>
      <c r="G6850" s="7">
        <v>-5.8999999999999999E-3</v>
      </c>
    </row>
    <row r="6851" spans="2:7" x14ac:dyDescent="0.2">
      <c r="B6851" s="60">
        <v>45335</v>
      </c>
      <c r="C6851" s="7">
        <v>2.392E-2</v>
      </c>
      <c r="D6851" s="7">
        <v>2.3620000000000002E-2</v>
      </c>
      <c r="E6851" s="7">
        <v>2.4150000000000001E-2</v>
      </c>
      <c r="F6851" s="7">
        <v>2.3330000000000004E-2</v>
      </c>
      <c r="G6851" s="7">
        <v>1.0999999999999999E-2</v>
      </c>
    </row>
    <row r="6852" spans="2:7" x14ac:dyDescent="0.2">
      <c r="B6852" s="60">
        <v>45336</v>
      </c>
      <c r="C6852" s="7">
        <v>2.3479999999999997E-2</v>
      </c>
      <c r="D6852" s="7">
        <v>2.3929999999999996E-2</v>
      </c>
      <c r="E6852" s="7">
        <v>2.3929999999999996E-2</v>
      </c>
      <c r="F6852" s="7">
        <v>2.3450000000000002E-2</v>
      </c>
      <c r="G6852" s="7">
        <v>-1.84E-2</v>
      </c>
    </row>
    <row r="6853" spans="2:7" x14ac:dyDescent="0.2">
      <c r="B6853" s="60">
        <v>45337</v>
      </c>
      <c r="C6853" s="7">
        <v>2.3530000000000002E-2</v>
      </c>
      <c r="D6853" s="7">
        <v>2.3370000000000002E-2</v>
      </c>
      <c r="E6853" s="7">
        <v>2.3530000000000002E-2</v>
      </c>
      <c r="F6853" s="7">
        <v>2.2919999999999999E-2</v>
      </c>
      <c r="G6853" s="7">
        <v>2.0999999999999999E-3</v>
      </c>
    </row>
    <row r="6854" spans="2:7" x14ac:dyDescent="0.2">
      <c r="B6854" s="60">
        <v>45338</v>
      </c>
      <c r="C6854" s="7">
        <v>2.4009999999999997E-2</v>
      </c>
      <c r="D6854" s="7">
        <v>2.359E-2</v>
      </c>
      <c r="E6854" s="7">
        <v>2.4220000000000002E-2</v>
      </c>
      <c r="F6854" s="7">
        <v>2.359E-2</v>
      </c>
      <c r="G6854" s="7">
        <v>2.0400000000000001E-2</v>
      </c>
    </row>
    <row r="6855" spans="2:7" x14ac:dyDescent="0.2">
      <c r="B6855" s="60">
        <v>45341</v>
      </c>
      <c r="C6855" s="7">
        <v>2.4109999999999999E-2</v>
      </c>
      <c r="D6855" s="7">
        <v>2.3940000000000003E-2</v>
      </c>
      <c r="E6855" s="7">
        <v>2.418E-2</v>
      </c>
      <c r="F6855" s="7">
        <v>2.3869999999999999E-2</v>
      </c>
      <c r="G6855" s="7">
        <v>4.1999999999999997E-3</v>
      </c>
    </row>
    <row r="6856" spans="2:7" x14ac:dyDescent="0.2">
      <c r="B6856" s="60">
        <v>45342</v>
      </c>
      <c r="C6856" s="7">
        <v>2.3700000000000002E-2</v>
      </c>
      <c r="D6856" s="7">
        <v>2.4089999999999997E-2</v>
      </c>
      <c r="E6856" s="7">
        <v>2.41E-2</v>
      </c>
      <c r="F6856" s="7">
        <v>2.358E-2</v>
      </c>
      <c r="G6856" s="7">
        <v>-1.7000000000000001E-2</v>
      </c>
    </row>
    <row r="6857" spans="2:7" x14ac:dyDescent="0.2">
      <c r="B6857" s="60">
        <v>45343</v>
      </c>
      <c r="C6857" s="7">
        <v>2.4409999999999998E-2</v>
      </c>
      <c r="D6857" s="7">
        <v>2.3740000000000001E-2</v>
      </c>
      <c r="E6857" s="7">
        <v>2.4409999999999998E-2</v>
      </c>
      <c r="F6857" s="7">
        <v>2.367E-2</v>
      </c>
      <c r="G6857" s="7">
        <v>0.03</v>
      </c>
    </row>
    <row r="6858" spans="2:7" x14ac:dyDescent="0.2">
      <c r="B6858" s="60">
        <v>45344</v>
      </c>
      <c r="C6858" s="7">
        <v>2.435E-2</v>
      </c>
      <c r="D6858" s="7">
        <v>2.4500000000000001E-2</v>
      </c>
      <c r="E6858" s="7">
        <v>2.5000000000000001E-2</v>
      </c>
      <c r="F6858" s="7">
        <v>2.4109999999999999E-2</v>
      </c>
      <c r="G6858" s="7">
        <v>-2.5000000000000001E-3</v>
      </c>
    </row>
    <row r="6859" spans="2:7" x14ac:dyDescent="0.2">
      <c r="B6859" s="60">
        <v>45345</v>
      </c>
      <c r="C6859" s="7">
        <v>2.3620000000000002E-2</v>
      </c>
      <c r="D6859" s="7">
        <v>2.4409999999999998E-2</v>
      </c>
      <c r="E6859" s="7">
        <v>2.4780000000000003E-2</v>
      </c>
      <c r="F6859" s="7">
        <v>2.3620000000000002E-2</v>
      </c>
      <c r="G6859" s="7">
        <v>-0.03</v>
      </c>
    </row>
    <row r="6860" spans="2:7" x14ac:dyDescent="0.2">
      <c r="B6860" s="60">
        <v>45348</v>
      </c>
      <c r="C6860" s="7">
        <v>2.4310000000000002E-2</v>
      </c>
      <c r="D6860" s="7">
        <v>2.3780000000000003E-2</v>
      </c>
      <c r="E6860" s="7">
        <v>2.4310000000000002E-2</v>
      </c>
      <c r="F6860" s="7">
        <v>2.3740000000000001E-2</v>
      </c>
      <c r="G6860" s="7">
        <v>2.92E-2</v>
      </c>
    </row>
    <row r="6861" spans="2:7" x14ac:dyDescent="0.2">
      <c r="B6861" s="60">
        <v>45349</v>
      </c>
      <c r="C6861" s="7">
        <v>2.4559999999999998E-2</v>
      </c>
      <c r="D6861" s="7">
        <v>2.4399999999999998E-2</v>
      </c>
      <c r="E6861" s="7">
        <v>2.4559999999999998E-2</v>
      </c>
      <c r="F6861" s="7">
        <v>2.4109999999999999E-2</v>
      </c>
      <c r="G6861" s="7">
        <v>1.03E-2</v>
      </c>
    </row>
    <row r="6862" spans="2:7" x14ac:dyDescent="0.2">
      <c r="B6862" s="60">
        <v>45350</v>
      </c>
      <c r="C6862" s="7">
        <v>2.4620000000000003E-2</v>
      </c>
      <c r="D6862" s="7">
        <v>2.4660000000000001E-2</v>
      </c>
      <c r="E6862" s="7">
        <v>2.469E-2</v>
      </c>
      <c r="F6862" s="7">
        <v>2.435E-2</v>
      </c>
      <c r="G6862" s="7">
        <v>2.3999999999999998E-3</v>
      </c>
    </row>
    <row r="6863" spans="2:7" x14ac:dyDescent="0.2">
      <c r="B6863" s="60">
        <v>45351</v>
      </c>
      <c r="C6863" s="7">
        <v>2.4009999999999997E-2</v>
      </c>
      <c r="D6863" s="7">
        <v>2.4550000000000002E-2</v>
      </c>
      <c r="E6863" s="7">
        <v>2.513E-2</v>
      </c>
      <c r="F6863" s="7">
        <v>2.4009999999999997E-2</v>
      </c>
      <c r="G6863" s="7">
        <v>-2.4799999999999999E-2</v>
      </c>
    </row>
    <row r="6864" spans="2:7" x14ac:dyDescent="0.2">
      <c r="B6864" s="60">
        <v>45352</v>
      </c>
      <c r="C6864" s="7">
        <v>2.4129999999999999E-2</v>
      </c>
      <c r="D6864" s="7">
        <v>2.4420000000000001E-2</v>
      </c>
      <c r="E6864" s="7">
        <v>2.4719999999999999E-2</v>
      </c>
      <c r="F6864" s="7">
        <v>2.392E-2</v>
      </c>
      <c r="G6864" s="7">
        <v>5.0000000000000001E-3</v>
      </c>
    </row>
    <row r="6865" spans="2:7" x14ac:dyDescent="0.2">
      <c r="B6865" s="60">
        <v>45355</v>
      </c>
      <c r="C6865" s="7">
        <v>2.3969999999999998E-2</v>
      </c>
      <c r="D6865" s="7">
        <v>2.4140000000000002E-2</v>
      </c>
      <c r="E6865" s="7">
        <v>2.4279999999999999E-2</v>
      </c>
      <c r="F6865" s="7">
        <v>2.3849999999999996E-2</v>
      </c>
      <c r="G6865" s="7">
        <v>-6.6E-3</v>
      </c>
    </row>
    <row r="6866" spans="2:7" x14ac:dyDescent="0.2">
      <c r="B6866" s="60">
        <v>45356</v>
      </c>
      <c r="C6866" s="7">
        <v>2.3220000000000001E-2</v>
      </c>
      <c r="D6866" s="7">
        <v>2.3940000000000003E-2</v>
      </c>
      <c r="E6866" s="7">
        <v>2.3940000000000003E-2</v>
      </c>
      <c r="F6866" s="7">
        <v>2.2930000000000002E-2</v>
      </c>
      <c r="G6866" s="7">
        <v>-3.1300000000000001E-2</v>
      </c>
    </row>
    <row r="6867" spans="2:7" x14ac:dyDescent="0.2">
      <c r="B6867" s="60">
        <v>45357</v>
      </c>
      <c r="C6867" s="7">
        <v>2.3310000000000001E-2</v>
      </c>
      <c r="D6867" s="7">
        <v>2.3230000000000001E-2</v>
      </c>
      <c r="E6867" s="7">
        <v>2.3620000000000002E-2</v>
      </c>
      <c r="F6867" s="7">
        <v>2.315E-2</v>
      </c>
      <c r="G6867" s="7">
        <v>3.8999999999999998E-3</v>
      </c>
    </row>
    <row r="6868" spans="2:7" x14ac:dyDescent="0.2">
      <c r="B6868" s="60">
        <v>45358</v>
      </c>
      <c r="C6868" s="7">
        <v>2.2940000000000002E-2</v>
      </c>
      <c r="D6868" s="7">
        <v>2.3319999999999997E-2</v>
      </c>
      <c r="E6868" s="7">
        <v>2.35E-2</v>
      </c>
      <c r="F6868" s="7">
        <v>2.2499999999999999E-2</v>
      </c>
      <c r="G6868" s="7">
        <v>-1.5900000000000001E-2</v>
      </c>
    </row>
    <row r="6869" spans="2:7" x14ac:dyDescent="0.2">
      <c r="B6869" s="60">
        <v>45359</v>
      </c>
      <c r="C6869" s="7">
        <v>2.2690000000000002E-2</v>
      </c>
      <c r="D6869" s="7">
        <v>2.2919999999999999E-2</v>
      </c>
      <c r="E6869" s="7">
        <v>2.2970000000000001E-2</v>
      </c>
      <c r="F6869" s="7">
        <v>2.2330000000000003E-2</v>
      </c>
      <c r="G6869" s="7">
        <v>-1.09E-2</v>
      </c>
    </row>
    <row r="6870" spans="2:7" x14ac:dyDescent="0.2">
      <c r="B6870" s="60">
        <v>45362</v>
      </c>
      <c r="C6870" s="7">
        <v>2.2970000000000001E-2</v>
      </c>
      <c r="D6870" s="7">
        <v>2.2690000000000002E-2</v>
      </c>
      <c r="E6870" s="7">
        <v>2.3179999999999999E-2</v>
      </c>
      <c r="F6870" s="7">
        <v>2.2409999999999999E-2</v>
      </c>
      <c r="G6870" s="7">
        <v>1.23E-2</v>
      </c>
    </row>
    <row r="6871" spans="2:7" x14ac:dyDescent="0.2">
      <c r="B6871" s="60">
        <v>45363</v>
      </c>
      <c r="C6871" s="7">
        <v>2.3259999999999999E-2</v>
      </c>
      <c r="D6871" s="7">
        <v>2.3039999999999998E-2</v>
      </c>
      <c r="E6871" s="7">
        <v>2.342E-2</v>
      </c>
      <c r="F6871" s="7">
        <v>2.2749999999999999E-2</v>
      </c>
      <c r="G6871" s="7">
        <v>1.26E-2</v>
      </c>
    </row>
    <row r="6872" spans="2:7" x14ac:dyDescent="0.2">
      <c r="B6872" s="60">
        <v>45364</v>
      </c>
      <c r="C6872" s="7">
        <v>2.3550000000000001E-2</v>
      </c>
      <c r="D6872" s="7">
        <v>2.3300000000000001E-2</v>
      </c>
      <c r="E6872" s="7">
        <v>2.3629999999999998E-2</v>
      </c>
      <c r="F6872" s="7">
        <v>2.2949999999999998E-2</v>
      </c>
      <c r="G6872" s="7">
        <v>1.2500000000000001E-2</v>
      </c>
    </row>
    <row r="6873" spans="2:7" x14ac:dyDescent="0.2">
      <c r="B6873" s="60">
        <v>45365</v>
      </c>
      <c r="C6873" s="7">
        <v>2.4199999999999999E-2</v>
      </c>
      <c r="D6873" s="7">
        <v>2.367E-2</v>
      </c>
      <c r="E6873" s="7">
        <v>2.4319999999999998E-2</v>
      </c>
      <c r="F6873" s="7">
        <v>2.3570000000000001E-2</v>
      </c>
      <c r="G6873" s="7">
        <v>2.76E-2</v>
      </c>
    </row>
    <row r="6874" spans="2:7" x14ac:dyDescent="0.2">
      <c r="B6874" s="60">
        <v>45366</v>
      </c>
      <c r="C6874" s="7">
        <v>2.4369999999999999E-2</v>
      </c>
      <c r="D6874" s="7">
        <v>2.427E-2</v>
      </c>
      <c r="E6874" s="7">
        <v>2.4550000000000002E-2</v>
      </c>
      <c r="F6874" s="7">
        <v>2.4230000000000002E-2</v>
      </c>
      <c r="G6874" s="7">
        <v>7.0000000000000001E-3</v>
      </c>
    </row>
    <row r="6875" spans="2:7" x14ac:dyDescent="0.2">
      <c r="B6875" s="60">
        <v>45369</v>
      </c>
      <c r="C6875" s="7">
        <v>2.4569999999999998E-2</v>
      </c>
      <c r="D6875" s="7">
        <v>2.436E-2</v>
      </c>
      <c r="E6875" s="7">
        <v>2.4680000000000001E-2</v>
      </c>
      <c r="F6875" s="7">
        <v>2.4289999999999999E-2</v>
      </c>
      <c r="G6875" s="7">
        <v>8.2000000000000007E-3</v>
      </c>
    </row>
    <row r="6876" spans="2:7" x14ac:dyDescent="0.2">
      <c r="B6876" s="60">
        <v>45370</v>
      </c>
      <c r="C6876" s="7">
        <v>2.4500000000000001E-2</v>
      </c>
      <c r="D6876" s="7">
        <v>2.4580000000000001E-2</v>
      </c>
      <c r="E6876" s="7">
        <v>2.4649999999999998E-2</v>
      </c>
      <c r="F6876" s="7">
        <v>2.427E-2</v>
      </c>
      <c r="G6876" s="7">
        <v>-2.8E-3</v>
      </c>
    </row>
    <row r="6877" spans="2:7" x14ac:dyDescent="0.2">
      <c r="B6877" s="60">
        <v>45371</v>
      </c>
      <c r="C6877" s="7">
        <v>2.435E-2</v>
      </c>
      <c r="D6877" s="7">
        <v>2.452E-2</v>
      </c>
      <c r="E6877" s="7">
        <v>2.4550000000000002E-2</v>
      </c>
      <c r="F6877" s="7">
        <v>2.4049999999999998E-2</v>
      </c>
      <c r="G6877" s="7">
        <v>-6.1000000000000004E-3</v>
      </c>
    </row>
    <row r="6878" spans="2:7" x14ac:dyDescent="0.2">
      <c r="B6878" s="60">
        <v>45372</v>
      </c>
      <c r="C6878" s="7">
        <v>2.3980000000000001E-2</v>
      </c>
      <c r="D6878" s="7">
        <v>2.4369999999999999E-2</v>
      </c>
      <c r="E6878" s="7">
        <v>2.4399999999999998E-2</v>
      </c>
      <c r="F6878" s="7">
        <v>2.376E-2</v>
      </c>
      <c r="G6878" s="7">
        <v>-1.52E-2</v>
      </c>
    </row>
    <row r="6879" spans="2:7" x14ac:dyDescent="0.2">
      <c r="B6879" s="60">
        <v>45373</v>
      </c>
      <c r="C6879" s="7">
        <v>2.3210000000000001E-2</v>
      </c>
      <c r="D6879" s="7">
        <v>2.383E-2</v>
      </c>
      <c r="E6879" s="7">
        <v>2.3869999999999999E-2</v>
      </c>
      <c r="F6879" s="7">
        <v>2.316E-2</v>
      </c>
      <c r="G6879" s="7">
        <v>-3.2099999999999997E-2</v>
      </c>
    </row>
    <row r="6880" spans="2:7" x14ac:dyDescent="0.2">
      <c r="B6880" s="60">
        <v>45376</v>
      </c>
      <c r="C6880" s="7">
        <v>2.375E-2</v>
      </c>
      <c r="D6880" s="7">
        <v>2.3179999999999999E-2</v>
      </c>
      <c r="E6880" s="7">
        <v>2.376E-2</v>
      </c>
      <c r="F6880" s="7">
        <v>2.3170000000000003E-2</v>
      </c>
      <c r="G6880" s="7">
        <v>2.3300000000000001E-2</v>
      </c>
    </row>
    <row r="6881" spans="2:7" x14ac:dyDescent="0.2">
      <c r="B6881" s="60">
        <v>45377</v>
      </c>
      <c r="C6881" s="7">
        <v>2.3479999999999997E-2</v>
      </c>
      <c r="D6881" s="7">
        <v>2.375E-2</v>
      </c>
      <c r="E6881" s="7">
        <v>2.375E-2</v>
      </c>
      <c r="F6881" s="7">
        <v>2.3390000000000001E-2</v>
      </c>
      <c r="G6881" s="7">
        <v>-1.14E-2</v>
      </c>
    </row>
    <row r="6882" spans="2:7" x14ac:dyDescent="0.2">
      <c r="B6882" s="60">
        <v>45378</v>
      </c>
      <c r="C6882" s="7">
        <v>2.291E-2</v>
      </c>
      <c r="D6882" s="7">
        <v>2.3550000000000001E-2</v>
      </c>
      <c r="E6882" s="7">
        <v>2.3550000000000001E-2</v>
      </c>
      <c r="F6882" s="7">
        <v>2.2879999999999998E-2</v>
      </c>
      <c r="G6882" s="7">
        <v>-2.4299999999999999E-2</v>
      </c>
    </row>
    <row r="6883" spans="2:7" x14ac:dyDescent="0.2">
      <c r="B6883" s="60">
        <v>45379</v>
      </c>
      <c r="C6883" s="7">
        <v>2.2930000000000002E-2</v>
      </c>
      <c r="D6883" s="7">
        <v>2.2919999999999999E-2</v>
      </c>
      <c r="E6883" s="7">
        <v>2.3250000000000003E-2</v>
      </c>
      <c r="F6883" s="7">
        <v>2.2879999999999998E-2</v>
      </c>
      <c r="G6883" s="7">
        <v>8.9999999999999998E-4</v>
      </c>
    </row>
    <row r="6884" spans="2:7" x14ac:dyDescent="0.2">
      <c r="B6884" s="60">
        <v>45380</v>
      </c>
      <c r="C6884" s="7">
        <v>2.2925000000000001E-2</v>
      </c>
      <c r="D6884" s="7">
        <v>2.2919999999999999E-2</v>
      </c>
      <c r="E6884" s="7">
        <v>2.2925000000000001E-2</v>
      </c>
      <c r="F6884" s="7">
        <v>2.2915000000000001E-2</v>
      </c>
      <c r="G6884" s="7">
        <v>-2.0000000000000001E-4</v>
      </c>
    </row>
    <row r="6885" spans="2:7" x14ac:dyDescent="0.2">
      <c r="B6885" s="60">
        <v>45383</v>
      </c>
      <c r="C6885" s="7">
        <v>2.2970000000000001E-2</v>
      </c>
      <c r="D6885" s="7">
        <v>2.2919999999999999E-2</v>
      </c>
      <c r="E6885" s="7">
        <v>2.2970000000000001E-2</v>
      </c>
      <c r="F6885" s="7">
        <v>2.2970000000000001E-2</v>
      </c>
      <c r="G6885" s="7">
        <v>2E-3</v>
      </c>
    </row>
    <row r="6886" spans="2:7" x14ac:dyDescent="0.2">
      <c r="B6886" s="60">
        <v>45384</v>
      </c>
      <c r="C6886" s="7">
        <v>2.4109999999999999E-2</v>
      </c>
      <c r="D6886" s="7">
        <v>2.2949999999999998E-2</v>
      </c>
      <c r="E6886" s="7">
        <v>2.4319999999999998E-2</v>
      </c>
      <c r="F6886" s="7">
        <v>2.2949999999999998E-2</v>
      </c>
      <c r="G6886" s="7">
        <v>4.9599999999999998E-2</v>
      </c>
    </row>
    <row r="6887" spans="2:7" x14ac:dyDescent="0.2">
      <c r="B6887" s="60">
        <v>45385</v>
      </c>
      <c r="C6887" s="7">
        <v>2.3980000000000001E-2</v>
      </c>
      <c r="D6887" s="7">
        <v>2.4060000000000002E-2</v>
      </c>
      <c r="E6887" s="7">
        <v>2.4300000000000002E-2</v>
      </c>
      <c r="F6887" s="7">
        <v>2.3599999999999999E-2</v>
      </c>
      <c r="G6887" s="7">
        <v>-5.4000000000000003E-3</v>
      </c>
    </row>
    <row r="6888" spans="2:7" x14ac:dyDescent="0.2">
      <c r="B6888" s="60">
        <v>45386</v>
      </c>
      <c r="C6888" s="7">
        <v>2.359E-2</v>
      </c>
      <c r="D6888" s="7">
        <v>2.384E-2</v>
      </c>
      <c r="E6888" s="7">
        <v>2.3940000000000003E-2</v>
      </c>
      <c r="F6888" s="7">
        <v>2.3399999999999997E-2</v>
      </c>
      <c r="G6888" s="7">
        <v>-1.6299999999999999E-2</v>
      </c>
    </row>
    <row r="6889" spans="2:7" x14ac:dyDescent="0.2">
      <c r="B6889" s="60">
        <v>45387</v>
      </c>
      <c r="C6889" s="7">
        <v>2.4E-2</v>
      </c>
      <c r="D6889" s="7">
        <v>2.3650000000000001E-2</v>
      </c>
      <c r="E6889" s="7">
        <v>2.4070000000000001E-2</v>
      </c>
      <c r="F6889" s="7">
        <v>2.3359999999999999E-2</v>
      </c>
      <c r="G6889" s="7">
        <v>1.7399999999999999E-2</v>
      </c>
    </row>
    <row r="6890" spans="2:7" x14ac:dyDescent="0.2">
      <c r="B6890" s="60">
        <v>45390</v>
      </c>
      <c r="C6890" s="7">
        <v>2.4399999999999998E-2</v>
      </c>
      <c r="D6890" s="7">
        <v>2.402E-2</v>
      </c>
      <c r="E6890" s="7">
        <v>2.4569999999999998E-2</v>
      </c>
      <c r="F6890" s="7">
        <v>2.4009999999999997E-2</v>
      </c>
      <c r="G6890" s="7">
        <v>1.67E-2</v>
      </c>
    </row>
    <row r="6891" spans="2:7" x14ac:dyDescent="0.2">
      <c r="B6891" s="60">
        <v>45391</v>
      </c>
      <c r="C6891" s="7">
        <v>2.368E-2</v>
      </c>
      <c r="D6891" s="7">
        <v>2.4300000000000002E-2</v>
      </c>
      <c r="E6891" s="7">
        <v>2.436E-2</v>
      </c>
      <c r="F6891" s="7">
        <v>2.3610000000000003E-2</v>
      </c>
      <c r="G6891" s="7">
        <v>-2.9499999999999998E-2</v>
      </c>
    </row>
    <row r="6892" spans="2:7" x14ac:dyDescent="0.2">
      <c r="B6892" s="60">
        <v>45392</v>
      </c>
      <c r="C6892" s="7">
        <v>2.4289999999999999E-2</v>
      </c>
      <c r="D6892" s="7">
        <v>2.3709999999999998E-2</v>
      </c>
      <c r="E6892" s="7">
        <v>2.4409999999999998E-2</v>
      </c>
      <c r="F6892" s="7">
        <v>2.342E-2</v>
      </c>
      <c r="G6892" s="7">
        <v>2.58E-2</v>
      </c>
    </row>
    <row r="6893" spans="2:7" x14ac:dyDescent="0.2">
      <c r="B6893" s="60">
        <v>45393</v>
      </c>
      <c r="C6893" s="7">
        <v>2.4760000000000001E-2</v>
      </c>
      <c r="D6893" s="7">
        <v>2.4550000000000002E-2</v>
      </c>
      <c r="E6893" s="7">
        <v>2.4830000000000001E-2</v>
      </c>
      <c r="F6893" s="7">
        <v>2.4160000000000001E-2</v>
      </c>
      <c r="G6893" s="7">
        <v>1.9300000000000001E-2</v>
      </c>
    </row>
    <row r="6894" spans="2:7" x14ac:dyDescent="0.2">
      <c r="B6894" s="60">
        <v>45394</v>
      </c>
      <c r="C6894" s="7">
        <v>2.358E-2</v>
      </c>
      <c r="D6894" s="7">
        <v>2.4680000000000001E-2</v>
      </c>
      <c r="E6894" s="7">
        <v>2.4680000000000001E-2</v>
      </c>
      <c r="F6894" s="7">
        <v>2.3179999999999999E-2</v>
      </c>
      <c r="G6894" s="7">
        <v>-4.7699999999999999E-2</v>
      </c>
    </row>
    <row r="6895" spans="2:7" x14ac:dyDescent="0.2">
      <c r="B6895" s="60">
        <v>45397</v>
      </c>
      <c r="C6895" s="7">
        <v>2.4340000000000001E-2</v>
      </c>
      <c r="D6895" s="7">
        <v>2.3639999999999998E-2</v>
      </c>
      <c r="E6895" s="7">
        <v>2.4540000000000003E-2</v>
      </c>
      <c r="F6895" s="7">
        <v>2.3610000000000003E-2</v>
      </c>
      <c r="G6895" s="7">
        <v>3.2199999999999999E-2</v>
      </c>
    </row>
    <row r="6896" spans="2:7" x14ac:dyDescent="0.2">
      <c r="B6896" s="60">
        <v>45398</v>
      </c>
      <c r="C6896" s="7">
        <v>2.4860000000000004E-2</v>
      </c>
      <c r="D6896" s="7">
        <v>2.4319999999999998E-2</v>
      </c>
      <c r="E6896" s="7">
        <v>2.511E-2</v>
      </c>
      <c r="F6896" s="7">
        <v>2.419E-2</v>
      </c>
      <c r="G6896" s="7">
        <v>2.1399999999999999E-2</v>
      </c>
    </row>
    <row r="6897" spans="2:7" x14ac:dyDescent="0.2">
      <c r="B6897" s="60">
        <v>45399</v>
      </c>
      <c r="C6897" s="7">
        <v>2.4709999999999999E-2</v>
      </c>
      <c r="D6897" s="7">
        <v>2.4889999999999999E-2</v>
      </c>
      <c r="E6897" s="7">
        <v>2.5089999999999998E-2</v>
      </c>
      <c r="F6897" s="7">
        <v>2.4510000000000001E-2</v>
      </c>
      <c r="G6897" s="7">
        <v>-6.0000000000000001E-3</v>
      </c>
    </row>
    <row r="6898" spans="2:7" x14ac:dyDescent="0.2">
      <c r="B6898" s="60">
        <v>45400</v>
      </c>
      <c r="C6898" s="7">
        <v>2.4929999999999997E-2</v>
      </c>
      <c r="D6898" s="7">
        <v>2.4670000000000001E-2</v>
      </c>
      <c r="E6898" s="7">
        <v>2.4940000000000004E-2</v>
      </c>
      <c r="F6898" s="7">
        <v>2.4249999999999997E-2</v>
      </c>
      <c r="G6898" s="7">
        <v>8.8999999999999999E-3</v>
      </c>
    </row>
    <row r="6899" spans="2:7" x14ac:dyDescent="0.2">
      <c r="B6899" s="60">
        <v>45401</v>
      </c>
      <c r="C6899" s="7">
        <v>2.5049999999999999E-2</v>
      </c>
      <c r="D6899" s="7">
        <v>2.4990000000000002E-2</v>
      </c>
      <c r="E6899" s="7">
        <v>2.5230000000000002E-2</v>
      </c>
      <c r="F6899" s="7">
        <v>2.4319999999999998E-2</v>
      </c>
      <c r="G6899" s="7">
        <v>4.7999999999999996E-3</v>
      </c>
    </row>
    <row r="6900" spans="2:7" x14ac:dyDescent="0.2">
      <c r="B6900" s="60">
        <v>45404</v>
      </c>
      <c r="C6900" s="7">
        <v>2.4910000000000002E-2</v>
      </c>
      <c r="D6900" s="7">
        <v>2.5019999999999997E-2</v>
      </c>
      <c r="E6900" s="7">
        <v>2.5539999999999997E-2</v>
      </c>
      <c r="F6900" s="7">
        <v>2.4860000000000004E-2</v>
      </c>
      <c r="G6900" s="7">
        <v>-5.5999999999999999E-3</v>
      </c>
    </row>
    <row r="6901" spans="2:7" x14ac:dyDescent="0.2">
      <c r="B6901" s="60">
        <v>45405</v>
      </c>
      <c r="C6901" s="7">
        <v>2.5059999999999999E-2</v>
      </c>
      <c r="D6901" s="7">
        <v>2.4860000000000004E-2</v>
      </c>
      <c r="E6901" s="7">
        <v>2.5270000000000001E-2</v>
      </c>
      <c r="F6901" s="7">
        <v>2.4670000000000001E-2</v>
      </c>
      <c r="G6901" s="7">
        <v>6.0000000000000001E-3</v>
      </c>
    </row>
    <row r="6902" spans="2:7" x14ac:dyDescent="0.2">
      <c r="B6902" s="60">
        <v>45406</v>
      </c>
      <c r="C6902" s="7">
        <v>2.5859999999999998E-2</v>
      </c>
      <c r="D6902" s="7">
        <v>2.5310000000000003E-2</v>
      </c>
      <c r="E6902" s="7">
        <v>2.5990000000000003E-2</v>
      </c>
      <c r="F6902" s="7">
        <v>2.5169999999999998E-2</v>
      </c>
      <c r="G6902" s="7">
        <v>3.1899999999999998E-2</v>
      </c>
    </row>
    <row r="6903" spans="2:7" x14ac:dyDescent="0.2">
      <c r="B6903" s="60">
        <v>45407</v>
      </c>
      <c r="C6903" s="7">
        <v>2.6239999999999999E-2</v>
      </c>
      <c r="D6903" s="7">
        <v>2.5899999999999999E-2</v>
      </c>
      <c r="E6903" s="7">
        <v>2.6469999999999997E-2</v>
      </c>
      <c r="F6903" s="7">
        <v>2.5680000000000001E-2</v>
      </c>
      <c r="G6903" s="7">
        <v>1.47E-2</v>
      </c>
    </row>
    <row r="6904" spans="2:7" x14ac:dyDescent="0.2">
      <c r="B6904" s="60">
        <v>45408</v>
      </c>
      <c r="C6904" s="7">
        <v>2.5739999999999999E-2</v>
      </c>
      <c r="D6904" s="7">
        <v>2.6249999999999999E-2</v>
      </c>
      <c r="E6904" s="7">
        <v>2.632E-2</v>
      </c>
      <c r="F6904" s="7">
        <v>2.5520000000000001E-2</v>
      </c>
      <c r="G6904" s="7">
        <v>-1.9099999999999999E-2</v>
      </c>
    </row>
    <row r="6905" spans="2:7" x14ac:dyDescent="0.2">
      <c r="B6905" s="60">
        <v>45411</v>
      </c>
      <c r="C6905" s="7">
        <v>2.528E-2</v>
      </c>
      <c r="D6905" s="7">
        <v>2.5779999999999997E-2</v>
      </c>
      <c r="E6905" s="7">
        <v>2.581E-2</v>
      </c>
      <c r="F6905" s="7">
        <v>2.5070000000000002E-2</v>
      </c>
      <c r="G6905" s="7">
        <v>-1.7899999999999999E-2</v>
      </c>
    </row>
    <row r="6906" spans="2:7" x14ac:dyDescent="0.2">
      <c r="B6906" s="60">
        <v>45412</v>
      </c>
      <c r="C6906" s="7">
        <v>2.5819999999999999E-2</v>
      </c>
      <c r="D6906" s="7">
        <v>2.5329999999999998E-2</v>
      </c>
      <c r="E6906" s="7">
        <v>2.597E-2</v>
      </c>
      <c r="F6906" s="7">
        <v>2.511E-2</v>
      </c>
      <c r="G6906" s="7">
        <v>2.1399999999999999E-2</v>
      </c>
    </row>
    <row r="6907" spans="2:7" x14ac:dyDescent="0.2">
      <c r="B6907" s="60">
        <v>45413</v>
      </c>
      <c r="C6907" s="7">
        <v>2.5825000000000001E-2</v>
      </c>
      <c r="D6907" s="7">
        <v>2.5329999999999998E-2</v>
      </c>
      <c r="E6907" s="7">
        <v>2.5835E-2</v>
      </c>
      <c r="F6907" s="7">
        <v>2.5819999999999999E-2</v>
      </c>
      <c r="G6907" s="7">
        <v>2.0000000000000001E-4</v>
      </c>
    </row>
    <row r="6908" spans="2:7" x14ac:dyDescent="0.2">
      <c r="B6908" s="60">
        <v>45414</v>
      </c>
      <c r="C6908" s="7">
        <v>2.5530000000000001E-2</v>
      </c>
      <c r="D6908" s="7">
        <v>2.5579999999999999E-2</v>
      </c>
      <c r="E6908" s="7">
        <v>2.5840000000000002E-2</v>
      </c>
      <c r="F6908" s="7">
        <v>2.529E-2</v>
      </c>
      <c r="G6908" s="7">
        <v>-1.14E-2</v>
      </c>
    </row>
    <row r="6909" spans="2:7" x14ac:dyDescent="0.2">
      <c r="B6909" s="60">
        <v>45415</v>
      </c>
      <c r="C6909" s="7">
        <v>2.5099999999999997E-2</v>
      </c>
      <c r="D6909" s="7">
        <v>2.5459999999999997E-2</v>
      </c>
      <c r="E6909" s="7">
        <v>2.5459999999999997E-2</v>
      </c>
      <c r="F6909" s="7">
        <v>2.4510000000000001E-2</v>
      </c>
      <c r="G6909" s="7">
        <v>-1.6799999999999999E-2</v>
      </c>
    </row>
    <row r="6910" spans="2:7" x14ac:dyDescent="0.2">
      <c r="B6910" s="60">
        <v>45418</v>
      </c>
      <c r="C6910" s="7">
        <v>2.477E-2</v>
      </c>
      <c r="D6910" s="7">
        <v>2.4489999999999998E-2</v>
      </c>
      <c r="E6910" s="7">
        <v>2.479E-2</v>
      </c>
      <c r="F6910" s="7">
        <v>2.4390000000000002E-2</v>
      </c>
      <c r="G6910" s="7">
        <v>-1.3100000000000001E-2</v>
      </c>
    </row>
    <row r="6911" spans="2:7" x14ac:dyDescent="0.2">
      <c r="B6911" s="60">
        <v>45419</v>
      </c>
      <c r="C6911" s="7">
        <v>2.4209999999999999E-2</v>
      </c>
      <c r="D6911" s="7">
        <v>2.4399999999999998E-2</v>
      </c>
      <c r="E6911" s="7">
        <v>2.4620000000000003E-2</v>
      </c>
      <c r="F6911" s="7">
        <v>2.4169999999999997E-2</v>
      </c>
      <c r="G6911" s="7">
        <v>-2.2599999999999999E-2</v>
      </c>
    </row>
    <row r="6912" spans="2:7" x14ac:dyDescent="0.2">
      <c r="B6912" s="60">
        <v>45420</v>
      </c>
      <c r="C6912" s="7">
        <v>2.461E-2</v>
      </c>
      <c r="D6912" s="7">
        <v>2.4209999999999999E-2</v>
      </c>
      <c r="E6912" s="7">
        <v>2.4740000000000002E-2</v>
      </c>
      <c r="F6912" s="7">
        <v>2.4209999999999999E-2</v>
      </c>
      <c r="G6912" s="7">
        <v>1.6500000000000001E-2</v>
      </c>
    </row>
    <row r="6913" spans="2:7" x14ac:dyDescent="0.2">
      <c r="B6913" s="60">
        <v>45421</v>
      </c>
      <c r="C6913" s="7">
        <v>2.4980000000000002E-2</v>
      </c>
      <c r="D6913" s="7">
        <v>2.4649999999999998E-2</v>
      </c>
      <c r="E6913" s="7">
        <v>2.5070000000000002E-2</v>
      </c>
      <c r="F6913" s="7">
        <v>2.4649999999999998E-2</v>
      </c>
      <c r="G6913" s="7">
        <v>1.4999999999999999E-2</v>
      </c>
    </row>
    <row r="6914" spans="2:7" x14ac:dyDescent="0.2">
      <c r="B6914" s="60">
        <v>45422</v>
      </c>
      <c r="C6914" s="7">
        <v>2.52E-2</v>
      </c>
      <c r="D6914" s="7">
        <v>2.4929999999999997E-2</v>
      </c>
      <c r="E6914" s="7">
        <v>2.5239999999999999E-2</v>
      </c>
      <c r="F6914" s="7">
        <v>2.4580000000000001E-2</v>
      </c>
      <c r="G6914" s="7">
        <v>8.8000000000000005E-3</v>
      </c>
    </row>
    <row r="6915" spans="2:7" x14ac:dyDescent="0.2">
      <c r="B6915" s="60">
        <v>45425</v>
      </c>
      <c r="C6915" s="7">
        <v>2.5080000000000002E-2</v>
      </c>
      <c r="D6915" s="7">
        <v>2.5179999999999998E-2</v>
      </c>
      <c r="E6915" s="7">
        <v>2.5239999999999999E-2</v>
      </c>
      <c r="F6915" s="7">
        <v>2.4840000000000001E-2</v>
      </c>
      <c r="G6915" s="7">
        <v>-4.7999999999999996E-3</v>
      </c>
    </row>
    <row r="6916" spans="2:7" x14ac:dyDescent="0.2">
      <c r="B6916" s="60">
        <v>45426</v>
      </c>
      <c r="C6916" s="7">
        <v>2.5409999999999999E-2</v>
      </c>
      <c r="D6916" s="7">
        <v>2.5070000000000002E-2</v>
      </c>
      <c r="E6916" s="7">
        <v>2.5530000000000001E-2</v>
      </c>
      <c r="F6916" s="7">
        <v>2.4830000000000001E-2</v>
      </c>
      <c r="G6916" s="7">
        <v>1.32E-2</v>
      </c>
    </row>
    <row r="6917" spans="2:7" x14ac:dyDescent="0.2">
      <c r="B6917" s="60">
        <v>45427</v>
      </c>
      <c r="C6917" s="7">
        <v>2.4230000000000002E-2</v>
      </c>
      <c r="D6917" s="7">
        <v>2.5499999999999998E-2</v>
      </c>
      <c r="E6917" s="7">
        <v>2.5520000000000001E-2</v>
      </c>
      <c r="F6917" s="7">
        <v>2.419E-2</v>
      </c>
      <c r="G6917" s="7">
        <v>-4.6399999999999997E-2</v>
      </c>
    </row>
    <row r="6918" spans="2:7" x14ac:dyDescent="0.2">
      <c r="B6918" s="60">
        <v>45428</v>
      </c>
      <c r="C6918" s="7">
        <v>2.445E-2</v>
      </c>
      <c r="D6918" s="7">
        <v>2.4249999999999997E-2</v>
      </c>
      <c r="E6918" s="7">
        <v>2.4510000000000001E-2</v>
      </c>
      <c r="F6918" s="7">
        <v>2.3980000000000001E-2</v>
      </c>
      <c r="G6918" s="7">
        <v>9.1000000000000004E-3</v>
      </c>
    </row>
    <row r="6919" spans="2:7" x14ac:dyDescent="0.2">
      <c r="B6919" s="60">
        <v>45429</v>
      </c>
      <c r="C6919" s="7">
        <v>2.5150000000000002E-2</v>
      </c>
      <c r="D6919" s="7">
        <v>2.469E-2</v>
      </c>
      <c r="E6919" s="7">
        <v>2.5179999999999998E-2</v>
      </c>
      <c r="F6919" s="7">
        <v>2.461E-2</v>
      </c>
      <c r="G6919" s="7">
        <v>2.86E-2</v>
      </c>
    </row>
    <row r="6920" spans="2:7" x14ac:dyDescent="0.2">
      <c r="B6920" s="60">
        <v>45432</v>
      </c>
      <c r="C6920" s="7">
        <v>2.5319999999999999E-2</v>
      </c>
      <c r="D6920" s="7">
        <v>2.5169999999999998E-2</v>
      </c>
      <c r="E6920" s="7">
        <v>2.5419999999999998E-2</v>
      </c>
      <c r="F6920" s="7">
        <v>2.5070000000000002E-2</v>
      </c>
      <c r="G6920" s="7">
        <v>6.7999999999999996E-3</v>
      </c>
    </row>
    <row r="6921" spans="2:7" x14ac:dyDescent="0.2">
      <c r="B6921" s="60">
        <v>45433</v>
      </c>
      <c r="C6921" s="7">
        <v>2.5070000000000002E-2</v>
      </c>
      <c r="D6921" s="7">
        <v>2.5270000000000001E-2</v>
      </c>
      <c r="E6921" s="7">
        <v>2.53E-2</v>
      </c>
      <c r="F6921" s="7">
        <v>2.4889999999999999E-2</v>
      </c>
      <c r="G6921" s="7">
        <v>-9.9000000000000008E-3</v>
      </c>
    </row>
    <row r="6922" spans="2:7" x14ac:dyDescent="0.2">
      <c r="B6922" s="60">
        <v>45434</v>
      </c>
      <c r="C6922" s="7">
        <v>2.5329999999999998E-2</v>
      </c>
      <c r="D6922" s="7">
        <v>2.537E-2</v>
      </c>
      <c r="E6922" s="7">
        <v>2.5559999999999999E-2</v>
      </c>
      <c r="F6922" s="7">
        <v>2.5190000000000001E-2</v>
      </c>
      <c r="G6922" s="7">
        <v>1.04E-2</v>
      </c>
    </row>
    <row r="6923" spans="2:7" x14ac:dyDescent="0.2">
      <c r="B6923" s="60">
        <v>45435</v>
      </c>
      <c r="C6923" s="7">
        <v>2.6000000000000002E-2</v>
      </c>
      <c r="D6923" s="7">
        <v>2.5419999999999998E-2</v>
      </c>
      <c r="E6923" s="7">
        <v>2.6110000000000001E-2</v>
      </c>
      <c r="F6923" s="7">
        <v>2.512E-2</v>
      </c>
      <c r="G6923" s="7">
        <v>2.6499999999999999E-2</v>
      </c>
    </row>
    <row r="6924" spans="2:7" x14ac:dyDescent="0.2">
      <c r="B6924" s="60">
        <v>45436</v>
      </c>
      <c r="C6924" s="7">
        <v>2.5830000000000002E-2</v>
      </c>
      <c r="D6924" s="7">
        <v>2.598E-2</v>
      </c>
      <c r="E6924" s="7">
        <v>2.6179999999999998E-2</v>
      </c>
      <c r="F6924" s="7">
        <v>2.571E-2</v>
      </c>
      <c r="G6924" s="7">
        <v>-6.4999999999999997E-3</v>
      </c>
    </row>
    <row r="6925" spans="2:7" x14ac:dyDescent="0.2">
      <c r="B6925" s="60">
        <v>45439</v>
      </c>
      <c r="C6925" s="7">
        <v>2.5470000000000003E-2</v>
      </c>
      <c r="D6925" s="7">
        <v>2.5859999999999998E-2</v>
      </c>
      <c r="E6925" s="7">
        <v>2.598E-2</v>
      </c>
      <c r="F6925" s="7">
        <v>2.5319999999999999E-2</v>
      </c>
      <c r="G6925" s="7">
        <v>-1.3899999999999999E-2</v>
      </c>
    </row>
    <row r="6926" spans="2:7" x14ac:dyDescent="0.2">
      <c r="B6926" s="60">
        <v>45440</v>
      </c>
      <c r="C6926" s="7">
        <v>2.589E-2</v>
      </c>
      <c r="D6926" s="7">
        <v>2.5499999999999998E-2</v>
      </c>
      <c r="E6926" s="7">
        <v>2.589E-2</v>
      </c>
      <c r="F6926" s="7">
        <v>2.537E-2</v>
      </c>
      <c r="G6926" s="7">
        <v>1.6500000000000001E-2</v>
      </c>
    </row>
    <row r="6927" spans="2:7" x14ac:dyDescent="0.2">
      <c r="B6927" s="60">
        <v>45441</v>
      </c>
      <c r="C6927" s="7">
        <v>2.683E-2</v>
      </c>
      <c r="D6927" s="7">
        <v>2.6349999999999998E-2</v>
      </c>
      <c r="E6927" s="7">
        <v>2.6849999999999999E-2</v>
      </c>
      <c r="F6927" s="7">
        <v>2.6009999999999998E-2</v>
      </c>
      <c r="G6927" s="7">
        <v>3.6299999999999999E-2</v>
      </c>
    </row>
    <row r="6928" spans="2:7" x14ac:dyDescent="0.2">
      <c r="B6928" s="60">
        <v>45442</v>
      </c>
      <c r="C6928" s="7">
        <v>2.6549999999999997E-2</v>
      </c>
      <c r="D6928" s="7">
        <v>2.6869999999999998E-2</v>
      </c>
      <c r="E6928" s="7">
        <v>2.691E-2</v>
      </c>
      <c r="F6928" s="7">
        <v>2.6530000000000001E-2</v>
      </c>
      <c r="G6928" s="7">
        <v>-1.04E-2</v>
      </c>
    </row>
    <row r="6929" spans="2:7" x14ac:dyDescent="0.2">
      <c r="B6929" s="60">
        <v>45443</v>
      </c>
      <c r="C6929" s="7">
        <v>2.648E-2</v>
      </c>
      <c r="D6929" s="7">
        <v>2.6539999999999998E-2</v>
      </c>
      <c r="E6929" s="7">
        <v>2.7069999999999997E-2</v>
      </c>
      <c r="F6929" s="7">
        <v>2.6360000000000001E-2</v>
      </c>
      <c r="G6929" s="7">
        <v>-2.5999999999999999E-3</v>
      </c>
    </row>
    <row r="6930" spans="2:7" x14ac:dyDescent="0.2">
      <c r="B6930" s="60">
        <v>45446</v>
      </c>
      <c r="C6930" s="7">
        <v>2.5849999999999998E-2</v>
      </c>
      <c r="D6930" s="7">
        <v>2.666E-2</v>
      </c>
      <c r="E6930" s="7">
        <v>2.666E-2</v>
      </c>
      <c r="F6930" s="7">
        <v>2.5699999999999997E-2</v>
      </c>
      <c r="G6930" s="7">
        <v>-2.3800000000000002E-2</v>
      </c>
    </row>
    <row r="6931" spans="2:7" x14ac:dyDescent="0.2">
      <c r="B6931" s="60">
        <v>45447</v>
      </c>
      <c r="C6931" s="7">
        <v>2.5390000000000003E-2</v>
      </c>
      <c r="D6931" s="7">
        <v>2.5819999999999999E-2</v>
      </c>
      <c r="E6931" s="7">
        <v>2.589E-2</v>
      </c>
      <c r="F6931" s="7">
        <v>2.504E-2</v>
      </c>
      <c r="G6931" s="7">
        <v>-1.78E-2</v>
      </c>
    </row>
    <row r="6932" spans="2:7" x14ac:dyDescent="0.2">
      <c r="B6932" s="60">
        <v>45448</v>
      </c>
      <c r="C6932" s="7">
        <v>2.4980000000000002E-2</v>
      </c>
      <c r="D6932" s="7">
        <v>2.545E-2</v>
      </c>
      <c r="E6932" s="7">
        <v>2.5539999999999997E-2</v>
      </c>
      <c r="F6932" s="7">
        <v>2.4940000000000004E-2</v>
      </c>
      <c r="G6932" s="7">
        <v>-1.61E-2</v>
      </c>
    </row>
    <row r="6933" spans="2:7" x14ac:dyDescent="0.2">
      <c r="B6933" s="60">
        <v>45449</v>
      </c>
      <c r="C6933" s="7">
        <v>2.5409999999999999E-2</v>
      </c>
      <c r="D6933" s="7">
        <v>2.5019999999999997E-2</v>
      </c>
      <c r="E6933" s="7">
        <v>2.5750000000000002E-2</v>
      </c>
      <c r="F6933" s="7">
        <v>2.5009999999999998E-2</v>
      </c>
      <c r="G6933" s="7">
        <v>1.72E-2</v>
      </c>
    </row>
    <row r="6934" spans="2:7" x14ac:dyDescent="0.2">
      <c r="B6934" s="60">
        <v>45450</v>
      </c>
      <c r="C6934" s="7">
        <v>2.6160000000000003E-2</v>
      </c>
      <c r="D6934" s="7">
        <v>2.5470000000000003E-2</v>
      </c>
      <c r="E6934" s="7">
        <v>2.6360000000000001E-2</v>
      </c>
      <c r="F6934" s="7">
        <v>2.5470000000000003E-2</v>
      </c>
      <c r="G6934" s="7">
        <v>2.9499999999999998E-2</v>
      </c>
    </row>
    <row r="6935" spans="2:7" x14ac:dyDescent="0.2">
      <c r="B6935" s="60">
        <v>45453</v>
      </c>
      <c r="C6935" s="7">
        <v>2.674E-2</v>
      </c>
      <c r="D6935" s="7">
        <v>2.6190000000000001E-2</v>
      </c>
      <c r="E6935" s="7">
        <v>2.682E-2</v>
      </c>
      <c r="F6935" s="7">
        <v>2.6190000000000001E-2</v>
      </c>
      <c r="G6935" s="7">
        <v>2.2200000000000001E-2</v>
      </c>
    </row>
    <row r="6936" spans="2:7" x14ac:dyDescent="0.2">
      <c r="B6936" s="60">
        <v>45454</v>
      </c>
      <c r="C6936" s="7">
        <v>2.622E-2</v>
      </c>
      <c r="D6936" s="7">
        <v>2.6779999999999998E-2</v>
      </c>
      <c r="E6936" s="7">
        <v>2.6779999999999998E-2</v>
      </c>
      <c r="F6936" s="7">
        <v>2.6169999999999999E-2</v>
      </c>
      <c r="G6936" s="7">
        <v>-1.9400000000000001E-2</v>
      </c>
    </row>
    <row r="6937" spans="2:7" x14ac:dyDescent="0.2">
      <c r="B6937" s="60">
        <v>45455</v>
      </c>
      <c r="C6937" s="7">
        <v>2.5350000000000001E-2</v>
      </c>
      <c r="D6937" s="7">
        <v>2.6239999999999999E-2</v>
      </c>
      <c r="E6937" s="7">
        <v>2.6249999999999999E-2</v>
      </c>
      <c r="F6937" s="7">
        <v>2.53E-2</v>
      </c>
      <c r="G6937" s="7">
        <v>-3.32E-2</v>
      </c>
    </row>
    <row r="6938" spans="2:7" x14ac:dyDescent="0.2">
      <c r="B6938" s="60">
        <v>45456</v>
      </c>
      <c r="C6938" s="7">
        <v>2.4929999999999997E-2</v>
      </c>
      <c r="D6938" s="7">
        <v>2.5310000000000003E-2</v>
      </c>
      <c r="E6938" s="7">
        <v>2.5600000000000001E-2</v>
      </c>
      <c r="F6938" s="7">
        <v>2.4889999999999999E-2</v>
      </c>
      <c r="G6938" s="7">
        <v>-1.66E-2</v>
      </c>
    </row>
    <row r="6939" spans="2:7" x14ac:dyDescent="0.2">
      <c r="B6939" s="60">
        <v>45457</v>
      </c>
      <c r="C6939" s="7">
        <v>2.3570000000000001E-2</v>
      </c>
      <c r="D6939" s="7">
        <v>2.4799999999999999E-2</v>
      </c>
      <c r="E6939" s="7">
        <v>2.4799999999999999E-2</v>
      </c>
      <c r="F6939" s="7">
        <v>2.341E-2</v>
      </c>
      <c r="G6939" s="7">
        <v>-5.4600000000000003E-2</v>
      </c>
    </row>
    <row r="6940" spans="2:7" x14ac:dyDescent="0.2">
      <c r="B6940" s="60">
        <v>45460</v>
      </c>
      <c r="C6940" s="7">
        <v>2.4129999999999999E-2</v>
      </c>
      <c r="D6940" s="7">
        <v>2.3519999999999999E-2</v>
      </c>
      <c r="E6940" s="7">
        <v>2.436E-2</v>
      </c>
      <c r="F6940" s="7">
        <v>2.3519999999999999E-2</v>
      </c>
      <c r="G6940" s="7">
        <v>2.3800000000000002E-2</v>
      </c>
    </row>
    <row r="6941" spans="2:7" x14ac:dyDescent="0.2">
      <c r="B6941" s="60">
        <v>45461</v>
      </c>
      <c r="C6941" s="7">
        <v>2.392E-2</v>
      </c>
      <c r="D6941" s="7">
        <v>2.4109999999999999E-2</v>
      </c>
      <c r="E6941" s="7">
        <v>2.4369999999999999E-2</v>
      </c>
      <c r="F6941" s="7">
        <v>2.3820000000000001E-2</v>
      </c>
      <c r="G6941" s="7">
        <v>-8.6999999999999994E-3</v>
      </c>
    </row>
    <row r="6942" spans="2:7" x14ac:dyDescent="0.2">
      <c r="B6942" s="60">
        <v>45462</v>
      </c>
      <c r="C6942" s="7">
        <v>2.4029999999999999E-2</v>
      </c>
      <c r="D6942" s="7">
        <v>2.3910000000000001E-2</v>
      </c>
      <c r="E6942" s="7">
        <v>2.426E-2</v>
      </c>
      <c r="F6942" s="7">
        <v>2.3709999999999998E-2</v>
      </c>
      <c r="G6942" s="7">
        <v>4.5999999999999999E-3</v>
      </c>
    </row>
    <row r="6943" spans="2:7" x14ac:dyDescent="0.2">
      <c r="B6943" s="60">
        <v>45463</v>
      </c>
      <c r="C6943" s="7">
        <v>2.4230000000000002E-2</v>
      </c>
      <c r="D6943" s="7">
        <v>2.4060000000000002E-2</v>
      </c>
      <c r="E6943" s="7">
        <v>2.452E-2</v>
      </c>
      <c r="F6943" s="7">
        <v>2.4060000000000002E-2</v>
      </c>
      <c r="G6943" s="7">
        <v>8.3000000000000001E-3</v>
      </c>
    </row>
    <row r="6944" spans="2:7" x14ac:dyDescent="0.2">
      <c r="B6944" s="60">
        <v>45464</v>
      </c>
      <c r="C6944" s="7">
        <v>2.4089999999999997E-2</v>
      </c>
      <c r="D6944" s="7">
        <v>2.4230000000000002E-2</v>
      </c>
      <c r="E6944" s="7">
        <v>2.4249999999999997E-2</v>
      </c>
      <c r="F6944" s="7">
        <v>2.3540000000000002E-2</v>
      </c>
      <c r="G6944" s="7">
        <v>-5.7999999999999996E-3</v>
      </c>
    </row>
    <row r="6945" spans="2:7" x14ac:dyDescent="0.2">
      <c r="B6945" s="60">
        <v>45467</v>
      </c>
      <c r="C6945" s="7">
        <v>2.4209999999999999E-2</v>
      </c>
      <c r="D6945" s="7">
        <v>2.3990000000000001E-2</v>
      </c>
      <c r="E6945" s="7">
        <v>2.4329999999999997E-2</v>
      </c>
      <c r="F6945" s="7">
        <v>2.3869999999999999E-2</v>
      </c>
      <c r="G6945" s="7">
        <v>5.0000000000000001E-3</v>
      </c>
    </row>
    <row r="6946" spans="2:7" x14ac:dyDescent="0.2">
      <c r="B6946" s="60">
        <v>45468</v>
      </c>
      <c r="C6946" s="7">
        <v>2.4109999999999999E-2</v>
      </c>
      <c r="D6946" s="7">
        <v>2.3959999999999999E-2</v>
      </c>
      <c r="E6946" s="7">
        <v>2.4169999999999997E-2</v>
      </c>
      <c r="F6946" s="7">
        <v>2.3789999999999999E-2</v>
      </c>
      <c r="G6946" s="7">
        <v>-4.1000000000000003E-3</v>
      </c>
    </row>
    <row r="6947" spans="2:7" x14ac:dyDescent="0.2">
      <c r="B6947" s="60">
        <v>45469</v>
      </c>
      <c r="C6947" s="7">
        <v>2.4510000000000001E-2</v>
      </c>
      <c r="D6947" s="7">
        <v>2.4109999999999999E-2</v>
      </c>
      <c r="E6947" s="7">
        <v>2.4540000000000003E-2</v>
      </c>
      <c r="F6947" s="7">
        <v>2.4109999999999999E-2</v>
      </c>
      <c r="G6947" s="7">
        <v>1.66E-2</v>
      </c>
    </row>
    <row r="6948" spans="2:7" x14ac:dyDescent="0.2">
      <c r="B6948" s="60">
        <v>45470</v>
      </c>
      <c r="C6948" s="7">
        <v>2.453E-2</v>
      </c>
      <c r="D6948" s="7">
        <v>2.453E-2</v>
      </c>
      <c r="E6948" s="7">
        <v>2.4820000000000002E-2</v>
      </c>
      <c r="F6948" s="7">
        <v>2.436E-2</v>
      </c>
      <c r="G6948" s="7">
        <v>8.0000000000000004E-4</v>
      </c>
    </row>
    <row r="6949" spans="2:7" x14ac:dyDescent="0.2">
      <c r="B6949" s="60">
        <v>45471</v>
      </c>
      <c r="C6949" s="7">
        <v>2.4849999999999997E-2</v>
      </c>
      <c r="D6949" s="7">
        <v>2.4500000000000001E-2</v>
      </c>
      <c r="E6949" s="7">
        <v>2.4990000000000002E-2</v>
      </c>
      <c r="F6949" s="7">
        <v>2.4319999999999998E-2</v>
      </c>
      <c r="G6949" s="7">
        <v>1.2999999999999999E-2</v>
      </c>
    </row>
    <row r="6950" spans="2:7" x14ac:dyDescent="0.2">
      <c r="B6950" s="60">
        <v>45474</v>
      </c>
      <c r="C6950" s="7">
        <v>2.605E-2</v>
      </c>
      <c r="D6950" s="7">
        <v>2.5409999999999999E-2</v>
      </c>
      <c r="E6950" s="7">
        <v>2.606E-2</v>
      </c>
      <c r="F6950" s="7">
        <v>2.5319999999999999E-2</v>
      </c>
      <c r="G6950" s="7">
        <v>4.8300000000000003E-2</v>
      </c>
    </row>
    <row r="6951" spans="2:7" x14ac:dyDescent="0.2">
      <c r="B6951" s="60">
        <v>45475</v>
      </c>
      <c r="C6951" s="7">
        <v>2.6089999999999999E-2</v>
      </c>
      <c r="D6951" s="7">
        <v>2.606E-2</v>
      </c>
      <c r="E6951" s="7">
        <v>2.614E-2</v>
      </c>
      <c r="F6951" s="7">
        <v>2.572E-2</v>
      </c>
      <c r="G6951" s="7">
        <v>1.5E-3</v>
      </c>
    </row>
    <row r="6952" spans="2:7" x14ac:dyDescent="0.2">
      <c r="B6952" s="60">
        <v>45476</v>
      </c>
      <c r="C6952" s="7">
        <v>2.5590000000000002E-2</v>
      </c>
      <c r="D6952" s="7">
        <v>2.6009999999999998E-2</v>
      </c>
      <c r="E6952" s="7">
        <v>2.6160000000000003E-2</v>
      </c>
      <c r="F6952" s="7">
        <v>2.5430000000000001E-2</v>
      </c>
      <c r="G6952" s="7">
        <v>-1.9199999999999998E-2</v>
      </c>
    </row>
    <row r="6953" spans="2:7" x14ac:dyDescent="0.2">
      <c r="B6953" s="60">
        <v>45477</v>
      </c>
      <c r="C6953" s="7">
        <v>2.5849999999999998E-2</v>
      </c>
      <c r="D6953" s="7">
        <v>2.5659999999999999E-2</v>
      </c>
      <c r="E6953" s="7">
        <v>2.5870000000000001E-2</v>
      </c>
      <c r="F6953" s="7">
        <v>2.564E-2</v>
      </c>
      <c r="G6953" s="7">
        <v>1.0200000000000001E-2</v>
      </c>
    </row>
    <row r="6954" spans="2:7" x14ac:dyDescent="0.2">
      <c r="B6954" s="60">
        <v>45478</v>
      </c>
      <c r="C6954" s="7">
        <v>2.5319999999999999E-2</v>
      </c>
      <c r="D6954" s="7">
        <v>2.5870000000000001E-2</v>
      </c>
      <c r="E6954" s="7">
        <v>2.5870000000000001E-2</v>
      </c>
      <c r="F6954" s="7">
        <v>2.5310000000000003E-2</v>
      </c>
      <c r="G6954" s="7">
        <v>-2.0500000000000001E-2</v>
      </c>
    </row>
    <row r="6955" spans="2:7" x14ac:dyDescent="0.2">
      <c r="B6955" s="60">
        <v>45481</v>
      </c>
      <c r="C6955" s="7">
        <v>2.5190000000000001E-2</v>
      </c>
      <c r="D6955" s="7">
        <v>2.5329999999999998E-2</v>
      </c>
      <c r="E6955" s="7">
        <v>2.5659999999999999E-2</v>
      </c>
      <c r="F6955" s="7">
        <v>2.511E-2</v>
      </c>
      <c r="G6955" s="7">
        <v>-5.1000000000000004E-3</v>
      </c>
    </row>
    <row r="6956" spans="2:7" x14ac:dyDescent="0.2">
      <c r="B6956" s="60">
        <v>45482</v>
      </c>
      <c r="C6956" s="7">
        <v>2.5600000000000001E-2</v>
      </c>
      <c r="D6956" s="7">
        <v>2.5169999999999998E-2</v>
      </c>
      <c r="E6956" s="7">
        <v>2.5610000000000001E-2</v>
      </c>
      <c r="F6956" s="7">
        <v>2.5160000000000002E-2</v>
      </c>
      <c r="G6956" s="7">
        <v>1.6299999999999999E-2</v>
      </c>
    </row>
    <row r="6957" spans="2:7" x14ac:dyDescent="0.2">
      <c r="B6957" s="60">
        <v>45483</v>
      </c>
      <c r="C6957" s="7">
        <v>2.5360000000000001E-2</v>
      </c>
      <c r="D6957" s="7">
        <v>2.58E-2</v>
      </c>
      <c r="E6957" s="7">
        <v>2.58E-2</v>
      </c>
      <c r="F6957" s="7">
        <v>2.513E-2</v>
      </c>
      <c r="G6957" s="7">
        <v>-9.4000000000000004E-3</v>
      </c>
    </row>
    <row r="6958" spans="2:7" x14ac:dyDescent="0.2">
      <c r="B6958" s="60">
        <v>45484</v>
      </c>
      <c r="C6958" s="7">
        <v>2.4709999999999999E-2</v>
      </c>
      <c r="D6958" s="7">
        <v>2.5399999999999999E-2</v>
      </c>
      <c r="E6958" s="7">
        <v>2.5579999999999999E-2</v>
      </c>
      <c r="F6958" s="7">
        <v>2.4629999999999999E-2</v>
      </c>
      <c r="G6958" s="7">
        <v>-2.5600000000000001E-2</v>
      </c>
    </row>
    <row r="6959" spans="2:7" x14ac:dyDescent="0.2">
      <c r="B6959" s="60">
        <v>45485</v>
      </c>
      <c r="C6959" s="7">
        <v>2.496E-2</v>
      </c>
      <c r="D6959" s="7">
        <v>2.4929999999999997E-2</v>
      </c>
      <c r="E6959" s="7">
        <v>2.5239999999999999E-2</v>
      </c>
      <c r="F6959" s="7">
        <v>2.4830000000000001E-2</v>
      </c>
      <c r="G6959" s="7">
        <v>1.01E-2</v>
      </c>
    </row>
    <row r="6960" spans="2:7" x14ac:dyDescent="0.2">
      <c r="B6960" s="60">
        <v>45488</v>
      </c>
      <c r="C6960" s="7">
        <v>2.4700000000000003E-2</v>
      </c>
      <c r="D6960" s="7">
        <v>2.496E-2</v>
      </c>
      <c r="E6960" s="7">
        <v>2.5219999999999999E-2</v>
      </c>
      <c r="F6960" s="7">
        <v>2.4680000000000001E-2</v>
      </c>
      <c r="G6960" s="7">
        <v>-1.04E-2</v>
      </c>
    </row>
    <row r="6961" spans="2:7" x14ac:dyDescent="0.2">
      <c r="B6961" s="60">
        <v>45489</v>
      </c>
      <c r="C6961" s="7">
        <v>2.4319999999999998E-2</v>
      </c>
      <c r="D6961" s="7">
        <v>2.4680000000000001E-2</v>
      </c>
      <c r="E6961" s="7">
        <v>2.4719999999999999E-2</v>
      </c>
      <c r="F6961" s="7">
        <v>2.4169999999999997E-2</v>
      </c>
      <c r="G6961" s="7">
        <v>-1.54E-2</v>
      </c>
    </row>
    <row r="6962" spans="2:7" x14ac:dyDescent="0.2">
      <c r="B6962" s="60">
        <v>45490</v>
      </c>
      <c r="C6962" s="7">
        <v>2.4209999999999999E-2</v>
      </c>
      <c r="D6962" s="7">
        <v>2.4249999999999997E-2</v>
      </c>
      <c r="E6962" s="7">
        <v>2.4460000000000003E-2</v>
      </c>
      <c r="F6962" s="7">
        <v>2.4080000000000001E-2</v>
      </c>
      <c r="G6962" s="7">
        <v>-4.4999999999999997E-3</v>
      </c>
    </row>
    <row r="6963" spans="2:7" x14ac:dyDescent="0.2">
      <c r="B6963" s="60">
        <v>45491</v>
      </c>
      <c r="C6963" s="7">
        <v>2.4109999999999999E-2</v>
      </c>
      <c r="D6963" s="7">
        <v>2.4220000000000002E-2</v>
      </c>
      <c r="E6963" s="7">
        <v>2.4500000000000001E-2</v>
      </c>
      <c r="F6963" s="7">
        <v>2.4009999999999997E-2</v>
      </c>
      <c r="G6963" s="7">
        <v>-4.1000000000000003E-3</v>
      </c>
    </row>
    <row r="6964" spans="2:7" x14ac:dyDescent="0.2">
      <c r="B6964" s="60">
        <v>45492</v>
      </c>
      <c r="C6964" s="7">
        <v>2.4629999999999999E-2</v>
      </c>
      <c r="D6964" s="7">
        <v>2.4220000000000002E-2</v>
      </c>
      <c r="E6964" s="7">
        <v>2.4750000000000001E-2</v>
      </c>
      <c r="F6964" s="7">
        <v>2.418E-2</v>
      </c>
      <c r="G6964" s="7">
        <v>2.1600000000000001E-2</v>
      </c>
    </row>
    <row r="6965" spans="2:7" x14ac:dyDescent="0.2">
      <c r="B6965" s="60">
        <v>45495</v>
      </c>
      <c r="C6965" s="7">
        <v>2.4830000000000001E-2</v>
      </c>
      <c r="D6965" s="7">
        <v>2.461E-2</v>
      </c>
      <c r="E6965" s="7">
        <v>2.4840000000000001E-2</v>
      </c>
      <c r="F6965" s="7">
        <v>2.443E-2</v>
      </c>
      <c r="G6965" s="7">
        <v>8.0999999999999996E-3</v>
      </c>
    </row>
    <row r="6966" spans="2:7" x14ac:dyDescent="0.2">
      <c r="B6966" s="60">
        <v>45496</v>
      </c>
      <c r="C6966" s="7">
        <v>2.4380000000000002E-2</v>
      </c>
      <c r="D6966" s="7">
        <v>2.4929999999999997E-2</v>
      </c>
      <c r="E6966" s="7">
        <v>2.496E-2</v>
      </c>
      <c r="F6966" s="7">
        <v>2.4340000000000001E-2</v>
      </c>
      <c r="G6966" s="7">
        <v>-1.8100000000000002E-2</v>
      </c>
    </row>
    <row r="6967" spans="2:7" x14ac:dyDescent="0.2">
      <c r="B6967" s="60">
        <v>45497</v>
      </c>
      <c r="C6967" s="7">
        <v>2.4420000000000001E-2</v>
      </c>
      <c r="D6967" s="7">
        <v>2.443E-2</v>
      </c>
      <c r="E6967" s="7">
        <v>2.4540000000000003E-2</v>
      </c>
      <c r="F6967" s="7">
        <v>2.4070000000000001E-2</v>
      </c>
      <c r="G6967" s="7">
        <v>1.6000000000000001E-3</v>
      </c>
    </row>
    <row r="6968" spans="2:7" x14ac:dyDescent="0.2">
      <c r="B6968" s="60">
        <v>45498</v>
      </c>
      <c r="C6968" s="7">
        <v>2.4129999999999999E-2</v>
      </c>
      <c r="D6968" s="7">
        <v>2.453E-2</v>
      </c>
      <c r="E6968" s="7">
        <v>2.4559999999999998E-2</v>
      </c>
      <c r="F6968" s="7">
        <v>2.3900000000000001E-2</v>
      </c>
      <c r="G6968" s="7">
        <v>-1.1900000000000001E-2</v>
      </c>
    </row>
    <row r="6969" spans="2:7" x14ac:dyDescent="0.2">
      <c r="B6969" s="60">
        <v>45499</v>
      </c>
      <c r="C6969" s="7">
        <v>2.4029999999999999E-2</v>
      </c>
      <c r="D6969" s="7">
        <v>2.4340000000000001E-2</v>
      </c>
      <c r="E6969" s="7">
        <v>2.4590000000000001E-2</v>
      </c>
      <c r="F6969" s="7">
        <v>2.3900000000000001E-2</v>
      </c>
      <c r="G6969" s="7">
        <v>-4.1000000000000003E-3</v>
      </c>
    </row>
    <row r="6970" spans="2:7" x14ac:dyDescent="0.2">
      <c r="B6970" s="60">
        <v>45502</v>
      </c>
      <c r="C6970" s="7">
        <v>2.3599999999999999E-2</v>
      </c>
      <c r="D6970" s="7">
        <v>2.4070000000000001E-2</v>
      </c>
      <c r="E6970" s="7">
        <v>2.4080000000000001E-2</v>
      </c>
      <c r="F6970" s="7">
        <v>2.3439999999999999E-2</v>
      </c>
      <c r="G6970" s="7">
        <v>-1.7899999999999999E-2</v>
      </c>
    </row>
    <row r="6971" spans="2:7" x14ac:dyDescent="0.2">
      <c r="B6971" s="60">
        <v>45503</v>
      </c>
      <c r="C6971" s="7">
        <v>2.342E-2</v>
      </c>
      <c r="D6971" s="7">
        <v>2.367E-2</v>
      </c>
      <c r="E6971" s="7">
        <v>2.3690000000000003E-2</v>
      </c>
      <c r="F6971" s="7">
        <v>2.3319999999999997E-2</v>
      </c>
      <c r="G6971" s="7">
        <v>-7.6E-3</v>
      </c>
    </row>
    <row r="6972" spans="2:7" x14ac:dyDescent="0.2">
      <c r="B6972" s="60">
        <v>45504</v>
      </c>
      <c r="C6972" s="7">
        <v>2.3019999999999999E-2</v>
      </c>
      <c r="D6972" s="7">
        <v>2.3390000000000001E-2</v>
      </c>
      <c r="E6972" s="7">
        <v>2.3390000000000001E-2</v>
      </c>
      <c r="F6972" s="7">
        <v>2.3010000000000003E-2</v>
      </c>
      <c r="G6972" s="7">
        <v>-1.7100000000000001E-2</v>
      </c>
    </row>
    <row r="6973" spans="2:7" x14ac:dyDescent="0.2">
      <c r="B6973" s="60">
        <v>45505</v>
      </c>
      <c r="C6973" s="7">
        <v>2.2480000000000003E-2</v>
      </c>
      <c r="D6973" s="7">
        <v>2.3039999999999998E-2</v>
      </c>
      <c r="E6973" s="7">
        <v>2.3039999999999998E-2</v>
      </c>
      <c r="F6973" s="7">
        <v>2.2320000000000003E-2</v>
      </c>
      <c r="G6973" s="7">
        <v>-2.35E-2</v>
      </c>
    </row>
    <row r="6974" spans="2:7" x14ac:dyDescent="0.2">
      <c r="B6974" s="60">
        <v>45506</v>
      </c>
      <c r="C6974" s="7">
        <v>2.1600000000000001E-2</v>
      </c>
      <c r="D6974" s="7">
        <v>2.231E-2</v>
      </c>
      <c r="E6974" s="7">
        <v>2.2349999999999998E-2</v>
      </c>
      <c r="F6974" s="7">
        <v>2.1489999999999999E-2</v>
      </c>
      <c r="G6974" s="7">
        <v>-3.9100000000000003E-2</v>
      </c>
    </row>
    <row r="6975" spans="2:7" x14ac:dyDescent="0.2">
      <c r="B6975" s="60">
        <v>45509</v>
      </c>
      <c r="C6975" s="7">
        <v>2.1819999999999999E-2</v>
      </c>
      <c r="D6975" s="7">
        <v>2.1000000000000001E-2</v>
      </c>
      <c r="E6975" s="7">
        <v>2.1840000000000002E-2</v>
      </c>
      <c r="F6975" s="7">
        <v>2.0739999999999998E-2</v>
      </c>
      <c r="G6975" s="7">
        <v>1.0200000000000001E-2</v>
      </c>
    </row>
    <row r="6976" spans="2:7" x14ac:dyDescent="0.2">
      <c r="B6976" s="60">
        <v>45510</v>
      </c>
      <c r="C6976" s="7">
        <v>2.181E-2</v>
      </c>
      <c r="D6976" s="7">
        <v>2.1850000000000001E-2</v>
      </c>
      <c r="E6976" s="7">
        <v>2.2269999999999998E-2</v>
      </c>
      <c r="F6976" s="7">
        <v>2.1389999999999999E-2</v>
      </c>
      <c r="G6976" s="7">
        <v>-5.0000000000000001E-4</v>
      </c>
    </row>
    <row r="6977" spans="2:7" x14ac:dyDescent="0.2">
      <c r="B6977" s="60">
        <v>45511</v>
      </c>
      <c r="C6977" s="7">
        <v>2.2719999999999997E-2</v>
      </c>
      <c r="D6977" s="7">
        <v>2.198E-2</v>
      </c>
      <c r="E6977" s="7">
        <v>2.29E-2</v>
      </c>
      <c r="F6977" s="7">
        <v>2.198E-2</v>
      </c>
      <c r="G6977" s="7">
        <v>4.1700000000000001E-2</v>
      </c>
    </row>
    <row r="6978" spans="2:7" x14ac:dyDescent="0.2">
      <c r="B6978" s="60">
        <v>45512</v>
      </c>
      <c r="C6978" s="7">
        <v>2.2690000000000002E-2</v>
      </c>
      <c r="D6978" s="7">
        <v>2.2679999999999999E-2</v>
      </c>
      <c r="E6978" s="7">
        <v>2.283E-2</v>
      </c>
      <c r="F6978" s="7">
        <v>2.2160000000000003E-2</v>
      </c>
      <c r="G6978" s="7">
        <v>-1.2999999999999999E-3</v>
      </c>
    </row>
    <row r="6979" spans="2:7" x14ac:dyDescent="0.2">
      <c r="B6979" s="60">
        <v>45513</v>
      </c>
      <c r="C6979" s="7">
        <v>2.222E-2</v>
      </c>
      <c r="D6979" s="7">
        <v>2.2559999999999997E-2</v>
      </c>
      <c r="E6979" s="7">
        <v>2.2679999999999999E-2</v>
      </c>
      <c r="F6979" s="7">
        <v>2.2160000000000003E-2</v>
      </c>
      <c r="G6979" s="7">
        <v>-2.07E-2</v>
      </c>
    </row>
    <row r="6980" spans="2:7" x14ac:dyDescent="0.2">
      <c r="B6980" s="60">
        <v>45516</v>
      </c>
      <c r="C6980" s="7">
        <v>2.2250000000000002E-2</v>
      </c>
      <c r="D6980" s="7">
        <v>2.2349999999999998E-2</v>
      </c>
      <c r="E6980" s="7">
        <v>2.2519999999999998E-2</v>
      </c>
      <c r="F6980" s="7">
        <v>2.222E-2</v>
      </c>
      <c r="G6980" s="7">
        <v>1.4E-3</v>
      </c>
    </row>
    <row r="6981" spans="2:7" x14ac:dyDescent="0.2">
      <c r="B6981" s="60">
        <v>45517</v>
      </c>
      <c r="C6981" s="7">
        <v>2.1819999999999999E-2</v>
      </c>
      <c r="D6981" s="7">
        <v>2.2259999999999999E-2</v>
      </c>
      <c r="E6981" s="7">
        <v>2.2320000000000003E-2</v>
      </c>
      <c r="F6981" s="7">
        <v>2.1780000000000001E-2</v>
      </c>
      <c r="G6981" s="7">
        <v>-1.9300000000000001E-2</v>
      </c>
    </row>
    <row r="6982" spans="2:7" x14ac:dyDescent="0.2">
      <c r="B6982" s="60">
        <v>45518</v>
      </c>
      <c r="C6982" s="7">
        <v>2.1770000000000001E-2</v>
      </c>
      <c r="D6982" s="7">
        <v>2.1840000000000002E-2</v>
      </c>
      <c r="E6982" s="7">
        <v>2.2170000000000002E-2</v>
      </c>
      <c r="F6982" s="7">
        <v>2.1680000000000001E-2</v>
      </c>
      <c r="G6982" s="7">
        <v>-2.3E-3</v>
      </c>
    </row>
    <row r="6983" spans="2:7" x14ac:dyDescent="0.2">
      <c r="B6983" s="60">
        <v>45519</v>
      </c>
      <c r="C6983" s="7">
        <v>2.2620000000000001E-2</v>
      </c>
      <c r="D6983" s="7">
        <v>2.1840000000000002E-2</v>
      </c>
      <c r="E6983" s="7">
        <v>2.266E-2</v>
      </c>
      <c r="F6983" s="7">
        <v>2.1760000000000002E-2</v>
      </c>
      <c r="G6983" s="7">
        <v>3.9E-2</v>
      </c>
    </row>
    <row r="6984" spans="2:7" x14ac:dyDescent="0.2">
      <c r="B6984" s="60">
        <v>45520</v>
      </c>
      <c r="C6984" s="7">
        <v>2.2579999999999999E-2</v>
      </c>
      <c r="D6984" s="7">
        <v>2.2669999999999999E-2</v>
      </c>
      <c r="E6984" s="7">
        <v>2.2669999999999999E-2</v>
      </c>
      <c r="F6984" s="7">
        <v>2.213E-2</v>
      </c>
      <c r="G6984" s="7">
        <v>-1.8E-3</v>
      </c>
    </row>
    <row r="6985" spans="2:7" x14ac:dyDescent="0.2">
      <c r="B6985" s="60">
        <v>45523</v>
      </c>
      <c r="C6985" s="7">
        <v>2.2540000000000001E-2</v>
      </c>
      <c r="D6985" s="7">
        <v>2.2579999999999999E-2</v>
      </c>
      <c r="E6985" s="7">
        <v>2.2629999999999997E-2</v>
      </c>
      <c r="F6985" s="7">
        <v>2.215E-2</v>
      </c>
      <c r="G6985" s="7">
        <v>-1.8E-3</v>
      </c>
    </row>
    <row r="6986" spans="2:7" x14ac:dyDescent="0.2">
      <c r="B6986" s="60">
        <v>45524</v>
      </c>
      <c r="C6986" s="7">
        <v>2.215E-2</v>
      </c>
      <c r="D6986" s="7">
        <v>2.2599999999999999E-2</v>
      </c>
      <c r="E6986" s="7">
        <v>2.2599999999999999E-2</v>
      </c>
      <c r="F6986" s="7">
        <v>2.2099999999999998E-2</v>
      </c>
      <c r="G6986" s="7">
        <v>-1.7299999999999999E-2</v>
      </c>
    </row>
    <row r="6987" spans="2:7" x14ac:dyDescent="0.2">
      <c r="B6987" s="60">
        <v>45525</v>
      </c>
      <c r="C6987" s="7">
        <v>2.2010000000000002E-2</v>
      </c>
      <c r="D6987" s="7">
        <v>2.2069999999999999E-2</v>
      </c>
      <c r="E6987" s="7">
        <v>2.2259999999999999E-2</v>
      </c>
      <c r="F6987" s="7">
        <v>2.1949999999999997E-2</v>
      </c>
      <c r="G6987" s="7">
        <v>-6.3E-3</v>
      </c>
    </row>
    <row r="6988" spans="2:7" x14ac:dyDescent="0.2">
      <c r="B6988" s="60">
        <v>45526</v>
      </c>
      <c r="C6988" s="7">
        <v>2.2450000000000001E-2</v>
      </c>
      <c r="D6988" s="7">
        <v>2.2010000000000002E-2</v>
      </c>
      <c r="E6988" s="7">
        <v>2.2480000000000003E-2</v>
      </c>
      <c r="F6988" s="7">
        <v>2.1780000000000001E-2</v>
      </c>
      <c r="G6988" s="7">
        <v>0.02</v>
      </c>
    </row>
    <row r="6989" spans="2:7" x14ac:dyDescent="0.2">
      <c r="B6989" s="60">
        <v>45527</v>
      </c>
      <c r="C6989" s="7">
        <v>2.2250000000000002E-2</v>
      </c>
      <c r="D6989" s="7">
        <v>2.2450000000000001E-2</v>
      </c>
      <c r="E6989" s="7">
        <v>2.2610000000000002E-2</v>
      </c>
      <c r="F6989" s="7">
        <v>2.2160000000000003E-2</v>
      </c>
      <c r="G6989" s="7">
        <v>-8.8999999999999999E-3</v>
      </c>
    </row>
    <row r="6990" spans="2:7" x14ac:dyDescent="0.2">
      <c r="B6990" s="60">
        <v>45530</v>
      </c>
      <c r="C6990" s="7">
        <v>2.249E-2</v>
      </c>
      <c r="D6990" s="7">
        <v>2.23E-2</v>
      </c>
      <c r="E6990" s="7">
        <v>2.266E-2</v>
      </c>
      <c r="F6990" s="7">
        <v>2.2109999999999998E-2</v>
      </c>
      <c r="G6990" s="7">
        <v>1.0800000000000001E-2</v>
      </c>
    </row>
    <row r="6991" spans="2:7" x14ac:dyDescent="0.2">
      <c r="B6991" s="60">
        <v>45531</v>
      </c>
      <c r="C6991" s="7">
        <v>2.2789999999999998E-2</v>
      </c>
      <c r="D6991" s="7">
        <v>2.257E-2</v>
      </c>
      <c r="E6991" s="7">
        <v>2.3E-2</v>
      </c>
      <c r="F6991" s="7">
        <v>2.2429999999999999E-2</v>
      </c>
      <c r="G6991" s="7">
        <v>1.3299999999999999E-2</v>
      </c>
    </row>
    <row r="6992" spans="2:7" x14ac:dyDescent="0.2">
      <c r="B6992" s="60">
        <v>45532</v>
      </c>
      <c r="C6992" s="7">
        <v>2.2540000000000001E-2</v>
      </c>
      <c r="D6992" s="7">
        <v>2.2759999999999999E-2</v>
      </c>
      <c r="E6992" s="7">
        <v>2.281E-2</v>
      </c>
      <c r="F6992" s="7">
        <v>2.2330000000000003E-2</v>
      </c>
      <c r="G6992" s="7">
        <v>-1.0999999999999999E-2</v>
      </c>
    </row>
    <row r="6993" spans="2:7" x14ac:dyDescent="0.2">
      <c r="B6993" s="60">
        <v>45533</v>
      </c>
      <c r="C6993" s="7">
        <v>2.282E-2</v>
      </c>
      <c r="D6993" s="7">
        <v>2.265E-2</v>
      </c>
      <c r="E6993" s="7">
        <v>2.2860000000000002E-2</v>
      </c>
      <c r="F6993" s="7">
        <v>2.222E-2</v>
      </c>
      <c r="G6993" s="7">
        <v>1.24E-2</v>
      </c>
    </row>
    <row r="6994" spans="2:7" x14ac:dyDescent="0.2">
      <c r="B6994" s="60">
        <v>45534</v>
      </c>
      <c r="C6994" s="7">
        <v>2.29E-2</v>
      </c>
      <c r="D6994" s="7">
        <v>2.2789999999999998E-2</v>
      </c>
      <c r="E6994" s="7">
        <v>2.291E-2</v>
      </c>
      <c r="F6994" s="7">
        <v>2.2519999999999998E-2</v>
      </c>
      <c r="G6994" s="7">
        <v>3.5000000000000001E-3</v>
      </c>
    </row>
    <row r="6995" spans="2:7" x14ac:dyDescent="0.2">
      <c r="B6995" s="60">
        <v>45537</v>
      </c>
      <c r="C6995" s="7">
        <v>2.3380000000000001E-2</v>
      </c>
      <c r="D6995" s="7">
        <v>2.3010000000000003E-2</v>
      </c>
      <c r="E6995" s="7">
        <v>2.349E-2</v>
      </c>
      <c r="F6995" s="7">
        <v>2.3010000000000003E-2</v>
      </c>
      <c r="G6995" s="7">
        <v>2.1000000000000001E-2</v>
      </c>
    </row>
    <row r="6996" spans="2:7" x14ac:dyDescent="0.2">
      <c r="B6996" s="60">
        <v>45538</v>
      </c>
      <c r="C6996" s="7">
        <v>2.274E-2</v>
      </c>
      <c r="D6996" s="7">
        <v>2.3300000000000001E-2</v>
      </c>
      <c r="E6996" s="7">
        <v>2.342E-2</v>
      </c>
      <c r="F6996" s="7">
        <v>2.2589999999999999E-2</v>
      </c>
      <c r="G6996" s="7">
        <v>-2.7400000000000001E-2</v>
      </c>
    </row>
    <row r="6997" spans="2:7" x14ac:dyDescent="0.2">
      <c r="B6997" s="60">
        <v>45539</v>
      </c>
      <c r="C6997" s="7">
        <v>2.2170000000000002E-2</v>
      </c>
      <c r="D6997" s="7">
        <v>2.283E-2</v>
      </c>
      <c r="E6997" s="7">
        <v>2.283E-2</v>
      </c>
      <c r="F6997" s="7">
        <v>2.2029999999999998E-2</v>
      </c>
      <c r="G6997" s="7">
        <v>-2.5100000000000001E-2</v>
      </c>
    </row>
    <row r="6998" spans="2:7" x14ac:dyDescent="0.2">
      <c r="B6998" s="60">
        <v>45540</v>
      </c>
      <c r="C6998" s="7">
        <v>2.2080000000000002E-2</v>
      </c>
      <c r="D6998" s="7">
        <v>2.206E-2</v>
      </c>
      <c r="E6998" s="7">
        <v>2.2360000000000001E-2</v>
      </c>
      <c r="F6998" s="7">
        <v>2.1920000000000002E-2</v>
      </c>
      <c r="G6998" s="7">
        <v>-4.1000000000000003E-3</v>
      </c>
    </row>
    <row r="6999" spans="2:7" x14ac:dyDescent="0.2">
      <c r="B6999" s="60">
        <v>45541</v>
      </c>
      <c r="C6999" s="7">
        <v>2.1709999999999997E-2</v>
      </c>
      <c r="D6999" s="7">
        <v>2.2080000000000002E-2</v>
      </c>
      <c r="E6999" s="7">
        <v>2.2170000000000002E-2</v>
      </c>
      <c r="F6999" s="7">
        <v>2.147E-2</v>
      </c>
      <c r="G6999" s="7">
        <v>-1.6799999999999999E-2</v>
      </c>
    </row>
    <row r="7000" spans="2:7" x14ac:dyDescent="0.2">
      <c r="B7000" s="60">
        <v>45544</v>
      </c>
      <c r="C7000" s="7">
        <v>2.1709999999999997E-2</v>
      </c>
      <c r="D7000" s="7">
        <v>2.2269999999999998E-2</v>
      </c>
      <c r="E7000" s="7">
        <v>2.239E-2</v>
      </c>
      <c r="F7000" s="7">
        <v>2.1659999999999999E-2</v>
      </c>
      <c r="G7000" s="7">
        <v>0</v>
      </c>
    </row>
    <row r="7001" spans="2:7" x14ac:dyDescent="0.2">
      <c r="B7001" s="60">
        <v>45545</v>
      </c>
      <c r="C7001" s="7">
        <v>2.1480000000000003E-2</v>
      </c>
      <c r="D7001" s="7">
        <v>2.1649999999999999E-2</v>
      </c>
      <c r="E7001" s="7">
        <v>2.1869999999999997E-2</v>
      </c>
      <c r="F7001" s="7">
        <v>2.1480000000000003E-2</v>
      </c>
      <c r="G7001" s="7">
        <v>-1.06E-2</v>
      </c>
    </row>
    <row r="7002" spans="2:7" x14ac:dyDescent="0.2">
      <c r="B7002" s="60">
        <v>45546</v>
      </c>
      <c r="C7002" s="7">
        <v>2.0979999999999999E-2</v>
      </c>
      <c r="D7002" s="7">
        <v>2.1409999999999998E-2</v>
      </c>
      <c r="E7002" s="7">
        <v>2.1569999999999999E-2</v>
      </c>
      <c r="F7002" s="7">
        <v>2.086E-2</v>
      </c>
      <c r="G7002" s="7">
        <v>-2.3300000000000001E-2</v>
      </c>
    </row>
    <row r="7003" spans="2:7" x14ac:dyDescent="0.2">
      <c r="B7003" s="60">
        <v>45547</v>
      </c>
      <c r="C7003" s="7">
        <v>2.1560000000000003E-2</v>
      </c>
      <c r="D7003" s="7">
        <v>2.1110000000000004E-2</v>
      </c>
      <c r="E7003" s="7">
        <v>2.1610000000000001E-2</v>
      </c>
      <c r="F7003" s="7">
        <v>2.0979999999999999E-2</v>
      </c>
      <c r="G7003" s="7">
        <v>2.76E-2</v>
      </c>
    </row>
    <row r="7004" spans="2:7" x14ac:dyDescent="0.2">
      <c r="B7004" s="60">
        <v>45548</v>
      </c>
      <c r="C7004" s="7">
        <v>2.1489999999999999E-2</v>
      </c>
      <c r="D7004" s="7">
        <v>2.128E-2</v>
      </c>
      <c r="E7004" s="7">
        <v>2.1610000000000001E-2</v>
      </c>
      <c r="F7004" s="7">
        <v>2.1090000000000001E-2</v>
      </c>
      <c r="G7004" s="7">
        <v>-3.2000000000000002E-3</v>
      </c>
    </row>
    <row r="7005" spans="2:7" x14ac:dyDescent="0.2">
      <c r="B7005" s="60">
        <v>45551</v>
      </c>
      <c r="C7005" s="7">
        <v>2.12E-2</v>
      </c>
      <c r="D7005" s="7">
        <v>2.147E-2</v>
      </c>
      <c r="E7005" s="7">
        <v>2.1610000000000001E-2</v>
      </c>
      <c r="F7005" s="7">
        <v>2.1179999999999997E-2</v>
      </c>
      <c r="G7005" s="7">
        <v>-1.35E-2</v>
      </c>
    </row>
    <row r="7006" spans="2:7" x14ac:dyDescent="0.2">
      <c r="B7006" s="60">
        <v>45552</v>
      </c>
      <c r="C7006" s="7">
        <v>2.147E-2</v>
      </c>
      <c r="D7006" s="7">
        <v>2.1240000000000002E-2</v>
      </c>
      <c r="E7006" s="7">
        <v>2.1489999999999999E-2</v>
      </c>
      <c r="F7006" s="7">
        <v>2.0889999999999999E-2</v>
      </c>
      <c r="G7006" s="7">
        <v>1.2699999999999999E-2</v>
      </c>
    </row>
    <row r="7007" spans="2:7" x14ac:dyDescent="0.2">
      <c r="B7007" s="60">
        <v>45553</v>
      </c>
      <c r="C7007" s="7">
        <v>2.1909999999999999E-2</v>
      </c>
      <c r="D7007" s="7">
        <v>2.1489999999999999E-2</v>
      </c>
      <c r="E7007" s="7">
        <v>2.196E-2</v>
      </c>
      <c r="F7007" s="7">
        <v>2.1409999999999998E-2</v>
      </c>
      <c r="G7007" s="7">
        <v>2.0500000000000001E-2</v>
      </c>
    </row>
    <row r="7008" spans="2:7" x14ac:dyDescent="0.2">
      <c r="B7008" s="60">
        <v>45554</v>
      </c>
      <c r="C7008" s="7">
        <v>2.1920000000000002E-2</v>
      </c>
      <c r="D7008" s="7">
        <v>2.197E-2</v>
      </c>
      <c r="E7008" s="7">
        <v>2.2189999999999998E-2</v>
      </c>
      <c r="F7008" s="7">
        <v>2.1819999999999999E-2</v>
      </c>
      <c r="G7008" s="7">
        <v>5.0000000000000001E-4</v>
      </c>
    </row>
    <row r="7009" spans="2:7" x14ac:dyDescent="0.2">
      <c r="B7009" s="60">
        <v>45555</v>
      </c>
      <c r="C7009" s="7">
        <v>2.2210000000000001E-2</v>
      </c>
      <c r="D7009" s="7">
        <v>2.1899999999999999E-2</v>
      </c>
      <c r="E7009" s="7">
        <v>2.2259999999999999E-2</v>
      </c>
      <c r="F7009" s="7">
        <v>2.1700000000000001E-2</v>
      </c>
      <c r="G7009" s="7">
        <v>1.32E-2</v>
      </c>
    </row>
    <row r="7010" spans="2:7" x14ac:dyDescent="0.2">
      <c r="B7010" s="60">
        <v>45558</v>
      </c>
      <c r="C7010" s="7">
        <v>2.1749999999999999E-2</v>
      </c>
      <c r="D7010" s="7">
        <v>2.2120000000000001E-2</v>
      </c>
      <c r="E7010" s="7">
        <v>2.2160000000000003E-2</v>
      </c>
      <c r="F7010" s="7">
        <v>2.1429999999999998E-2</v>
      </c>
      <c r="G7010" s="7">
        <v>-2.07E-2</v>
      </c>
    </row>
    <row r="7011" spans="2:7" x14ac:dyDescent="0.2">
      <c r="B7011" s="60">
        <v>45559</v>
      </c>
      <c r="C7011" s="7">
        <v>2.1360000000000001E-2</v>
      </c>
      <c r="D7011" s="7">
        <v>2.1709999999999997E-2</v>
      </c>
      <c r="E7011" s="7">
        <v>2.197E-2</v>
      </c>
      <c r="F7011" s="7">
        <v>2.1299999999999999E-2</v>
      </c>
      <c r="G7011" s="7">
        <v>-1.7899999999999999E-2</v>
      </c>
    </row>
    <row r="7012" spans="2:7" x14ac:dyDescent="0.2">
      <c r="B7012" s="60">
        <v>45560</v>
      </c>
      <c r="C7012" s="7">
        <v>2.189E-2</v>
      </c>
      <c r="D7012" s="7">
        <v>2.1489999999999999E-2</v>
      </c>
      <c r="E7012" s="7">
        <v>2.1920000000000002E-2</v>
      </c>
      <c r="F7012" s="7">
        <v>2.1330000000000002E-2</v>
      </c>
      <c r="G7012" s="7">
        <v>2.4799999999999999E-2</v>
      </c>
    </row>
    <row r="7013" spans="2:7" x14ac:dyDescent="0.2">
      <c r="B7013" s="60">
        <v>45561</v>
      </c>
      <c r="C7013" s="7">
        <v>2.1720000000000003E-2</v>
      </c>
      <c r="D7013" s="7">
        <v>2.181E-2</v>
      </c>
      <c r="E7013" s="7">
        <v>2.1829999999999999E-2</v>
      </c>
      <c r="F7013" s="7">
        <v>2.1259999999999998E-2</v>
      </c>
      <c r="G7013" s="7">
        <v>-7.7999999999999996E-3</v>
      </c>
    </row>
    <row r="7014" spans="2:7" x14ac:dyDescent="0.2">
      <c r="B7014" s="60">
        <v>45562</v>
      </c>
      <c r="C7014" s="7">
        <v>2.1400000000000002E-2</v>
      </c>
      <c r="D7014" s="7">
        <v>2.1690000000000001E-2</v>
      </c>
      <c r="E7014" s="7">
        <v>2.1909999999999999E-2</v>
      </c>
      <c r="F7014" s="7">
        <v>2.1099999999999997E-2</v>
      </c>
      <c r="G7014" s="7">
        <v>-1.47E-2</v>
      </c>
    </row>
    <row r="7015" spans="2:7" x14ac:dyDescent="0.2">
      <c r="B7015" s="60">
        <v>45565</v>
      </c>
      <c r="C7015" s="7">
        <v>2.1320000000000002E-2</v>
      </c>
      <c r="D7015" s="7">
        <v>2.1330000000000002E-2</v>
      </c>
      <c r="E7015" s="7">
        <v>2.1760000000000002E-2</v>
      </c>
      <c r="F7015" s="7">
        <v>2.1139999999999999E-2</v>
      </c>
      <c r="G7015" s="7">
        <v>-3.7000000000000002E-3</v>
      </c>
    </row>
    <row r="7016" spans="2:7" x14ac:dyDescent="0.2">
      <c r="B7016" s="60">
        <v>45566</v>
      </c>
      <c r="C7016" s="7">
        <v>2.043E-2</v>
      </c>
      <c r="D7016" s="7">
        <v>2.1259999999999998E-2</v>
      </c>
      <c r="E7016" s="7">
        <v>2.1309999999999999E-2</v>
      </c>
      <c r="F7016" s="7">
        <v>2.0110000000000003E-2</v>
      </c>
      <c r="G7016" s="7">
        <v>-4.1700000000000001E-2</v>
      </c>
    </row>
    <row r="7017" spans="2:7" x14ac:dyDescent="0.2">
      <c r="B7017" s="60">
        <v>45567</v>
      </c>
      <c r="C7017" s="7">
        <v>2.1019999999999997E-2</v>
      </c>
      <c r="D7017" s="7">
        <v>2.0369999999999999E-2</v>
      </c>
      <c r="E7017" s="7">
        <v>2.1150000000000002E-2</v>
      </c>
      <c r="F7017" s="7">
        <v>2.035E-2</v>
      </c>
      <c r="G7017" s="7">
        <v>2.8899999999999999E-2</v>
      </c>
    </row>
    <row r="7018" spans="2:7" x14ac:dyDescent="0.2">
      <c r="B7018" s="60">
        <v>45568</v>
      </c>
      <c r="C7018" s="7">
        <v>2.137E-2</v>
      </c>
      <c r="D7018" s="7">
        <v>2.0910000000000002E-2</v>
      </c>
      <c r="E7018" s="7">
        <v>2.1569999999999999E-2</v>
      </c>
      <c r="F7018" s="7">
        <v>2.0889999999999999E-2</v>
      </c>
      <c r="G7018" s="7">
        <v>1.67E-2</v>
      </c>
    </row>
    <row r="7019" spans="2:7" x14ac:dyDescent="0.2">
      <c r="B7019" s="60">
        <v>45569</v>
      </c>
      <c r="C7019" s="7">
        <v>2.2120000000000001E-2</v>
      </c>
      <c r="D7019" s="7">
        <v>2.1440000000000001E-2</v>
      </c>
      <c r="E7019" s="7">
        <v>2.2409999999999999E-2</v>
      </c>
      <c r="F7019" s="7">
        <v>2.1429999999999998E-2</v>
      </c>
      <c r="G7019" s="7">
        <v>3.5099999999999999E-2</v>
      </c>
    </row>
    <row r="7020" spans="2:7" x14ac:dyDescent="0.2">
      <c r="B7020" s="60">
        <v>45572</v>
      </c>
      <c r="C7020" s="7">
        <v>2.2499999999999999E-2</v>
      </c>
      <c r="D7020" s="7">
        <v>2.2200000000000001E-2</v>
      </c>
      <c r="E7020" s="7">
        <v>2.2599999999999999E-2</v>
      </c>
      <c r="F7020" s="7">
        <v>2.2120000000000001E-2</v>
      </c>
      <c r="G7020" s="7">
        <v>1.72E-2</v>
      </c>
    </row>
    <row r="7021" spans="2:7" x14ac:dyDescent="0.2">
      <c r="B7021" s="60">
        <v>45573</v>
      </c>
      <c r="C7021" s="7">
        <v>2.247E-2</v>
      </c>
      <c r="D7021" s="7">
        <v>2.2559999999999997E-2</v>
      </c>
      <c r="E7021" s="7">
        <v>2.265E-2</v>
      </c>
      <c r="F7021" s="7">
        <v>2.2290000000000001E-2</v>
      </c>
      <c r="G7021" s="7">
        <v>-1.2999999999999999E-3</v>
      </c>
    </row>
    <row r="7022" spans="2:7" x14ac:dyDescent="0.2">
      <c r="B7022" s="60">
        <v>45574</v>
      </c>
      <c r="C7022" s="7">
        <v>2.257E-2</v>
      </c>
      <c r="D7022" s="7">
        <v>2.2440000000000002E-2</v>
      </c>
      <c r="E7022" s="7">
        <v>2.257E-2</v>
      </c>
      <c r="F7022" s="7">
        <v>2.2259999999999999E-2</v>
      </c>
      <c r="G7022" s="7">
        <v>4.4999999999999997E-3</v>
      </c>
    </row>
    <row r="7023" spans="2:7" x14ac:dyDescent="0.2">
      <c r="B7023" s="60">
        <v>45575</v>
      </c>
      <c r="C7023" s="7">
        <v>2.2530000000000001E-2</v>
      </c>
      <c r="D7023" s="7">
        <v>2.2629999999999997E-2</v>
      </c>
      <c r="E7023" s="7">
        <v>2.2879999999999998E-2</v>
      </c>
      <c r="F7023" s="7">
        <v>2.2519999999999998E-2</v>
      </c>
      <c r="G7023" s="7">
        <v>-1.8E-3</v>
      </c>
    </row>
    <row r="7024" spans="2:7" x14ac:dyDescent="0.2">
      <c r="B7024" s="60">
        <v>45576</v>
      </c>
      <c r="C7024" s="7">
        <v>2.274E-2</v>
      </c>
      <c r="D7024" s="7">
        <v>2.2480000000000003E-2</v>
      </c>
      <c r="E7024" s="7">
        <v>2.299E-2</v>
      </c>
      <c r="F7024" s="7">
        <v>2.2460000000000001E-2</v>
      </c>
      <c r="G7024" s="7">
        <v>9.2999999999999992E-3</v>
      </c>
    </row>
    <row r="7025" spans="2:7" x14ac:dyDescent="0.2">
      <c r="B7025" s="60">
        <v>45579</v>
      </c>
      <c r="C7025" s="7">
        <v>2.2759999999999999E-2</v>
      </c>
      <c r="D7025" s="7">
        <v>2.265E-2</v>
      </c>
      <c r="E7025" s="7">
        <v>2.2930000000000002E-2</v>
      </c>
      <c r="F7025" s="7">
        <v>2.2530000000000001E-2</v>
      </c>
      <c r="G7025" s="7">
        <v>8.9999999999999998E-4</v>
      </c>
    </row>
    <row r="7026" spans="2:7" x14ac:dyDescent="0.2">
      <c r="B7026" s="60">
        <v>45580</v>
      </c>
      <c r="C7026" s="7">
        <v>2.2280000000000001E-2</v>
      </c>
      <c r="D7026" s="7">
        <v>2.2789999999999998E-2</v>
      </c>
      <c r="E7026" s="7">
        <v>2.2789999999999998E-2</v>
      </c>
      <c r="F7026" s="7">
        <v>2.2179999999999998E-2</v>
      </c>
      <c r="G7026" s="7">
        <v>-2.1100000000000001E-2</v>
      </c>
    </row>
    <row r="7027" spans="2:7" x14ac:dyDescent="0.2">
      <c r="B7027" s="60">
        <v>45581</v>
      </c>
      <c r="C7027" s="7">
        <v>2.1770000000000001E-2</v>
      </c>
      <c r="D7027" s="7">
        <v>2.2320000000000003E-2</v>
      </c>
      <c r="E7027" s="7">
        <v>2.2320000000000003E-2</v>
      </c>
      <c r="F7027" s="7">
        <v>2.1749999999999999E-2</v>
      </c>
      <c r="G7027" s="7">
        <v>-2.29E-2</v>
      </c>
    </row>
    <row r="7028" spans="2:7" x14ac:dyDescent="0.2">
      <c r="B7028" s="60">
        <v>45582</v>
      </c>
      <c r="C7028" s="7">
        <v>2.2019999999999998E-2</v>
      </c>
      <c r="D7028" s="7">
        <v>2.1850000000000001E-2</v>
      </c>
      <c r="E7028" s="7">
        <v>2.2240000000000003E-2</v>
      </c>
      <c r="F7028" s="7">
        <v>2.1829999999999999E-2</v>
      </c>
      <c r="G7028" s="7">
        <v>1.15E-2</v>
      </c>
    </row>
    <row r="7029" spans="2:7" x14ac:dyDescent="0.2">
      <c r="B7029" s="60">
        <v>45583</v>
      </c>
      <c r="C7029" s="7">
        <v>2.1829999999999999E-2</v>
      </c>
      <c r="D7029" s="7">
        <v>2.2090000000000002E-2</v>
      </c>
      <c r="E7029" s="7">
        <v>2.2290000000000001E-2</v>
      </c>
      <c r="F7029" s="7">
        <v>2.1780000000000001E-2</v>
      </c>
      <c r="G7029" s="7">
        <v>-8.6E-3</v>
      </c>
    </row>
    <row r="7030" spans="2:7" x14ac:dyDescent="0.2">
      <c r="B7030" s="60">
        <v>45586</v>
      </c>
      <c r="C7030" s="7">
        <v>2.2780000000000002E-2</v>
      </c>
      <c r="D7030" s="7">
        <v>2.189E-2</v>
      </c>
      <c r="E7030" s="7">
        <v>2.282E-2</v>
      </c>
      <c r="F7030" s="7">
        <v>2.1840000000000002E-2</v>
      </c>
      <c r="G7030" s="7">
        <v>4.3499999999999997E-2</v>
      </c>
    </row>
    <row r="7031" spans="2:7" x14ac:dyDescent="0.2">
      <c r="B7031" s="60">
        <v>45587</v>
      </c>
      <c r="C7031" s="7">
        <v>2.3170000000000003E-2</v>
      </c>
      <c r="D7031" s="7">
        <v>2.2850000000000002E-2</v>
      </c>
      <c r="E7031" s="7">
        <v>2.334E-2</v>
      </c>
      <c r="F7031" s="7">
        <v>2.281E-2</v>
      </c>
      <c r="G7031" s="7">
        <v>1.7100000000000001E-2</v>
      </c>
    </row>
    <row r="7032" spans="2:7" x14ac:dyDescent="0.2">
      <c r="B7032" s="60">
        <v>45588</v>
      </c>
      <c r="C7032" s="7">
        <v>2.3130000000000001E-2</v>
      </c>
      <c r="D7032" s="7">
        <v>2.3220000000000001E-2</v>
      </c>
      <c r="E7032" s="7">
        <v>2.3319999999999997E-2</v>
      </c>
      <c r="F7032" s="7">
        <v>2.299E-2</v>
      </c>
      <c r="G7032" s="7">
        <v>-1.6999999999999999E-3</v>
      </c>
    </row>
    <row r="7033" spans="2:7" x14ac:dyDescent="0.2">
      <c r="B7033" s="60">
        <v>45589</v>
      </c>
      <c r="C7033" s="7">
        <v>2.257E-2</v>
      </c>
      <c r="D7033" s="7">
        <v>2.3029999999999998E-2</v>
      </c>
      <c r="E7033" s="7">
        <v>2.307E-2</v>
      </c>
      <c r="F7033" s="7">
        <v>2.2409999999999999E-2</v>
      </c>
      <c r="G7033" s="7">
        <v>-2.4199999999999999E-2</v>
      </c>
    </row>
    <row r="7034" spans="2:7" x14ac:dyDescent="0.2">
      <c r="B7034" s="60">
        <v>45590</v>
      </c>
      <c r="C7034" s="7">
        <v>2.291E-2</v>
      </c>
      <c r="D7034" s="7">
        <v>2.266E-2</v>
      </c>
      <c r="E7034" s="7">
        <v>2.2959999999999998E-2</v>
      </c>
      <c r="F7034" s="7">
        <v>2.2450000000000001E-2</v>
      </c>
      <c r="G7034" s="7">
        <v>1.5100000000000001E-2</v>
      </c>
    </row>
    <row r="7035" spans="2:7" x14ac:dyDescent="0.2">
      <c r="B7035" s="60">
        <v>45593</v>
      </c>
      <c r="C7035" s="7">
        <v>2.2850000000000002E-2</v>
      </c>
      <c r="D7035" s="7">
        <v>2.3479999999999997E-2</v>
      </c>
      <c r="E7035" s="7">
        <v>2.3519999999999999E-2</v>
      </c>
      <c r="F7035" s="7">
        <v>2.2530000000000001E-2</v>
      </c>
      <c r="G7035" s="7">
        <v>-2.5999999999999999E-3</v>
      </c>
    </row>
    <row r="7036" spans="2:7" x14ac:dyDescent="0.2">
      <c r="B7036" s="60">
        <v>45594</v>
      </c>
      <c r="C7036" s="7">
        <v>2.3324999999999999E-2</v>
      </c>
      <c r="D7036" s="7">
        <v>2.2850000000000002E-2</v>
      </c>
      <c r="E7036" s="7">
        <v>2.342E-2</v>
      </c>
      <c r="F7036" s="7">
        <v>2.2719999999999997E-2</v>
      </c>
      <c r="G7036" s="7">
        <v>2.0799999999999999E-2</v>
      </c>
    </row>
    <row r="7037" spans="2:7" x14ac:dyDescent="0.2">
      <c r="B7037" s="60">
        <v>45595</v>
      </c>
      <c r="C7037" s="7">
        <v>2.3734999999999999E-2</v>
      </c>
      <c r="D7037" s="7">
        <v>2.299E-2</v>
      </c>
      <c r="E7037" s="7">
        <v>2.3849999999999996E-2</v>
      </c>
      <c r="F7037" s="7">
        <v>2.2860000000000002E-2</v>
      </c>
      <c r="G7037" s="7">
        <v>1.7600000000000001E-2</v>
      </c>
    </row>
    <row r="7038" spans="2:7" x14ac:dyDescent="0.2">
      <c r="B7038" s="60">
        <v>45596</v>
      </c>
      <c r="C7038" s="7">
        <v>2.3915000000000002E-2</v>
      </c>
      <c r="D7038" s="7">
        <v>2.3879999999999998E-2</v>
      </c>
      <c r="E7038" s="7">
        <v>2.4470000000000002E-2</v>
      </c>
      <c r="F7038" s="7">
        <v>2.3809999999999998E-2</v>
      </c>
      <c r="G7038" s="7">
        <v>7.6E-3</v>
      </c>
    </row>
    <row r="7039" spans="2:7" x14ac:dyDescent="0.2">
      <c r="B7039" s="60">
        <v>45597</v>
      </c>
      <c r="C7039" s="7">
        <v>2.4035000000000001E-2</v>
      </c>
      <c r="D7039" s="7">
        <v>2.3900000000000001E-2</v>
      </c>
      <c r="E7039" s="7">
        <v>2.4199999999999999E-2</v>
      </c>
      <c r="F7039" s="7">
        <v>2.351E-2</v>
      </c>
      <c r="G7039" s="7">
        <v>5.0000000000000001E-3</v>
      </c>
    </row>
    <row r="7040" spans="2:7" x14ac:dyDescent="0.2">
      <c r="B7040" s="60">
        <v>45600</v>
      </c>
      <c r="C7040" s="7">
        <v>2.3889999999999998E-2</v>
      </c>
      <c r="D7040" s="7">
        <v>2.4060000000000002E-2</v>
      </c>
      <c r="E7040" s="7">
        <v>2.4380000000000002E-2</v>
      </c>
      <c r="F7040" s="7">
        <v>2.3780000000000003E-2</v>
      </c>
      <c r="G7040" s="7">
        <v>-6.0000000000000001E-3</v>
      </c>
    </row>
    <row r="7041" spans="2:7" x14ac:dyDescent="0.2">
      <c r="B7041" s="60">
        <v>45601</v>
      </c>
      <c r="C7041" s="7">
        <v>2.4300000000000002E-2</v>
      </c>
      <c r="D7041" s="7">
        <v>2.3959999999999999E-2</v>
      </c>
      <c r="E7041" s="7">
        <v>2.4399999999999998E-2</v>
      </c>
      <c r="F7041" s="7">
        <v>2.3910000000000001E-2</v>
      </c>
      <c r="G7041" s="7">
        <v>1.72E-2</v>
      </c>
    </row>
    <row r="7042" spans="2:7" x14ac:dyDescent="0.2">
      <c r="B7042" s="60">
        <v>45602</v>
      </c>
      <c r="C7042" s="7">
        <v>2.392E-2</v>
      </c>
      <c r="D7042" s="7">
        <v>2.4230000000000002E-2</v>
      </c>
      <c r="E7042" s="7">
        <v>2.4340000000000001E-2</v>
      </c>
      <c r="F7042" s="7">
        <v>2.3519999999999999E-2</v>
      </c>
      <c r="G7042" s="7">
        <v>-1.5599999999999999E-2</v>
      </c>
    </row>
    <row r="7043" spans="2:7" x14ac:dyDescent="0.2">
      <c r="B7043" s="60">
        <v>45603</v>
      </c>
      <c r="C7043" s="7">
        <v>2.4390000000000002E-2</v>
      </c>
      <c r="D7043" s="7">
        <v>2.4080000000000001E-2</v>
      </c>
      <c r="E7043" s="7">
        <v>2.4980000000000002E-2</v>
      </c>
      <c r="F7043" s="7">
        <v>2.402E-2</v>
      </c>
      <c r="G7043" s="7">
        <v>1.9599999999999999E-2</v>
      </c>
    </row>
    <row r="7044" spans="2:7" x14ac:dyDescent="0.2">
      <c r="B7044" s="60">
        <v>45604</v>
      </c>
      <c r="C7044" s="7">
        <v>2.3639999999999998E-2</v>
      </c>
      <c r="D7044" s="7">
        <v>2.445E-2</v>
      </c>
      <c r="E7044" s="7">
        <v>2.445E-2</v>
      </c>
      <c r="F7044" s="7">
        <v>2.3550000000000001E-2</v>
      </c>
      <c r="G7044" s="7">
        <v>-3.0800000000000001E-2</v>
      </c>
    </row>
    <row r="7045" spans="2:7" x14ac:dyDescent="0.2">
      <c r="B7045" s="60">
        <v>45607</v>
      </c>
      <c r="C7045" s="7">
        <v>2.3239999999999997E-2</v>
      </c>
      <c r="D7045" s="7">
        <v>2.3650000000000001E-2</v>
      </c>
      <c r="E7045" s="7">
        <v>2.366E-2</v>
      </c>
      <c r="F7045" s="7">
        <v>2.3109999999999999E-2</v>
      </c>
      <c r="G7045" s="7">
        <v>-1.6899999999999998E-2</v>
      </c>
    </row>
    <row r="7046" spans="2:7" x14ac:dyDescent="0.2">
      <c r="B7046" s="60">
        <v>45608</v>
      </c>
      <c r="C7046" s="7">
        <v>2.3525000000000001E-2</v>
      </c>
      <c r="D7046" s="7">
        <v>2.3279999999999999E-2</v>
      </c>
      <c r="E7046" s="7">
        <v>2.3540000000000002E-2</v>
      </c>
      <c r="F7046" s="7">
        <v>2.299E-2</v>
      </c>
      <c r="G7046" s="7">
        <v>1.23E-2</v>
      </c>
    </row>
    <row r="7047" spans="2:7" x14ac:dyDescent="0.2">
      <c r="B7047" s="60">
        <v>45609</v>
      </c>
      <c r="C7047" s="7">
        <v>2.3855000000000001E-2</v>
      </c>
      <c r="D7047" s="7">
        <v>2.3969999999999998E-2</v>
      </c>
      <c r="E7047" s="7">
        <v>2.4070000000000001E-2</v>
      </c>
      <c r="F7047" s="7">
        <v>2.3559999999999998E-2</v>
      </c>
      <c r="G7047" s="7">
        <v>1.4E-2</v>
      </c>
    </row>
    <row r="7048" spans="2:7" x14ac:dyDescent="0.2">
      <c r="B7048" s="60">
        <v>45610</v>
      </c>
      <c r="C7048" s="7">
        <v>2.342E-2</v>
      </c>
      <c r="D7048" s="7">
        <v>2.4230000000000002E-2</v>
      </c>
      <c r="E7048" s="7">
        <v>2.4239999999999998E-2</v>
      </c>
      <c r="F7048" s="7">
        <v>2.3370000000000002E-2</v>
      </c>
      <c r="G7048" s="7">
        <v>-1.8200000000000001E-2</v>
      </c>
    </row>
    <row r="7049" spans="2:7" x14ac:dyDescent="0.2">
      <c r="B7049" s="60">
        <v>45611</v>
      </c>
      <c r="C7049" s="7">
        <v>2.3484999999999999E-2</v>
      </c>
      <c r="D7049" s="7">
        <v>2.3599999999999999E-2</v>
      </c>
      <c r="E7049" s="7">
        <v>2.384E-2</v>
      </c>
      <c r="F7049" s="7">
        <v>2.3220000000000001E-2</v>
      </c>
      <c r="G7049" s="7">
        <v>2.8E-3</v>
      </c>
    </row>
    <row r="7050" spans="2:7" x14ac:dyDescent="0.2">
      <c r="B7050" s="60">
        <v>45614</v>
      </c>
      <c r="C7050" s="7">
        <v>2.3715E-2</v>
      </c>
      <c r="D7050" s="7">
        <v>2.3300000000000001E-2</v>
      </c>
      <c r="E7050" s="7">
        <v>2.4080000000000001E-2</v>
      </c>
      <c r="F7050" s="7">
        <v>2.3290000000000002E-2</v>
      </c>
      <c r="G7050" s="7">
        <v>9.7999999999999997E-3</v>
      </c>
    </row>
    <row r="7051" spans="2:7" x14ac:dyDescent="0.2">
      <c r="B7051" s="60">
        <v>45615</v>
      </c>
      <c r="C7051" s="7">
        <v>2.3375E-2</v>
      </c>
      <c r="D7051" s="7">
        <v>2.3719999999999998E-2</v>
      </c>
      <c r="E7051" s="7">
        <v>2.3730000000000001E-2</v>
      </c>
      <c r="F7051" s="7">
        <v>2.2690000000000002E-2</v>
      </c>
      <c r="G7051" s="7">
        <v>-1.43E-2</v>
      </c>
    </row>
    <row r="7052" spans="2:7" x14ac:dyDescent="0.2">
      <c r="B7052" s="60">
        <v>45616</v>
      </c>
      <c r="C7052" s="7">
        <v>2.341E-2</v>
      </c>
      <c r="D7052" s="7">
        <v>2.3370000000000002E-2</v>
      </c>
      <c r="E7052" s="7">
        <v>2.3889999999999998E-2</v>
      </c>
      <c r="F7052" s="7">
        <v>2.3359999999999999E-2</v>
      </c>
      <c r="G7052" s="7">
        <v>1.5E-3</v>
      </c>
    </row>
    <row r="7053" spans="2:7" x14ac:dyDescent="0.2">
      <c r="B7053" s="60">
        <v>45617</v>
      </c>
      <c r="C7053" s="7">
        <v>2.3115E-2</v>
      </c>
      <c r="D7053" s="7">
        <v>2.35E-2</v>
      </c>
      <c r="E7053" s="7">
        <v>2.3719999999999998E-2</v>
      </c>
      <c r="F7053" s="7">
        <v>2.2930000000000002E-2</v>
      </c>
      <c r="G7053" s="7">
        <v>-1.26E-2</v>
      </c>
    </row>
    <row r="7054" spans="2:7" x14ac:dyDescent="0.2">
      <c r="B7054" s="60">
        <v>45618</v>
      </c>
      <c r="C7054" s="7">
        <v>2.2519999999999998E-2</v>
      </c>
      <c r="D7054" s="7">
        <v>2.3189999999999999E-2</v>
      </c>
      <c r="E7054" s="7">
        <v>2.3450000000000002E-2</v>
      </c>
      <c r="F7054" s="7">
        <v>2.2339999999999999E-2</v>
      </c>
      <c r="G7054" s="7">
        <v>-2.5700000000000001E-2</v>
      </c>
    </row>
    <row r="7055" spans="2:7" x14ac:dyDescent="0.2">
      <c r="B7055" s="60">
        <v>45621</v>
      </c>
      <c r="C7055" s="7">
        <v>2.2034999999999999E-2</v>
      </c>
      <c r="D7055" s="7">
        <v>2.2419999999999999E-2</v>
      </c>
      <c r="E7055" s="7">
        <v>2.257E-2</v>
      </c>
      <c r="F7055" s="7">
        <v>2.197E-2</v>
      </c>
      <c r="G7055" s="7">
        <v>-2.1499999999999998E-2</v>
      </c>
    </row>
    <row r="7056" spans="2:7" x14ac:dyDescent="0.2">
      <c r="B7056" s="60">
        <v>45622</v>
      </c>
      <c r="C7056" s="7">
        <v>2.198E-2</v>
      </c>
      <c r="D7056" s="7">
        <v>2.2099999999999998E-2</v>
      </c>
      <c r="E7056" s="7">
        <v>2.222E-2</v>
      </c>
      <c r="F7056" s="7">
        <v>2.1899999999999999E-2</v>
      </c>
      <c r="G7056" s="7">
        <v>-2.5000000000000001E-3</v>
      </c>
    </row>
    <row r="7057" spans="2:7" x14ac:dyDescent="0.2">
      <c r="B7057" s="60">
        <v>45623</v>
      </c>
      <c r="C7057" s="7">
        <v>2.1659999999999999E-2</v>
      </c>
      <c r="D7057" s="7">
        <v>2.1690000000000001E-2</v>
      </c>
      <c r="E7057" s="7">
        <v>2.1869999999999997E-2</v>
      </c>
      <c r="F7057" s="7">
        <v>2.1349999999999997E-2</v>
      </c>
      <c r="G7057" s="7">
        <v>-1.46E-2</v>
      </c>
    </row>
    <row r="7058" spans="2:7" x14ac:dyDescent="0.2">
      <c r="B7058" s="60">
        <v>45624</v>
      </c>
      <c r="C7058" s="7">
        <v>2.1245E-2</v>
      </c>
      <c r="D7058" s="7">
        <v>2.1629999999999996E-2</v>
      </c>
      <c r="E7058" s="7">
        <v>2.1659999999999999E-2</v>
      </c>
      <c r="F7058" s="7">
        <v>2.1250000000000002E-2</v>
      </c>
      <c r="G7058" s="7">
        <v>-1.9199999999999998E-2</v>
      </c>
    </row>
    <row r="7059" spans="2:7" x14ac:dyDescent="0.2">
      <c r="B7059" s="60">
        <v>45625</v>
      </c>
      <c r="C7059" s="7">
        <v>2.0870000000000003E-2</v>
      </c>
      <c r="D7059" s="7">
        <v>2.1269999999999997E-2</v>
      </c>
      <c r="E7059" s="7">
        <v>2.128E-2</v>
      </c>
      <c r="F7059" s="7">
        <v>2.0879999999999999E-2</v>
      </c>
      <c r="G7059" s="7">
        <v>-1.77E-2</v>
      </c>
    </row>
    <row r="7060" spans="2:7" x14ac:dyDescent="0.2">
      <c r="B7060" s="60">
        <v>45628</v>
      </c>
      <c r="C7060" s="7">
        <v>2.0335000000000002E-2</v>
      </c>
      <c r="D7060" s="7">
        <v>2.0819999999999998E-2</v>
      </c>
      <c r="E7060" s="7">
        <v>2.0840000000000001E-2</v>
      </c>
      <c r="F7060" s="7">
        <v>2.0330000000000001E-2</v>
      </c>
      <c r="G7060" s="7">
        <v>-2.5600000000000001E-2</v>
      </c>
    </row>
    <row r="7061" spans="2:7" x14ac:dyDescent="0.2">
      <c r="B7061" s="60">
        <v>45629</v>
      </c>
      <c r="C7061" s="7">
        <v>2.0550000000000002E-2</v>
      </c>
      <c r="D7061" s="7">
        <v>2.0419999999999997E-2</v>
      </c>
      <c r="E7061" s="7">
        <v>2.077E-2</v>
      </c>
      <c r="F7061" s="7">
        <v>2.0299999999999999E-2</v>
      </c>
      <c r="G7061" s="7">
        <v>1.06E-2</v>
      </c>
    </row>
    <row r="7062" spans="2:7" x14ac:dyDescent="0.2">
      <c r="B7062" s="60">
        <v>45630</v>
      </c>
      <c r="C7062" s="7">
        <v>2.0514999999999999E-2</v>
      </c>
      <c r="D7062" s="7">
        <v>2.0539999999999999E-2</v>
      </c>
      <c r="E7062" s="7">
        <v>2.1010000000000001E-2</v>
      </c>
      <c r="F7062" s="7">
        <v>2.052E-2</v>
      </c>
      <c r="G7062" s="7">
        <v>-1.6999999999999999E-3</v>
      </c>
    </row>
    <row r="7063" spans="2:7" x14ac:dyDescent="0.2">
      <c r="B7063" s="60">
        <v>45631</v>
      </c>
      <c r="C7063" s="7">
        <v>2.104E-2</v>
      </c>
      <c r="D7063" s="7">
        <v>2.0539999999999999E-2</v>
      </c>
      <c r="E7063" s="7">
        <v>2.1240000000000002E-2</v>
      </c>
      <c r="F7063" s="7">
        <v>2.0489999999999998E-2</v>
      </c>
      <c r="G7063" s="7">
        <v>2.5600000000000001E-2</v>
      </c>
    </row>
    <row r="7064" spans="2:7" x14ac:dyDescent="0.2">
      <c r="B7064" s="60">
        <v>45632</v>
      </c>
      <c r="C7064" s="7">
        <v>2.1124999999999998E-2</v>
      </c>
      <c r="D7064" s="7">
        <v>2.1170000000000001E-2</v>
      </c>
      <c r="E7064" s="7">
        <v>2.129E-2</v>
      </c>
      <c r="F7064" s="7">
        <v>2.0879999999999999E-2</v>
      </c>
      <c r="G7064" s="7">
        <v>4.0000000000000001E-3</v>
      </c>
    </row>
    <row r="7065" spans="2:7" x14ac:dyDescent="0.2">
      <c r="B7065" s="60">
        <v>45635</v>
      </c>
      <c r="C7065" s="7">
        <v>2.1175000000000003E-2</v>
      </c>
      <c r="D7065" s="7">
        <v>2.1099999999999997E-2</v>
      </c>
      <c r="E7065" s="7">
        <v>2.1219999999999999E-2</v>
      </c>
      <c r="F7065" s="7">
        <v>2.0889999999999999E-2</v>
      </c>
      <c r="G7065" s="7">
        <v>2.3999999999999998E-3</v>
      </c>
    </row>
    <row r="7066" spans="2:7" x14ac:dyDescent="0.2">
      <c r="B7066" s="60">
        <v>45636</v>
      </c>
      <c r="C7066" s="7">
        <v>2.1160000000000002E-2</v>
      </c>
      <c r="D7066" s="7">
        <v>2.1230000000000002E-2</v>
      </c>
      <c r="E7066" s="7">
        <v>2.1440000000000001E-2</v>
      </c>
      <c r="F7066" s="7">
        <v>2.1000000000000001E-2</v>
      </c>
      <c r="G7066" s="7">
        <v>-6.9999999999999999E-4</v>
      </c>
    </row>
    <row r="7067" spans="2:7" x14ac:dyDescent="0.2">
      <c r="B7067" s="60">
        <v>45637</v>
      </c>
      <c r="C7067" s="7">
        <v>2.1305000000000001E-2</v>
      </c>
      <c r="D7067" s="7">
        <v>2.1259999999999998E-2</v>
      </c>
      <c r="E7067" s="7">
        <v>2.1339999999999998E-2</v>
      </c>
      <c r="F7067" s="7">
        <v>2.0920000000000001E-2</v>
      </c>
      <c r="G7067" s="7">
        <v>6.8999999999999999E-3</v>
      </c>
    </row>
    <row r="7068" spans="2:7" x14ac:dyDescent="0.2">
      <c r="B7068" s="60">
        <v>45638</v>
      </c>
      <c r="C7068" s="7">
        <v>2.189E-2</v>
      </c>
      <c r="D7068" s="7">
        <v>2.1320000000000002E-2</v>
      </c>
      <c r="E7068" s="7">
        <v>2.1899999999999999E-2</v>
      </c>
      <c r="F7068" s="7">
        <v>2.1219999999999999E-2</v>
      </c>
      <c r="G7068" s="7">
        <v>2.75E-2</v>
      </c>
    </row>
    <row r="7069" spans="2:7" x14ac:dyDescent="0.2">
      <c r="B7069" s="60">
        <v>45639</v>
      </c>
      <c r="C7069" s="7">
        <v>2.247E-2</v>
      </c>
      <c r="D7069" s="7">
        <v>2.2189999999999998E-2</v>
      </c>
      <c r="E7069" s="7">
        <v>2.2480000000000003E-2</v>
      </c>
      <c r="F7069" s="7">
        <v>2.198E-2</v>
      </c>
      <c r="G7069" s="7">
        <v>2.6499999999999999E-2</v>
      </c>
    </row>
    <row r="7070" spans="2:7" x14ac:dyDescent="0.2">
      <c r="B7070" s="60">
        <v>45642</v>
      </c>
      <c r="C7070" s="7">
        <v>2.2429999999999999E-2</v>
      </c>
      <c r="D7070" s="7">
        <v>2.2519999999999998E-2</v>
      </c>
      <c r="E7070" s="7">
        <v>2.2599999999999999E-2</v>
      </c>
      <c r="F7070" s="7">
        <v>2.2269999999999998E-2</v>
      </c>
      <c r="G7070" s="7">
        <v>-1.8E-3</v>
      </c>
    </row>
    <row r="7071" spans="2:7" x14ac:dyDescent="0.2">
      <c r="B7071" s="60">
        <v>45643</v>
      </c>
      <c r="C7071" s="7">
        <v>2.2315000000000002E-2</v>
      </c>
      <c r="D7071" s="7">
        <v>2.2460000000000001E-2</v>
      </c>
      <c r="E7071" s="7">
        <v>2.2589999999999999E-2</v>
      </c>
      <c r="F7071" s="7">
        <v>2.2170000000000002E-2</v>
      </c>
      <c r="G7071" s="7">
        <v>-5.1000000000000004E-3</v>
      </c>
    </row>
    <row r="7072" spans="2:7" x14ac:dyDescent="0.2">
      <c r="B7072" s="60">
        <v>45644</v>
      </c>
      <c r="C7072" s="7">
        <v>2.2409999999999999E-2</v>
      </c>
      <c r="D7072" s="7">
        <v>2.2320000000000003E-2</v>
      </c>
      <c r="E7072" s="7">
        <v>2.2610000000000002E-2</v>
      </c>
      <c r="F7072" s="7">
        <v>2.2269999999999998E-2</v>
      </c>
      <c r="G7072" s="7">
        <v>4.3E-3</v>
      </c>
    </row>
    <row r="7073" spans="2:7" x14ac:dyDescent="0.2">
      <c r="B7073" s="60">
        <v>45645</v>
      </c>
      <c r="C7073" s="7">
        <v>2.3045E-2</v>
      </c>
      <c r="D7073" s="7">
        <v>2.299E-2</v>
      </c>
      <c r="E7073" s="7">
        <v>2.3220000000000001E-2</v>
      </c>
      <c r="F7073" s="7">
        <v>2.2749999999999999E-2</v>
      </c>
      <c r="G7073" s="7">
        <v>2.8299999999999999E-2</v>
      </c>
    </row>
    <row r="7074" spans="2:7" x14ac:dyDescent="0.2">
      <c r="B7074" s="60">
        <v>45646</v>
      </c>
      <c r="C7074" s="7">
        <v>2.2865000000000003E-2</v>
      </c>
      <c r="D7074" s="7">
        <v>2.307E-2</v>
      </c>
      <c r="E7074" s="7">
        <v>2.315E-2</v>
      </c>
      <c r="F7074" s="7">
        <v>2.273E-2</v>
      </c>
      <c r="G7074" s="7">
        <v>-7.7999999999999996E-3</v>
      </c>
    </row>
    <row r="7075" spans="2:7" x14ac:dyDescent="0.2">
      <c r="B7075" s="60">
        <v>45649</v>
      </c>
      <c r="C7075" s="7">
        <v>2.3269999999999999E-2</v>
      </c>
      <c r="D7075" s="7">
        <v>2.2869999999999998E-2</v>
      </c>
      <c r="E7075" s="7">
        <v>2.3290000000000002E-2</v>
      </c>
      <c r="F7075" s="7">
        <v>2.2869999999999998E-2</v>
      </c>
      <c r="G7075" s="7">
        <v>1.77E-2</v>
      </c>
    </row>
    <row r="7076" spans="2:7" x14ac:dyDescent="0.2">
      <c r="B7076" s="60">
        <v>45650</v>
      </c>
      <c r="C7076" s="7">
        <v>2.3205E-2</v>
      </c>
      <c r="D7076" s="7">
        <v>2.3250000000000003E-2</v>
      </c>
      <c r="E7076" s="7">
        <v>2.3250000000000003E-2</v>
      </c>
      <c r="F7076" s="7">
        <v>2.3250000000000003E-2</v>
      </c>
      <c r="G7076" s="7">
        <v>-2.8E-3</v>
      </c>
    </row>
    <row r="7077" spans="2:7" x14ac:dyDescent="0.2">
      <c r="B7077" s="60">
        <v>45653</v>
      </c>
      <c r="C7077" s="7">
        <v>2.3895E-2</v>
      </c>
      <c r="D7077" s="7">
        <v>2.3250000000000003E-2</v>
      </c>
      <c r="E7077" s="7">
        <v>2.4049999999999998E-2</v>
      </c>
      <c r="F7077" s="7">
        <v>2.3250000000000003E-2</v>
      </c>
      <c r="G7077" s="7">
        <v>2.9700000000000001E-2</v>
      </c>
    </row>
    <row r="7078" spans="2:7" x14ac:dyDescent="0.2">
      <c r="B7078" s="60">
        <v>45656</v>
      </c>
      <c r="C7078" s="7">
        <v>2.359E-2</v>
      </c>
      <c r="D7078" s="7">
        <v>2.3990000000000001E-2</v>
      </c>
      <c r="E7078" s="7">
        <v>2.4039999999999999E-2</v>
      </c>
      <c r="F7078" s="7">
        <v>2.3450000000000002E-2</v>
      </c>
      <c r="G7078" s="7">
        <v>-1.2800000000000001E-2</v>
      </c>
    </row>
    <row r="7079" spans="2:7" x14ac:dyDescent="0.2">
      <c r="B7079" s="60">
        <v>45657</v>
      </c>
      <c r="C7079" s="7">
        <v>2.3620000000000002E-2</v>
      </c>
      <c r="D7079" s="7">
        <v>2.3690000000000003E-2</v>
      </c>
      <c r="E7079" s="7">
        <v>2.3690000000000003E-2</v>
      </c>
      <c r="F7079" s="7">
        <v>2.3639999999999998E-2</v>
      </c>
      <c r="G7079" s="7">
        <v>1.2999999999999999E-3</v>
      </c>
    </row>
    <row r="7080" spans="2:7" x14ac:dyDescent="0.2">
      <c r="B7080" s="60">
        <v>45659</v>
      </c>
      <c r="C7080" s="7">
        <v>2.3664999999999999E-2</v>
      </c>
      <c r="D7080" s="7">
        <v>2.3690000000000003E-2</v>
      </c>
      <c r="E7080" s="7">
        <v>2.375E-2</v>
      </c>
      <c r="F7080" s="7">
        <v>2.3099999999999999E-2</v>
      </c>
      <c r="G7080" s="7">
        <v>1.9E-3</v>
      </c>
    </row>
    <row r="7081" spans="2:7" x14ac:dyDescent="0.2">
      <c r="B7081" s="60">
        <v>45660</v>
      </c>
      <c r="C7081" s="7">
        <v>2.4245000000000003E-2</v>
      </c>
      <c r="D7081" s="7">
        <v>2.358E-2</v>
      </c>
      <c r="E7081" s="7">
        <v>2.4279999999999999E-2</v>
      </c>
      <c r="F7081" s="7">
        <v>2.3519999999999999E-2</v>
      </c>
      <c r="G7081" s="7">
        <v>2.4500000000000001E-2</v>
      </c>
    </row>
    <row r="7082" spans="2:7" x14ac:dyDescent="0.2">
      <c r="B7082" s="60">
        <v>45663</v>
      </c>
      <c r="C7082" s="7">
        <v>2.4474999999999997E-2</v>
      </c>
      <c r="D7082" s="7">
        <v>2.4460000000000003E-2</v>
      </c>
      <c r="E7082" s="7">
        <v>2.469E-2</v>
      </c>
      <c r="F7082" s="7">
        <v>2.4289999999999999E-2</v>
      </c>
      <c r="G7082" s="7">
        <v>9.4999999999999998E-3</v>
      </c>
    </row>
    <row r="7083" spans="2:7" x14ac:dyDescent="0.2">
      <c r="B7083" s="60">
        <v>45664</v>
      </c>
      <c r="C7083" s="7">
        <v>2.4855000000000002E-2</v>
      </c>
      <c r="D7083" s="7">
        <v>2.4470000000000002E-2</v>
      </c>
      <c r="E7083" s="7">
        <v>2.4900000000000002E-2</v>
      </c>
      <c r="F7083" s="7">
        <v>2.4399999999999998E-2</v>
      </c>
      <c r="G7083" s="7">
        <v>1.55E-2</v>
      </c>
    </row>
    <row r="7084" spans="2:7" x14ac:dyDescent="0.2">
      <c r="B7084" s="60">
        <v>45665</v>
      </c>
      <c r="C7084" s="7">
        <v>2.5239999999999999E-2</v>
      </c>
      <c r="D7084" s="7">
        <v>2.4799999999999999E-2</v>
      </c>
      <c r="E7084" s="7">
        <v>2.53E-2</v>
      </c>
      <c r="F7084" s="7">
        <v>2.469E-2</v>
      </c>
      <c r="G7084" s="7">
        <v>1.55E-2</v>
      </c>
    </row>
    <row r="7085" spans="2:7" x14ac:dyDescent="0.2">
      <c r="B7085" s="60">
        <v>45666</v>
      </c>
      <c r="C7085" s="7">
        <v>2.5310000000000003E-2</v>
      </c>
      <c r="D7085" s="7">
        <v>2.5179999999999998E-2</v>
      </c>
      <c r="E7085" s="7">
        <v>2.5430000000000001E-2</v>
      </c>
      <c r="F7085" s="7">
        <v>2.5089999999999998E-2</v>
      </c>
      <c r="G7085" s="7">
        <v>2.8E-3</v>
      </c>
    </row>
    <row r="7086" spans="2:7" x14ac:dyDescent="0.2">
      <c r="B7086" s="60">
        <v>45667</v>
      </c>
      <c r="C7086" s="7">
        <v>2.5675E-2</v>
      </c>
      <c r="D7086" s="7">
        <v>2.5399999999999999E-2</v>
      </c>
      <c r="E7086" s="7">
        <v>2.597E-2</v>
      </c>
      <c r="F7086" s="7">
        <v>2.5399999999999999E-2</v>
      </c>
      <c r="G7086" s="7">
        <v>1.44E-2</v>
      </c>
    </row>
    <row r="7087" spans="2:7" x14ac:dyDescent="0.2">
      <c r="B7087" s="60">
        <v>45670</v>
      </c>
      <c r="C7087" s="7">
        <v>2.5905000000000001E-2</v>
      </c>
      <c r="D7087" s="7">
        <v>2.5690000000000001E-2</v>
      </c>
      <c r="E7087" s="7">
        <v>2.6120000000000001E-2</v>
      </c>
      <c r="F7087" s="7">
        <v>2.5690000000000001E-2</v>
      </c>
      <c r="G7087" s="7">
        <v>8.9999999999999993E-3</v>
      </c>
    </row>
    <row r="7088" spans="2:7" x14ac:dyDescent="0.2">
      <c r="B7088" s="60">
        <v>45671</v>
      </c>
      <c r="C7088" s="7">
        <v>2.6225000000000002E-2</v>
      </c>
      <c r="D7088" s="7">
        <v>2.5849999999999998E-2</v>
      </c>
      <c r="E7088" s="7">
        <v>2.6249999999999999E-2</v>
      </c>
      <c r="F7088" s="7">
        <v>2.564E-2</v>
      </c>
      <c r="G7088" s="7">
        <v>1.24E-2</v>
      </c>
    </row>
    <row r="7089" spans="2:7" x14ac:dyDescent="0.2">
      <c r="B7089" s="60">
        <v>45672</v>
      </c>
      <c r="C7089" s="7">
        <v>2.5274999999999999E-2</v>
      </c>
      <c r="D7089" s="7">
        <v>2.622E-2</v>
      </c>
      <c r="E7089" s="7">
        <v>2.63E-2</v>
      </c>
      <c r="F7089" s="7">
        <v>2.513E-2</v>
      </c>
      <c r="G7089" s="7">
        <v>-3.6200000000000003E-2</v>
      </c>
    </row>
    <row r="7090" spans="2:7" x14ac:dyDescent="0.2">
      <c r="B7090" s="60">
        <v>45673</v>
      </c>
      <c r="C7090" s="7">
        <v>2.5205000000000002E-2</v>
      </c>
      <c r="D7090" s="7">
        <v>2.5259999999999998E-2</v>
      </c>
      <c r="E7090" s="7">
        <v>2.5699999999999997E-2</v>
      </c>
      <c r="F7090" s="7">
        <v>2.5190000000000001E-2</v>
      </c>
      <c r="G7090" s="7">
        <v>-2.8E-3</v>
      </c>
    </row>
    <row r="7091" spans="2:7" x14ac:dyDescent="0.2">
      <c r="B7091" s="60">
        <v>45674</v>
      </c>
      <c r="C7091" s="7">
        <v>2.503E-2</v>
      </c>
      <c r="D7091" s="7">
        <v>2.52E-2</v>
      </c>
      <c r="E7091" s="7">
        <v>2.5219999999999999E-2</v>
      </c>
      <c r="F7091" s="7">
        <v>2.4809999999999999E-2</v>
      </c>
      <c r="G7091" s="7">
        <v>-6.8999999999999999E-3</v>
      </c>
    </row>
    <row r="7092" spans="2:7" x14ac:dyDescent="0.2">
      <c r="B7092" s="60">
        <v>45677</v>
      </c>
      <c r="C7092" s="7">
        <v>2.4925000000000003E-2</v>
      </c>
      <c r="D7092" s="7">
        <v>2.511E-2</v>
      </c>
      <c r="E7092" s="7">
        <v>2.5239999999999999E-2</v>
      </c>
      <c r="F7092" s="7">
        <v>2.4879999999999999E-2</v>
      </c>
      <c r="G7092" s="7">
        <v>-4.1999999999999997E-3</v>
      </c>
    </row>
    <row r="7093" spans="2:7" x14ac:dyDescent="0.2">
      <c r="B7093" s="60">
        <v>45678</v>
      </c>
      <c r="C7093" s="7">
        <v>2.477E-2</v>
      </c>
      <c r="D7093" s="7">
        <v>2.4830000000000001E-2</v>
      </c>
      <c r="E7093" s="7">
        <v>2.5099999999999997E-2</v>
      </c>
      <c r="F7093" s="7">
        <v>2.4700000000000003E-2</v>
      </c>
      <c r="G7093" s="7">
        <v>-6.1999999999999998E-3</v>
      </c>
    </row>
    <row r="7094" spans="2:7" x14ac:dyDescent="0.2">
      <c r="B7094" s="60">
        <v>45679</v>
      </c>
      <c r="C7094" s="7">
        <v>2.4985E-2</v>
      </c>
      <c r="D7094" s="7">
        <v>2.4849999999999997E-2</v>
      </c>
      <c r="E7094" s="7">
        <v>2.5019999999999997E-2</v>
      </c>
      <c r="F7094" s="7">
        <v>2.4580000000000001E-2</v>
      </c>
      <c r="G7094" s="7">
        <v>8.6999999999999994E-3</v>
      </c>
    </row>
    <row r="7095" spans="2:7" x14ac:dyDescent="0.2">
      <c r="B7095" s="60">
        <v>45680</v>
      </c>
      <c r="C7095" s="7">
        <v>2.513E-2</v>
      </c>
      <c r="D7095" s="7">
        <v>2.4980000000000002E-2</v>
      </c>
      <c r="E7095" s="7">
        <v>2.537E-2</v>
      </c>
      <c r="F7095" s="7">
        <v>2.4860000000000004E-2</v>
      </c>
      <c r="G7095" s="7">
        <v>5.7999999999999996E-3</v>
      </c>
    </row>
    <row r="7096" spans="2:7" x14ac:dyDescent="0.2">
      <c r="B7096" s="60">
        <v>45681</v>
      </c>
      <c r="C7096" s="7">
        <v>2.5445000000000002E-2</v>
      </c>
      <c r="D7096" s="7">
        <v>2.5089999999999998E-2</v>
      </c>
      <c r="E7096" s="7">
        <v>2.5690000000000001E-2</v>
      </c>
      <c r="F7096" s="7">
        <v>2.5009999999999998E-2</v>
      </c>
      <c r="G7096" s="7">
        <v>1.2500000000000001E-2</v>
      </c>
    </row>
    <row r="7097" spans="2:7" x14ac:dyDescent="0.2">
      <c r="B7097" s="60">
        <v>45684</v>
      </c>
      <c r="C7097" s="7">
        <v>2.503E-2</v>
      </c>
      <c r="D7097" s="7">
        <v>2.496E-2</v>
      </c>
      <c r="E7097" s="7">
        <v>2.5239999999999999E-2</v>
      </c>
      <c r="F7097" s="7">
        <v>2.4660000000000001E-2</v>
      </c>
      <c r="G7097" s="7">
        <v>-1.6299999999999999E-2</v>
      </c>
    </row>
    <row r="7098" spans="2:7" x14ac:dyDescent="0.2">
      <c r="B7098" s="60">
        <v>45685</v>
      </c>
      <c r="C7098" s="7">
        <v>2.5605000000000003E-2</v>
      </c>
      <c r="D7098" s="7">
        <v>2.5310000000000003E-2</v>
      </c>
      <c r="E7098" s="7">
        <v>2.5649999999999999E-2</v>
      </c>
      <c r="F7098" s="7">
        <v>2.5310000000000003E-2</v>
      </c>
      <c r="G7098" s="7">
        <v>2.3E-2</v>
      </c>
    </row>
    <row r="7099" spans="2:7" x14ac:dyDescent="0.2">
      <c r="B7099" s="60">
        <v>45686</v>
      </c>
      <c r="C7099" s="7">
        <v>2.571E-2</v>
      </c>
      <c r="D7099" s="7">
        <v>2.5559999999999999E-2</v>
      </c>
      <c r="E7099" s="7">
        <v>2.5729999999999999E-2</v>
      </c>
      <c r="F7099" s="7">
        <v>2.5249999999999998E-2</v>
      </c>
      <c r="G7099" s="7">
        <v>4.1000000000000003E-3</v>
      </c>
    </row>
    <row r="7100" spans="2:7" x14ac:dyDescent="0.2">
      <c r="B7100" s="60">
        <v>45687</v>
      </c>
      <c r="C7100" s="7">
        <v>2.5169999999999998E-2</v>
      </c>
      <c r="D7100" s="7">
        <v>2.5619999999999997E-2</v>
      </c>
      <c r="E7100" s="7">
        <v>2.5729999999999999E-2</v>
      </c>
      <c r="F7100" s="7">
        <v>2.496E-2</v>
      </c>
      <c r="G7100" s="7">
        <v>-2.1000000000000001E-2</v>
      </c>
    </row>
    <row r="7101" spans="2:7" x14ac:dyDescent="0.2">
      <c r="B7101" s="60">
        <v>45688</v>
      </c>
      <c r="C7101" s="7">
        <v>2.4590000000000001E-2</v>
      </c>
      <c r="D7101" s="7">
        <v>2.5190000000000001E-2</v>
      </c>
      <c r="E7101" s="7">
        <v>2.5390000000000003E-2</v>
      </c>
      <c r="F7101" s="7">
        <v>2.453E-2</v>
      </c>
      <c r="G7101" s="7">
        <v>-2.3E-2</v>
      </c>
    </row>
    <row r="7102" spans="2:7" x14ac:dyDescent="0.2">
      <c r="B7102" s="60">
        <v>45691</v>
      </c>
      <c r="C7102" s="7">
        <v>2.3869999999999999E-2</v>
      </c>
      <c r="D7102" s="7">
        <v>2.46E-2</v>
      </c>
      <c r="E7102" s="7">
        <v>2.461E-2</v>
      </c>
      <c r="F7102" s="7">
        <v>2.359E-2</v>
      </c>
      <c r="G7102" s="7">
        <v>-2.93E-2</v>
      </c>
    </row>
    <row r="7103" spans="2:7" x14ac:dyDescent="0.2">
      <c r="B7103" s="60">
        <v>45692</v>
      </c>
      <c r="C7103" s="7">
        <v>2.3925000000000002E-2</v>
      </c>
      <c r="D7103" s="7">
        <v>2.419E-2</v>
      </c>
      <c r="E7103" s="7">
        <v>2.4329999999999997E-2</v>
      </c>
      <c r="F7103" s="7">
        <v>2.3900000000000001E-2</v>
      </c>
      <c r="G7103" s="7">
        <v>2.3E-3</v>
      </c>
    </row>
    <row r="7104" spans="2:7" x14ac:dyDescent="0.2">
      <c r="B7104" s="60">
        <v>45693</v>
      </c>
      <c r="C7104" s="7">
        <v>2.359E-2</v>
      </c>
      <c r="D7104" s="7">
        <v>2.3980000000000001E-2</v>
      </c>
      <c r="E7104" s="7">
        <v>2.3980000000000001E-2</v>
      </c>
      <c r="F7104" s="7">
        <v>2.3450000000000002E-2</v>
      </c>
      <c r="G7104" s="7">
        <v>-1.4E-2</v>
      </c>
    </row>
    <row r="7105" spans="2:7" x14ac:dyDescent="0.2">
      <c r="B7105" s="60">
        <v>45694</v>
      </c>
      <c r="C7105" s="7">
        <v>2.3725E-2</v>
      </c>
      <c r="D7105" s="7">
        <v>2.3730000000000001E-2</v>
      </c>
      <c r="E7105" s="7">
        <v>2.3929999999999996E-2</v>
      </c>
      <c r="F7105" s="7">
        <v>2.3550000000000001E-2</v>
      </c>
      <c r="G7105" s="7">
        <v>5.7000000000000002E-3</v>
      </c>
    </row>
    <row r="7106" spans="2:7" x14ac:dyDescent="0.2">
      <c r="B7106" s="60">
        <v>45695</v>
      </c>
      <c r="C7106" s="7">
        <v>2.3769999999999999E-2</v>
      </c>
      <c r="D7106" s="7">
        <v>2.3780000000000003E-2</v>
      </c>
      <c r="E7106" s="7">
        <v>2.4080000000000001E-2</v>
      </c>
      <c r="F7106" s="7">
        <v>2.358E-2</v>
      </c>
      <c r="G7106" s="7">
        <v>1.9E-3</v>
      </c>
    </row>
    <row r="7107" spans="2:7" x14ac:dyDescent="0.2">
      <c r="B7107" s="60">
        <v>45698</v>
      </c>
      <c r="C7107" s="7">
        <v>2.3599999999999999E-2</v>
      </c>
      <c r="D7107" s="7">
        <v>2.3740000000000001E-2</v>
      </c>
      <c r="E7107" s="7">
        <v>2.3849999999999996E-2</v>
      </c>
      <c r="F7107" s="7">
        <v>2.35E-2</v>
      </c>
      <c r="G7107" s="7">
        <v>-7.1999999999999998E-3</v>
      </c>
    </row>
    <row r="7108" spans="2:7" x14ac:dyDescent="0.2">
      <c r="B7108" s="60">
        <v>45699</v>
      </c>
      <c r="C7108" s="7">
        <v>2.427E-2</v>
      </c>
      <c r="D7108" s="7">
        <v>2.3789999999999999E-2</v>
      </c>
      <c r="E7108" s="7">
        <v>2.4369999999999999E-2</v>
      </c>
      <c r="F7108" s="7">
        <v>2.3769999999999999E-2</v>
      </c>
      <c r="G7108" s="7">
        <v>2.8400000000000002E-2</v>
      </c>
    </row>
    <row r="7109" spans="2:7" x14ac:dyDescent="0.2">
      <c r="B7109" s="60">
        <v>45700</v>
      </c>
      <c r="C7109" s="7">
        <v>2.4780000000000003E-2</v>
      </c>
      <c r="D7109" s="7">
        <v>2.4399999999999998E-2</v>
      </c>
      <c r="E7109" s="7">
        <v>2.4879999999999999E-2</v>
      </c>
      <c r="F7109" s="7">
        <v>2.4310000000000002E-2</v>
      </c>
      <c r="G7109" s="7">
        <v>2.1000000000000001E-2</v>
      </c>
    </row>
    <row r="7110" spans="2:7" x14ac:dyDescent="0.2">
      <c r="B7110" s="60">
        <v>45701</v>
      </c>
      <c r="C7110" s="7">
        <v>2.419E-2</v>
      </c>
      <c r="D7110" s="7">
        <v>2.4719999999999999E-2</v>
      </c>
      <c r="E7110" s="7">
        <v>2.479E-2</v>
      </c>
      <c r="F7110" s="7">
        <v>2.4129999999999999E-2</v>
      </c>
      <c r="G7110" s="7">
        <v>-2.3800000000000002E-2</v>
      </c>
    </row>
    <row r="7111" spans="2:7" x14ac:dyDescent="0.2">
      <c r="B7111" s="60">
        <v>45702</v>
      </c>
      <c r="C7111" s="7">
        <v>2.4230000000000002E-2</v>
      </c>
      <c r="D7111" s="7">
        <v>2.4239999999999998E-2</v>
      </c>
      <c r="E7111" s="7">
        <v>2.444E-2</v>
      </c>
      <c r="F7111" s="7">
        <v>2.4129999999999999E-2</v>
      </c>
      <c r="G7111" s="7">
        <v>1.6999999999999999E-3</v>
      </c>
    </row>
    <row r="7112" spans="2:7" x14ac:dyDescent="0.2">
      <c r="B7112" s="60">
        <v>45705</v>
      </c>
      <c r="C7112" s="7">
        <v>2.4830000000000001E-2</v>
      </c>
      <c r="D7112" s="7">
        <v>2.4310000000000002E-2</v>
      </c>
      <c r="E7112" s="7">
        <v>2.5000000000000001E-2</v>
      </c>
      <c r="F7112" s="7">
        <v>2.4310000000000002E-2</v>
      </c>
      <c r="G7112" s="7">
        <v>2.4799999999999999E-2</v>
      </c>
    </row>
    <row r="7113" spans="2:7" x14ac:dyDescent="0.2">
      <c r="B7113" s="60">
        <v>45706</v>
      </c>
      <c r="C7113" s="7">
        <v>2.4905E-2</v>
      </c>
      <c r="D7113" s="7">
        <v>2.4889999999999999E-2</v>
      </c>
      <c r="E7113" s="7">
        <v>2.5169999999999998E-2</v>
      </c>
      <c r="F7113" s="7">
        <v>2.4889999999999999E-2</v>
      </c>
      <c r="G7113" s="7">
        <v>3.0000000000000001E-3</v>
      </c>
    </row>
    <row r="7114" spans="2:7" x14ac:dyDescent="0.2">
      <c r="B7114" s="60">
        <v>45707</v>
      </c>
      <c r="C7114" s="7">
        <v>2.5489999999999999E-2</v>
      </c>
      <c r="D7114" s="7">
        <v>2.5019999999999997E-2</v>
      </c>
      <c r="E7114" s="7">
        <v>2.5550000000000003E-2</v>
      </c>
      <c r="F7114" s="7">
        <v>2.4940000000000004E-2</v>
      </c>
      <c r="G7114" s="7">
        <v>2.35E-2</v>
      </c>
    </row>
    <row r="7115" spans="2:7" x14ac:dyDescent="0.2">
      <c r="B7115" s="60">
        <v>45708</v>
      </c>
      <c r="C7115" s="7">
        <v>2.5335E-2</v>
      </c>
      <c r="D7115" s="7">
        <v>2.545E-2</v>
      </c>
      <c r="E7115" s="7">
        <v>2.563E-2</v>
      </c>
      <c r="F7115" s="7">
        <v>2.5310000000000003E-2</v>
      </c>
      <c r="G7115" s="7">
        <v>-6.1000000000000004E-3</v>
      </c>
    </row>
    <row r="7116" spans="2:7" x14ac:dyDescent="0.2">
      <c r="B7116" s="60">
        <v>45709</v>
      </c>
      <c r="C7116" s="7">
        <v>2.4624999999999998E-2</v>
      </c>
      <c r="D7116" s="7">
        <v>2.53E-2</v>
      </c>
      <c r="E7116" s="7">
        <v>2.5319999999999999E-2</v>
      </c>
      <c r="F7116" s="7">
        <v>2.461E-2</v>
      </c>
      <c r="G7116" s="7">
        <v>-2.8000000000000001E-2</v>
      </c>
    </row>
    <row r="7117" spans="2:7" x14ac:dyDescent="0.2">
      <c r="B7117" s="60">
        <v>45712</v>
      </c>
      <c r="C7117" s="7">
        <v>2.4695000000000002E-2</v>
      </c>
      <c r="D7117" s="7">
        <v>2.4799999999999999E-2</v>
      </c>
      <c r="E7117" s="7">
        <v>2.4990000000000002E-2</v>
      </c>
      <c r="F7117" s="7">
        <v>2.453E-2</v>
      </c>
      <c r="G7117" s="7">
        <v>2.8E-3</v>
      </c>
    </row>
    <row r="7118" spans="2:7" x14ac:dyDescent="0.2">
      <c r="B7118" s="60">
        <v>45713</v>
      </c>
      <c r="C7118" s="7">
        <v>2.4510000000000001E-2</v>
      </c>
      <c r="D7118" s="7">
        <v>2.4990000000000002E-2</v>
      </c>
      <c r="E7118" s="7">
        <v>2.4990000000000002E-2</v>
      </c>
      <c r="F7118" s="7">
        <v>2.4460000000000003E-2</v>
      </c>
      <c r="G7118" s="7">
        <v>-7.4999999999999997E-3</v>
      </c>
    </row>
    <row r="7119" spans="2:7" x14ac:dyDescent="0.2">
      <c r="B7119" s="60">
        <v>45714</v>
      </c>
      <c r="C7119" s="7">
        <v>2.4380000000000002E-2</v>
      </c>
      <c r="D7119" s="7">
        <v>2.4569999999999998E-2</v>
      </c>
      <c r="E7119" s="7">
        <v>2.4740000000000002E-2</v>
      </c>
      <c r="F7119" s="7">
        <v>2.4209999999999999E-2</v>
      </c>
      <c r="G7119" s="7">
        <v>-5.3E-3</v>
      </c>
    </row>
    <row r="7120" spans="2:7" x14ac:dyDescent="0.2">
      <c r="B7120" s="60">
        <v>45715</v>
      </c>
      <c r="C7120" s="7">
        <v>2.4135E-2</v>
      </c>
      <c r="D7120" s="7">
        <v>2.4329999999999997E-2</v>
      </c>
      <c r="E7120" s="7">
        <v>2.452E-2</v>
      </c>
      <c r="F7120" s="7">
        <v>2.4119999999999999E-2</v>
      </c>
      <c r="G7120" s="7">
        <v>-0.01</v>
      </c>
    </row>
    <row r="7121" spans="2:7" x14ac:dyDescent="0.2">
      <c r="B7121" s="60">
        <v>45716</v>
      </c>
      <c r="C7121" s="7">
        <v>2.3864999999999997E-2</v>
      </c>
      <c r="D7121" s="7">
        <v>2.4150000000000001E-2</v>
      </c>
      <c r="E7121" s="7">
        <v>2.4150000000000001E-2</v>
      </c>
      <c r="F7121" s="7">
        <v>2.3740000000000001E-2</v>
      </c>
      <c r="G7121" s="7">
        <v>-1.12E-2</v>
      </c>
    </row>
    <row r="7122" spans="2:7" x14ac:dyDescent="0.2">
      <c r="B7122" s="60">
        <v>45719</v>
      </c>
      <c r="C7122" s="7">
        <v>2.4910000000000002E-2</v>
      </c>
      <c r="D7122" s="7">
        <v>2.4420000000000001E-2</v>
      </c>
      <c r="E7122" s="7">
        <v>2.5190000000000001E-2</v>
      </c>
      <c r="F7122" s="7">
        <v>2.4119999999999999E-2</v>
      </c>
      <c r="G7122" s="7">
        <v>4.3799999999999999E-2</v>
      </c>
    </row>
    <row r="7123" spans="2:7" x14ac:dyDescent="0.2">
      <c r="B7123" s="60">
        <v>45720</v>
      </c>
      <c r="C7123" s="7">
        <v>2.4794999999999998E-2</v>
      </c>
      <c r="D7123" s="7">
        <v>2.4629999999999999E-2</v>
      </c>
      <c r="E7123" s="7">
        <v>2.504E-2</v>
      </c>
      <c r="F7123" s="7">
        <v>2.4230000000000002E-2</v>
      </c>
      <c r="G7123" s="7">
        <v>-4.5999999999999999E-3</v>
      </c>
    </row>
    <row r="7124" spans="2:7" x14ac:dyDescent="0.2">
      <c r="B7124" s="60">
        <v>45721</v>
      </c>
      <c r="C7124" s="7">
        <v>2.7830000000000001E-2</v>
      </c>
      <c r="D7124" s="7">
        <v>2.6669999999999999E-2</v>
      </c>
      <c r="E7124" s="7">
        <v>2.7959999999999999E-2</v>
      </c>
      <c r="F7124" s="7">
        <v>2.6549999999999997E-2</v>
      </c>
      <c r="G7124" s="7">
        <v>0.12239999999999999</v>
      </c>
    </row>
    <row r="7125" spans="2:7" x14ac:dyDescent="0.2">
      <c r="B7125" s="60">
        <v>45722</v>
      </c>
      <c r="C7125" s="7">
        <v>2.8844999999999999E-2</v>
      </c>
      <c r="D7125" s="7">
        <v>2.7949999999999999E-2</v>
      </c>
      <c r="E7125" s="7">
        <v>2.9289999999999997E-2</v>
      </c>
      <c r="F7125" s="7">
        <v>2.7949999999999999E-2</v>
      </c>
      <c r="G7125" s="7">
        <v>3.6499999999999998E-2</v>
      </c>
    </row>
    <row r="7126" spans="2:7" x14ac:dyDescent="0.2">
      <c r="B7126" s="60">
        <v>45723</v>
      </c>
      <c r="C7126" s="7">
        <v>2.835E-2</v>
      </c>
      <c r="D7126" s="7">
        <v>2.7999999999999997E-2</v>
      </c>
      <c r="E7126" s="7">
        <v>2.843E-2</v>
      </c>
      <c r="F7126" s="7">
        <v>2.7709999999999999E-2</v>
      </c>
      <c r="G7126" s="7">
        <v>-1.72E-2</v>
      </c>
    </row>
    <row r="7127" spans="2:7" x14ac:dyDescent="0.2">
      <c r="B7127" s="60">
        <v>45726</v>
      </c>
      <c r="C7127" s="7">
        <v>2.8250000000000001E-2</v>
      </c>
      <c r="D7127" s="7">
        <v>2.879E-2</v>
      </c>
      <c r="E7127" s="7">
        <v>2.879E-2</v>
      </c>
      <c r="F7127" s="7">
        <v>2.7730000000000001E-2</v>
      </c>
      <c r="G7127" s="7">
        <v>-3.5000000000000001E-3</v>
      </c>
    </row>
    <row r="7128" spans="2:7" x14ac:dyDescent="0.2">
      <c r="B7128" s="60">
        <v>45727</v>
      </c>
      <c r="C7128" s="7">
        <v>2.8719999999999999E-2</v>
      </c>
      <c r="D7128" s="7">
        <v>2.8309999999999998E-2</v>
      </c>
      <c r="E7128" s="7">
        <v>2.8769999999999997E-2</v>
      </c>
      <c r="F7128" s="7">
        <v>2.8199999999999999E-2</v>
      </c>
      <c r="G7128" s="7">
        <v>1.66E-2</v>
      </c>
    </row>
    <row r="7129" spans="2:7" x14ac:dyDescent="0.2">
      <c r="B7129" s="60">
        <v>45728</v>
      </c>
      <c r="C7129" s="7">
        <v>2.8864999999999998E-2</v>
      </c>
      <c r="D7129" s="7">
        <v>2.903E-2</v>
      </c>
      <c r="E7129" s="7">
        <v>2.9380000000000003E-2</v>
      </c>
      <c r="F7129" s="7">
        <v>2.8750000000000001E-2</v>
      </c>
      <c r="G7129" s="7">
        <v>5.0000000000000001E-3</v>
      </c>
    </row>
    <row r="7130" spans="2:7" x14ac:dyDescent="0.2">
      <c r="B7130" s="60">
        <v>45729</v>
      </c>
      <c r="C7130" s="7">
        <v>2.8534999999999998E-2</v>
      </c>
      <c r="D7130" s="7">
        <v>2.8690000000000004E-2</v>
      </c>
      <c r="E7130" s="7">
        <v>2.9089999999999998E-2</v>
      </c>
      <c r="F7130" s="7">
        <v>2.8450000000000003E-2</v>
      </c>
      <c r="G7130" s="7">
        <v>-1.14E-2</v>
      </c>
    </row>
    <row r="7131" spans="2:7" x14ac:dyDescent="0.2">
      <c r="B7131" s="60">
        <v>45730</v>
      </c>
      <c r="C7131" s="7">
        <v>2.8730000000000002E-2</v>
      </c>
      <c r="D7131" s="7">
        <v>2.8660000000000001E-2</v>
      </c>
      <c r="E7131" s="7">
        <v>2.9360000000000001E-2</v>
      </c>
      <c r="F7131" s="7">
        <v>2.8459999999999999E-2</v>
      </c>
      <c r="G7131" s="7">
        <v>6.7999999999999996E-3</v>
      </c>
    </row>
    <row r="7132" spans="2:7" x14ac:dyDescent="0.2">
      <c r="B7132" s="60">
        <v>45733</v>
      </c>
      <c r="C7132" s="7">
        <v>2.802E-2</v>
      </c>
      <c r="D7132" s="7">
        <v>2.8690000000000004E-2</v>
      </c>
      <c r="E7132" s="7">
        <v>2.878E-2</v>
      </c>
      <c r="F7132" s="7">
        <v>2.7999999999999997E-2</v>
      </c>
      <c r="G7132" s="7">
        <v>-2.47E-2</v>
      </c>
    </row>
    <row r="7133" spans="2:7" x14ac:dyDescent="0.2">
      <c r="B7133" s="60">
        <v>45734</v>
      </c>
      <c r="C7133" s="7">
        <v>2.8149999999999998E-2</v>
      </c>
      <c r="D7133" s="7">
        <v>2.826E-2</v>
      </c>
      <c r="E7133" s="7">
        <v>2.8549999999999999E-2</v>
      </c>
      <c r="F7133" s="7">
        <v>2.8079999999999997E-2</v>
      </c>
      <c r="G7133" s="7">
        <v>4.5999999999999999E-3</v>
      </c>
    </row>
    <row r="7134" spans="2:7" x14ac:dyDescent="0.2">
      <c r="B7134" s="60">
        <v>45735</v>
      </c>
      <c r="C7134" s="7">
        <v>2.7980000000000001E-2</v>
      </c>
      <c r="D7134" s="7">
        <v>2.8060000000000002E-2</v>
      </c>
      <c r="E7134" s="7">
        <v>2.8149999999999998E-2</v>
      </c>
      <c r="F7134" s="7">
        <v>2.7480000000000001E-2</v>
      </c>
      <c r="G7134" s="7">
        <v>-6.0000000000000001E-3</v>
      </c>
    </row>
    <row r="7135" spans="2:7" x14ac:dyDescent="0.2">
      <c r="B7135" s="60">
        <v>45736</v>
      </c>
      <c r="C7135" s="7">
        <v>2.7774999999999998E-2</v>
      </c>
      <c r="D7135" s="7">
        <v>2.7660000000000001E-2</v>
      </c>
      <c r="E7135" s="7">
        <v>2.7910000000000001E-2</v>
      </c>
      <c r="F7135" s="7">
        <v>2.7480000000000001E-2</v>
      </c>
      <c r="G7135" s="7">
        <v>-7.3000000000000001E-3</v>
      </c>
    </row>
    <row r="7136" spans="2:7" x14ac:dyDescent="0.2">
      <c r="B7136" s="60">
        <v>45737</v>
      </c>
      <c r="C7136" s="7">
        <v>2.7650000000000001E-2</v>
      </c>
      <c r="D7136" s="7">
        <v>2.7839999999999997E-2</v>
      </c>
      <c r="E7136" s="7">
        <v>2.7859999999999999E-2</v>
      </c>
      <c r="F7136" s="7">
        <v>2.7459999999999998E-2</v>
      </c>
      <c r="G7136" s="7">
        <v>-4.4999999999999997E-3</v>
      </c>
    </row>
    <row r="7137" spans="2:7" x14ac:dyDescent="0.2">
      <c r="B7137" s="60">
        <v>45740</v>
      </c>
      <c r="C7137" s="7">
        <v>2.7699999999999999E-2</v>
      </c>
      <c r="D7137" s="7">
        <v>2.7900000000000001E-2</v>
      </c>
      <c r="E7137" s="7">
        <v>2.7999999999999997E-2</v>
      </c>
      <c r="F7137" s="7">
        <v>2.7629999999999998E-2</v>
      </c>
      <c r="G7137" s="7">
        <v>1.8E-3</v>
      </c>
    </row>
    <row r="7138" spans="2:7" x14ac:dyDescent="0.2">
      <c r="B7138" s="60">
        <v>45741</v>
      </c>
      <c r="C7138" s="7">
        <v>2.793E-2</v>
      </c>
      <c r="D7138" s="7">
        <v>2.7759999999999996E-2</v>
      </c>
      <c r="E7138" s="7">
        <v>2.8309999999999998E-2</v>
      </c>
      <c r="F7138" s="7">
        <v>2.7730000000000001E-2</v>
      </c>
      <c r="G7138" s="7">
        <v>8.3000000000000001E-3</v>
      </c>
    </row>
    <row r="7139" spans="2:7" x14ac:dyDescent="0.2">
      <c r="B7139" s="60">
        <v>45742</v>
      </c>
      <c r="C7139" s="7">
        <v>2.7895E-2</v>
      </c>
      <c r="D7139" s="7">
        <v>2.802E-2</v>
      </c>
      <c r="E7139" s="7">
        <v>2.81E-2</v>
      </c>
      <c r="F7139" s="7">
        <v>2.7740000000000001E-2</v>
      </c>
      <c r="G7139" s="7">
        <v>-1.2999999999999999E-3</v>
      </c>
    </row>
    <row r="7140" spans="2:7" x14ac:dyDescent="0.2">
      <c r="B7140" s="60">
        <v>45743</v>
      </c>
      <c r="C7140" s="7">
        <v>2.7734999999999999E-2</v>
      </c>
      <c r="D7140" s="7">
        <v>2.7719999999999998E-2</v>
      </c>
      <c r="E7140" s="7">
        <v>2.7919999999999997E-2</v>
      </c>
      <c r="F7140" s="7">
        <v>2.7459999999999998E-2</v>
      </c>
      <c r="G7140" s="7">
        <v>-5.7000000000000002E-3</v>
      </c>
    </row>
    <row r="7141" spans="2:7" x14ac:dyDescent="0.2">
      <c r="B7141" s="60">
        <v>45744</v>
      </c>
      <c r="C7141" s="7">
        <v>2.7320000000000001E-2</v>
      </c>
      <c r="D7141" s="7">
        <v>2.775E-2</v>
      </c>
      <c r="E7141" s="7">
        <v>2.775E-2</v>
      </c>
      <c r="F7141" s="7">
        <v>2.7080000000000003E-2</v>
      </c>
      <c r="G7141" s="7">
        <v>-1.4999999999999999E-2</v>
      </c>
    </row>
    <row r="7142" spans="2:7" x14ac:dyDescent="0.2">
      <c r="B7142" s="60">
        <v>45747</v>
      </c>
      <c r="C7142" s="7">
        <v>2.7269999999999999E-2</v>
      </c>
      <c r="D7142" s="7">
        <v>2.7280000000000002E-2</v>
      </c>
      <c r="E7142" s="7">
        <v>2.734E-2</v>
      </c>
      <c r="F7142" s="7">
        <v>2.6589999999999999E-2</v>
      </c>
      <c r="G7142" s="7">
        <v>-1.8E-3</v>
      </c>
    </row>
    <row r="7143" spans="2:7" x14ac:dyDescent="0.2">
      <c r="B7143" s="60">
        <v>45748</v>
      </c>
      <c r="C7143" s="7">
        <v>2.681E-2</v>
      </c>
      <c r="D7143" s="7">
        <v>2.7320000000000001E-2</v>
      </c>
      <c r="E7143" s="7">
        <v>2.733E-2</v>
      </c>
      <c r="F7143" s="7">
        <v>2.6549999999999997E-2</v>
      </c>
      <c r="G7143" s="7">
        <v>-1.6899999999999998E-2</v>
      </c>
    </row>
    <row r="7144" spans="2:7" x14ac:dyDescent="0.2">
      <c r="B7144" s="60">
        <v>45749</v>
      </c>
      <c r="C7144" s="7">
        <v>2.724E-2</v>
      </c>
      <c r="D7144" s="7">
        <v>2.6849999999999999E-2</v>
      </c>
      <c r="E7144" s="7">
        <v>2.726E-2</v>
      </c>
      <c r="F7144" s="7">
        <v>2.6549999999999997E-2</v>
      </c>
      <c r="G7144" s="7">
        <v>1.6E-2</v>
      </c>
    </row>
    <row r="7145" spans="2:7" x14ac:dyDescent="0.2">
      <c r="B7145" s="60">
        <v>45750</v>
      </c>
      <c r="C7145" s="7">
        <v>2.6404999999999998E-2</v>
      </c>
      <c r="D7145" s="7">
        <v>2.6539999999999998E-2</v>
      </c>
      <c r="E7145" s="7">
        <v>2.6720000000000001E-2</v>
      </c>
      <c r="F7145" s="7">
        <v>2.6249999999999999E-2</v>
      </c>
      <c r="G7145" s="7">
        <v>-3.0700000000000002E-2</v>
      </c>
    </row>
    <row r="7146" spans="2:7" x14ac:dyDescent="0.2">
      <c r="B7146" s="60">
        <v>45751</v>
      </c>
      <c r="C7146" s="7">
        <v>2.5695000000000003E-2</v>
      </c>
      <c r="D7146" s="7">
        <v>2.6230000000000003E-2</v>
      </c>
      <c r="E7146" s="7">
        <v>2.63E-2</v>
      </c>
      <c r="F7146" s="7">
        <v>2.487E-2</v>
      </c>
      <c r="G7146" s="7">
        <v>-2.69E-2</v>
      </c>
    </row>
    <row r="7147" spans="2:7" x14ac:dyDescent="0.2">
      <c r="B7147" s="60">
        <v>45754</v>
      </c>
      <c r="C7147" s="7">
        <v>2.598E-2</v>
      </c>
      <c r="D7147" s="7">
        <v>2.5770000000000001E-2</v>
      </c>
      <c r="E7147" s="7">
        <v>2.6680000000000002E-2</v>
      </c>
      <c r="F7147" s="7">
        <v>2.4310000000000002E-2</v>
      </c>
      <c r="G7147" s="7">
        <v>1.11E-2</v>
      </c>
    </row>
    <row r="7148" spans="2:7" x14ac:dyDescent="0.2">
      <c r="B7148" s="60">
        <v>45755</v>
      </c>
      <c r="C7148" s="7">
        <v>2.6244999999999997E-2</v>
      </c>
      <c r="D7148" s="7">
        <v>2.649E-2</v>
      </c>
      <c r="E7148" s="7">
        <v>2.6800000000000001E-2</v>
      </c>
      <c r="F7148" s="7">
        <v>2.5739999999999999E-2</v>
      </c>
      <c r="G7148" s="7">
        <v>1.0200000000000001E-2</v>
      </c>
    </row>
    <row r="7149" spans="2:7" x14ac:dyDescent="0.2">
      <c r="B7149" s="60">
        <v>45756</v>
      </c>
      <c r="C7149" s="7">
        <v>2.5794999999999998E-2</v>
      </c>
      <c r="D7149" s="7">
        <v>2.6259999999999999E-2</v>
      </c>
      <c r="E7149" s="7">
        <v>2.6749999999999999E-2</v>
      </c>
      <c r="F7149" s="7">
        <v>2.5569999999999999E-2</v>
      </c>
      <c r="G7149" s="7">
        <v>-1.7100000000000001E-2</v>
      </c>
    </row>
    <row r="7150" spans="2:7" x14ac:dyDescent="0.2">
      <c r="B7150" s="60">
        <v>45757</v>
      </c>
      <c r="C7150" s="7">
        <v>2.5815000000000001E-2</v>
      </c>
      <c r="D7150" s="7">
        <v>2.7069999999999997E-2</v>
      </c>
      <c r="E7150" s="7">
        <v>2.7149999999999997E-2</v>
      </c>
      <c r="F7150" s="7">
        <v>2.5680000000000001E-2</v>
      </c>
      <c r="G7150" s="7">
        <v>8.0000000000000004E-4</v>
      </c>
    </row>
    <row r="7151" spans="2:7" x14ac:dyDescent="0.2">
      <c r="B7151" s="60">
        <v>45758</v>
      </c>
      <c r="C7151" s="7">
        <v>2.5270000000000001E-2</v>
      </c>
      <c r="D7151" s="7">
        <v>2.6120000000000001E-2</v>
      </c>
      <c r="E7151" s="7">
        <v>2.632E-2</v>
      </c>
      <c r="F7151" s="7">
        <v>2.4900000000000002E-2</v>
      </c>
      <c r="G7151" s="7">
        <v>-2.1100000000000001E-2</v>
      </c>
    </row>
    <row r="7152" spans="2:7" x14ac:dyDescent="0.2">
      <c r="B7152" s="60">
        <v>45761</v>
      </c>
      <c r="C7152" s="7">
        <v>2.521E-2</v>
      </c>
      <c r="D7152" s="7">
        <v>2.571E-2</v>
      </c>
      <c r="E7152" s="7">
        <v>2.58E-2</v>
      </c>
      <c r="F7152" s="7">
        <v>2.5089999999999998E-2</v>
      </c>
      <c r="G7152" s="7">
        <v>-2.3999999999999998E-3</v>
      </c>
    </row>
    <row r="7153" spans="2:7" x14ac:dyDescent="0.2">
      <c r="B7153" s="60">
        <v>45762</v>
      </c>
      <c r="C7153" s="7">
        <v>2.5440000000000001E-2</v>
      </c>
      <c r="D7153" s="7">
        <v>2.504E-2</v>
      </c>
      <c r="E7153" s="7">
        <v>2.5510000000000001E-2</v>
      </c>
      <c r="F7153" s="7">
        <v>2.4929999999999997E-2</v>
      </c>
      <c r="G7153" s="7">
        <v>9.1000000000000004E-3</v>
      </c>
    </row>
    <row r="7154" spans="2:7" x14ac:dyDescent="0.2">
      <c r="B7154" s="60">
        <v>45763</v>
      </c>
      <c r="C7154" s="7">
        <v>2.5019999999999997E-2</v>
      </c>
      <c r="D7154" s="7">
        <v>2.5360000000000001E-2</v>
      </c>
      <c r="E7154" s="7">
        <v>2.5360000000000001E-2</v>
      </c>
      <c r="F7154" s="7">
        <v>2.479E-2</v>
      </c>
      <c r="G7154" s="7">
        <v>-1.6500000000000001E-2</v>
      </c>
    </row>
    <row r="7155" spans="2:7" x14ac:dyDescent="0.2">
      <c r="B7155" s="60">
        <v>45764</v>
      </c>
      <c r="C7155" s="7">
        <v>2.4645E-2</v>
      </c>
      <c r="D7155" s="7">
        <v>2.511E-2</v>
      </c>
      <c r="E7155" s="7">
        <v>2.538E-2</v>
      </c>
      <c r="F7155" s="7">
        <v>2.453E-2</v>
      </c>
      <c r="G7155" s="7">
        <v>-1.4999999999999999E-2</v>
      </c>
    </row>
    <row r="7156" spans="2:7" x14ac:dyDescent="0.2">
      <c r="B7156" s="60">
        <v>45769</v>
      </c>
      <c r="C7156" s="7">
        <v>2.4390000000000002E-2</v>
      </c>
      <c r="D7156" s="7">
        <v>2.4729999999999999E-2</v>
      </c>
      <c r="E7156" s="7">
        <v>2.4780000000000003E-2</v>
      </c>
      <c r="F7156" s="7">
        <v>2.4399999999999998E-2</v>
      </c>
      <c r="G7156" s="7">
        <v>-1.03E-2</v>
      </c>
    </row>
    <row r="7157" spans="2:7" x14ac:dyDescent="0.2">
      <c r="B7157" s="60">
        <v>45770</v>
      </c>
      <c r="C7157" s="7">
        <v>2.4934999999999999E-2</v>
      </c>
      <c r="D7157" s="7">
        <v>2.4569999999999998E-2</v>
      </c>
      <c r="E7157" s="7">
        <v>2.5179999999999998E-2</v>
      </c>
      <c r="F7157" s="7">
        <v>2.4540000000000003E-2</v>
      </c>
      <c r="G7157" s="7">
        <v>2.23E-2</v>
      </c>
    </row>
    <row r="7158" spans="2:7" x14ac:dyDescent="0.2">
      <c r="B7158" s="60">
        <v>45771</v>
      </c>
      <c r="C7158" s="7">
        <v>2.4420000000000001E-2</v>
      </c>
      <c r="D7158" s="7">
        <v>2.495E-2</v>
      </c>
      <c r="E7158" s="7">
        <v>2.5000000000000001E-2</v>
      </c>
      <c r="F7158" s="7">
        <v>2.4420000000000001E-2</v>
      </c>
      <c r="G7158" s="7">
        <v>-2.07E-2</v>
      </c>
    </row>
    <row r="7159" spans="2:7" x14ac:dyDescent="0.2">
      <c r="B7159" s="60">
        <v>45772</v>
      </c>
      <c r="C7159" s="7">
        <v>2.4729999999999999E-2</v>
      </c>
      <c r="D7159" s="7">
        <v>2.4550000000000002E-2</v>
      </c>
      <c r="E7159" s="7">
        <v>2.4799999999999999E-2</v>
      </c>
      <c r="F7159" s="7">
        <v>2.4550000000000002E-2</v>
      </c>
      <c r="G7159" s="7">
        <v>1.2699999999999999E-2</v>
      </c>
    </row>
    <row r="7160" spans="2:7" x14ac:dyDescent="0.2">
      <c r="B7160" s="60">
        <v>45775</v>
      </c>
      <c r="C7160" s="7">
        <v>2.5065E-2</v>
      </c>
      <c r="D7160" s="7">
        <v>2.4729999999999999E-2</v>
      </c>
      <c r="E7160" s="7">
        <v>2.5239999999999999E-2</v>
      </c>
      <c r="F7160" s="7">
        <v>2.4709999999999999E-2</v>
      </c>
      <c r="G7160" s="7">
        <v>1.35E-2</v>
      </c>
    </row>
    <row r="7161" spans="2:7" x14ac:dyDescent="0.2">
      <c r="B7161" s="60">
        <v>45776</v>
      </c>
      <c r="C7161" s="7">
        <v>2.4920000000000001E-2</v>
      </c>
      <c r="D7161" s="7">
        <v>2.5000000000000001E-2</v>
      </c>
      <c r="E7161" s="7">
        <v>2.5099999999999997E-2</v>
      </c>
      <c r="F7161" s="7">
        <v>2.4860000000000004E-2</v>
      </c>
      <c r="G7161" s="7">
        <v>-5.7999999999999996E-3</v>
      </c>
    </row>
    <row r="7162" spans="2:7" x14ac:dyDescent="0.2">
      <c r="B7162" s="60">
        <v>45777</v>
      </c>
      <c r="C7162" s="7">
        <v>2.4399999999999998E-2</v>
      </c>
      <c r="D7162" s="7">
        <v>2.4910000000000002E-2</v>
      </c>
      <c r="E7162" s="7">
        <v>2.4980000000000002E-2</v>
      </c>
      <c r="F7162" s="7">
        <v>2.4390000000000002E-2</v>
      </c>
      <c r="G7162" s="7">
        <v>-2.0899999999999998E-2</v>
      </c>
    </row>
    <row r="7163" spans="2:7" x14ac:dyDescent="0.2">
      <c r="B7163" s="60">
        <v>45779</v>
      </c>
      <c r="C7163" s="7">
        <v>2.52E-2</v>
      </c>
      <c r="D7163" s="7">
        <v>2.46E-2</v>
      </c>
      <c r="E7163" s="7">
        <v>2.5219999999999999E-2</v>
      </c>
      <c r="F7163" s="7">
        <v>2.4580000000000001E-2</v>
      </c>
      <c r="G7163" s="7">
        <v>3.2800000000000003E-2</v>
      </c>
    </row>
    <row r="7164" spans="2:7" x14ac:dyDescent="0.2">
      <c r="B7164" s="60">
        <v>45782</v>
      </c>
      <c r="C7164" s="7">
        <v>2.5179999999999998E-2</v>
      </c>
      <c r="D7164" s="7">
        <v>2.5430000000000001E-2</v>
      </c>
      <c r="E7164" s="7">
        <v>2.5430000000000001E-2</v>
      </c>
      <c r="F7164" s="7">
        <v>2.503E-2</v>
      </c>
      <c r="G7164" s="7">
        <v>-8.0000000000000004E-4</v>
      </c>
    </row>
    <row r="7165" spans="2:7" x14ac:dyDescent="0.2">
      <c r="B7165" s="60">
        <v>45783</v>
      </c>
      <c r="C7165" s="7">
        <v>2.5314999999999997E-2</v>
      </c>
      <c r="D7165" s="7">
        <v>2.5310000000000003E-2</v>
      </c>
      <c r="E7165" s="7">
        <v>2.5569999999999999E-2</v>
      </c>
      <c r="F7165" s="7">
        <v>2.5190000000000001E-2</v>
      </c>
      <c r="G7165" s="7">
        <v>5.4000000000000003E-3</v>
      </c>
    </row>
    <row r="7166" spans="2:7" x14ac:dyDescent="0.2">
      <c r="B7166" s="60">
        <v>45784</v>
      </c>
      <c r="C7166" s="7">
        <v>2.4740000000000002E-2</v>
      </c>
      <c r="D7166" s="7">
        <v>2.5440000000000001E-2</v>
      </c>
      <c r="E7166" s="7">
        <v>2.5470000000000003E-2</v>
      </c>
      <c r="F7166" s="7">
        <v>2.4750000000000001E-2</v>
      </c>
      <c r="G7166" s="7">
        <v>-2.2700000000000001E-2</v>
      </c>
    </row>
    <row r="7167" spans="2:7" x14ac:dyDescent="0.2">
      <c r="B7167" s="60">
        <v>45785</v>
      </c>
      <c r="C7167" s="7">
        <v>2.5174999999999999E-2</v>
      </c>
      <c r="D7167" s="7">
        <v>2.4809999999999999E-2</v>
      </c>
      <c r="E7167" s="7">
        <v>2.52E-2</v>
      </c>
      <c r="F7167" s="7">
        <v>2.4750000000000001E-2</v>
      </c>
      <c r="G7167" s="7">
        <v>1.7600000000000001E-2</v>
      </c>
    </row>
    <row r="7168" spans="2:7" x14ac:dyDescent="0.2">
      <c r="B7168" s="60">
        <v>45786</v>
      </c>
      <c r="C7168" s="7">
        <v>2.5510000000000001E-2</v>
      </c>
      <c r="D7168" s="7">
        <v>2.5409999999999999E-2</v>
      </c>
      <c r="E7168" s="7">
        <v>2.588E-2</v>
      </c>
      <c r="F7168" s="7">
        <v>2.5409999999999999E-2</v>
      </c>
      <c r="G7168" s="7">
        <v>1.3299999999999999E-2</v>
      </c>
    </row>
    <row r="7169" spans="2:7" x14ac:dyDescent="0.2">
      <c r="B7169" s="60">
        <v>45789</v>
      </c>
      <c r="C7169" s="7">
        <v>2.6419999999999999E-2</v>
      </c>
      <c r="D7169" s="7">
        <v>2.563E-2</v>
      </c>
      <c r="E7169" s="7">
        <v>2.6499999999999999E-2</v>
      </c>
      <c r="F7169" s="7">
        <v>2.5619999999999997E-2</v>
      </c>
      <c r="G7169" s="7">
        <v>3.5700000000000003E-2</v>
      </c>
    </row>
    <row r="7170" spans="2:7" x14ac:dyDescent="0.2">
      <c r="B7170" s="60">
        <v>45790</v>
      </c>
      <c r="C7170" s="7">
        <v>2.6749999999999999E-2</v>
      </c>
      <c r="D7170" s="7">
        <v>2.6629999999999997E-2</v>
      </c>
      <c r="E7170" s="7">
        <v>2.6800000000000001E-2</v>
      </c>
      <c r="F7170" s="7">
        <v>2.6530000000000001E-2</v>
      </c>
      <c r="G7170" s="7">
        <v>1.2500000000000001E-2</v>
      </c>
    </row>
    <row r="7171" spans="2:7" x14ac:dyDescent="0.2">
      <c r="B7171" s="60">
        <v>45791</v>
      </c>
      <c r="C7171" s="7">
        <v>2.6920000000000003E-2</v>
      </c>
      <c r="D7171" s="7">
        <v>2.683E-2</v>
      </c>
      <c r="E7171" s="7">
        <v>2.6939999999999999E-2</v>
      </c>
      <c r="F7171" s="7">
        <v>2.656E-2</v>
      </c>
      <c r="G7171" s="7">
        <v>6.4000000000000003E-3</v>
      </c>
    </row>
    <row r="7172" spans="2:7" x14ac:dyDescent="0.2">
      <c r="B7172" s="60">
        <v>45792</v>
      </c>
      <c r="C7172" s="7">
        <v>2.6249999999999999E-2</v>
      </c>
      <c r="D7172" s="7">
        <v>2.6960000000000001E-2</v>
      </c>
      <c r="E7172" s="7">
        <v>2.7000000000000003E-2</v>
      </c>
      <c r="F7172" s="7">
        <v>2.6230000000000003E-2</v>
      </c>
      <c r="G7172" s="7">
        <v>-2.4899999999999999E-2</v>
      </c>
    </row>
    <row r="7173" spans="2:7" x14ac:dyDescent="0.2">
      <c r="B7173" s="60">
        <v>45793</v>
      </c>
      <c r="C7173" s="7">
        <v>2.5859999999999998E-2</v>
      </c>
      <c r="D7173" s="7">
        <v>2.614E-2</v>
      </c>
      <c r="E7173" s="7">
        <v>2.614E-2</v>
      </c>
      <c r="F7173" s="7">
        <v>2.563E-2</v>
      </c>
      <c r="G7173" s="7">
        <v>-1.49E-2</v>
      </c>
    </row>
    <row r="7174" spans="2:7" x14ac:dyDescent="0.2">
      <c r="B7174" s="60">
        <v>45796</v>
      </c>
      <c r="C7174" s="7">
        <v>2.5760000000000002E-2</v>
      </c>
      <c r="D7174" s="7">
        <v>2.5939999999999998E-2</v>
      </c>
      <c r="E7174" s="7">
        <v>2.6530000000000001E-2</v>
      </c>
      <c r="F7174" s="7">
        <v>2.572E-2</v>
      </c>
      <c r="G7174" s="7">
        <v>-3.8999999999999998E-3</v>
      </c>
    </row>
    <row r="7175" spans="2:7" x14ac:dyDescent="0.2">
      <c r="B7175" s="60">
        <v>45797</v>
      </c>
      <c r="C7175" s="7">
        <v>2.5990000000000003E-2</v>
      </c>
      <c r="D7175" s="7">
        <v>2.579E-2</v>
      </c>
      <c r="E7175" s="7">
        <v>2.6239999999999999E-2</v>
      </c>
      <c r="F7175" s="7">
        <v>2.5550000000000003E-2</v>
      </c>
      <c r="G7175" s="7">
        <v>8.8999999999999999E-3</v>
      </c>
    </row>
    <row r="7176" spans="2:7" x14ac:dyDescent="0.2">
      <c r="B7176" s="60">
        <v>45798</v>
      </c>
      <c r="C7176" s="7">
        <v>2.6419999999999999E-2</v>
      </c>
      <c r="D7176" s="7">
        <v>2.613E-2</v>
      </c>
      <c r="E7176" s="7">
        <v>2.6699999999999998E-2</v>
      </c>
      <c r="F7176" s="7">
        <v>2.613E-2</v>
      </c>
      <c r="G7176" s="7">
        <v>1.6500000000000001E-2</v>
      </c>
    </row>
    <row r="7177" spans="2:7" x14ac:dyDescent="0.2">
      <c r="B7177" s="60">
        <v>45799</v>
      </c>
      <c r="C7177" s="7">
        <v>2.6375000000000003E-2</v>
      </c>
      <c r="D7177" s="7">
        <v>2.6600000000000002E-2</v>
      </c>
      <c r="E7177" s="7">
        <v>2.665E-2</v>
      </c>
      <c r="F7177" s="7">
        <v>2.6360000000000001E-2</v>
      </c>
      <c r="G7177" s="7">
        <v>-1.6999999999999999E-3</v>
      </c>
    </row>
    <row r="7178" spans="2:7" x14ac:dyDescent="0.2">
      <c r="B7178" s="60">
        <v>45800</v>
      </c>
      <c r="C7178" s="7">
        <v>2.5739999999999999E-2</v>
      </c>
      <c r="D7178" s="7">
        <v>2.64E-2</v>
      </c>
      <c r="E7178" s="7">
        <v>2.6440000000000002E-2</v>
      </c>
      <c r="F7178" s="7">
        <v>2.5390000000000003E-2</v>
      </c>
      <c r="G7178" s="7">
        <v>-2.41E-2</v>
      </c>
    </row>
    <row r="7179" spans="2:7" x14ac:dyDescent="0.2">
      <c r="B7179" s="60">
        <v>45803</v>
      </c>
      <c r="C7179" s="7">
        <v>2.5595E-2</v>
      </c>
      <c r="D7179" s="7">
        <v>2.5849999999999998E-2</v>
      </c>
      <c r="E7179" s="7">
        <v>2.6089999999999999E-2</v>
      </c>
      <c r="F7179" s="7">
        <v>2.5579999999999999E-2</v>
      </c>
      <c r="G7179" s="7">
        <v>-5.5999999999999999E-3</v>
      </c>
    </row>
    <row r="7180" spans="2:7" x14ac:dyDescent="0.2">
      <c r="B7180" s="60">
        <v>45804</v>
      </c>
      <c r="C7180" s="7">
        <v>2.5329999999999998E-2</v>
      </c>
      <c r="D7180" s="7">
        <v>2.5360000000000001E-2</v>
      </c>
      <c r="E7180" s="7">
        <v>2.5520000000000001E-2</v>
      </c>
      <c r="F7180" s="7">
        <v>2.513E-2</v>
      </c>
      <c r="G7180" s="7">
        <v>-1.04E-2</v>
      </c>
    </row>
    <row r="7181" spans="2:7" x14ac:dyDescent="0.2">
      <c r="B7181" s="60">
        <v>45805</v>
      </c>
      <c r="C7181" s="7">
        <v>2.5470000000000003E-2</v>
      </c>
      <c r="D7181" s="7">
        <v>2.545E-2</v>
      </c>
      <c r="E7181" s="7">
        <v>2.5619999999999997E-2</v>
      </c>
      <c r="F7181" s="7">
        <v>2.5350000000000001E-2</v>
      </c>
      <c r="G7181" s="7">
        <v>5.4999999999999997E-3</v>
      </c>
    </row>
    <row r="7182" spans="2:7" x14ac:dyDescent="0.2">
      <c r="B7182" s="60">
        <v>45806</v>
      </c>
      <c r="C7182" s="7">
        <v>2.512E-2</v>
      </c>
      <c r="D7182" s="7">
        <v>2.5830000000000002E-2</v>
      </c>
      <c r="E7182" s="7">
        <v>2.5939999999999998E-2</v>
      </c>
      <c r="F7182" s="7">
        <v>2.512E-2</v>
      </c>
      <c r="G7182" s="7">
        <v>-1.37E-2</v>
      </c>
    </row>
    <row r="7183" spans="2:7" x14ac:dyDescent="0.2">
      <c r="B7183" s="60">
        <v>45807</v>
      </c>
      <c r="C7183" s="7">
        <v>2.5080000000000002E-2</v>
      </c>
      <c r="D7183" s="7">
        <v>2.5089999999999998E-2</v>
      </c>
      <c r="E7183" s="7">
        <v>2.5390000000000003E-2</v>
      </c>
      <c r="F7183" s="7">
        <v>2.4969999999999999E-2</v>
      </c>
      <c r="G7183" s="7">
        <v>-1.6000000000000001E-3</v>
      </c>
    </row>
    <row r="7184" spans="2:7" x14ac:dyDescent="0.2">
      <c r="B7184" s="60">
        <v>45810</v>
      </c>
      <c r="C7184" s="7">
        <v>2.5225000000000001E-2</v>
      </c>
      <c r="D7184" s="7">
        <v>2.5080000000000002E-2</v>
      </c>
      <c r="E7184" s="7">
        <v>2.5600000000000001E-2</v>
      </c>
      <c r="F7184" s="7">
        <v>2.5059999999999999E-2</v>
      </c>
      <c r="G7184" s="7">
        <v>5.7999999999999996E-3</v>
      </c>
    </row>
    <row r="7185" spans="2:7" x14ac:dyDescent="0.2">
      <c r="B7185" s="60">
        <v>45811</v>
      </c>
      <c r="C7185" s="7">
        <v>2.504E-2</v>
      </c>
      <c r="D7185" s="7">
        <v>2.5019999999999997E-2</v>
      </c>
      <c r="E7185" s="7">
        <v>2.5150000000000002E-2</v>
      </c>
      <c r="F7185" s="7">
        <v>2.4849999999999997E-2</v>
      </c>
      <c r="G7185" s="7">
        <v>-7.3000000000000001E-3</v>
      </c>
    </row>
    <row r="7186" spans="2:7" x14ac:dyDescent="0.2">
      <c r="B7186" s="60">
        <v>45812</v>
      </c>
      <c r="C7186" s="7">
        <v>2.521E-2</v>
      </c>
      <c r="D7186" s="7">
        <v>2.52E-2</v>
      </c>
      <c r="E7186" s="7">
        <v>2.5399999999999999E-2</v>
      </c>
      <c r="F7186" s="7">
        <v>2.504E-2</v>
      </c>
      <c r="G7186" s="7">
        <v>6.7999999999999996E-3</v>
      </c>
    </row>
    <row r="7187" spans="2:7" x14ac:dyDescent="0.2">
      <c r="B7187" s="60">
        <v>45813</v>
      </c>
      <c r="C7187" s="7">
        <v>2.5864999999999999E-2</v>
      </c>
      <c r="D7187" s="7">
        <v>2.52E-2</v>
      </c>
      <c r="E7187" s="7">
        <v>2.5910000000000002E-2</v>
      </c>
      <c r="F7187" s="7">
        <v>2.4760000000000001E-2</v>
      </c>
      <c r="G7187" s="7">
        <v>2.5999999999999999E-2</v>
      </c>
    </row>
    <row r="7188" spans="2:7" x14ac:dyDescent="0.2">
      <c r="B7188" s="60">
        <v>45814</v>
      </c>
      <c r="C7188" s="7">
        <v>2.5619999999999997E-2</v>
      </c>
      <c r="D7188" s="7">
        <v>2.5779999999999997E-2</v>
      </c>
      <c r="E7188" s="7">
        <v>2.581E-2</v>
      </c>
      <c r="F7188" s="7">
        <v>2.5339999999999998E-2</v>
      </c>
      <c r="G7188" s="7">
        <v>-9.4999999999999998E-3</v>
      </c>
    </row>
    <row r="7189" spans="2:7" x14ac:dyDescent="0.2">
      <c r="B7189" s="60">
        <v>45817</v>
      </c>
      <c r="C7189" s="7">
        <v>2.5695000000000003E-2</v>
      </c>
      <c r="D7189" s="7">
        <v>2.5690000000000001E-2</v>
      </c>
      <c r="E7189" s="7">
        <v>2.5929999999999998E-2</v>
      </c>
      <c r="F7189" s="7">
        <v>2.5139999999999999E-2</v>
      </c>
      <c r="G7189" s="7">
        <v>2.8999999999999998E-3</v>
      </c>
    </row>
    <row r="7190" spans="2:7" x14ac:dyDescent="0.2">
      <c r="B7190" s="60">
        <v>45818</v>
      </c>
      <c r="C7190" s="7">
        <v>2.5310000000000003E-2</v>
      </c>
      <c r="D7190" s="7">
        <v>2.5600000000000001E-2</v>
      </c>
      <c r="E7190" s="7">
        <v>2.5680000000000001E-2</v>
      </c>
      <c r="F7190" s="7">
        <v>2.5169999999999998E-2</v>
      </c>
      <c r="G7190" s="7">
        <v>-1.4999999999999999E-2</v>
      </c>
    </row>
    <row r="7191" spans="2:7" x14ac:dyDescent="0.2">
      <c r="B7191" s="60">
        <v>45819</v>
      </c>
      <c r="C7191" s="7">
        <v>2.5385000000000001E-2</v>
      </c>
      <c r="D7191" s="7">
        <v>2.528E-2</v>
      </c>
      <c r="E7191" s="7">
        <v>2.5550000000000003E-2</v>
      </c>
      <c r="F7191" s="7">
        <v>2.5150000000000002E-2</v>
      </c>
      <c r="G7191" s="7">
        <v>3.0000000000000001E-3</v>
      </c>
    </row>
    <row r="7192" spans="2:7" x14ac:dyDescent="0.2">
      <c r="B7192" s="60">
        <v>45820</v>
      </c>
      <c r="C7192" s="7">
        <v>2.4780000000000003E-2</v>
      </c>
      <c r="D7192" s="7">
        <v>2.5310000000000003E-2</v>
      </c>
      <c r="E7192" s="7">
        <v>2.5360000000000001E-2</v>
      </c>
      <c r="F7192" s="7">
        <v>2.469E-2</v>
      </c>
      <c r="G7192" s="7">
        <v>-2.3800000000000002E-2</v>
      </c>
    </row>
    <row r="7193" spans="2:7" x14ac:dyDescent="0.2">
      <c r="B7193" s="60">
        <v>45821</v>
      </c>
      <c r="C7193" s="7">
        <v>2.5360000000000001E-2</v>
      </c>
      <c r="D7193" s="7">
        <v>2.477E-2</v>
      </c>
      <c r="E7193" s="7">
        <v>2.537E-2</v>
      </c>
      <c r="F7193" s="7">
        <v>2.4220000000000002E-2</v>
      </c>
      <c r="G7193" s="7">
        <v>2.3400000000000001E-2</v>
      </c>
    </row>
    <row r="7194" spans="2:7" x14ac:dyDescent="0.2">
      <c r="B7194" s="60">
        <v>45824</v>
      </c>
      <c r="C7194" s="7">
        <v>2.5285000000000002E-2</v>
      </c>
      <c r="D7194" s="7">
        <v>2.5390000000000003E-2</v>
      </c>
      <c r="E7194" s="7">
        <v>2.588E-2</v>
      </c>
      <c r="F7194" s="7">
        <v>2.5160000000000002E-2</v>
      </c>
      <c r="G7194" s="7">
        <v>-3.0000000000000001E-3</v>
      </c>
    </row>
    <row r="7195" spans="2:7" x14ac:dyDescent="0.2">
      <c r="B7195" s="60">
        <v>45825</v>
      </c>
      <c r="C7195" s="7">
        <v>2.5344999999999999E-2</v>
      </c>
      <c r="D7195" s="7">
        <v>2.5409999999999999E-2</v>
      </c>
      <c r="E7195" s="7">
        <v>2.5579999999999999E-2</v>
      </c>
      <c r="F7195" s="7">
        <v>2.5049999999999999E-2</v>
      </c>
      <c r="G7195" s="7">
        <v>2.3999999999999998E-3</v>
      </c>
    </row>
    <row r="7196" spans="2:7" x14ac:dyDescent="0.2">
      <c r="B7196" s="60">
        <v>45826</v>
      </c>
      <c r="C7196" s="7">
        <v>2.4985E-2</v>
      </c>
      <c r="D7196" s="7">
        <v>2.537E-2</v>
      </c>
      <c r="E7196" s="7">
        <v>2.5479999999999999E-2</v>
      </c>
      <c r="F7196" s="7">
        <v>2.4969999999999999E-2</v>
      </c>
      <c r="G7196" s="7">
        <v>-1.4200000000000001E-2</v>
      </c>
    </row>
    <row r="7197" spans="2:7" x14ac:dyDescent="0.2">
      <c r="B7197" s="60">
        <v>45827</v>
      </c>
      <c r="C7197" s="7">
        <v>2.5184999999999999E-2</v>
      </c>
      <c r="D7197" s="7">
        <v>2.511E-2</v>
      </c>
      <c r="E7197" s="7">
        <v>2.538E-2</v>
      </c>
      <c r="F7197" s="7">
        <v>2.5009999999999998E-2</v>
      </c>
      <c r="G7197" s="7">
        <v>8.0000000000000002E-3</v>
      </c>
    </row>
    <row r="7198" spans="2:7" x14ac:dyDescent="0.2">
      <c r="B7198" s="60">
        <v>45828</v>
      </c>
      <c r="C7198" s="7">
        <v>2.513E-2</v>
      </c>
      <c r="D7198" s="7">
        <v>2.5190000000000001E-2</v>
      </c>
      <c r="E7198" s="7">
        <v>2.5390000000000003E-2</v>
      </c>
      <c r="F7198" s="7">
        <v>2.487E-2</v>
      </c>
      <c r="G7198" s="7">
        <v>-2.2000000000000001E-3</v>
      </c>
    </row>
    <row r="7199" spans="2:7" x14ac:dyDescent="0.2">
      <c r="B7199" s="60">
        <v>45831</v>
      </c>
      <c r="C7199" s="7">
        <v>2.5049999999999999E-2</v>
      </c>
      <c r="D7199" s="7">
        <v>2.53E-2</v>
      </c>
      <c r="E7199" s="7">
        <v>2.5579999999999999E-2</v>
      </c>
      <c r="F7199" s="7">
        <v>2.4940000000000004E-2</v>
      </c>
      <c r="G7199" s="7">
        <v>-3.2000000000000002E-3</v>
      </c>
    </row>
    <row r="7200" spans="2:7" x14ac:dyDescent="0.2">
      <c r="B7200" s="60">
        <v>45832</v>
      </c>
      <c r="C7200" s="7">
        <v>2.5329999999999998E-2</v>
      </c>
      <c r="D7200" s="7">
        <v>2.5179999999999998E-2</v>
      </c>
      <c r="E7200" s="7">
        <v>2.572E-2</v>
      </c>
      <c r="F7200" s="7">
        <v>2.4969999999999999E-2</v>
      </c>
      <c r="G7200" s="7">
        <v>1.12E-2</v>
      </c>
    </row>
    <row r="7201" spans="2:7" x14ac:dyDescent="0.2">
      <c r="B7201" s="60">
        <v>45833</v>
      </c>
      <c r="C7201" s="7">
        <v>2.5615000000000002E-2</v>
      </c>
      <c r="D7201" s="7">
        <v>2.5440000000000001E-2</v>
      </c>
      <c r="E7201" s="7">
        <v>2.5770000000000001E-2</v>
      </c>
      <c r="F7201" s="7">
        <v>2.503E-2</v>
      </c>
      <c r="G7201" s="7">
        <v>1.1299999999999999E-2</v>
      </c>
    </row>
    <row r="7202" spans="2:7" x14ac:dyDescent="0.2">
      <c r="B7202" s="60">
        <v>45834</v>
      </c>
      <c r="C7202" s="7">
        <v>2.564E-2</v>
      </c>
      <c r="D7202" s="7">
        <v>2.5499999999999998E-2</v>
      </c>
      <c r="E7202" s="7">
        <v>2.5729999999999999E-2</v>
      </c>
      <c r="F7202" s="7">
        <v>2.5329999999999998E-2</v>
      </c>
      <c r="G7202" s="7">
        <v>1E-3</v>
      </c>
    </row>
    <row r="7203" spans="2:7" x14ac:dyDescent="0.2">
      <c r="B7203" s="60">
        <v>45835</v>
      </c>
      <c r="C7203" s="7">
        <v>2.597E-2</v>
      </c>
      <c r="D7203" s="7">
        <v>2.5590000000000002E-2</v>
      </c>
      <c r="E7203" s="7">
        <v>2.605E-2</v>
      </c>
      <c r="F7203" s="7">
        <v>2.5479999999999999E-2</v>
      </c>
      <c r="G7203" s="7">
        <v>1.29E-2</v>
      </c>
    </row>
    <row r="7204" spans="2:7" x14ac:dyDescent="0.2">
      <c r="B7204" s="60">
        <v>45838</v>
      </c>
      <c r="C7204" s="7">
        <v>2.596E-2</v>
      </c>
      <c r="D7204" s="7">
        <v>2.5859999999999998E-2</v>
      </c>
      <c r="E7204" s="7">
        <v>2.6030000000000001E-2</v>
      </c>
      <c r="F7204" s="7">
        <v>2.563E-2</v>
      </c>
      <c r="G7204" s="7">
        <v>-4.0000000000000002E-4</v>
      </c>
    </row>
    <row r="7205" spans="2:7" x14ac:dyDescent="0.2">
      <c r="B7205" s="60">
        <v>45839</v>
      </c>
      <c r="C7205" s="7">
        <v>2.5670000000000002E-2</v>
      </c>
      <c r="D7205" s="7">
        <v>2.5929999999999998E-2</v>
      </c>
      <c r="E7205" s="7">
        <v>2.5929999999999998E-2</v>
      </c>
      <c r="F7205" s="7">
        <v>2.5430000000000001E-2</v>
      </c>
      <c r="G7205" s="7">
        <v>-1.12E-2</v>
      </c>
    </row>
    <row r="7206" spans="2:7" x14ac:dyDescent="0.2">
      <c r="B7206" s="60">
        <v>45840</v>
      </c>
      <c r="C7206" s="7">
        <v>2.6179999999999998E-2</v>
      </c>
      <c r="D7206" s="7">
        <v>2.571E-2</v>
      </c>
      <c r="E7206" s="7">
        <v>2.632E-2</v>
      </c>
      <c r="F7206" s="7">
        <v>2.571E-2</v>
      </c>
      <c r="G7206" s="7">
        <v>1.9900000000000001E-2</v>
      </c>
    </row>
    <row r="7207" spans="2:7" x14ac:dyDescent="0.2">
      <c r="B7207" s="60">
        <v>45841</v>
      </c>
      <c r="C7207" s="7">
        <v>2.5794999999999998E-2</v>
      </c>
      <c r="D7207" s="7">
        <v>2.6210000000000001E-2</v>
      </c>
      <c r="E7207" s="7">
        <v>2.6239999999999999E-2</v>
      </c>
      <c r="F7207" s="7">
        <v>2.571E-2</v>
      </c>
      <c r="G7207" s="7">
        <v>-1.47E-2</v>
      </c>
    </row>
    <row r="7208" spans="2:7" x14ac:dyDescent="0.2">
      <c r="B7208" s="60">
        <v>45842</v>
      </c>
      <c r="C7208" s="7">
        <v>2.5659999999999999E-2</v>
      </c>
      <c r="D7208" s="7">
        <v>2.563E-2</v>
      </c>
      <c r="E7208" s="7">
        <v>2.5670000000000002E-2</v>
      </c>
      <c r="F7208" s="7">
        <v>2.538E-2</v>
      </c>
      <c r="G7208" s="7">
        <v>-5.1999999999999998E-3</v>
      </c>
    </row>
    <row r="7209" spans="2:7" x14ac:dyDescent="0.2">
      <c r="B7209" s="60">
        <v>45845</v>
      </c>
      <c r="C7209" s="7">
        <v>2.6070000000000003E-2</v>
      </c>
      <c r="D7209" s="7">
        <v>2.5619999999999997E-2</v>
      </c>
      <c r="E7209" s="7">
        <v>2.6080000000000002E-2</v>
      </c>
      <c r="F7209" s="7">
        <v>2.5520000000000001E-2</v>
      </c>
      <c r="G7209" s="7">
        <v>1.6E-2</v>
      </c>
    </row>
    <row r="7210" spans="2:7" x14ac:dyDescent="0.2">
      <c r="B7210" s="60">
        <v>45846</v>
      </c>
      <c r="C7210" s="7">
        <v>2.6429999999999999E-2</v>
      </c>
      <c r="D7210" s="7">
        <v>2.6110000000000001E-2</v>
      </c>
      <c r="E7210" s="7">
        <v>2.6680000000000002E-2</v>
      </c>
      <c r="F7210" s="7">
        <v>2.6110000000000001E-2</v>
      </c>
      <c r="G7210" s="7">
        <v>1.38E-2</v>
      </c>
    </row>
    <row r="7211" spans="2:7" x14ac:dyDescent="0.2">
      <c r="B7211" s="60">
        <v>45847</v>
      </c>
      <c r="C7211" s="7">
        <v>2.632E-2</v>
      </c>
      <c r="D7211" s="7">
        <v>2.648E-2</v>
      </c>
      <c r="E7211" s="7">
        <v>2.6530000000000001E-2</v>
      </c>
      <c r="F7211" s="7">
        <v>2.622E-2</v>
      </c>
      <c r="G7211" s="7">
        <v>-4.1999999999999997E-3</v>
      </c>
    </row>
    <row r="7212" spans="2:7" x14ac:dyDescent="0.2">
      <c r="B7212" s="60">
        <v>45848</v>
      </c>
      <c r="C7212" s="7">
        <v>2.6619999999999998E-2</v>
      </c>
      <c r="D7212" s="7">
        <v>2.6280000000000001E-2</v>
      </c>
      <c r="E7212" s="7">
        <v>2.6669999999999999E-2</v>
      </c>
      <c r="F7212" s="7">
        <v>2.6150000000000003E-2</v>
      </c>
      <c r="G7212" s="7">
        <v>1.14E-2</v>
      </c>
    </row>
    <row r="7213" spans="2:7" x14ac:dyDescent="0.2">
      <c r="B7213" s="60">
        <v>45849</v>
      </c>
      <c r="C7213" s="7">
        <v>2.6859999999999998E-2</v>
      </c>
      <c r="D7213" s="7">
        <v>2.6549999999999997E-2</v>
      </c>
      <c r="E7213" s="7">
        <v>2.6949999999999998E-2</v>
      </c>
      <c r="F7213" s="7">
        <v>2.6429999999999999E-2</v>
      </c>
      <c r="G7213" s="7">
        <v>8.9999999999999993E-3</v>
      </c>
    </row>
    <row r="7214" spans="2:7" x14ac:dyDescent="0.2">
      <c r="B7214" s="60">
        <v>45852</v>
      </c>
      <c r="C7214" s="7">
        <v>2.7320000000000001E-2</v>
      </c>
      <c r="D7214" s="7">
        <v>2.726E-2</v>
      </c>
      <c r="E7214" s="7">
        <v>2.7370000000000002E-2</v>
      </c>
      <c r="F7214" s="7">
        <v>2.7069999999999997E-2</v>
      </c>
      <c r="G7214" s="7">
        <v>1.7100000000000001E-2</v>
      </c>
    </row>
    <row r="7215" spans="2:7" x14ac:dyDescent="0.2">
      <c r="B7215" s="60">
        <v>45853</v>
      </c>
      <c r="C7215" s="7">
        <v>2.7149999999999997E-2</v>
      </c>
      <c r="D7215" s="7">
        <v>2.726E-2</v>
      </c>
      <c r="E7215" s="7">
        <v>2.7280000000000002E-2</v>
      </c>
      <c r="F7215" s="7">
        <v>2.6699999999999998E-2</v>
      </c>
      <c r="G7215" s="7">
        <v>-6.1999999999999998E-3</v>
      </c>
    </row>
    <row r="7216" spans="2:7" x14ac:dyDescent="0.2">
      <c r="B7216" s="60">
        <v>45854</v>
      </c>
      <c r="C7216" s="7">
        <v>2.6920000000000003E-2</v>
      </c>
      <c r="D7216" s="7">
        <v>2.6960000000000001E-2</v>
      </c>
      <c r="E7216" s="7">
        <v>2.7269999999999999E-2</v>
      </c>
      <c r="F7216" s="7">
        <v>2.6789999999999998E-2</v>
      </c>
      <c r="G7216" s="7">
        <v>-8.5000000000000006E-3</v>
      </c>
    </row>
    <row r="7217" spans="2:7" x14ac:dyDescent="0.2">
      <c r="B7217" s="60">
        <v>45855</v>
      </c>
      <c r="C7217" s="7">
        <v>2.6749999999999999E-2</v>
      </c>
      <c r="D7217" s="7">
        <v>2.6970000000000001E-2</v>
      </c>
      <c r="E7217" s="7">
        <v>2.7120000000000002E-2</v>
      </c>
      <c r="F7217" s="7">
        <v>2.664E-2</v>
      </c>
      <c r="G7217" s="7">
        <v>-6.3E-3</v>
      </c>
    </row>
    <row r="7218" spans="2:7" x14ac:dyDescent="0.2">
      <c r="B7218" s="60">
        <v>45856</v>
      </c>
      <c r="C7218" s="7">
        <v>2.691E-2</v>
      </c>
      <c r="D7218" s="7">
        <v>2.681E-2</v>
      </c>
      <c r="E7218" s="7">
        <v>2.7019999999999999E-2</v>
      </c>
      <c r="F7218" s="7">
        <v>2.6779999999999998E-2</v>
      </c>
      <c r="G7218" s="7">
        <v>6.0000000000000001E-3</v>
      </c>
    </row>
    <row r="7219" spans="2:7" x14ac:dyDescent="0.2">
      <c r="B7219" s="60">
        <v>45859</v>
      </c>
      <c r="C7219" s="7">
        <v>2.6179999999999998E-2</v>
      </c>
      <c r="D7219" s="7">
        <v>2.69E-2</v>
      </c>
      <c r="E7219" s="7">
        <v>2.69E-2</v>
      </c>
      <c r="F7219" s="7">
        <v>2.6099999999999998E-2</v>
      </c>
      <c r="G7219" s="7">
        <v>-2.7099999999999999E-2</v>
      </c>
    </row>
    <row r="7220" spans="2:7" x14ac:dyDescent="0.2">
      <c r="B7220" s="60">
        <v>45860</v>
      </c>
      <c r="C7220" s="7">
        <v>2.588E-2</v>
      </c>
      <c r="D7220" s="7">
        <v>2.6160000000000003E-2</v>
      </c>
      <c r="E7220" s="7">
        <v>2.632E-2</v>
      </c>
      <c r="F7220" s="7">
        <v>2.5840000000000002E-2</v>
      </c>
      <c r="G7220" s="7">
        <v>-1.15E-2</v>
      </c>
    </row>
    <row r="7221" spans="2:7" x14ac:dyDescent="0.2">
      <c r="B7221" s="60">
        <v>45861</v>
      </c>
      <c r="C7221" s="7">
        <v>2.6000000000000002E-2</v>
      </c>
      <c r="D7221" s="7">
        <v>2.589E-2</v>
      </c>
      <c r="E7221" s="7">
        <v>2.6249999999999999E-2</v>
      </c>
      <c r="F7221" s="7">
        <v>2.589E-2</v>
      </c>
      <c r="G7221" s="7">
        <v>4.5999999999999999E-3</v>
      </c>
    </row>
    <row r="7222" spans="2:7" x14ac:dyDescent="0.2">
      <c r="B7222" s="60">
        <v>45862</v>
      </c>
      <c r="C7222" s="7">
        <v>2.6939999999999999E-2</v>
      </c>
      <c r="D7222" s="7">
        <v>2.6789999999999998E-2</v>
      </c>
      <c r="E7222" s="7">
        <v>2.7099999999999999E-2</v>
      </c>
      <c r="F7222" s="7">
        <v>2.6589999999999999E-2</v>
      </c>
      <c r="G7222" s="7">
        <v>3.6200000000000003E-2</v>
      </c>
    </row>
    <row r="7223" spans="2:7" x14ac:dyDescent="0.2">
      <c r="B7223" s="60">
        <v>45863</v>
      </c>
      <c r="C7223" s="7">
        <v>2.7160000000000004E-2</v>
      </c>
      <c r="D7223" s="7">
        <v>2.7099999999999999E-2</v>
      </c>
      <c r="E7223" s="7">
        <v>2.7679999999999996E-2</v>
      </c>
      <c r="F7223" s="7">
        <v>2.7080000000000003E-2</v>
      </c>
      <c r="G7223" s="7">
        <v>8.2000000000000007E-3</v>
      </c>
    </row>
    <row r="7224" spans="2:7" x14ac:dyDescent="0.2">
      <c r="B7224" s="60">
        <v>45866</v>
      </c>
      <c r="C7224" s="7">
        <v>2.6880000000000001E-2</v>
      </c>
      <c r="D7224" s="7">
        <v>2.7290000000000002E-2</v>
      </c>
      <c r="E7224" s="7">
        <v>2.7300000000000001E-2</v>
      </c>
      <c r="F7224" s="7">
        <v>2.6789999999999998E-2</v>
      </c>
      <c r="G7224" s="7">
        <v>-1.03E-2</v>
      </c>
    </row>
    <row r="7225" spans="2:7" x14ac:dyDescent="0.2">
      <c r="B7225" s="60">
        <v>45867</v>
      </c>
      <c r="C7225" s="7">
        <v>2.69E-2</v>
      </c>
      <c r="D7225" s="7">
        <v>2.69E-2</v>
      </c>
      <c r="E7225" s="7">
        <v>2.7120000000000002E-2</v>
      </c>
      <c r="F7225" s="7">
        <v>2.683E-2</v>
      </c>
      <c r="G7225" s="7">
        <v>6.9999999999999999E-4</v>
      </c>
    </row>
    <row r="7226" spans="2:7" x14ac:dyDescent="0.2">
      <c r="B7226" s="60">
        <v>45868</v>
      </c>
      <c r="C7226" s="7">
        <v>2.7050000000000001E-2</v>
      </c>
      <c r="D7226" s="7">
        <v>2.691E-2</v>
      </c>
      <c r="E7226" s="7">
        <v>2.7140000000000001E-2</v>
      </c>
      <c r="F7226" s="7">
        <v>2.674E-2</v>
      </c>
      <c r="G7226" s="7">
        <v>5.5999999999999999E-3</v>
      </c>
    </row>
    <row r="7227" spans="2:7" x14ac:dyDescent="0.2">
      <c r="B7227" s="60">
        <v>45869</v>
      </c>
      <c r="C7227" s="7">
        <v>2.6929999999999999E-2</v>
      </c>
      <c r="D7227" s="7">
        <v>2.7009999999999999E-2</v>
      </c>
      <c r="E7227" s="7">
        <v>2.7069999999999997E-2</v>
      </c>
      <c r="F7227" s="7">
        <v>2.674E-2</v>
      </c>
      <c r="G7227" s="7">
        <v>-4.4000000000000003E-3</v>
      </c>
    </row>
    <row r="7228" spans="2:7" x14ac:dyDescent="0.2">
      <c r="B7228" s="60">
        <v>45870</v>
      </c>
      <c r="C7228" s="7">
        <v>2.6770000000000002E-2</v>
      </c>
      <c r="D7228" s="7">
        <v>2.7009999999999999E-2</v>
      </c>
      <c r="E7228" s="7">
        <v>2.7370000000000002E-2</v>
      </c>
      <c r="F7228" s="7">
        <v>2.6389999999999997E-2</v>
      </c>
      <c r="G7228" s="7">
        <v>-5.8999999999999999E-3</v>
      </c>
    </row>
    <row r="7229" spans="2:7" x14ac:dyDescent="0.2">
      <c r="B7229" s="60">
        <v>45873</v>
      </c>
      <c r="C7229" s="7">
        <v>2.6282E-2</v>
      </c>
      <c r="D7229" s="7">
        <v>2.681E-2</v>
      </c>
      <c r="E7229" s="7">
        <v>2.7009999999999999E-2</v>
      </c>
      <c r="F7229" s="7">
        <v>2.6259999999999999E-2</v>
      </c>
      <c r="G7229" s="7">
        <v>-1.8200000000000001E-2</v>
      </c>
    </row>
    <row r="7230" spans="2:7" x14ac:dyDescent="0.2">
      <c r="B7230" s="60">
        <v>45874</v>
      </c>
      <c r="C7230" s="7">
        <v>2.6221000000000001E-2</v>
      </c>
      <c r="D7230" s="7">
        <v>2.6169999999999999E-2</v>
      </c>
      <c r="E7230" s="7">
        <v>2.6469999999999997E-2</v>
      </c>
      <c r="F7230" s="7">
        <v>2.6009999999999998E-2</v>
      </c>
      <c r="G7230" s="7">
        <v>-2.3E-3</v>
      </c>
    </row>
    <row r="7231" spans="2:7" x14ac:dyDescent="0.2">
      <c r="B7231" s="60">
        <v>45875</v>
      </c>
      <c r="C7231" s="7">
        <v>2.6432000000000001E-2</v>
      </c>
      <c r="D7231" s="7">
        <v>2.6239999999999999E-2</v>
      </c>
      <c r="E7231" s="7">
        <v>2.6499999999999999E-2</v>
      </c>
      <c r="F7231" s="7">
        <v>2.6230000000000003E-2</v>
      </c>
      <c r="G7231" s="7">
        <v>8.0000000000000002E-3</v>
      </c>
    </row>
    <row r="7232" spans="2:7" x14ac:dyDescent="0.2">
      <c r="B7232" s="60">
        <v>45876</v>
      </c>
      <c r="C7232" s="7">
        <v>2.6368999999999997E-2</v>
      </c>
      <c r="D7232" s="7">
        <v>2.6530000000000001E-2</v>
      </c>
      <c r="E7232" s="7">
        <v>2.665E-2</v>
      </c>
      <c r="F7232" s="7">
        <v>2.6230000000000003E-2</v>
      </c>
      <c r="G7232" s="7">
        <v>-2.3999999999999998E-3</v>
      </c>
    </row>
    <row r="7233" spans="2:7" x14ac:dyDescent="0.2">
      <c r="B7233" s="60">
        <v>45877</v>
      </c>
      <c r="C7233" s="7">
        <v>2.6873999999999999E-2</v>
      </c>
      <c r="D7233" s="7">
        <v>2.6380000000000001E-2</v>
      </c>
      <c r="E7233" s="7">
        <v>2.6939999999999999E-2</v>
      </c>
      <c r="F7233" s="7">
        <v>2.6370000000000001E-2</v>
      </c>
      <c r="G7233" s="7">
        <v>1.9199999999999998E-2</v>
      </c>
    </row>
    <row r="7234" spans="2:7" x14ac:dyDescent="0.2">
      <c r="B7234" s="60">
        <v>45880</v>
      </c>
      <c r="C7234" s="7">
        <v>2.6966E-2</v>
      </c>
      <c r="D7234" s="7">
        <v>2.691E-2</v>
      </c>
      <c r="E7234" s="7">
        <v>2.6980000000000001E-2</v>
      </c>
      <c r="F7234" s="7">
        <v>2.6600000000000002E-2</v>
      </c>
      <c r="G7234" s="7">
        <v>3.3999999999999998E-3</v>
      </c>
    </row>
    <row r="7235" spans="2:7" x14ac:dyDescent="0.2">
      <c r="B7235" s="60">
        <v>45881</v>
      </c>
      <c r="C7235" s="7">
        <v>2.7431000000000001E-2</v>
      </c>
      <c r="D7235" s="7">
        <v>2.6939999999999999E-2</v>
      </c>
      <c r="E7235" s="7">
        <v>2.7559999999999998E-2</v>
      </c>
      <c r="F7235" s="7">
        <v>2.69E-2</v>
      </c>
      <c r="G7235" s="7">
        <v>1.72E-2</v>
      </c>
    </row>
    <row r="7236" spans="2:7" x14ac:dyDescent="0.2">
      <c r="B7236" s="60">
        <v>45882</v>
      </c>
      <c r="C7236" s="7">
        <v>2.6800999999999998E-2</v>
      </c>
      <c r="D7236" s="7">
        <v>2.741E-2</v>
      </c>
      <c r="E7236" s="7">
        <v>2.741E-2</v>
      </c>
      <c r="F7236" s="7">
        <v>2.6749999999999999E-2</v>
      </c>
      <c r="G7236" s="7">
        <v>-2.3E-2</v>
      </c>
    </row>
    <row r="7237" spans="2:7" x14ac:dyDescent="0.2">
      <c r="B7237" s="60">
        <v>45883</v>
      </c>
      <c r="C7237" s="7">
        <v>2.7061999999999999E-2</v>
      </c>
      <c r="D7237" s="7">
        <v>2.6840000000000003E-2</v>
      </c>
      <c r="E7237" s="7">
        <v>2.7069999999999997E-2</v>
      </c>
      <c r="F7237" s="7">
        <v>2.6549999999999997E-2</v>
      </c>
      <c r="G7237" s="7">
        <v>9.7000000000000003E-3</v>
      </c>
    </row>
    <row r="7238" spans="2:7" x14ac:dyDescent="0.2">
      <c r="B7238" s="60">
        <v>45884</v>
      </c>
      <c r="C7238" s="7">
        <v>2.7787000000000003E-2</v>
      </c>
      <c r="D7238" s="7">
        <v>2.7069999999999997E-2</v>
      </c>
      <c r="E7238" s="7">
        <v>2.7799999999999998E-2</v>
      </c>
      <c r="F7238" s="7">
        <v>2.7000000000000003E-2</v>
      </c>
      <c r="G7238" s="7">
        <v>2.6800000000000001E-2</v>
      </c>
    </row>
    <row r="7239" spans="2:7" x14ac:dyDescent="0.2">
      <c r="B7239" s="60">
        <v>45887</v>
      </c>
      <c r="C7239" s="7">
        <v>2.7758999999999999E-2</v>
      </c>
      <c r="D7239" s="7">
        <v>2.7869999999999999E-2</v>
      </c>
      <c r="E7239" s="7">
        <v>2.7869999999999999E-2</v>
      </c>
      <c r="F7239" s="7">
        <v>2.741E-2</v>
      </c>
      <c r="G7239" s="7">
        <v>-1E-3</v>
      </c>
    </row>
    <row r="7240" spans="2:7" x14ac:dyDescent="0.2">
      <c r="B7240" s="60">
        <v>45888</v>
      </c>
      <c r="C7240" s="7">
        <v>2.7543000000000002E-2</v>
      </c>
      <c r="D7240" s="7">
        <v>2.7690000000000003E-2</v>
      </c>
      <c r="E7240" s="7">
        <v>2.7839999999999997E-2</v>
      </c>
      <c r="F7240" s="7">
        <v>2.7480000000000001E-2</v>
      </c>
      <c r="G7240" s="7">
        <v>-7.7999999999999996E-3</v>
      </c>
    </row>
    <row r="7241" spans="2:7" x14ac:dyDescent="0.2">
      <c r="B7241" s="60">
        <v>45889</v>
      </c>
      <c r="C7241" s="7">
        <v>2.7164000000000001E-2</v>
      </c>
      <c r="D7241" s="7">
        <v>2.758E-2</v>
      </c>
      <c r="E7241" s="7">
        <v>2.7699999999999999E-2</v>
      </c>
      <c r="F7241" s="7">
        <v>2.7120000000000002E-2</v>
      </c>
      <c r="G7241" s="7">
        <v>-1.38E-2</v>
      </c>
    </row>
    <row r="7242" spans="2:7" x14ac:dyDescent="0.2">
      <c r="B7242" s="60">
        <v>45890</v>
      </c>
      <c r="C7242" s="7">
        <v>2.7536999999999999E-2</v>
      </c>
      <c r="D7242" s="7">
        <v>2.7300000000000001E-2</v>
      </c>
      <c r="E7242" s="7">
        <v>2.7610000000000003E-2</v>
      </c>
      <c r="F7242" s="7">
        <v>2.7069999999999997E-2</v>
      </c>
      <c r="G7242" s="7">
        <v>1.37E-2</v>
      </c>
    </row>
    <row r="7243" spans="2:7" x14ac:dyDescent="0.2">
      <c r="B7243" s="60">
        <v>45891</v>
      </c>
      <c r="C7243" s="7">
        <v>2.7191E-2</v>
      </c>
      <c r="D7243" s="7">
        <v>2.75E-2</v>
      </c>
      <c r="E7243" s="7">
        <v>2.7619999999999999E-2</v>
      </c>
      <c r="F7243" s="7">
        <v>2.7181E-2</v>
      </c>
      <c r="G7243" s="7">
        <v>-1.26E-2</v>
      </c>
    </row>
    <row r="7244" spans="2:7" x14ac:dyDescent="0.2">
      <c r="B7244" s="60">
        <v>45894</v>
      </c>
      <c r="C7244" s="7">
        <v>2.7581000000000001E-2</v>
      </c>
      <c r="D7244" s="7">
        <v>2.7490000000000001E-2</v>
      </c>
      <c r="E7244" s="7">
        <v>2.7779999999999999E-2</v>
      </c>
      <c r="F7244" s="7">
        <v>2.7400000000000001E-2</v>
      </c>
      <c r="G7244" s="7">
        <v>1.43E-2</v>
      </c>
    </row>
    <row r="7245" spans="2:7" x14ac:dyDescent="0.2">
      <c r="B7245" s="60">
        <v>45895</v>
      </c>
      <c r="C7245" s="7">
        <v>2.7219000000000004E-2</v>
      </c>
      <c r="D7245" s="7">
        <v>2.751E-2</v>
      </c>
      <c r="E7245" s="7">
        <v>2.751E-2</v>
      </c>
      <c r="F7245" s="7">
        <v>2.7160000000000004E-2</v>
      </c>
      <c r="G7245" s="7">
        <v>-1.3100000000000001E-2</v>
      </c>
    </row>
    <row r="7246" spans="2:7" x14ac:dyDescent="0.2">
      <c r="B7246" s="60">
        <v>45896</v>
      </c>
      <c r="C7246" s="7">
        <v>2.6939999999999999E-2</v>
      </c>
      <c r="D7246" s="7">
        <v>2.724E-2</v>
      </c>
      <c r="E7246" s="7">
        <v>2.7320000000000001E-2</v>
      </c>
      <c r="F7246" s="7">
        <v>2.6849999999999999E-2</v>
      </c>
      <c r="G7246" s="7">
        <v>-1.03E-2</v>
      </c>
    </row>
    <row r="7247" spans="2:7" x14ac:dyDescent="0.2">
      <c r="B7247" s="60">
        <v>45897</v>
      </c>
      <c r="C7247" s="7">
        <v>2.6977000000000001E-2</v>
      </c>
      <c r="D7247" s="7">
        <v>2.699E-2</v>
      </c>
      <c r="E7247" s="7">
        <v>2.7160000000000004E-2</v>
      </c>
      <c r="F7247" s="7">
        <v>2.6789999999999998E-2</v>
      </c>
      <c r="G7247" s="7">
        <v>1.4E-3</v>
      </c>
    </row>
    <row r="7248" spans="2:7" x14ac:dyDescent="0.2">
      <c r="B7248" s="60">
        <v>45898</v>
      </c>
      <c r="C7248" s="7">
        <v>2.7222E-2</v>
      </c>
      <c r="D7248" s="7">
        <v>2.7009999999999999E-2</v>
      </c>
      <c r="E7248" s="7">
        <v>2.724E-2</v>
      </c>
      <c r="F7248" s="7">
        <v>2.6929999999999999E-2</v>
      </c>
      <c r="G7248" s="7">
        <v>9.1000000000000004E-3</v>
      </c>
    </row>
    <row r="7249" spans="2:7" x14ac:dyDescent="0.2">
      <c r="B7249" s="60">
        <v>45901</v>
      </c>
      <c r="C7249" s="7">
        <v>2.7490000000000001E-2</v>
      </c>
      <c r="D7249" s="7">
        <v>2.733E-2</v>
      </c>
      <c r="E7249" s="7">
        <v>2.758E-2</v>
      </c>
      <c r="F7249" s="7">
        <v>2.7280000000000002E-2</v>
      </c>
      <c r="G7249" s="7">
        <v>9.7999999999999997E-3</v>
      </c>
    </row>
    <row r="7250" spans="2:7" x14ac:dyDescent="0.2">
      <c r="B7250" s="60">
        <v>45902</v>
      </c>
      <c r="C7250" s="7">
        <v>2.7898999999999997E-2</v>
      </c>
      <c r="D7250" s="7">
        <v>2.7519999999999999E-2</v>
      </c>
      <c r="E7250" s="7">
        <v>2.7999999999999997E-2</v>
      </c>
      <c r="F7250" s="7">
        <v>2.7519999999999999E-2</v>
      </c>
      <c r="G7250" s="7">
        <v>1.49E-2</v>
      </c>
    </row>
    <row r="7251" spans="2:7" x14ac:dyDescent="0.2">
      <c r="B7251" s="60">
        <v>45903</v>
      </c>
      <c r="C7251" s="7">
        <v>2.7406E-2</v>
      </c>
      <c r="D7251" s="7">
        <v>2.793E-2</v>
      </c>
      <c r="E7251" s="7">
        <v>2.7999999999999997E-2</v>
      </c>
      <c r="F7251" s="7">
        <v>2.7400000000000001E-2</v>
      </c>
      <c r="G7251" s="7">
        <v>-1.77E-2</v>
      </c>
    </row>
    <row r="7252" spans="2:7" x14ac:dyDescent="0.2">
      <c r="B7252" s="60">
        <v>45904</v>
      </c>
      <c r="C7252" s="7">
        <v>2.7229E-2</v>
      </c>
      <c r="D7252" s="7">
        <v>2.741E-2</v>
      </c>
      <c r="E7252" s="7">
        <v>2.741E-2</v>
      </c>
      <c r="F7252" s="7">
        <v>2.7009999999999999E-2</v>
      </c>
      <c r="G7252" s="7">
        <v>-6.4999999999999997E-3</v>
      </c>
    </row>
    <row r="7253" spans="2:7" x14ac:dyDescent="0.2">
      <c r="B7253" s="60">
        <v>45905</v>
      </c>
      <c r="C7253" s="7">
        <v>2.6581999999999998E-2</v>
      </c>
      <c r="D7253" s="7">
        <v>2.7160000000000004E-2</v>
      </c>
      <c r="E7253" s="7">
        <v>2.717E-2</v>
      </c>
      <c r="F7253" s="7">
        <v>2.6530000000000001E-2</v>
      </c>
      <c r="G7253" s="7">
        <v>-2.3800000000000002E-2</v>
      </c>
    </row>
    <row r="7254" spans="2:7" x14ac:dyDescent="0.2">
      <c r="B7254" s="60">
        <v>45908</v>
      </c>
      <c r="C7254" s="7">
        <v>2.6387000000000001E-2</v>
      </c>
      <c r="D7254" s="7">
        <v>2.665E-2</v>
      </c>
      <c r="E7254" s="7">
        <v>2.6770000000000002E-2</v>
      </c>
      <c r="F7254" s="7">
        <v>2.6380000000000001E-2</v>
      </c>
      <c r="G7254" s="7">
        <v>-7.3000000000000001E-3</v>
      </c>
    </row>
    <row r="7255" spans="2:7" x14ac:dyDescent="0.2">
      <c r="B7255" s="60">
        <v>45909</v>
      </c>
      <c r="C7255" s="7">
        <v>2.6644000000000001E-2</v>
      </c>
      <c r="D7255" s="7">
        <v>2.6549999999999997E-2</v>
      </c>
      <c r="E7255" s="7">
        <v>2.673E-2</v>
      </c>
      <c r="F7255" s="7">
        <v>2.6499999999999999E-2</v>
      </c>
      <c r="G7255" s="7">
        <v>9.7000000000000003E-3</v>
      </c>
    </row>
    <row r="7256" spans="2:7" x14ac:dyDescent="0.2">
      <c r="B7256" s="60">
        <v>45910</v>
      </c>
      <c r="C7256" s="7">
        <v>2.6539E-2</v>
      </c>
      <c r="D7256" s="7">
        <v>2.6530000000000001E-2</v>
      </c>
      <c r="E7256" s="7">
        <v>2.6709999999999998E-2</v>
      </c>
      <c r="F7256" s="7">
        <v>2.6360000000000001E-2</v>
      </c>
      <c r="G7256" s="7">
        <v>-3.8999999999999998E-3</v>
      </c>
    </row>
    <row r="7257" spans="2:7" x14ac:dyDescent="0.2">
      <c r="B7257" s="60">
        <v>45911</v>
      </c>
      <c r="C7257" s="7">
        <v>2.6505000000000001E-2</v>
      </c>
      <c r="D7257" s="7">
        <v>2.6499999999999999E-2</v>
      </c>
      <c r="E7257" s="7">
        <v>2.6840000000000003E-2</v>
      </c>
      <c r="F7257" s="7">
        <v>2.6360000000000001E-2</v>
      </c>
      <c r="G7257" s="7">
        <v>-1.2999999999999999E-3</v>
      </c>
    </row>
    <row r="7258" spans="2:7" x14ac:dyDescent="0.2">
      <c r="B7258" s="60">
        <v>45912</v>
      </c>
      <c r="C7258" s="7">
        <v>2.7132999999999997E-2</v>
      </c>
      <c r="D7258" s="7">
        <v>2.6600000000000002E-2</v>
      </c>
      <c r="E7258" s="7">
        <v>2.7149999999999997E-2</v>
      </c>
      <c r="F7258" s="7">
        <v>2.6602999999999998E-2</v>
      </c>
      <c r="G7258" s="7">
        <v>2.3699999999999999E-2</v>
      </c>
    </row>
    <row r="7259" spans="2:7" x14ac:dyDescent="0.2">
      <c r="B7259" s="60">
        <v>45915</v>
      </c>
      <c r="C7259" s="7">
        <v>2.6959E-2</v>
      </c>
      <c r="D7259" s="7">
        <v>2.7050000000000001E-2</v>
      </c>
      <c r="E7259" s="7">
        <v>2.7089999999999999E-2</v>
      </c>
      <c r="F7259" s="7">
        <v>2.6869999999999998E-2</v>
      </c>
      <c r="G7259" s="7">
        <v>-6.4000000000000003E-3</v>
      </c>
    </row>
    <row r="7260" spans="2:7" x14ac:dyDescent="0.2">
      <c r="B7260" s="60">
        <v>45916</v>
      </c>
      <c r="C7260" s="7">
        <v>2.6945E-2</v>
      </c>
      <c r="D7260" s="7">
        <v>2.6970000000000001E-2</v>
      </c>
      <c r="E7260" s="7">
        <v>2.7160000000000004E-2</v>
      </c>
      <c r="F7260" s="7">
        <v>2.6800000000000001E-2</v>
      </c>
      <c r="G7260" s="7">
        <v>-5.0000000000000001E-4</v>
      </c>
    </row>
    <row r="7261" spans="2:7" x14ac:dyDescent="0.2">
      <c r="B7261" s="60">
        <v>45917</v>
      </c>
      <c r="C7261" s="7">
        <v>2.6762999999999999E-2</v>
      </c>
      <c r="D7261" s="7">
        <v>2.6920000000000003E-2</v>
      </c>
      <c r="E7261" s="7">
        <v>2.6939999999999999E-2</v>
      </c>
      <c r="F7261" s="7">
        <v>2.664E-2</v>
      </c>
      <c r="G7261" s="7">
        <v>-6.7999999999999996E-3</v>
      </c>
    </row>
    <row r="7262" spans="2:7" x14ac:dyDescent="0.2">
      <c r="B7262" s="60">
        <v>45918</v>
      </c>
      <c r="C7262" s="7">
        <v>2.7160000000000004E-2</v>
      </c>
      <c r="D7262" s="7">
        <v>2.6840000000000003E-2</v>
      </c>
      <c r="E7262" s="7">
        <v>2.724E-2</v>
      </c>
      <c r="F7262" s="7">
        <v>2.666E-2</v>
      </c>
      <c r="G7262" s="7">
        <v>1.4800000000000001E-2</v>
      </c>
    </row>
    <row r="7263" spans="2:7" x14ac:dyDescent="0.2">
      <c r="B7263" s="60">
        <v>45919</v>
      </c>
      <c r="C7263" s="7">
        <v>2.7484999999999999E-2</v>
      </c>
      <c r="D7263" s="7">
        <v>2.7300000000000001E-2</v>
      </c>
      <c r="E7263" s="7">
        <v>2.751E-2</v>
      </c>
      <c r="F7263" s="7">
        <v>2.726E-2</v>
      </c>
      <c r="G7263" s="7">
        <v>1.2E-2</v>
      </c>
    </row>
    <row r="7264" spans="2:7" x14ac:dyDescent="0.2">
      <c r="B7264" s="60">
        <v>45922</v>
      </c>
      <c r="C7264" s="7">
        <v>2.7480999999999998E-2</v>
      </c>
      <c r="D7264" s="7">
        <v>2.7619999999999999E-2</v>
      </c>
      <c r="E7264" s="7">
        <v>2.7619999999999999E-2</v>
      </c>
      <c r="F7264" s="7">
        <v>2.7290000000000002E-2</v>
      </c>
      <c r="G7264" s="7">
        <v>-1E-4</v>
      </c>
    </row>
    <row r="7265" spans="2:7" x14ac:dyDescent="0.2">
      <c r="B7265" s="60">
        <v>45923</v>
      </c>
      <c r="C7265" s="7">
        <v>2.7519999999999999E-2</v>
      </c>
      <c r="D7265" s="7">
        <v>2.7530000000000002E-2</v>
      </c>
      <c r="E7265" s="7">
        <v>2.7530000000000002E-2</v>
      </c>
      <c r="F7265" s="7">
        <v>2.7300000000000001E-2</v>
      </c>
      <c r="G7265" s="7">
        <v>1.4E-3</v>
      </c>
    </row>
    <row r="7266" spans="2:7" x14ac:dyDescent="0.2">
      <c r="B7266" s="60">
        <v>45924</v>
      </c>
      <c r="C7266" s="7">
        <v>2.7473999999999998E-2</v>
      </c>
      <c r="D7266" s="7">
        <v>2.7400000000000001E-2</v>
      </c>
      <c r="E7266" s="7">
        <v>2.7539999999999999E-2</v>
      </c>
      <c r="F7266" s="7">
        <v>2.7300000000000001E-2</v>
      </c>
      <c r="G7266" s="7">
        <v>-1.6999999999999999E-3</v>
      </c>
    </row>
    <row r="7267" spans="2:7" x14ac:dyDescent="0.2">
      <c r="B7267" s="60">
        <v>45925</v>
      </c>
      <c r="C7267" s="7">
        <v>2.7720999999999999E-2</v>
      </c>
      <c r="D7267" s="7">
        <v>2.7480000000000001E-2</v>
      </c>
      <c r="E7267" s="7">
        <v>2.7779999999999999E-2</v>
      </c>
      <c r="F7267" s="7">
        <v>2.7320000000000001E-2</v>
      </c>
      <c r="G7267" s="7">
        <v>8.9999999999999993E-3</v>
      </c>
    </row>
    <row r="7268" spans="2:7" x14ac:dyDescent="0.2">
      <c r="B7268" s="60">
        <v>45926</v>
      </c>
      <c r="C7268" s="7">
        <v>2.7451E-2</v>
      </c>
      <c r="D7268" s="7">
        <v>2.7740000000000001E-2</v>
      </c>
      <c r="E7268" s="7">
        <v>2.7789999999999999E-2</v>
      </c>
      <c r="F7268" s="7">
        <v>2.7280000000000002E-2</v>
      </c>
      <c r="G7268" s="7">
        <v>-9.7000000000000003E-3</v>
      </c>
    </row>
    <row r="7269" spans="2:7" x14ac:dyDescent="0.2">
      <c r="B7269" s="60">
        <v>45929</v>
      </c>
      <c r="C7269" s="7">
        <v>2.7061999999999999E-2</v>
      </c>
      <c r="D7269" s="7">
        <v>2.741E-2</v>
      </c>
      <c r="E7269" s="7">
        <v>2.7440000000000003E-2</v>
      </c>
      <c r="F7269" s="7">
        <v>2.7060000000000001E-2</v>
      </c>
      <c r="G7269" s="7">
        <v>-1.4200000000000001E-2</v>
      </c>
    </row>
    <row r="7270" spans="2:7" x14ac:dyDescent="0.2">
      <c r="B7270" s="60">
        <v>45930</v>
      </c>
      <c r="C7270" s="7">
        <v>2.7120000000000002E-2</v>
      </c>
      <c r="D7270" s="7">
        <v>2.7080000000000003E-2</v>
      </c>
      <c r="E7270" s="7">
        <v>2.724E-2</v>
      </c>
      <c r="F7270" s="7">
        <v>2.6929999999999999E-2</v>
      </c>
      <c r="G7270" s="7">
        <v>2.0999999999999999E-3</v>
      </c>
    </row>
    <row r="7271" spans="2:7" x14ac:dyDescent="0.2">
      <c r="B7271" s="60">
        <v>45931</v>
      </c>
      <c r="C7271" s="7">
        <v>2.7134000000000002E-2</v>
      </c>
      <c r="D7271" s="7">
        <v>2.7160000000000004E-2</v>
      </c>
      <c r="E7271" s="7">
        <v>2.743E-2</v>
      </c>
      <c r="F7271" s="7">
        <v>2.6929999999999999E-2</v>
      </c>
      <c r="G7271" s="7">
        <v>5.0000000000000001E-4</v>
      </c>
    </row>
    <row r="7272" spans="2:7" x14ac:dyDescent="0.2">
      <c r="B7272" s="60">
        <v>45932</v>
      </c>
      <c r="C7272" s="7">
        <v>2.6977999999999999E-2</v>
      </c>
      <c r="D7272" s="7">
        <v>2.717E-2</v>
      </c>
      <c r="E7272" s="7">
        <v>2.7280000000000002E-2</v>
      </c>
      <c r="F7272" s="7">
        <v>2.6960000000000001E-2</v>
      </c>
      <c r="G7272" s="7">
        <v>-5.7000000000000002E-3</v>
      </c>
    </row>
    <row r="7273" spans="2:7" x14ac:dyDescent="0.2">
      <c r="B7273" s="60">
        <v>45933</v>
      </c>
      <c r="C7273" s="7">
        <v>2.7000000000000003E-2</v>
      </c>
      <c r="D7273" s="7">
        <v>2.7029999999999998E-2</v>
      </c>
      <c r="E7273" s="7">
        <v>2.7069999999999997E-2</v>
      </c>
      <c r="F7273" s="7">
        <v>2.69E-2</v>
      </c>
      <c r="G7273" s="7">
        <v>8.0000000000000004E-4</v>
      </c>
    </row>
    <row r="7274" spans="2:7" x14ac:dyDescent="0.2">
      <c r="B7274" s="60">
        <v>45936</v>
      </c>
      <c r="C7274" s="7">
        <v>2.7174E-2</v>
      </c>
      <c r="D7274" s="7">
        <v>2.7050000000000001E-2</v>
      </c>
      <c r="E7274" s="7">
        <v>2.734E-2</v>
      </c>
      <c r="F7274" s="7">
        <v>2.6939999999999999E-2</v>
      </c>
      <c r="G7274" s="7">
        <v>6.4000000000000003E-3</v>
      </c>
    </row>
    <row r="7275" spans="2:7" x14ac:dyDescent="0.2">
      <c r="B7275" s="60">
        <v>45937</v>
      </c>
      <c r="C7275" s="7">
        <v>2.7107000000000003E-2</v>
      </c>
      <c r="D7275" s="7">
        <v>2.7189999999999999E-2</v>
      </c>
      <c r="E7275" s="7">
        <v>2.743E-2</v>
      </c>
      <c r="F7275" s="7">
        <v>2.7109999999999999E-2</v>
      </c>
      <c r="G7275" s="7">
        <v>-2.5000000000000001E-3</v>
      </c>
    </row>
    <row r="7276" spans="2:7" x14ac:dyDescent="0.2">
      <c r="B7276" s="60">
        <v>45938</v>
      </c>
      <c r="C7276" s="7">
        <v>2.6768999999999998E-2</v>
      </c>
      <c r="D7276" s="7">
        <v>2.7140000000000001E-2</v>
      </c>
      <c r="E7276" s="7">
        <v>2.7149999999999997E-2</v>
      </c>
      <c r="F7276" s="7">
        <v>2.666E-2</v>
      </c>
      <c r="G7276" s="7">
        <v>-1.2500000000000001E-2</v>
      </c>
    </row>
    <row r="7277" spans="2:7" x14ac:dyDescent="0.2">
      <c r="B7277" s="60">
        <v>45939</v>
      </c>
      <c r="C7277" s="7">
        <v>2.7040000000000002E-2</v>
      </c>
      <c r="D7277" s="7">
        <v>2.683E-2</v>
      </c>
      <c r="E7277" s="7">
        <v>2.7060000000000001E-2</v>
      </c>
      <c r="F7277" s="7">
        <v>2.6770000000000002E-2</v>
      </c>
      <c r="G7277" s="7">
        <v>1.01E-2</v>
      </c>
    </row>
    <row r="7278" spans="2:7" x14ac:dyDescent="0.2">
      <c r="B7278" s="60">
        <v>45940</v>
      </c>
      <c r="C7278" s="7">
        <v>2.6339999999999999E-2</v>
      </c>
      <c r="D7278" s="7">
        <v>2.6980000000000001E-2</v>
      </c>
      <c r="E7278" s="7">
        <v>2.6980000000000001E-2</v>
      </c>
      <c r="F7278" s="7">
        <v>2.632E-2</v>
      </c>
      <c r="G7278" s="7">
        <v>-2.5899999999999999E-2</v>
      </c>
    </row>
    <row r="7279" spans="2:7" x14ac:dyDescent="0.2">
      <c r="B7279" s="60">
        <v>45943</v>
      </c>
      <c r="C7279" s="7">
        <v>2.6301000000000001E-2</v>
      </c>
      <c r="D7279" s="7">
        <v>2.6530000000000001E-2</v>
      </c>
      <c r="E7279" s="7">
        <v>2.656E-2</v>
      </c>
      <c r="F7279" s="7">
        <v>2.622E-2</v>
      </c>
      <c r="G7279" s="7">
        <v>-1.5E-3</v>
      </c>
    </row>
    <row r="7280" spans="2:7" x14ac:dyDescent="0.2">
      <c r="B7280" s="60">
        <v>45944</v>
      </c>
      <c r="C7280" s="7">
        <v>2.6071E-2</v>
      </c>
      <c r="D7280" s="7">
        <v>2.6370000000000001E-2</v>
      </c>
      <c r="E7280" s="7">
        <v>2.6370000000000001E-2</v>
      </c>
      <c r="F7280" s="7">
        <v>2.5870000000000001E-2</v>
      </c>
      <c r="G7280" s="7">
        <v>-8.6999999999999994E-3</v>
      </c>
    </row>
    <row r="7281" spans="2:7" x14ac:dyDescent="0.2">
      <c r="B7281" s="60">
        <v>45945</v>
      </c>
      <c r="C7281" s="7">
        <v>2.5579999999999999E-2</v>
      </c>
      <c r="D7281" s="7">
        <v>2.6040000000000001E-2</v>
      </c>
      <c r="E7281" s="7">
        <v>2.6040000000000001E-2</v>
      </c>
      <c r="F7281" s="7">
        <v>2.5569999999999999E-2</v>
      </c>
      <c r="G7281" s="7">
        <v>-1.8800000000000001E-2</v>
      </c>
    </row>
    <row r="7282" spans="2:7" x14ac:dyDescent="0.2">
      <c r="B7282" s="60">
        <v>45946</v>
      </c>
      <c r="C7282" s="7">
        <v>2.5693999999999998E-2</v>
      </c>
      <c r="D7282" s="7">
        <v>2.5779999999999997E-2</v>
      </c>
      <c r="E7282" s="7">
        <v>2.5859999999999998E-2</v>
      </c>
      <c r="F7282" s="7">
        <v>2.563E-2</v>
      </c>
      <c r="G7282" s="7">
        <v>4.4999999999999997E-3</v>
      </c>
    </row>
    <row r="7283" spans="2:7" x14ac:dyDescent="0.2">
      <c r="B7283" s="60">
        <v>45947</v>
      </c>
      <c r="C7283" s="7">
        <v>2.5783999999999998E-2</v>
      </c>
      <c r="D7283" s="7">
        <v>2.5760000000000002E-2</v>
      </c>
      <c r="E7283" s="7">
        <v>2.5870000000000001E-2</v>
      </c>
      <c r="F7283" s="7">
        <v>2.5230000000000002E-2</v>
      </c>
      <c r="G7283" s="7">
        <v>3.5000000000000001E-3</v>
      </c>
    </row>
    <row r="7284" spans="2:7" x14ac:dyDescent="0.2">
      <c r="B7284" s="60">
        <v>45950</v>
      </c>
      <c r="C7284" s="7">
        <v>2.5838999999999997E-2</v>
      </c>
      <c r="D7284" s="7">
        <v>2.5920000000000002E-2</v>
      </c>
      <c r="E7284" s="7">
        <v>2.5990000000000003E-2</v>
      </c>
      <c r="F7284" s="7">
        <v>2.5750000000000002E-2</v>
      </c>
      <c r="G7284" s="7">
        <v>2.0999999999999999E-3</v>
      </c>
    </row>
    <row r="7285" spans="2:7" x14ac:dyDescent="0.2">
      <c r="B7285" s="60">
        <v>45951</v>
      </c>
      <c r="C7285" s="7">
        <v>2.5508000000000003E-2</v>
      </c>
      <c r="D7285" s="7">
        <v>2.5770000000000001E-2</v>
      </c>
      <c r="E7285" s="7">
        <v>2.5819999999999999E-2</v>
      </c>
      <c r="F7285" s="7">
        <v>2.5489999999999999E-2</v>
      </c>
      <c r="G7285" s="7">
        <v>-1.2800000000000001E-2</v>
      </c>
    </row>
    <row r="7286" spans="2:7" x14ac:dyDescent="0.2">
      <c r="B7286" s="60">
        <v>45952</v>
      </c>
      <c r="C7286" s="7">
        <v>2.5592E-2</v>
      </c>
      <c r="D7286" s="7">
        <v>2.5579999999999999E-2</v>
      </c>
      <c r="E7286" s="7">
        <v>2.5690000000000001E-2</v>
      </c>
      <c r="F7286" s="7">
        <v>2.5399999999999999E-2</v>
      </c>
      <c r="G7286" s="7">
        <v>3.3E-3</v>
      </c>
    </row>
    <row r="7287" spans="2:7" x14ac:dyDescent="0.2">
      <c r="B7287" s="60">
        <v>45953</v>
      </c>
      <c r="C7287" s="7">
        <v>2.5779E-2</v>
      </c>
      <c r="D7287" s="7">
        <v>2.5659999999999999E-2</v>
      </c>
      <c r="E7287" s="7">
        <v>2.5819999999999999E-2</v>
      </c>
      <c r="F7287" s="7">
        <v>2.5649999999999999E-2</v>
      </c>
      <c r="G7287" s="7">
        <v>7.3000000000000001E-3</v>
      </c>
    </row>
    <row r="7288" spans="2:7" x14ac:dyDescent="0.2">
      <c r="B7288" s="60">
        <v>45954</v>
      </c>
      <c r="C7288" s="7">
        <v>2.6242000000000001E-2</v>
      </c>
      <c r="D7288" s="7">
        <v>2.5849999999999998E-2</v>
      </c>
      <c r="E7288" s="7">
        <v>2.632E-2</v>
      </c>
      <c r="F7288" s="7">
        <v>2.572E-2</v>
      </c>
      <c r="G7288" s="7">
        <v>1.7999999999999999E-2</v>
      </c>
    </row>
    <row r="7289" spans="2:7" x14ac:dyDescent="0.2">
      <c r="B7289" s="60">
        <v>45957</v>
      </c>
      <c r="C7289" s="7">
        <v>2.6166999999999999E-2</v>
      </c>
      <c r="D7289" s="7">
        <v>2.632E-2</v>
      </c>
      <c r="E7289" s="7">
        <v>2.6450000000000001E-2</v>
      </c>
      <c r="F7289" s="7">
        <v>2.6160000000000003E-2</v>
      </c>
      <c r="G7289" s="7">
        <v>-2.8999999999999998E-3</v>
      </c>
    </row>
    <row r="7290" spans="2:7" x14ac:dyDescent="0.2">
      <c r="B7290" s="60">
        <v>45958</v>
      </c>
      <c r="C7290" s="7">
        <v>2.6211999999999999E-2</v>
      </c>
      <c r="D7290" s="7">
        <v>2.614E-2</v>
      </c>
      <c r="E7290" s="7">
        <v>2.6210000000000001E-2</v>
      </c>
      <c r="F7290" s="7">
        <v>2.6030000000000001E-2</v>
      </c>
      <c r="G7290" s="7">
        <v>1.6999999999999999E-3</v>
      </c>
    </row>
    <row r="7291" spans="2:7" x14ac:dyDescent="0.2">
      <c r="B7291" s="60">
        <v>45959</v>
      </c>
      <c r="C7291" s="7">
        <v>2.6185999999999997E-2</v>
      </c>
      <c r="D7291" s="7">
        <v>2.6259999999999999E-2</v>
      </c>
      <c r="E7291" s="7">
        <v>2.6290000000000001E-2</v>
      </c>
      <c r="F7291" s="7">
        <v>2.6150000000000003E-2</v>
      </c>
      <c r="G7291" s="7">
        <v>-1E-3</v>
      </c>
    </row>
    <row r="7292" spans="2:7" x14ac:dyDescent="0.2">
      <c r="B7292" s="60">
        <v>45960</v>
      </c>
      <c r="C7292" s="7">
        <v>2.6375000000000003E-2</v>
      </c>
      <c r="D7292" s="7">
        <v>2.6210000000000001E-2</v>
      </c>
      <c r="E7292" s="7">
        <v>2.6610000000000002E-2</v>
      </c>
      <c r="F7292" s="7">
        <v>2.6210000000000001E-2</v>
      </c>
      <c r="G7292" s="7">
        <v>7.1999999999999998E-3</v>
      </c>
    </row>
    <row r="7293" spans="2:7" x14ac:dyDescent="0.2">
      <c r="B7293" s="60">
        <v>45961</v>
      </c>
      <c r="C7293" s="7">
        <v>2.6368999999999997E-2</v>
      </c>
      <c r="D7293" s="7">
        <v>2.6440000000000002E-2</v>
      </c>
      <c r="E7293" s="7">
        <v>2.6579999999999999E-2</v>
      </c>
      <c r="F7293" s="7">
        <v>2.632E-2</v>
      </c>
      <c r="G7293" s="7">
        <v>-2.0000000000000001E-4</v>
      </c>
    </row>
    <row r="7294" spans="2:7" x14ac:dyDescent="0.2">
      <c r="B7294" s="60">
        <v>45964</v>
      </c>
      <c r="C7294" s="7">
        <v>2.6624999999999999E-2</v>
      </c>
      <c r="D7294" s="7">
        <v>2.6370000000000001E-2</v>
      </c>
      <c r="E7294" s="7">
        <v>2.666E-2</v>
      </c>
      <c r="F7294" s="7">
        <v>2.6349999999999998E-2</v>
      </c>
      <c r="G7294" s="7">
        <v>9.7000000000000003E-3</v>
      </c>
    </row>
    <row r="7295" spans="2:7" x14ac:dyDescent="0.2">
      <c r="B7295" s="60">
        <v>45965</v>
      </c>
      <c r="C7295" s="7">
        <v>2.6518E-2</v>
      </c>
      <c r="D7295" s="7">
        <v>2.657E-2</v>
      </c>
      <c r="E7295" s="7">
        <v>2.6600000000000002E-2</v>
      </c>
      <c r="F7295" s="7">
        <v>2.64E-2</v>
      </c>
      <c r="G7295" s="7">
        <v>-4.0000000000000001E-3</v>
      </c>
    </row>
    <row r="7296" spans="2:7" x14ac:dyDescent="0.2">
      <c r="B7296" s="60">
        <v>45966</v>
      </c>
      <c r="C7296" s="7">
        <v>2.6723E-2</v>
      </c>
      <c r="D7296" s="7">
        <v>2.6520000000000002E-2</v>
      </c>
      <c r="E7296" s="7">
        <v>2.674E-2</v>
      </c>
      <c r="F7296" s="7">
        <v>2.6380000000000001E-2</v>
      </c>
      <c r="G7296" s="7">
        <v>7.7000000000000002E-3</v>
      </c>
    </row>
    <row r="7297" spans="2:7" x14ac:dyDescent="0.2">
      <c r="B7297" s="60">
        <v>45967</v>
      </c>
      <c r="C7297" s="7">
        <v>2.6575999999999999E-2</v>
      </c>
      <c r="D7297" s="7">
        <v>2.6749999999999999E-2</v>
      </c>
      <c r="E7297" s="7">
        <v>2.6760000000000003E-2</v>
      </c>
      <c r="F7297" s="7">
        <v>2.6520000000000002E-2</v>
      </c>
      <c r="G7297" s="7">
        <v>-5.4999999999999997E-3</v>
      </c>
    </row>
    <row r="7298" spans="2:7" x14ac:dyDescent="0.2">
      <c r="B7298" s="60">
        <v>45968</v>
      </c>
      <c r="C7298" s="7">
        <v>2.6676000000000002E-2</v>
      </c>
      <c r="D7298" s="7">
        <v>2.6520000000000002E-2</v>
      </c>
      <c r="E7298" s="7">
        <v>2.681E-2</v>
      </c>
      <c r="F7298" s="7">
        <v>2.649E-2</v>
      </c>
      <c r="G7298" s="7">
        <v>3.8E-3</v>
      </c>
    </row>
    <row r="7299" spans="2:7" x14ac:dyDescent="0.2">
      <c r="B7299" s="60">
        <v>45971</v>
      </c>
      <c r="C7299" s="7">
        <v>2.6658000000000001E-2</v>
      </c>
      <c r="D7299" s="7">
        <v>2.6970000000000001E-2</v>
      </c>
      <c r="E7299" s="7">
        <v>2.699E-2</v>
      </c>
      <c r="F7299" s="7">
        <v>2.6589999999999999E-2</v>
      </c>
      <c r="G7299" s="7">
        <v>-6.9999999999999999E-4</v>
      </c>
    </row>
    <row r="7300" spans="2:7" x14ac:dyDescent="0.2">
      <c r="B7300" s="60">
        <v>45972</v>
      </c>
      <c r="C7300" s="7">
        <v>2.6574E-2</v>
      </c>
      <c r="D7300" s="7">
        <v>2.6779999999999998E-2</v>
      </c>
      <c r="E7300" s="7">
        <v>2.681E-2</v>
      </c>
      <c r="F7300" s="7">
        <v>2.6520000000000002E-2</v>
      </c>
      <c r="G7300" s="7">
        <v>-3.2000000000000002E-3</v>
      </c>
    </row>
    <row r="7301" spans="2:7" x14ac:dyDescent="0.2">
      <c r="B7301" s="60">
        <v>45973</v>
      </c>
      <c r="C7301" s="7">
        <v>2.6465000000000002E-2</v>
      </c>
      <c r="D7301" s="7">
        <v>2.6600000000000002E-2</v>
      </c>
      <c r="E7301" s="7">
        <v>2.6800000000000001E-2</v>
      </c>
      <c r="F7301" s="7">
        <v>2.6450000000000001E-2</v>
      </c>
      <c r="G7301" s="7">
        <v>-4.1000000000000003E-3</v>
      </c>
    </row>
    <row r="7302" spans="2:7" x14ac:dyDescent="0.2">
      <c r="B7302" s="60">
        <v>45974</v>
      </c>
      <c r="C7302" s="7">
        <v>2.6873999999999999E-2</v>
      </c>
      <c r="D7302" s="7">
        <v>2.649E-2</v>
      </c>
      <c r="E7302" s="7">
        <v>2.69E-2</v>
      </c>
      <c r="F7302" s="7">
        <v>2.6389999999999997E-2</v>
      </c>
      <c r="G7302" s="7">
        <v>1.55E-2</v>
      </c>
    </row>
    <row r="7303" spans="2:7" x14ac:dyDescent="0.2">
      <c r="B7303" s="60">
        <v>45975</v>
      </c>
      <c r="C7303" s="7">
        <v>2.7166000000000003E-2</v>
      </c>
      <c r="D7303" s="7">
        <v>2.7009999999999999E-2</v>
      </c>
      <c r="E7303" s="7">
        <v>2.7179999999999999E-2</v>
      </c>
      <c r="F7303" s="7">
        <v>2.682E-2</v>
      </c>
      <c r="G7303" s="7">
        <v>1.09E-2</v>
      </c>
    </row>
    <row r="7304" spans="2:7" x14ac:dyDescent="0.2">
      <c r="B7304" s="60">
        <v>45978</v>
      </c>
      <c r="C7304" s="7">
        <v>2.7130000000000001E-2</v>
      </c>
      <c r="D7304" s="7">
        <v>2.7160000000000004E-2</v>
      </c>
      <c r="E7304" s="7">
        <v>2.7179999999999999E-2</v>
      </c>
      <c r="F7304" s="7">
        <v>2.7000000000000003E-2</v>
      </c>
      <c r="G7304" s="7">
        <v>-1.2999999999999999E-3</v>
      </c>
    </row>
    <row r="7305" spans="2:7" x14ac:dyDescent="0.2">
      <c r="B7305" s="60">
        <v>45979</v>
      </c>
      <c r="C7305" s="7">
        <v>2.7094999999999998E-2</v>
      </c>
      <c r="D7305" s="7">
        <v>2.7019999999999999E-2</v>
      </c>
      <c r="E7305" s="7">
        <v>2.7099999999999999E-2</v>
      </c>
      <c r="F7305" s="7">
        <v>2.6840000000000003E-2</v>
      </c>
      <c r="G7305" s="7">
        <v>-1.2999999999999999E-3</v>
      </c>
    </row>
    <row r="7306" spans="2:7" x14ac:dyDescent="0.2">
      <c r="B7306" s="60">
        <v>45980</v>
      </c>
      <c r="C7306" s="7">
        <v>2.7103000000000002E-2</v>
      </c>
      <c r="D7306" s="7">
        <v>2.7069999999999997E-2</v>
      </c>
      <c r="E7306" s="7">
        <v>2.7140000000000001E-2</v>
      </c>
      <c r="F7306" s="7">
        <v>2.683E-2</v>
      </c>
      <c r="G7306" s="7">
        <v>2.9999999999999997E-4</v>
      </c>
    </row>
    <row r="7307" spans="2:7" x14ac:dyDescent="0.2">
      <c r="B7307" s="60">
        <v>45981</v>
      </c>
      <c r="C7307" s="7">
        <v>2.7193999999999999E-2</v>
      </c>
      <c r="D7307" s="7">
        <v>2.7280000000000002E-2</v>
      </c>
      <c r="E7307" s="7">
        <v>2.741E-2</v>
      </c>
      <c r="F7307" s="7">
        <v>2.7140000000000001E-2</v>
      </c>
      <c r="G7307" s="7">
        <v>3.3999999999999998E-3</v>
      </c>
    </row>
    <row r="7308" spans="2:7" x14ac:dyDescent="0.2">
      <c r="B7308" s="60">
        <v>45982</v>
      </c>
      <c r="C7308" s="7">
        <v>2.6980000000000001E-2</v>
      </c>
      <c r="D7308" s="7">
        <v>2.7200000000000002E-2</v>
      </c>
      <c r="E7308" s="7">
        <v>2.7200000000000002E-2</v>
      </c>
      <c r="F7308" s="7">
        <v>2.6720000000000001E-2</v>
      </c>
      <c r="G7308" s="7">
        <v>-7.9000000000000008E-3</v>
      </c>
    </row>
    <row r="7309" spans="2:7" x14ac:dyDescent="0.2">
      <c r="B7309" s="60">
        <v>45985</v>
      </c>
      <c r="C7309" s="7">
        <v>2.6970000000000001E-2</v>
      </c>
      <c r="D7309" s="7">
        <v>2.7029999999999998E-2</v>
      </c>
      <c r="E7309" s="7">
        <v>2.7080000000000003E-2</v>
      </c>
      <c r="F7309" s="7">
        <v>2.681E-2</v>
      </c>
      <c r="G7309" s="7">
        <v>-4.0000000000000002E-4</v>
      </c>
    </row>
    <row r="7310" spans="2:7" x14ac:dyDescent="0.2">
      <c r="B7310" s="60">
        <v>45986</v>
      </c>
      <c r="C7310" s="7">
        <v>2.6728000000000002E-2</v>
      </c>
      <c r="D7310" s="7">
        <v>2.6939999999999999E-2</v>
      </c>
      <c r="E7310" s="7">
        <v>2.7040000000000002E-2</v>
      </c>
      <c r="F7310" s="7">
        <v>2.666E-2</v>
      </c>
      <c r="G7310" s="7">
        <v>-8.9999999999999993E-3</v>
      </c>
    </row>
    <row r="7311" spans="2:7" x14ac:dyDescent="0.2">
      <c r="B7311" s="60">
        <v>45987</v>
      </c>
      <c r="C7311" s="7">
        <v>2.6741000000000001E-2</v>
      </c>
      <c r="D7311" s="7">
        <v>2.673E-2</v>
      </c>
      <c r="E7311" s="7">
        <v>2.6890000000000001E-2</v>
      </c>
      <c r="F7311" s="7">
        <v>2.6610000000000002E-2</v>
      </c>
      <c r="G7311" s="7">
        <v>5.0000000000000001E-4</v>
      </c>
    </row>
    <row r="7312" spans="2:7" x14ac:dyDescent="0.2">
      <c r="B7312" s="60">
        <v>45988</v>
      </c>
      <c r="C7312" s="7">
        <v>2.6775000000000004E-2</v>
      </c>
      <c r="D7312" s="7">
        <v>2.6680000000000002E-2</v>
      </c>
      <c r="E7312" s="7">
        <v>2.69E-2</v>
      </c>
      <c r="F7312" s="7">
        <v>2.666E-2</v>
      </c>
      <c r="G7312" s="7">
        <v>1.2999999999999999E-3</v>
      </c>
    </row>
    <row r="7313" spans="2:7" x14ac:dyDescent="0.2">
      <c r="B7313" s="60">
        <v>45989</v>
      </c>
      <c r="C7313" s="7">
        <v>2.6912999999999999E-2</v>
      </c>
      <c r="D7313" s="7">
        <v>2.681E-2</v>
      </c>
      <c r="E7313" s="7">
        <v>2.6970000000000001E-2</v>
      </c>
      <c r="F7313" s="7">
        <v>2.6709999999999998E-2</v>
      </c>
      <c r="G7313" s="7">
        <v>5.1999999999999998E-3</v>
      </c>
    </row>
    <row r="7314" spans="2:7" x14ac:dyDescent="0.2">
      <c r="B7314" s="60">
        <v>45992</v>
      </c>
      <c r="C7314" s="7">
        <v>2.7492000000000003E-2</v>
      </c>
      <c r="D7314" s="7">
        <v>2.7000000000000003E-2</v>
      </c>
      <c r="E7314" s="7">
        <v>2.7559999999999998E-2</v>
      </c>
      <c r="F7314" s="7">
        <v>2.699E-2</v>
      </c>
      <c r="G7314" s="7">
        <v>2.1499999999999998E-2</v>
      </c>
    </row>
    <row r="7315" spans="2:7" x14ac:dyDescent="0.2">
      <c r="B7315" s="60">
        <v>45993</v>
      </c>
      <c r="C7315" s="7">
        <v>2.7515000000000001E-2</v>
      </c>
      <c r="D7315" s="7">
        <v>2.7480000000000001E-2</v>
      </c>
      <c r="E7315" s="7">
        <v>2.7679999999999996E-2</v>
      </c>
      <c r="F7315" s="7">
        <v>2.7450000000000002E-2</v>
      </c>
      <c r="G7315" s="7">
        <v>8.0000000000000004E-4</v>
      </c>
    </row>
    <row r="7316" spans="2:7" x14ac:dyDescent="0.2">
      <c r="B7316" s="60">
        <v>45994</v>
      </c>
      <c r="C7316" s="7">
        <v>2.7461000000000003E-2</v>
      </c>
      <c r="D7316" s="7">
        <v>2.75E-2</v>
      </c>
      <c r="E7316" s="7">
        <v>2.7559999999999998E-2</v>
      </c>
      <c r="F7316" s="7">
        <v>2.7349999999999999E-2</v>
      </c>
      <c r="G7316" s="7">
        <v>-2E-3</v>
      </c>
    </row>
    <row r="7317" spans="2:7" x14ac:dyDescent="0.2">
      <c r="B7317" s="60">
        <v>45995</v>
      </c>
      <c r="C7317" s="7">
        <v>2.7705999999999998E-2</v>
      </c>
      <c r="D7317" s="7">
        <v>2.7539999999999999E-2</v>
      </c>
      <c r="E7317" s="7">
        <v>2.7730000000000001E-2</v>
      </c>
      <c r="F7317" s="7">
        <v>2.7480000000000001E-2</v>
      </c>
      <c r="G7317" s="7">
        <v>8.8999999999999999E-3</v>
      </c>
    </row>
    <row r="7318" spans="2:7" x14ac:dyDescent="0.2">
      <c r="B7318" s="60">
        <v>45996</v>
      </c>
      <c r="C7318" s="7">
        <v>2.8001000000000002E-2</v>
      </c>
      <c r="D7318" s="7">
        <v>2.7719999999999998E-2</v>
      </c>
      <c r="E7318" s="7">
        <v>2.7999999999999997E-2</v>
      </c>
      <c r="F7318" s="7">
        <v>2.7699999999999999E-2</v>
      </c>
      <c r="G7318" s="7">
        <v>1.06E-2</v>
      </c>
    </row>
    <row r="7319" spans="2:7" x14ac:dyDescent="0.2">
      <c r="B7319" s="60">
        <v>45999</v>
      </c>
      <c r="C7319" s="7">
        <v>2.8666000000000001E-2</v>
      </c>
      <c r="D7319" s="7">
        <v>2.7990000000000001E-2</v>
      </c>
      <c r="E7319" s="7">
        <v>2.8759999999999997E-2</v>
      </c>
      <c r="F7319" s="7">
        <v>2.7980000000000001E-2</v>
      </c>
      <c r="G7319" s="7">
        <v>2.3699999999999999E-2</v>
      </c>
    </row>
    <row r="7320" spans="2:7" x14ac:dyDescent="0.2">
      <c r="B7320" s="60">
        <v>46000</v>
      </c>
      <c r="C7320" s="7">
        <v>2.8519000000000003E-2</v>
      </c>
      <c r="D7320" s="7">
        <v>2.8650000000000002E-2</v>
      </c>
      <c r="E7320" s="7">
        <v>2.879E-2</v>
      </c>
      <c r="F7320" s="7">
        <v>2.836E-2</v>
      </c>
      <c r="G7320" s="7">
        <v>-5.1000000000000004E-3</v>
      </c>
    </row>
    <row r="7321" spans="2:7" x14ac:dyDescent="0.2">
      <c r="B7321" s="60">
        <v>46001</v>
      </c>
      <c r="C7321" s="7">
        <v>2.8563000000000002E-2</v>
      </c>
      <c r="D7321" s="7">
        <v>2.8580000000000001E-2</v>
      </c>
      <c r="E7321" s="7">
        <v>2.894E-2</v>
      </c>
      <c r="F7321" s="7">
        <v>2.8549999999999999E-2</v>
      </c>
      <c r="G7321" s="7">
        <v>1.5E-3</v>
      </c>
    </row>
    <row r="7322" spans="2:7" x14ac:dyDescent="0.2">
      <c r="B7322" s="60">
        <v>46002</v>
      </c>
      <c r="C7322" s="7">
        <v>2.8456000000000002E-2</v>
      </c>
      <c r="D7322" s="7">
        <v>2.852E-2</v>
      </c>
      <c r="E7322" s="7">
        <v>2.8650000000000002E-2</v>
      </c>
      <c r="F7322" s="7">
        <v>2.835E-2</v>
      </c>
      <c r="G7322" s="7">
        <v>-3.7000000000000002E-3</v>
      </c>
    </row>
    <row r="7323" spans="2:7" x14ac:dyDescent="0.2">
      <c r="B7323" s="60">
        <v>46003</v>
      </c>
      <c r="C7323" s="7">
        <v>2.8611000000000001E-2</v>
      </c>
      <c r="D7323" s="7">
        <v>2.844E-2</v>
      </c>
      <c r="E7323" s="7">
        <v>2.8709999999999999E-2</v>
      </c>
      <c r="F7323" s="7">
        <v>2.844E-2</v>
      </c>
      <c r="G7323" s="7">
        <v>5.4000000000000003E-3</v>
      </c>
    </row>
    <row r="7324" spans="2:7" x14ac:dyDescent="0.2">
      <c r="B7324" s="60">
        <v>46006</v>
      </c>
      <c r="C7324" s="7">
        <v>2.8507999999999999E-2</v>
      </c>
      <c r="D7324" s="7">
        <v>2.8590000000000001E-2</v>
      </c>
      <c r="E7324" s="7">
        <v>2.8590000000000001E-2</v>
      </c>
      <c r="F7324" s="7">
        <v>2.8340000000000001E-2</v>
      </c>
      <c r="G7324" s="7">
        <v>-3.5999999999999999E-3</v>
      </c>
    </row>
    <row r="7325" spans="2:7" x14ac:dyDescent="0.2">
      <c r="B7325" s="60">
        <v>46007</v>
      </c>
      <c r="C7325" s="7">
        <v>2.8466000000000002E-2</v>
      </c>
      <c r="D7325" s="7">
        <v>2.8549999999999999E-2</v>
      </c>
      <c r="E7325" s="7">
        <v>2.8690000000000004E-2</v>
      </c>
      <c r="F7325" s="7">
        <v>2.8389999999999999E-2</v>
      </c>
      <c r="G7325" s="7">
        <v>-1.5E-3</v>
      </c>
    </row>
    <row r="7326" spans="2:7" x14ac:dyDescent="0.2">
      <c r="B7326" s="60">
        <v>46008</v>
      </c>
      <c r="C7326" s="7">
        <v>2.8641999999999997E-2</v>
      </c>
      <c r="D7326" s="7">
        <v>2.843E-2</v>
      </c>
      <c r="E7326" s="7">
        <v>2.8670000000000001E-2</v>
      </c>
      <c r="F7326" s="7">
        <v>2.826E-2</v>
      </c>
      <c r="G7326" s="7">
        <v>6.1999999999999998E-3</v>
      </c>
    </row>
    <row r="7327" spans="2:7" x14ac:dyDescent="0.2">
      <c r="B7327" s="60">
        <v>46009</v>
      </c>
      <c r="C7327" s="7">
        <v>2.8490999999999999E-2</v>
      </c>
      <c r="D7327" s="7">
        <v>2.8590000000000001E-2</v>
      </c>
      <c r="E7327" s="7">
        <v>2.895E-2</v>
      </c>
      <c r="F7327" s="7">
        <v>2.8410000000000001E-2</v>
      </c>
      <c r="G7327" s="7">
        <v>-5.3E-3</v>
      </c>
    </row>
    <row r="7328" spans="2:7" x14ac:dyDescent="0.2">
      <c r="B7328" s="60">
        <v>46010</v>
      </c>
      <c r="C7328" s="7">
        <v>2.8924999999999999E-2</v>
      </c>
      <c r="D7328" s="7">
        <v>2.8510000000000001E-2</v>
      </c>
      <c r="E7328" s="7">
        <v>2.894E-2</v>
      </c>
      <c r="F7328" s="7">
        <v>2.8500000000000001E-2</v>
      </c>
      <c r="G7328" s="7">
        <v>1.52E-2</v>
      </c>
    </row>
    <row r="7329" spans="2:7" x14ac:dyDescent="0.2">
      <c r="B7329" s="60">
        <v>46013</v>
      </c>
      <c r="C7329" s="7">
        <v>2.9044E-2</v>
      </c>
      <c r="D7329" s="7">
        <v>2.913E-2</v>
      </c>
      <c r="E7329" s="7">
        <v>2.9169999999999998E-2</v>
      </c>
      <c r="F7329" s="7">
        <v>2.8910000000000002E-2</v>
      </c>
      <c r="G7329" s="7">
        <v>4.1000000000000003E-3</v>
      </c>
    </row>
    <row r="7330" spans="2:7" x14ac:dyDescent="0.2">
      <c r="B7330" s="60">
        <v>46014</v>
      </c>
      <c r="C7330" s="7">
        <v>2.8646999999999999E-2</v>
      </c>
      <c r="D7330" s="7">
        <v>2.9069999999999999E-2</v>
      </c>
      <c r="E7330" s="7">
        <v>2.9069999999999999E-2</v>
      </c>
      <c r="F7330" s="7">
        <v>2.8590000000000001E-2</v>
      </c>
      <c r="G7330" s="7">
        <v>-1.37E-2</v>
      </c>
    </row>
    <row r="7331" spans="2:7" x14ac:dyDescent="0.2">
      <c r="B7331" s="60">
        <v>46015</v>
      </c>
      <c r="C7331" s="7">
        <v>2.8670000000000001E-2</v>
      </c>
      <c r="D7331" s="7">
        <v>2.8715999999999998E-2</v>
      </c>
      <c r="E7331" s="7">
        <v>2.8715999999999998E-2</v>
      </c>
      <c r="F7331" s="7">
        <v>2.8670000000000001E-2</v>
      </c>
      <c r="G7331" s="7">
        <v>8.0000000000000004E-4</v>
      </c>
    </row>
    <row r="7332" spans="2:7" x14ac:dyDescent="0.2">
      <c r="B7332" s="60">
        <v>46016</v>
      </c>
      <c r="C7332" s="7">
        <v>2.8624E-2</v>
      </c>
      <c r="D7332" s="7">
        <v>2.8624E-2</v>
      </c>
      <c r="E7332" s="7">
        <v>2.8624E-2</v>
      </c>
      <c r="F7332" s="7">
        <v>2.8624E-2</v>
      </c>
      <c r="G7332" s="7">
        <v>-1.6000000000000001E-3</v>
      </c>
    </row>
    <row r="7333" spans="2:7" x14ac:dyDescent="0.2">
      <c r="B7333" s="60">
        <v>46017</v>
      </c>
      <c r="C7333" s="7">
        <v>2.8624E-2</v>
      </c>
      <c r="D7333" s="7">
        <v>2.8624E-2</v>
      </c>
      <c r="E7333" s="7">
        <v>2.8624E-2</v>
      </c>
      <c r="F7333" s="7">
        <v>2.8624E-2</v>
      </c>
      <c r="G7333" s="7">
        <v>0</v>
      </c>
    </row>
    <row r="7334" spans="2:7" x14ac:dyDescent="0.2">
      <c r="B7334" s="60">
        <v>46020</v>
      </c>
      <c r="C7334" s="7">
        <v>2.8256999999999997E-2</v>
      </c>
      <c r="D7334" s="7">
        <v>2.862E-2</v>
      </c>
      <c r="E7334" s="7">
        <v>2.8650000000000002E-2</v>
      </c>
      <c r="F7334" s="7">
        <v>2.8239999999999998E-2</v>
      </c>
      <c r="G7334" s="7">
        <v>-1.2800000000000001E-2</v>
      </c>
    </row>
    <row r="7335" spans="2:7" x14ac:dyDescent="0.2">
      <c r="B7335" s="60">
        <v>46021</v>
      </c>
      <c r="C7335" s="7">
        <v>2.8532999999999999E-2</v>
      </c>
      <c r="D7335" s="7">
        <v>2.8459999999999999E-2</v>
      </c>
      <c r="E7335" s="7">
        <v>2.862E-2</v>
      </c>
      <c r="F7335" s="7">
        <v>2.8330000000000001E-2</v>
      </c>
      <c r="G7335" s="7">
        <v>9.7999999999999997E-3</v>
      </c>
    </row>
    <row r="7336" spans="2:7" x14ac:dyDescent="0.2">
      <c r="B7336" s="60">
        <v>46022</v>
      </c>
      <c r="C7336" s="7">
        <v>2.8622999999999999E-2</v>
      </c>
      <c r="D7336" s="7">
        <v>2.862E-2</v>
      </c>
      <c r="E7336" s="7">
        <v>2.862E-2</v>
      </c>
      <c r="F7336" s="7">
        <v>2.8590000000000001E-2</v>
      </c>
      <c r="G7336" s="7">
        <v>3.2000000000000002E-3</v>
      </c>
    </row>
    <row r="7337" spans="2:7" x14ac:dyDescent="0.2">
      <c r="B7337" s="60">
        <v>46023</v>
      </c>
      <c r="C7337" s="7">
        <v>2.8557000000000003E-2</v>
      </c>
      <c r="D7337" s="7">
        <v>2.8557000000000003E-2</v>
      </c>
      <c r="E7337" s="7">
        <v>2.8557000000000003E-2</v>
      </c>
      <c r="F7337" s="7">
        <v>2.8557000000000003E-2</v>
      </c>
      <c r="G7337" s="7">
        <v>-2.3E-3</v>
      </c>
    </row>
    <row r="7338" spans="2:7" x14ac:dyDescent="0.2">
      <c r="B7338" s="60">
        <v>46024</v>
      </c>
      <c r="C7338" s="7">
        <v>2.8990000000000002E-2</v>
      </c>
      <c r="D7338" s="7">
        <v>2.9049999999999999E-2</v>
      </c>
      <c r="E7338" s="7">
        <v>2.9049999999999999E-2</v>
      </c>
      <c r="F7338" s="7">
        <v>2.8610000000000003E-2</v>
      </c>
      <c r="G7338" s="7">
        <v>1.52E-2</v>
      </c>
    </row>
    <row r="7339" spans="2:7" x14ac:dyDescent="0.2">
      <c r="B7339" s="60">
        <v>46027</v>
      </c>
      <c r="C7339" s="7">
        <v>2.8730000000000002E-2</v>
      </c>
      <c r="D7339" s="7">
        <v>2.8990000000000002E-2</v>
      </c>
      <c r="E7339" s="7">
        <v>2.9049999999999999E-2</v>
      </c>
      <c r="F7339" s="7">
        <v>2.8709999999999999E-2</v>
      </c>
      <c r="G7339" s="7">
        <v>-8.9999999999999993E-3</v>
      </c>
    </row>
    <row r="7340" spans="2:7" x14ac:dyDescent="0.2">
      <c r="B7340" s="60">
        <v>46028</v>
      </c>
      <c r="C7340" s="7">
        <v>2.8466000000000002E-2</v>
      </c>
      <c r="D7340" s="7">
        <v>2.895E-2</v>
      </c>
      <c r="E7340" s="7">
        <v>2.8980000000000002E-2</v>
      </c>
      <c r="F7340" s="7">
        <v>2.8340000000000001E-2</v>
      </c>
      <c r="G7340" s="7">
        <v>-9.1999999999999998E-3</v>
      </c>
    </row>
    <row r="7341" spans="2:7" x14ac:dyDescent="0.2">
      <c r="B7341" s="60">
        <v>46029</v>
      </c>
      <c r="C7341" s="7">
        <v>2.8076E-2</v>
      </c>
      <c r="D7341" s="7">
        <v>2.836E-2</v>
      </c>
      <c r="E7341" s="7">
        <v>2.8450000000000003E-2</v>
      </c>
      <c r="F7341" s="7">
        <v>2.7919999999999997E-2</v>
      </c>
      <c r="G7341" s="7">
        <v>-1.37E-2</v>
      </c>
    </row>
    <row r="7342" spans="2:7" x14ac:dyDescent="0.2">
      <c r="B7342" s="60">
        <v>46030</v>
      </c>
      <c r="C7342" s="7">
        <v>2.8288999999999998E-2</v>
      </c>
      <c r="D7342" s="7">
        <v>2.8140000000000002E-2</v>
      </c>
      <c r="E7342" s="7">
        <v>2.844E-2</v>
      </c>
      <c r="F7342" s="7">
        <v>2.8060000000000002E-2</v>
      </c>
      <c r="G7342" s="7">
        <v>7.6E-3</v>
      </c>
    </row>
    <row r="7343" spans="2:7" x14ac:dyDescent="0.2">
      <c r="B7343" s="60">
        <v>46031</v>
      </c>
      <c r="C7343" s="7">
        <v>2.8256E-2</v>
      </c>
      <c r="D7343" s="7">
        <v>2.8250000000000001E-2</v>
      </c>
      <c r="E7343" s="7">
        <v>2.843E-2</v>
      </c>
      <c r="F7343" s="7">
        <v>2.819E-2</v>
      </c>
      <c r="G7343" s="7">
        <v>-1.1999999999999999E-3</v>
      </c>
    </row>
    <row r="7344" spans="2:7" x14ac:dyDescent="0.2">
      <c r="B7344" s="60">
        <v>46034</v>
      </c>
      <c r="C7344" s="7">
        <v>2.8014000000000001E-2</v>
      </c>
      <c r="D7344" s="7">
        <v>2.827E-2</v>
      </c>
      <c r="E7344" s="7">
        <v>2.835E-2</v>
      </c>
      <c r="F7344" s="7">
        <v>2.7980000000000001E-2</v>
      </c>
      <c r="G7344" s="7">
        <v>-8.6E-3</v>
      </c>
    </row>
    <row r="7345" spans="2:7" x14ac:dyDescent="0.2">
      <c r="B7345" s="60">
        <v>46035</v>
      </c>
      <c r="C7345" s="7">
        <v>2.8134000000000003E-2</v>
      </c>
      <c r="D7345" s="7">
        <v>2.8170000000000001E-2</v>
      </c>
      <c r="E7345" s="7">
        <v>2.8330000000000001E-2</v>
      </c>
      <c r="F7345" s="7">
        <v>2.8050000000000002E-2</v>
      </c>
      <c r="G7345" s="7">
        <v>4.3E-3</v>
      </c>
    </row>
    <row r="7346" spans="2:7" x14ac:dyDescent="0.2">
      <c r="B7346" s="60">
        <v>46036</v>
      </c>
      <c r="C7346" s="7">
        <v>2.7816E-2</v>
      </c>
      <c r="D7346" s="7">
        <v>2.809E-2</v>
      </c>
      <c r="E7346" s="7">
        <v>2.8199999999999999E-2</v>
      </c>
      <c r="F7346" s="7">
        <v>2.7799999999999998E-2</v>
      </c>
      <c r="G7346" s="7">
        <v>-1.1299999999999999E-2</v>
      </c>
    </row>
    <row r="7347" spans="2:7" x14ac:dyDescent="0.2">
      <c r="B7347" s="60">
        <v>46037</v>
      </c>
      <c r="C7347" s="7">
        <v>2.8176999999999997E-2</v>
      </c>
      <c r="D7347" s="7">
        <v>2.8239999999999998E-2</v>
      </c>
      <c r="E7347" s="7">
        <v>2.835E-2</v>
      </c>
      <c r="F7347" s="7">
        <v>2.811E-2</v>
      </c>
      <c r="G7347" s="7">
        <v>1.2999999999999999E-2</v>
      </c>
    </row>
    <row r="7348" spans="2:7" x14ac:dyDescent="0.2">
      <c r="B7348" s="60">
        <v>46038</v>
      </c>
      <c r="C7348" s="7">
        <v>2.8382000000000001E-2</v>
      </c>
      <c r="D7348" s="7">
        <v>2.8199999999999999E-2</v>
      </c>
      <c r="E7348" s="7">
        <v>2.8469999999999999E-2</v>
      </c>
      <c r="F7348" s="7">
        <v>2.818E-2</v>
      </c>
      <c r="G7348" s="7">
        <v>7.3000000000000001E-3</v>
      </c>
    </row>
    <row r="7349" spans="2:7" x14ac:dyDescent="0.2">
      <c r="B7349" s="60">
        <v>46041</v>
      </c>
      <c r="C7349" s="7">
        <v>2.8401999999999997E-2</v>
      </c>
      <c r="D7349" s="7">
        <v>2.8300000000000002E-2</v>
      </c>
      <c r="E7349" s="7">
        <v>2.8410000000000001E-2</v>
      </c>
      <c r="F7349" s="7">
        <v>2.81E-2</v>
      </c>
      <c r="G7349" s="7">
        <v>6.9999999999999999E-4</v>
      </c>
    </row>
    <row r="7350" spans="2:7" x14ac:dyDescent="0.2">
      <c r="B7350" s="60">
        <v>46042</v>
      </c>
      <c r="C7350" s="7">
        <v>2.8603E-2</v>
      </c>
      <c r="D7350" s="7">
        <v>2.8399999999999998E-2</v>
      </c>
      <c r="E7350" s="7">
        <v>2.894E-2</v>
      </c>
      <c r="F7350" s="7">
        <v>2.8399999999999998E-2</v>
      </c>
      <c r="G7350" s="7">
        <v>7.1000000000000004E-3</v>
      </c>
    </row>
    <row r="7351" spans="2:7" x14ac:dyDescent="0.2">
      <c r="B7351" s="60">
        <v>46043</v>
      </c>
      <c r="C7351" s="7">
        <v>2.8780999999999998E-2</v>
      </c>
      <c r="D7351" s="7">
        <v>2.8539999999999999E-2</v>
      </c>
      <c r="E7351" s="7">
        <v>2.8849999999999997E-2</v>
      </c>
      <c r="F7351" s="7">
        <v>2.836E-2</v>
      </c>
      <c r="G7351" s="7">
        <v>6.1999999999999998E-3</v>
      </c>
    </row>
    <row r="7352" spans="2:7" x14ac:dyDescent="0.2">
      <c r="B7352" s="60">
        <v>46044</v>
      </c>
      <c r="C7352" s="7">
        <v>2.8833000000000001E-2</v>
      </c>
      <c r="D7352" s="7">
        <v>2.8820000000000002E-2</v>
      </c>
      <c r="E7352" s="7">
        <v>2.8910000000000002E-2</v>
      </c>
      <c r="F7352" s="7">
        <v>2.8590000000000001E-2</v>
      </c>
      <c r="G7352" s="7">
        <v>1.8E-3</v>
      </c>
    </row>
    <row r="7353" spans="2:7" x14ac:dyDescent="0.2">
      <c r="B7353" s="60">
        <v>46045</v>
      </c>
      <c r="C7353" s="7">
        <v>2.903E-2</v>
      </c>
      <c r="D7353" s="7">
        <v>2.8879999999999999E-2</v>
      </c>
      <c r="E7353" s="7">
        <v>2.9069999999999999E-2</v>
      </c>
      <c r="F7353" s="7">
        <v>2.878E-2</v>
      </c>
      <c r="G7353" s="7">
        <v>6.7999999999999996E-3</v>
      </c>
    </row>
    <row r="7354" spans="2:7" x14ac:dyDescent="0.2">
      <c r="B7354" s="60">
        <v>46048</v>
      </c>
      <c r="C7354" s="7">
        <v>2.8692000000000002E-2</v>
      </c>
      <c r="D7354" s="7">
        <v>2.8879999999999999E-2</v>
      </c>
      <c r="E7354" s="7">
        <v>2.895E-2</v>
      </c>
      <c r="F7354" s="7">
        <v>2.8629999999999999E-2</v>
      </c>
      <c r="G7354" s="7">
        <v>-1.1599999999999999E-2</v>
      </c>
    </row>
    <row r="7355" spans="2:7" x14ac:dyDescent="0.2">
      <c r="B7355" s="60">
        <v>46049</v>
      </c>
      <c r="C7355" s="7">
        <v>2.8713000000000002E-2</v>
      </c>
      <c r="D7355" s="7">
        <v>2.8730000000000002E-2</v>
      </c>
      <c r="E7355" s="7">
        <v>2.887E-2</v>
      </c>
      <c r="F7355" s="7">
        <v>2.8610000000000003E-2</v>
      </c>
      <c r="G7355" s="7">
        <v>6.9999999999999999E-4</v>
      </c>
    </row>
    <row r="7356" spans="2:7" x14ac:dyDescent="0.2">
      <c r="B7356" s="60">
        <v>46050</v>
      </c>
      <c r="C7356" s="7">
        <v>2.8538000000000001E-2</v>
      </c>
      <c r="D7356" s="7">
        <v>2.8690000000000004E-2</v>
      </c>
      <c r="E7356" s="7">
        <v>2.8690000000000004E-2</v>
      </c>
      <c r="F7356" s="7">
        <v>2.8450000000000003E-2</v>
      </c>
      <c r="G7356" s="7">
        <v>-6.1000000000000004E-3</v>
      </c>
    </row>
    <row r="7357" spans="2:7" x14ac:dyDescent="0.2">
      <c r="B7357" s="60">
        <v>46051</v>
      </c>
      <c r="C7357" s="7">
        <v>2.8308E-2</v>
      </c>
      <c r="D7357" s="7">
        <v>2.8639999999999999E-2</v>
      </c>
      <c r="E7357" s="7">
        <v>2.8679999999999997E-2</v>
      </c>
      <c r="F7357" s="7">
        <v>2.8220000000000002E-2</v>
      </c>
      <c r="G7357" s="7">
        <v>-8.0999999999999996E-3</v>
      </c>
    </row>
    <row r="7358" spans="2:7" x14ac:dyDescent="0.2">
      <c r="B7358" s="60">
        <v>46052</v>
      </c>
      <c r="C7358" s="7">
        <v>2.8445999999999999E-2</v>
      </c>
      <c r="D7358" s="7">
        <v>2.8479999999999998E-2</v>
      </c>
      <c r="E7358" s="7">
        <v>2.8559999999999999E-2</v>
      </c>
      <c r="F7358" s="7">
        <v>2.8340000000000001E-2</v>
      </c>
      <c r="G7358" s="7">
        <v>4.8999999999999998E-3</v>
      </c>
    </row>
    <row r="7359" spans="2:7" x14ac:dyDescent="0.2">
      <c r="B7359" s="60">
        <v>46055</v>
      </c>
      <c r="C7359" s="7">
        <v>2.8662999999999998E-2</v>
      </c>
      <c r="D7359" s="7">
        <v>2.8389999999999999E-2</v>
      </c>
      <c r="E7359" s="7">
        <v>2.8719999999999999E-2</v>
      </c>
      <c r="F7359" s="7">
        <v>2.8250000000000001E-2</v>
      </c>
      <c r="G7359" s="7">
        <v>7.6E-3</v>
      </c>
    </row>
    <row r="7360" spans="2:7" x14ac:dyDescent="0.2">
      <c r="B7360" s="60">
        <v>46056</v>
      </c>
      <c r="C7360" s="7">
        <v>2.8889000000000001E-2</v>
      </c>
      <c r="D7360" s="7">
        <v>2.87E-2</v>
      </c>
      <c r="E7360" s="7">
        <v>2.904E-2</v>
      </c>
      <c r="F7360" s="7">
        <v>2.8690000000000004E-2</v>
      </c>
      <c r="G7360" s="7">
        <v>7.9000000000000008E-3</v>
      </c>
    </row>
    <row r="7361" spans="2:7" x14ac:dyDescent="0.2">
      <c r="B7361" s="60">
        <v>46057</v>
      </c>
      <c r="C7361" s="7">
        <v>2.862E-2</v>
      </c>
      <c r="D7361" s="7">
        <v>2.8849999999999997E-2</v>
      </c>
      <c r="E7361" s="7">
        <v>2.8879999999999999E-2</v>
      </c>
      <c r="F7361" s="7">
        <v>2.8590000000000001E-2</v>
      </c>
      <c r="G7361" s="7">
        <v>-9.2999999999999992E-3</v>
      </c>
    </row>
    <row r="7362" spans="2:7" x14ac:dyDescent="0.2">
      <c r="B7362" s="60">
        <v>46058</v>
      </c>
      <c r="C7362" s="7">
        <v>2.8434000000000001E-2</v>
      </c>
      <c r="D7362" s="7">
        <v>2.8580000000000001E-2</v>
      </c>
      <c r="E7362" s="7">
        <v>2.8799999999999999E-2</v>
      </c>
      <c r="F7362" s="7">
        <v>2.8389999999999999E-2</v>
      </c>
      <c r="G7362" s="7">
        <v>-6.4999999999999997E-3</v>
      </c>
    </row>
    <row r="7363" spans="2:7" x14ac:dyDescent="0.2">
      <c r="B7363" s="60">
        <v>46059</v>
      </c>
      <c r="C7363" s="7">
        <v>2.8475999999999998E-2</v>
      </c>
      <c r="D7363" s="7">
        <v>2.8290000000000003E-2</v>
      </c>
      <c r="E7363" s="7">
        <v>2.8490000000000001E-2</v>
      </c>
      <c r="F7363" s="7">
        <v>2.8130000000000002E-2</v>
      </c>
      <c r="G7363" s="7">
        <v>1.5E-3</v>
      </c>
    </row>
    <row r="7364" spans="2:7" x14ac:dyDescent="0.2">
      <c r="B7364" s="60">
        <v>46062</v>
      </c>
      <c r="C7364" s="7">
        <v>2.8393999999999999E-2</v>
      </c>
      <c r="D7364" s="7">
        <v>2.8469999999999999E-2</v>
      </c>
      <c r="E7364" s="7">
        <v>2.862E-2</v>
      </c>
      <c r="F7364" s="7">
        <v>2.835E-2</v>
      </c>
      <c r="G7364" s="7">
        <v>-2.8999999999999998E-3</v>
      </c>
    </row>
    <row r="7365" spans="2:7" x14ac:dyDescent="0.2">
      <c r="B7365" s="60">
        <v>46063</v>
      </c>
      <c r="C7365" s="7">
        <v>2.8039999999999999E-2</v>
      </c>
      <c r="D7365" s="7">
        <v>2.8340000000000001E-2</v>
      </c>
      <c r="E7365" s="7">
        <v>2.835E-2</v>
      </c>
      <c r="F7365" s="7">
        <v>2.802E-2</v>
      </c>
      <c r="G7365" s="7">
        <v>-1.2500000000000001E-2</v>
      </c>
    </row>
    <row r="7366" spans="2:7" x14ac:dyDescent="0.2">
      <c r="B7366" s="60">
        <v>46064</v>
      </c>
      <c r="C7366" s="7">
        <v>2.7959999999999999E-2</v>
      </c>
      <c r="D7366" s="7">
        <v>2.809E-2</v>
      </c>
      <c r="E7366" s="7">
        <v>2.8229999999999998E-2</v>
      </c>
      <c r="F7366" s="7">
        <v>2.793E-2</v>
      </c>
      <c r="G7366" s="7">
        <v>-2.8999999999999998E-3</v>
      </c>
    </row>
    <row r="7367" spans="2:7" x14ac:dyDescent="0.2">
      <c r="B7367" s="60">
        <v>46065</v>
      </c>
      <c r="C7367" s="7">
        <v>2.7770000000000003E-2</v>
      </c>
      <c r="D7367" s="7">
        <v>2.7959999999999999E-2</v>
      </c>
      <c r="E7367" s="7">
        <v>2.8060000000000002E-2</v>
      </c>
      <c r="F7367" s="7">
        <v>2.7759999999999996E-2</v>
      </c>
      <c r="G7367" s="7">
        <v>-6.7999999999999996E-3</v>
      </c>
    </row>
    <row r="7368" spans="2:7" x14ac:dyDescent="0.2">
      <c r="B7368" s="60">
        <v>46066</v>
      </c>
      <c r="C7368" s="7">
        <v>2.7573E-2</v>
      </c>
      <c r="D7368" s="7">
        <v>2.7629999999999998E-2</v>
      </c>
      <c r="E7368" s="7">
        <v>2.7789999999999999E-2</v>
      </c>
      <c r="F7368" s="7">
        <v>2.7380000000000002E-2</v>
      </c>
      <c r="G7368" s="7">
        <v>-7.1000000000000004E-3</v>
      </c>
    </row>
    <row r="7369" spans="2:7" x14ac:dyDescent="0.2">
      <c r="B7369" s="60">
        <v>46069</v>
      </c>
      <c r="C7369" s="7">
        <v>2.7555999999999997E-2</v>
      </c>
      <c r="D7369" s="7">
        <v>2.7570000000000001E-2</v>
      </c>
      <c r="E7369" s="7">
        <v>2.767E-2</v>
      </c>
      <c r="F7369" s="7">
        <v>2.7290000000000002E-2</v>
      </c>
      <c r="G7369" s="7">
        <v>-5.9999999999999995E-4</v>
      </c>
    </row>
    <row r="7370" spans="2:7" x14ac:dyDescent="0.2">
      <c r="B7370" s="60">
        <v>46070</v>
      </c>
      <c r="C7370" s="7">
        <v>2.742E-2</v>
      </c>
      <c r="D7370" s="7">
        <v>2.7480000000000001E-2</v>
      </c>
      <c r="E7370" s="7">
        <v>2.75E-2</v>
      </c>
      <c r="F7370" s="7">
        <v>2.725E-2</v>
      </c>
      <c r="G7370" s="7">
        <v>-4.8999999999999998E-3</v>
      </c>
    </row>
    <row r="7371" spans="2:7" x14ac:dyDescent="0.2">
      <c r="B7371" s="60">
        <v>46071</v>
      </c>
      <c r="C7371" s="7">
        <v>2.7427999999999998E-2</v>
      </c>
      <c r="D7371" s="7">
        <v>2.7400000000000001E-2</v>
      </c>
      <c r="E7371" s="7">
        <v>2.7549999999999998E-2</v>
      </c>
      <c r="F7371" s="7">
        <v>2.7380000000000002E-2</v>
      </c>
      <c r="G7371" s="7">
        <v>2.9999999999999997E-4</v>
      </c>
    </row>
    <row r="7372" spans="2:7" x14ac:dyDescent="0.2">
      <c r="B7372" s="60">
        <v>46072</v>
      </c>
      <c r="C7372" s="7">
        <v>2.7451E-2</v>
      </c>
      <c r="D7372" s="7">
        <v>2.7490000000000001E-2</v>
      </c>
      <c r="E7372" s="7">
        <v>2.7639999999999998E-2</v>
      </c>
      <c r="F7372" s="7">
        <v>2.7400000000000001E-2</v>
      </c>
      <c r="G7372" s="7">
        <v>8.0000000000000004E-4</v>
      </c>
    </row>
    <row r="7373" spans="2:7" x14ac:dyDescent="0.2">
      <c r="B7373" s="60">
        <v>46073</v>
      </c>
      <c r="C7373" s="7">
        <v>2.7385000000000003E-2</v>
      </c>
      <c r="D7373" s="7">
        <v>2.7349999999999999E-2</v>
      </c>
      <c r="E7373" s="7">
        <v>2.7459999999999998E-2</v>
      </c>
      <c r="F7373" s="7">
        <v>2.7290000000000002E-2</v>
      </c>
      <c r="G7373" s="7">
        <v>-2.3999999999999998E-3</v>
      </c>
    </row>
    <row r="7374" spans="2:7" x14ac:dyDescent="0.2">
      <c r="B7374" s="60">
        <v>46076</v>
      </c>
      <c r="C7374" s="7">
        <v>2.7153E-2</v>
      </c>
      <c r="D7374" s="7">
        <v>2.733E-2</v>
      </c>
      <c r="E7374" s="7">
        <v>2.741E-2</v>
      </c>
      <c r="F7374" s="7">
        <v>2.7109999999999999E-2</v>
      </c>
      <c r="G7374" s="7">
        <v>-8.5000000000000006E-3</v>
      </c>
    </row>
    <row r="7375" spans="2:7" x14ac:dyDescent="0.2">
      <c r="B7375" s="60">
        <v>46077</v>
      </c>
      <c r="C7375" s="7">
        <v>2.7075999999999999E-2</v>
      </c>
      <c r="D7375" s="7">
        <v>2.7069999999999997E-2</v>
      </c>
      <c r="E7375" s="7">
        <v>2.7149999999999997E-2</v>
      </c>
      <c r="F7375" s="7">
        <v>2.6970000000000001E-2</v>
      </c>
      <c r="G7375" s="7">
        <v>-2.8E-3</v>
      </c>
    </row>
    <row r="7376" spans="2:7" x14ac:dyDescent="0.2">
      <c r="B7376" s="60">
        <v>46078</v>
      </c>
      <c r="C7376" s="7">
        <v>2.7089999999999999E-2</v>
      </c>
      <c r="D7376" s="7">
        <v>2.7109999999999999E-2</v>
      </c>
      <c r="E7376" s="7">
        <v>2.7220000000000001E-2</v>
      </c>
      <c r="F7376" s="7">
        <v>2.7080000000000003E-2</v>
      </c>
      <c r="G7376" s="7">
        <v>5.0000000000000001E-4</v>
      </c>
    </row>
    <row r="7377" spans="2:7" x14ac:dyDescent="0.2">
      <c r="B7377" s="60">
        <v>46079</v>
      </c>
      <c r="C7377" s="7">
        <v>2.6983999999999998E-2</v>
      </c>
      <c r="D7377" s="7">
        <v>2.7080000000000003E-2</v>
      </c>
      <c r="E7377" s="7">
        <v>2.7149999999999997E-2</v>
      </c>
      <c r="F7377" s="7">
        <v>2.6840000000000003E-2</v>
      </c>
      <c r="G7377" s="7">
        <v>-3.8999999999999998E-3</v>
      </c>
    </row>
    <row r="7378" spans="2:7" x14ac:dyDescent="0.2">
      <c r="B7378" s="60">
        <v>46080</v>
      </c>
      <c r="C7378" s="7">
        <v>2.6526999999999998E-2</v>
      </c>
      <c r="D7378" s="7">
        <v>2.6920000000000003E-2</v>
      </c>
      <c r="E7378" s="7">
        <v>2.6970000000000001E-2</v>
      </c>
      <c r="F7378" s="7">
        <v>2.649E-2</v>
      </c>
      <c r="G7378" s="7">
        <v>-1.6899999999999998E-2</v>
      </c>
    </row>
    <row r="7379" spans="2:7" x14ac:dyDescent="0.2">
      <c r="B7379" s="60">
        <v>46083</v>
      </c>
      <c r="C7379" s="7">
        <v>2.7081000000000001E-2</v>
      </c>
      <c r="D7379" s="7">
        <v>2.6370000000000001E-2</v>
      </c>
      <c r="E7379" s="7">
        <v>2.717E-2</v>
      </c>
      <c r="F7379" s="7">
        <v>2.6370000000000001E-2</v>
      </c>
      <c r="G7379" s="7">
        <v>2.0899999999999998E-2</v>
      </c>
    </row>
    <row r="7380" spans="2:7" x14ac:dyDescent="0.2">
      <c r="B7380" s="60">
        <v>46084</v>
      </c>
      <c r="C7380" s="7">
        <v>2.7751999999999999E-2</v>
      </c>
      <c r="D7380" s="7">
        <v>2.7109999999999999E-2</v>
      </c>
      <c r="E7380" s="7">
        <v>2.8149999999999998E-2</v>
      </c>
      <c r="F7380" s="7">
        <v>2.7109999999999999E-2</v>
      </c>
      <c r="G7380" s="7">
        <v>2.4799999999999999E-2</v>
      </c>
    </row>
    <row r="7381" spans="2:7" x14ac:dyDescent="0.2">
      <c r="B7381" s="60">
        <v>46085</v>
      </c>
      <c r="C7381" s="7">
        <v>2.7458999999999997E-2</v>
      </c>
      <c r="D7381" s="7">
        <v>2.7530000000000002E-2</v>
      </c>
      <c r="E7381" s="7">
        <v>2.7890000000000002E-2</v>
      </c>
      <c r="F7381" s="7">
        <v>2.7440000000000003E-2</v>
      </c>
      <c r="G7381" s="7">
        <v>-1.06E-2</v>
      </c>
    </row>
    <row r="7382" spans="2:7" x14ac:dyDescent="0.2">
      <c r="B7382" s="60">
        <v>46086</v>
      </c>
      <c r="C7382" s="7">
        <v>2.8534999999999998E-2</v>
      </c>
      <c r="D7382" s="7">
        <v>2.75E-2</v>
      </c>
      <c r="E7382" s="7">
        <v>2.8530000000000003E-2</v>
      </c>
      <c r="F7382" s="7">
        <v>2.75E-2</v>
      </c>
      <c r="G7382" s="7">
        <v>3.9199999999999999E-2</v>
      </c>
    </row>
    <row r="7383" spans="2:7" x14ac:dyDescent="0.2">
      <c r="B7383" s="60">
        <v>46087</v>
      </c>
      <c r="C7383" s="7">
        <v>2.8643000000000002E-2</v>
      </c>
      <c r="D7383" s="7">
        <v>2.8410000000000001E-2</v>
      </c>
      <c r="E7383" s="7">
        <v>2.878E-2</v>
      </c>
      <c r="F7383" s="7">
        <v>2.8330000000000001E-2</v>
      </c>
      <c r="G7383" s="7">
        <v>3.8E-3</v>
      </c>
    </row>
    <row r="7384" spans="2:7" x14ac:dyDescent="0.2">
      <c r="B7384" s="60">
        <v>46090</v>
      </c>
      <c r="C7384" s="7">
        <v>2.8649000000000001E-2</v>
      </c>
      <c r="D7384" s="7">
        <v>2.9309999999999999E-2</v>
      </c>
      <c r="E7384" s="7">
        <v>2.9309999999999999E-2</v>
      </c>
      <c r="F7384" s="7">
        <v>2.8570000000000002E-2</v>
      </c>
      <c r="G7384" s="7">
        <v>2.0000000000000001E-4</v>
      </c>
    </row>
    <row r="7385" spans="2:7" x14ac:dyDescent="0.2">
      <c r="B7385" s="60">
        <v>46091</v>
      </c>
      <c r="C7385" s="7">
        <v>2.8532999999999999E-2</v>
      </c>
      <c r="D7385" s="7">
        <v>2.8510000000000001E-2</v>
      </c>
      <c r="E7385" s="7">
        <v>2.8670000000000001E-2</v>
      </c>
      <c r="F7385" s="7">
        <v>2.8130000000000002E-2</v>
      </c>
      <c r="G7385" s="7">
        <v>-4.0000000000000001E-3</v>
      </c>
    </row>
    <row r="7386" spans="2:7" x14ac:dyDescent="0.2">
      <c r="B7386" s="60">
        <v>46092</v>
      </c>
      <c r="C7386" s="7">
        <v>2.9318E-2</v>
      </c>
      <c r="D7386" s="7">
        <v>2.8420000000000001E-2</v>
      </c>
      <c r="E7386" s="7">
        <v>2.9350000000000001E-2</v>
      </c>
      <c r="F7386" s="7">
        <v>2.8420000000000001E-2</v>
      </c>
      <c r="G7386" s="7">
        <v>2.75E-2</v>
      </c>
    </row>
    <row r="7387" spans="2:7" x14ac:dyDescent="0.2">
      <c r="B7387" s="60">
        <v>46093</v>
      </c>
      <c r="C7387" s="7">
        <v>2.9378000000000001E-2</v>
      </c>
      <c r="D7387" s="7">
        <v>2.9329999999999998E-2</v>
      </c>
      <c r="E7387" s="7">
        <v>2.963E-2</v>
      </c>
      <c r="F7387" s="7">
        <v>2.9229999999999999E-2</v>
      </c>
      <c r="G7387" s="7">
        <v>2E-3</v>
      </c>
    </row>
    <row r="7388" spans="2:7" x14ac:dyDescent="0.2">
      <c r="B7388" s="60">
        <v>46094</v>
      </c>
      <c r="C7388" s="7">
        <v>2.9767999999999999E-2</v>
      </c>
      <c r="D7388" s="7">
        <v>2.9580000000000002E-2</v>
      </c>
      <c r="E7388" s="7">
        <v>2.9940000000000001E-2</v>
      </c>
      <c r="F7388" s="7">
        <v>2.9399999999999999E-2</v>
      </c>
      <c r="G7388" s="7">
        <v>1.3299999999999999E-2</v>
      </c>
    </row>
    <row r="7389" spans="2:7" x14ac:dyDescent="0.2">
      <c r="B7389" s="60">
        <v>46097</v>
      </c>
      <c r="C7389" s="7">
        <v>2.9488E-2</v>
      </c>
      <c r="D7389" s="7">
        <v>2.972E-2</v>
      </c>
      <c r="E7389" s="7">
        <v>2.9839999999999998E-2</v>
      </c>
      <c r="F7389" s="7">
        <v>2.92E-2</v>
      </c>
      <c r="G7389" s="7">
        <v>-9.4000000000000004E-3</v>
      </c>
    </row>
    <row r="7390" spans="2:7" x14ac:dyDescent="0.2">
      <c r="B7390" s="60">
        <v>46098</v>
      </c>
      <c r="C7390" s="7">
        <v>2.9028000000000002E-2</v>
      </c>
      <c r="D7390" s="7">
        <v>2.954E-2</v>
      </c>
      <c r="E7390" s="7">
        <v>2.963E-2</v>
      </c>
      <c r="F7390" s="7">
        <v>2.9020000000000001E-2</v>
      </c>
      <c r="G7390" s="7">
        <v>-1.5599999999999999E-2</v>
      </c>
    </row>
    <row r="7391" spans="2:7" x14ac:dyDescent="0.2">
      <c r="B7391" s="60">
        <v>46099</v>
      </c>
      <c r="C7391" s="7">
        <v>2.9425E-2</v>
      </c>
      <c r="D7391" s="7">
        <v>2.9069999999999999E-2</v>
      </c>
      <c r="E7391" s="7">
        <v>2.9529999999999997E-2</v>
      </c>
      <c r="F7391" s="7">
        <v>2.8769999999999997E-2</v>
      </c>
      <c r="G7391" s="7">
        <v>1.37E-2</v>
      </c>
    </row>
    <row r="7392" spans="2:7" x14ac:dyDescent="0.2">
      <c r="B7392" s="60">
        <v>46100</v>
      </c>
      <c r="C7392" s="7">
        <v>2.9523999999999998E-2</v>
      </c>
      <c r="D7392" s="7">
        <v>2.988E-2</v>
      </c>
      <c r="E7392" s="7">
        <v>3.0099999999999998E-2</v>
      </c>
      <c r="F7392" s="7">
        <v>2.9479999999999999E-2</v>
      </c>
      <c r="G7392" s="7">
        <v>3.3999999999999998E-3</v>
      </c>
    </row>
    <row r="7393" spans="2:7" x14ac:dyDescent="0.2">
      <c r="B7393" s="60">
        <v>46101</v>
      </c>
      <c r="C7393" s="7">
        <v>3.0381000000000002E-2</v>
      </c>
      <c r="D7393" s="7">
        <v>2.964E-2</v>
      </c>
      <c r="E7393" s="7">
        <v>3.0379999999999997E-2</v>
      </c>
      <c r="F7393" s="7">
        <v>2.9380000000000003E-2</v>
      </c>
      <c r="G7393" s="7">
        <v>2.9000000000000001E-2</v>
      </c>
    </row>
    <row r="7394" spans="2:7" x14ac:dyDescent="0.2">
      <c r="B7394" s="60">
        <v>46104</v>
      </c>
      <c r="C7394" s="7">
        <v>3.0186000000000001E-2</v>
      </c>
      <c r="D7394" s="7">
        <v>3.0600000000000002E-2</v>
      </c>
      <c r="E7394" s="7">
        <v>3.0769999999999999E-2</v>
      </c>
      <c r="F7394" s="7">
        <v>2.9529999999999997E-2</v>
      </c>
      <c r="G7394" s="7">
        <v>-6.4000000000000003E-3</v>
      </c>
    </row>
    <row r="7395" spans="2:7" x14ac:dyDescent="0.2">
      <c r="B7395" s="60">
        <v>46105</v>
      </c>
      <c r="C7395" s="7">
        <v>3.0135000000000002E-2</v>
      </c>
      <c r="D7395" s="7">
        <v>3.0079999999999999E-2</v>
      </c>
      <c r="E7395" s="7">
        <v>3.0440000000000002E-2</v>
      </c>
      <c r="F7395" s="7">
        <v>2.9849999999999998E-2</v>
      </c>
      <c r="G7395" s="7">
        <v>-1.6999999999999999E-3</v>
      </c>
    </row>
    <row r="7396" spans="2:7" x14ac:dyDescent="0.2">
      <c r="B7396" s="60">
        <v>46106</v>
      </c>
      <c r="C7396" s="7">
        <v>2.9534999999999999E-2</v>
      </c>
      <c r="D7396" s="7">
        <v>2.997E-2</v>
      </c>
      <c r="E7396" s="7">
        <v>3.0009999999999998E-2</v>
      </c>
      <c r="F7396" s="7">
        <v>2.9449999999999997E-2</v>
      </c>
      <c r="G7396" s="7">
        <v>-1.9900000000000001E-2</v>
      </c>
    </row>
    <row r="7397" spans="2:7" x14ac:dyDescent="0.2">
      <c r="B7397" s="60">
        <v>46107</v>
      </c>
      <c r="C7397" s="7">
        <v>3.0630999999999999E-2</v>
      </c>
      <c r="D7397" s="7">
        <v>2.9600000000000001E-2</v>
      </c>
      <c r="E7397" s="7">
        <v>3.0630000000000001E-2</v>
      </c>
      <c r="F7397" s="7">
        <v>2.9600000000000001E-2</v>
      </c>
      <c r="G7397" s="7">
        <v>3.7100000000000001E-2</v>
      </c>
    </row>
    <row r="7398" spans="2:7" x14ac:dyDescent="0.2">
      <c r="B7398" s="60">
        <v>46108</v>
      </c>
      <c r="C7398" s="7">
        <v>3.0984999999999999E-2</v>
      </c>
      <c r="D7398" s="7">
        <v>3.0870000000000002E-2</v>
      </c>
      <c r="E7398" s="7">
        <v>3.1300000000000001E-2</v>
      </c>
      <c r="F7398" s="7">
        <v>3.0769999999999999E-2</v>
      </c>
      <c r="G7398" s="7">
        <v>1.1599999999999999E-2</v>
      </c>
    </row>
    <row r="7399" spans="2:7" x14ac:dyDescent="0.2">
      <c r="B7399" s="60">
        <v>46111</v>
      </c>
      <c r="C7399" s="7">
        <v>3.039E-2</v>
      </c>
      <c r="D7399" s="7">
        <v>3.0899999999999997E-2</v>
      </c>
      <c r="E7399" s="7">
        <v>3.1019999999999999E-2</v>
      </c>
      <c r="F7399" s="7">
        <v>3.031E-2</v>
      </c>
      <c r="G7399" s="7">
        <v>-1.9199999999999998E-2</v>
      </c>
    </row>
    <row r="7400" spans="2:7" x14ac:dyDescent="0.2">
      <c r="B7400" s="60">
        <v>46112</v>
      </c>
      <c r="C7400" s="7">
        <v>3.0076000000000002E-2</v>
      </c>
      <c r="D7400" s="7">
        <v>3.0339999999999999E-2</v>
      </c>
      <c r="E7400" s="7">
        <v>3.0529999999999998E-2</v>
      </c>
      <c r="F7400" s="7">
        <v>3.0030000000000001E-2</v>
      </c>
      <c r="G7400" s="7">
        <v>-1.03E-2</v>
      </c>
    </row>
    <row r="7401" spans="2:7" x14ac:dyDescent="0.2">
      <c r="B7401" s="60">
        <v>46113</v>
      </c>
      <c r="C7401" s="7">
        <v>2.9961999999999999E-2</v>
      </c>
      <c r="D7401" s="7">
        <v>2.9520000000000001E-2</v>
      </c>
      <c r="E7401" s="7">
        <v>3.0030000000000001E-2</v>
      </c>
      <c r="F7401" s="7">
        <v>2.9319999999999999E-2</v>
      </c>
      <c r="G7401" s="7">
        <v>-3.8E-3</v>
      </c>
    </row>
    <row r="7402" spans="2:7" x14ac:dyDescent="0.2">
      <c r="B7402" s="60">
        <v>46114</v>
      </c>
      <c r="C7402" s="7">
        <v>2.9954999999999999E-2</v>
      </c>
      <c r="D7402" s="7">
        <v>2.9870000000000001E-2</v>
      </c>
      <c r="E7402" s="7">
        <v>3.0529999999999998E-2</v>
      </c>
      <c r="F7402" s="7">
        <v>2.9849999999999998E-2</v>
      </c>
      <c r="G7402" s="7">
        <v>-2.0000000000000001E-4</v>
      </c>
    </row>
    <row r="7403" spans="2:7" x14ac:dyDescent="0.2">
      <c r="B7403" s="60">
        <v>46115</v>
      </c>
      <c r="C7403" s="7">
        <v>3.0032E-2</v>
      </c>
      <c r="D7403" s="7">
        <v>3.0112999999999997E-2</v>
      </c>
      <c r="E7403" s="7">
        <v>3.0112999999999997E-2</v>
      </c>
      <c r="F7403" s="7">
        <v>3.0032E-2</v>
      </c>
      <c r="G7403" s="7">
        <v>2.5999999999999999E-3</v>
      </c>
    </row>
    <row r="7404" spans="2:7" x14ac:dyDescent="0.2">
      <c r="B7404" s="60">
        <v>46118</v>
      </c>
      <c r="C7404" s="7">
        <v>2.9950999999999998E-2</v>
      </c>
      <c r="D7404" s="7">
        <v>2.9950999999999998E-2</v>
      </c>
      <c r="E7404" s="7">
        <v>2.9950999999999998E-2</v>
      </c>
      <c r="F7404" s="7">
        <v>2.9950999999999998E-2</v>
      </c>
      <c r="G7404" s="7">
        <v>-2.7000000000000001E-3</v>
      </c>
    </row>
    <row r="7405" spans="2:7" x14ac:dyDescent="0.2">
      <c r="B7405" s="60">
        <v>46119</v>
      </c>
      <c r="C7405" s="7">
        <v>3.0830000000000003E-2</v>
      </c>
      <c r="D7405" s="7">
        <v>2.9940000000000001E-2</v>
      </c>
      <c r="E7405" s="7">
        <v>3.0939999999999999E-2</v>
      </c>
      <c r="F7405" s="7">
        <v>2.9940000000000001E-2</v>
      </c>
      <c r="G7405" s="7">
        <v>2.93E-2</v>
      </c>
    </row>
    <row r="7406" spans="2:7" x14ac:dyDescent="0.2">
      <c r="B7406" s="60">
        <v>46120</v>
      </c>
      <c r="C7406" s="7">
        <v>2.9422999999999998E-2</v>
      </c>
      <c r="D7406" s="7">
        <v>3.0859999999999999E-2</v>
      </c>
      <c r="E7406" s="7">
        <v>3.0859999999999999E-2</v>
      </c>
      <c r="F7406" s="7">
        <v>2.9009999999999998E-2</v>
      </c>
      <c r="G7406" s="7">
        <v>-4.5600000000000002E-2</v>
      </c>
    </row>
    <row r="7407" spans="2:7" x14ac:dyDescent="0.2">
      <c r="B7407" s="60">
        <v>46121</v>
      </c>
      <c r="C7407" s="7">
        <v>3.0100999999999999E-2</v>
      </c>
      <c r="D7407" s="7">
        <v>2.9449999999999997E-2</v>
      </c>
      <c r="E7407" s="7">
        <v>3.0329999999999999E-2</v>
      </c>
      <c r="F7407" s="7">
        <v>2.9449999999999997E-2</v>
      </c>
      <c r="G7407" s="7">
        <v>2.3E-2</v>
      </c>
    </row>
    <row r="7408" spans="2:7" x14ac:dyDescent="0.2">
      <c r="B7408" s="60">
        <v>46122</v>
      </c>
      <c r="C7408" s="7">
        <v>3.0480999999999998E-2</v>
      </c>
      <c r="D7408" s="7">
        <v>3.0169999999999999E-2</v>
      </c>
      <c r="E7408" s="7">
        <v>3.0539999999999998E-2</v>
      </c>
      <c r="F7408" s="7">
        <v>3.007E-2</v>
      </c>
      <c r="G7408" s="7">
        <v>1.26E-2</v>
      </c>
    </row>
    <row r="7409" spans="2:7" x14ac:dyDescent="0.2">
      <c r="B7409" s="60">
        <v>46125</v>
      </c>
      <c r="C7409" s="7">
        <v>3.0901999999999999E-2</v>
      </c>
      <c r="D7409" s="7">
        <v>3.0800000000000001E-2</v>
      </c>
      <c r="E7409" s="7">
        <v>3.0979999999999997E-2</v>
      </c>
      <c r="F7409" s="7">
        <v>3.0529999999999998E-2</v>
      </c>
      <c r="G7409" s="7">
        <v>1.38E-2</v>
      </c>
    </row>
    <row r="7410" spans="2:7" x14ac:dyDescent="0.2">
      <c r="B7410" s="60">
        <v>46126</v>
      </c>
      <c r="C7410" s="7">
        <v>3.0297000000000001E-2</v>
      </c>
      <c r="D7410" s="7">
        <v>3.0679999999999999E-2</v>
      </c>
      <c r="E7410" s="7">
        <v>3.0759999999999999E-2</v>
      </c>
      <c r="F7410" s="7">
        <v>3.0270000000000002E-2</v>
      </c>
      <c r="G7410" s="7">
        <v>-1.9599999999999999E-2</v>
      </c>
    </row>
    <row r="7411" spans="2:7" x14ac:dyDescent="0.2">
      <c r="B7411" s="60">
        <v>46127</v>
      </c>
      <c r="C7411" s="7">
        <v>3.0474000000000001E-2</v>
      </c>
      <c r="D7411" s="7">
        <v>3.0139999999999997E-2</v>
      </c>
      <c r="E7411" s="7">
        <v>3.0499999999999999E-2</v>
      </c>
      <c r="F7411" s="7">
        <v>2.9980000000000003E-2</v>
      </c>
      <c r="G7411" s="7">
        <v>5.7999999999999996E-3</v>
      </c>
    </row>
    <row r="7412" spans="2:7" x14ac:dyDescent="0.2">
      <c r="B7412" s="60">
        <v>46128</v>
      </c>
      <c r="C7412" s="7">
        <v>3.0318999999999999E-2</v>
      </c>
      <c r="D7412" s="7">
        <v>3.0360000000000002E-2</v>
      </c>
      <c r="E7412" s="7">
        <v>3.0360000000000002E-2</v>
      </c>
      <c r="F7412" s="7">
        <v>2.997E-2</v>
      </c>
      <c r="G7412" s="7">
        <v>-5.1000000000000004E-3</v>
      </c>
    </row>
    <row r="7413" spans="2:7" x14ac:dyDescent="0.2">
      <c r="B7413" s="60">
        <v>46129</v>
      </c>
      <c r="C7413" s="7">
        <v>2.9651E-2</v>
      </c>
      <c r="D7413" s="7">
        <v>3.0430000000000002E-2</v>
      </c>
      <c r="E7413" s="7">
        <v>3.056E-2</v>
      </c>
      <c r="F7413" s="7">
        <v>2.947E-2</v>
      </c>
      <c r="G7413" s="7">
        <v>-2.1999999999999999E-2</v>
      </c>
    </row>
    <row r="7414" spans="2:7" x14ac:dyDescent="0.2">
      <c r="B7414" s="60">
        <v>46132</v>
      </c>
      <c r="C7414" s="7">
        <v>2.9765E-2</v>
      </c>
      <c r="D7414" s="7">
        <v>2.963E-2</v>
      </c>
      <c r="E7414" s="7">
        <v>3.0059999999999996E-2</v>
      </c>
      <c r="F7414" s="7">
        <v>2.962E-2</v>
      </c>
      <c r="G7414" s="7">
        <v>3.8E-3</v>
      </c>
    </row>
    <row r="7415" spans="2:7" x14ac:dyDescent="0.2">
      <c r="B7415" s="60">
        <v>46133</v>
      </c>
      <c r="C7415" s="7">
        <v>3.0108000000000003E-2</v>
      </c>
      <c r="D7415" s="7">
        <v>2.971E-2</v>
      </c>
      <c r="E7415" s="7">
        <v>3.0130000000000001E-2</v>
      </c>
      <c r="F7415" s="7">
        <v>2.9609999999999997E-2</v>
      </c>
      <c r="G7415" s="7">
        <v>1.15E-2</v>
      </c>
    </row>
    <row r="7416" spans="2:7" x14ac:dyDescent="0.2">
      <c r="B7416" s="60">
        <v>46134</v>
      </c>
      <c r="C7416" s="7">
        <v>3.0005E-2</v>
      </c>
      <c r="D7416" s="7">
        <v>3.0030000000000001E-2</v>
      </c>
      <c r="E7416" s="7">
        <v>3.0179999999999998E-2</v>
      </c>
      <c r="F7416" s="7">
        <v>2.988E-2</v>
      </c>
      <c r="G7416" s="7">
        <v>-3.3999999999999998E-3</v>
      </c>
    </row>
    <row r="7417" spans="2:7" x14ac:dyDescent="0.2">
      <c r="B7417" s="60">
        <v>46135</v>
      </c>
      <c r="C7417" s="7">
        <v>3.0041999999999999E-2</v>
      </c>
      <c r="D7417" s="7">
        <v>3.0110000000000001E-2</v>
      </c>
      <c r="E7417" s="7">
        <v>3.048E-2</v>
      </c>
      <c r="F7417" s="7">
        <v>0.03</v>
      </c>
      <c r="G7417" s="7">
        <v>1.1999999999999999E-3</v>
      </c>
    </row>
    <row r="7418" spans="2:7" x14ac:dyDescent="0.2">
      <c r="B7418" s="60">
        <v>46136</v>
      </c>
      <c r="C7418" s="7">
        <v>3.0068000000000001E-2</v>
      </c>
      <c r="D7418" s="7">
        <v>3.0120000000000001E-2</v>
      </c>
      <c r="E7418" s="7">
        <v>3.0449999999999998E-2</v>
      </c>
      <c r="F7418" s="7">
        <v>2.9980000000000003E-2</v>
      </c>
      <c r="G7418" s="7">
        <v>8.9999999999999998E-4</v>
      </c>
    </row>
    <row r="7419" spans="2:7" x14ac:dyDescent="0.2">
      <c r="B7419" s="60">
        <v>46139</v>
      </c>
      <c r="C7419" s="7">
        <v>3.0360000000000002E-2</v>
      </c>
      <c r="D7419" s="7">
        <v>2.9960000000000001E-2</v>
      </c>
      <c r="E7419" s="7">
        <v>3.04E-2</v>
      </c>
      <c r="F7419" s="7">
        <v>2.9950000000000001E-2</v>
      </c>
      <c r="G7419" s="7">
        <v>9.7000000000000003E-3</v>
      </c>
    </row>
    <row r="7420" spans="2:7" x14ac:dyDescent="0.2">
      <c r="B7420" s="60">
        <v>46140</v>
      </c>
      <c r="C7420" s="7">
        <v>3.0613000000000001E-2</v>
      </c>
      <c r="D7420" s="7">
        <v>3.0520000000000002E-2</v>
      </c>
      <c r="E7420" s="7">
        <v>3.0859999999999999E-2</v>
      </c>
      <c r="F7420" s="7">
        <v>3.049E-2</v>
      </c>
      <c r="G7420" s="7">
        <v>8.3000000000000001E-3</v>
      </c>
    </row>
    <row r="7421" spans="2:7" x14ac:dyDescent="0.2">
      <c r="B7421" s="60">
        <v>46141</v>
      </c>
      <c r="C7421" s="7">
        <v>3.0964000000000002E-2</v>
      </c>
      <c r="D7421" s="7">
        <v>3.0679999999999999E-2</v>
      </c>
      <c r="E7421" s="7">
        <v>3.1E-2</v>
      </c>
      <c r="F7421" s="7">
        <v>3.058E-2</v>
      </c>
      <c r="G7421" s="7">
        <v>1.15E-2</v>
      </c>
    </row>
    <row r="7422" spans="2:7" x14ac:dyDescent="0.2">
      <c r="B7422" s="60">
        <v>46142</v>
      </c>
      <c r="C7422" s="7">
        <v>3.0297000000000001E-2</v>
      </c>
      <c r="D7422" s="7">
        <v>3.1110000000000002E-2</v>
      </c>
      <c r="E7422" s="7">
        <v>3.1329999999999997E-2</v>
      </c>
      <c r="F7422" s="7">
        <v>3.024E-2</v>
      </c>
      <c r="G7422" s="7">
        <v>-2.1499999999999998E-2</v>
      </c>
    </row>
    <row r="7423" spans="2:7" x14ac:dyDescent="0.2">
      <c r="B7423" s="60">
        <v>46143</v>
      </c>
      <c r="C7423" s="7">
        <v>3.0341999999999997E-2</v>
      </c>
      <c r="D7423" s="7">
        <v>3.0310999999999998E-2</v>
      </c>
      <c r="E7423" s="7">
        <v>3.0341999999999997E-2</v>
      </c>
      <c r="F7423" s="7">
        <v>3.0310999999999998E-2</v>
      </c>
      <c r="G7423" s="7">
        <v>1.5E-3</v>
      </c>
    </row>
    <row r="7424" spans="2:7" x14ac:dyDescent="0.2">
      <c r="B7424" s="60">
        <v>46146</v>
      </c>
      <c r="C7424" s="7">
        <v>3.0828000000000001E-2</v>
      </c>
      <c r="D7424" s="7">
        <v>3.031E-2</v>
      </c>
      <c r="E7424" s="7">
        <v>3.0870000000000002E-2</v>
      </c>
      <c r="F7424" s="7">
        <v>3.0280000000000001E-2</v>
      </c>
      <c r="G7424" s="7">
        <v>1.6E-2</v>
      </c>
    </row>
    <row r="7425" spans="2:7" x14ac:dyDescent="0.2">
      <c r="B7425" s="60">
        <v>46147</v>
      </c>
      <c r="C7425" s="7">
        <v>3.0662999999999999E-2</v>
      </c>
      <c r="D7425" s="7">
        <v>3.074E-2</v>
      </c>
      <c r="E7425" s="7">
        <v>3.0939999999999999E-2</v>
      </c>
      <c r="F7425" s="7">
        <v>3.0600000000000002E-2</v>
      </c>
      <c r="G7425" s="7">
        <v>-5.4000000000000003E-3</v>
      </c>
    </row>
    <row r="7426" spans="2:7" x14ac:dyDescent="0.2">
      <c r="B7426" s="60">
        <v>46148</v>
      </c>
      <c r="C7426" s="7">
        <v>2.9943000000000001E-2</v>
      </c>
      <c r="D7426" s="7">
        <v>3.0369999999999998E-2</v>
      </c>
      <c r="E7426" s="7">
        <v>3.041E-2</v>
      </c>
      <c r="F7426" s="7">
        <v>2.9649999999999999E-2</v>
      </c>
      <c r="G7426" s="7">
        <v>-2.35E-2</v>
      </c>
    </row>
    <row r="7427" spans="2:7" x14ac:dyDescent="0.2">
      <c r="B7427" s="60">
        <v>46149</v>
      </c>
      <c r="C7427" s="7">
        <v>2.9971999999999999E-2</v>
      </c>
      <c r="D7427" s="7">
        <v>2.9990000000000003E-2</v>
      </c>
      <c r="E7427" s="7">
        <v>0.03</v>
      </c>
      <c r="F7427" s="7">
        <v>2.9569999999999999E-2</v>
      </c>
      <c r="G7427" s="7">
        <v>1E-3</v>
      </c>
    </row>
    <row r="7428" spans="2:7" x14ac:dyDescent="0.2">
      <c r="B7428" s="60">
        <v>46150</v>
      </c>
      <c r="C7428" s="7">
        <v>3.0047000000000001E-2</v>
      </c>
      <c r="D7428" s="7">
        <v>3.0130000000000001E-2</v>
      </c>
      <c r="E7428" s="7">
        <v>3.0210000000000001E-2</v>
      </c>
      <c r="F7428" s="7">
        <v>2.9910000000000003E-2</v>
      </c>
      <c r="G7428" s="7">
        <v>2.5000000000000001E-3</v>
      </c>
    </row>
    <row r="7429" spans="2:7" x14ac:dyDescent="0.2">
      <c r="B7429" s="60">
        <v>46153</v>
      </c>
      <c r="C7429" s="7">
        <v>3.0432999999999998E-2</v>
      </c>
      <c r="D7429" s="7">
        <v>3.0059999999999996E-2</v>
      </c>
      <c r="E7429" s="7">
        <v>3.0470000000000001E-2</v>
      </c>
      <c r="F7429" s="7">
        <v>3.0059999999999996E-2</v>
      </c>
      <c r="G7429" s="7">
        <v>1.2800000000000001E-2</v>
      </c>
    </row>
    <row r="7430" spans="2:7" x14ac:dyDescent="0.2">
      <c r="B7430" s="60">
        <v>46154</v>
      </c>
      <c r="C7430" s="7">
        <v>3.0966E-2</v>
      </c>
      <c r="D7430" s="7">
        <v>3.0419999999999999E-2</v>
      </c>
      <c r="E7430" s="7">
        <v>3.1050000000000001E-2</v>
      </c>
      <c r="F7430" s="7">
        <v>3.041E-2</v>
      </c>
      <c r="G7430" s="7">
        <v>1.7500000000000002E-2</v>
      </c>
    </row>
    <row r="7431" spans="2:7" x14ac:dyDescent="0.2">
      <c r="B7431" s="60">
        <v>46155</v>
      </c>
      <c r="C7431" s="7">
        <v>3.1098000000000001E-2</v>
      </c>
      <c r="D7431" s="7">
        <v>3.1030000000000002E-2</v>
      </c>
      <c r="E7431" s="7">
        <v>3.116E-2</v>
      </c>
      <c r="F7431" s="7">
        <v>3.0890000000000001E-2</v>
      </c>
      <c r="G7431" s="7">
        <v>4.3E-3</v>
      </c>
    </row>
    <row r="7432" spans="2:7" x14ac:dyDescent="0.2">
      <c r="B7432" s="60">
        <v>46156</v>
      </c>
      <c r="C7432" s="7">
        <v>3.0484000000000001E-2</v>
      </c>
      <c r="D7432" s="7">
        <v>3.092E-2</v>
      </c>
      <c r="E7432" s="7">
        <v>3.0950000000000002E-2</v>
      </c>
      <c r="F7432" s="7">
        <v>3.0449999999999998E-2</v>
      </c>
      <c r="G7432" s="7">
        <v>-1.9699999999999999E-2</v>
      </c>
    </row>
    <row r="7433" spans="2:7" x14ac:dyDescent="0.2">
      <c r="B7433" s="60">
        <v>46157</v>
      </c>
      <c r="C7433" s="7">
        <v>3.1535000000000001E-2</v>
      </c>
      <c r="D7433" s="7">
        <v>3.1050000000000001E-2</v>
      </c>
      <c r="E7433" s="7">
        <v>3.1570000000000001E-2</v>
      </c>
      <c r="F7433" s="7">
        <v>3.0880000000000001E-2</v>
      </c>
      <c r="G7433" s="7">
        <v>3.4500000000000003E-2</v>
      </c>
    </row>
    <row r="7434" spans="2:7" x14ac:dyDescent="0.2">
      <c r="B7434" s="60">
        <v>46160</v>
      </c>
      <c r="C7434" s="7">
        <v>3.1614000000000003E-2</v>
      </c>
      <c r="D7434" s="7">
        <v>3.1760000000000004E-2</v>
      </c>
      <c r="E7434" s="7">
        <v>3.193E-2</v>
      </c>
      <c r="F7434" s="7">
        <v>3.125E-2</v>
      </c>
      <c r="G7434" s="7">
        <v>2.5000000000000001E-3</v>
      </c>
    </row>
    <row r="7435" spans="2:7" x14ac:dyDescent="0.2">
      <c r="B7435" s="60">
        <v>46161</v>
      </c>
      <c r="C7435" s="7">
        <v>3.1884999999999997E-2</v>
      </c>
      <c r="D7435" s="7">
        <v>3.1539999999999999E-2</v>
      </c>
      <c r="E7435" s="7">
        <v>3.2000000000000001E-2</v>
      </c>
      <c r="F7435" s="7">
        <v>3.1390000000000001E-2</v>
      </c>
      <c r="G7435" s="7">
        <v>8.6E-3</v>
      </c>
    </row>
    <row r="7436" spans="2:7" x14ac:dyDescent="0.2">
      <c r="B7436" s="60">
        <v>46162</v>
      </c>
      <c r="C7436" s="7">
        <v>3.0945E-2</v>
      </c>
      <c r="D7436" s="7">
        <v>3.1809999999999998E-2</v>
      </c>
      <c r="E7436" s="7">
        <v>3.1850000000000003E-2</v>
      </c>
      <c r="F7436" s="7">
        <v>3.073E-2</v>
      </c>
      <c r="G7436" s="7">
        <v>-2.9499999999999998E-2</v>
      </c>
    </row>
    <row r="7437" spans="2:7" x14ac:dyDescent="0.2">
      <c r="B7437" s="60">
        <v>46163</v>
      </c>
      <c r="C7437" s="7">
        <v>3.1011999999999998E-2</v>
      </c>
      <c r="D7437" s="7">
        <v>3.0990000000000004E-2</v>
      </c>
      <c r="E7437" s="7">
        <v>3.1179999999999999E-2</v>
      </c>
      <c r="F7437" s="7">
        <v>3.0710000000000001E-2</v>
      </c>
      <c r="G7437" s="7">
        <v>2.2000000000000001E-3</v>
      </c>
    </row>
    <row r="7438" spans="2:7" x14ac:dyDescent="0.2">
      <c r="B7438" s="60">
        <v>46164</v>
      </c>
      <c r="C7438" s="7">
        <v>3.0337999999999997E-2</v>
      </c>
      <c r="D7438" s="7">
        <v>3.066E-2</v>
      </c>
      <c r="E7438" s="7">
        <v>3.0790000000000001E-2</v>
      </c>
      <c r="F7438" s="7">
        <v>3.0219999999999997E-2</v>
      </c>
      <c r="G7438" s="7">
        <v>-2.1700000000000001E-2</v>
      </c>
    </row>
    <row r="7439" spans="2:7" x14ac:dyDescent="0.2">
      <c r="B7439" s="60">
        <v>46167</v>
      </c>
      <c r="C7439" s="7">
        <v>2.9489000000000001E-2</v>
      </c>
      <c r="D7439" s="7">
        <v>2.9860000000000001E-2</v>
      </c>
      <c r="E7439" s="7">
        <v>2.9929999999999998E-2</v>
      </c>
      <c r="F7439" s="7">
        <v>2.9300000000000003E-2</v>
      </c>
      <c r="G7439" s="7">
        <v>-2.8000000000000001E-2</v>
      </c>
    </row>
    <row r="7440" spans="2:7" x14ac:dyDescent="0.2">
      <c r="B7440" s="60">
        <v>46168</v>
      </c>
      <c r="C7440" s="7">
        <v>2.9836000000000001E-2</v>
      </c>
      <c r="D7440" s="7">
        <v>2.947E-2</v>
      </c>
      <c r="E7440" s="7">
        <v>2.9860000000000001E-2</v>
      </c>
      <c r="F7440" s="7">
        <v>2.946E-2</v>
      </c>
      <c r="G7440" s="7">
        <v>1.18E-2</v>
      </c>
    </row>
    <row r="7441" spans="2:7" x14ac:dyDescent="0.2">
      <c r="B7441" s="60">
        <v>46169</v>
      </c>
      <c r="C7441" s="7">
        <v>2.9843000000000001E-2</v>
      </c>
      <c r="D7441" s="7">
        <v>2.981E-2</v>
      </c>
      <c r="E7441" s="7">
        <v>2.989E-2</v>
      </c>
      <c r="F7441" s="7">
        <v>2.9510000000000002E-2</v>
      </c>
      <c r="G7441" s="7">
        <v>2.0000000000000001E-4</v>
      </c>
    </row>
    <row r="7442" spans="2:7" x14ac:dyDescent="0.2">
      <c r="B7442" s="60">
        <v>46170</v>
      </c>
      <c r="C7442" s="7">
        <v>2.9596000000000001E-2</v>
      </c>
      <c r="D7442" s="7">
        <v>2.9860000000000001E-2</v>
      </c>
      <c r="E7442" s="7">
        <v>3.0130000000000001E-2</v>
      </c>
      <c r="F7442" s="7">
        <v>2.9449999999999997E-2</v>
      </c>
      <c r="G7442" s="7">
        <v>-8.3000000000000001E-3</v>
      </c>
    </row>
    <row r="7443" spans="2:7" x14ac:dyDescent="0.2">
      <c r="B7443" s="60">
        <v>46171</v>
      </c>
      <c r="C7443" s="7">
        <v>2.9328E-2</v>
      </c>
      <c r="D7443" s="7">
        <v>2.9590000000000002E-2</v>
      </c>
      <c r="E7443" s="7">
        <v>2.9750000000000002E-2</v>
      </c>
      <c r="F7443" s="7">
        <v>2.9260000000000001E-2</v>
      </c>
      <c r="G7443" s="7">
        <v>-9.1000000000000004E-3</v>
      </c>
    </row>
    <row r="7444" spans="2:7" x14ac:dyDescent="0.2">
      <c r="B7444" s="60">
        <v>46174</v>
      </c>
      <c r="C7444" s="7">
        <v>3.0130000000000001E-2</v>
      </c>
      <c r="D7444" s="7">
        <v>2.9740000000000003E-2</v>
      </c>
      <c r="E7444" s="7">
        <v>3.0219999999999997E-2</v>
      </c>
      <c r="F7444" s="7">
        <v>2.9700000000000001E-2</v>
      </c>
      <c r="G7444" s="7">
        <v>2.7300000000000001E-2</v>
      </c>
    </row>
    <row r="7445" spans="2:7" x14ac:dyDescent="0.2">
      <c r="B7445" s="60">
        <v>46175</v>
      </c>
      <c r="C7445" s="7">
        <v>2.9744000000000003E-2</v>
      </c>
      <c r="D7445" s="7">
        <v>3.0040000000000001E-2</v>
      </c>
      <c r="E7445" s="7">
        <v>3.0040000000000001E-2</v>
      </c>
      <c r="F7445" s="7">
        <v>2.947E-2</v>
      </c>
      <c r="G7445" s="7">
        <v>-1.2800000000000001E-2</v>
      </c>
    </row>
    <row r="7446" spans="2:7" x14ac:dyDescent="0.2">
      <c r="B7446" s="60">
        <v>46176</v>
      </c>
      <c r="C7446" s="7">
        <v>3.0367000000000002E-2</v>
      </c>
      <c r="D7446" s="7">
        <v>2.9769999999999998E-2</v>
      </c>
      <c r="E7446" s="7">
        <v>3.0419999999999999E-2</v>
      </c>
      <c r="F7446" s="7">
        <v>2.9759999999999998E-2</v>
      </c>
      <c r="G7446" s="7">
        <v>2.0899999999999998E-2</v>
      </c>
    </row>
    <row r="7447" spans="2:7" x14ac:dyDescent="0.2">
      <c r="B7447" s="60">
        <v>46177</v>
      </c>
      <c r="C7447" s="7">
        <v>3.0237E-2</v>
      </c>
      <c r="D7447" s="7">
        <v>3.0350000000000002E-2</v>
      </c>
      <c r="E7447" s="7">
        <v>3.0419999999999999E-2</v>
      </c>
      <c r="F7447" s="7">
        <v>3.007E-2</v>
      </c>
      <c r="G7447" s="7">
        <v>-4.3E-3</v>
      </c>
    </row>
    <row r="7448" spans="2:7" x14ac:dyDescent="0.2">
      <c r="B7448" s="60">
        <v>46178</v>
      </c>
      <c r="C7448" s="7">
        <v>3.0376E-2</v>
      </c>
      <c r="D7448" s="7">
        <v>3.023E-2</v>
      </c>
      <c r="E7448" s="7">
        <v>3.0520000000000002E-2</v>
      </c>
      <c r="F7448" s="7">
        <v>3.0169999999999999E-2</v>
      </c>
      <c r="G7448" s="7">
        <v>4.5999999999999999E-3</v>
      </c>
    </row>
  </sheetData>
  <mergeCells count="5">
    <mergeCell ref="I35:J35"/>
    <mergeCell ref="P3:S3"/>
    <mergeCell ref="P4:R4"/>
    <mergeCell ref="P5:R5"/>
    <mergeCell ref="P6:R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6E76-EF12-EB45-86B1-28A8250CE1E6}">
  <dimension ref="B2:I327"/>
  <sheetViews>
    <sheetView showGridLines="0" zoomScale="160" zoomScaleNormal="125" workbookViewId="0">
      <selection activeCell="G20" sqref="G20"/>
    </sheetView>
  </sheetViews>
  <sheetFormatPr baseColWidth="10" defaultRowHeight="15" x14ac:dyDescent="0.2"/>
  <cols>
    <col min="1" max="1" width="2.33203125" customWidth="1"/>
    <col min="3" max="3" width="28.6640625" bestFit="1" customWidth="1"/>
    <col min="5" max="5" width="11.33203125" bestFit="1" customWidth="1"/>
    <col min="6" max="6" width="7.33203125" bestFit="1" customWidth="1"/>
  </cols>
  <sheetData>
    <row r="2" spans="2:9" x14ac:dyDescent="0.2">
      <c r="B2" s="6" t="s">
        <v>6</v>
      </c>
      <c r="C2" s="6" t="s">
        <v>56</v>
      </c>
    </row>
    <row r="3" spans="2:9" x14ac:dyDescent="0.2">
      <c r="B3" s="8">
        <v>36237</v>
      </c>
      <c r="C3" s="7">
        <v>4.3479999999999998E-2</v>
      </c>
    </row>
    <row r="4" spans="2:9" x14ac:dyDescent="0.2">
      <c r="B4" s="8">
        <v>36265</v>
      </c>
      <c r="C4" s="7">
        <v>4.0650000000000006E-2</v>
      </c>
    </row>
    <row r="5" spans="2:9" x14ac:dyDescent="0.2">
      <c r="B5" s="8">
        <v>36300</v>
      </c>
      <c r="C5" s="7">
        <v>3.2160000000000001E-2</v>
      </c>
    </row>
    <row r="6" spans="2:9" x14ac:dyDescent="0.2">
      <c r="B6" s="8">
        <v>36328</v>
      </c>
      <c r="C6" s="7">
        <v>2.7229999999999997E-2</v>
      </c>
    </row>
    <row r="7" spans="2:9" x14ac:dyDescent="0.2">
      <c r="B7" s="8">
        <v>36356</v>
      </c>
      <c r="C7" s="7">
        <v>2.1099999999999997E-2</v>
      </c>
    </row>
    <row r="8" spans="2:9" x14ac:dyDescent="0.2">
      <c r="B8" s="8">
        <v>36391</v>
      </c>
      <c r="C8" s="7">
        <v>2.3010000000000003E-2</v>
      </c>
      <c r="E8" t="s">
        <v>21</v>
      </c>
      <c r="F8" s="49" t="s">
        <v>177</v>
      </c>
    </row>
    <row r="9" spans="2:9" x14ac:dyDescent="0.2">
      <c r="B9" s="8">
        <v>36419</v>
      </c>
      <c r="C9" s="7">
        <v>1.9779999999999999E-2</v>
      </c>
    </row>
    <row r="10" spans="2:9" x14ac:dyDescent="0.2">
      <c r="B10" s="8">
        <v>36447</v>
      </c>
      <c r="C10" s="7">
        <v>1.9779999999999999E-2</v>
      </c>
      <c r="E10" s="9" t="s">
        <v>57</v>
      </c>
      <c r="F10" s="9" t="s">
        <v>11</v>
      </c>
      <c r="G10" s="11">
        <f>AVERAGE(C75:C327)</f>
        <v>6.7305601333747925E-2</v>
      </c>
    </row>
    <row r="11" spans="2:9" x14ac:dyDescent="0.2">
      <c r="B11" s="8">
        <v>36482</v>
      </c>
      <c r="C11" s="7">
        <v>1.8249999999999999E-2</v>
      </c>
      <c r="I11" t="s">
        <v>197</v>
      </c>
    </row>
    <row r="12" spans="2:9" x14ac:dyDescent="0.2">
      <c r="B12" s="8">
        <v>36510</v>
      </c>
      <c r="C12" s="7">
        <v>1.5529999999999999E-2</v>
      </c>
      <c r="E12" s="9" t="s">
        <v>57</v>
      </c>
      <c r="F12" s="9" t="s">
        <v>18</v>
      </c>
      <c r="G12" s="11">
        <f>AVERAGE(C148:C327)</f>
        <v>7.1386817430212302E-2</v>
      </c>
    </row>
    <row r="13" spans="2:9" x14ac:dyDescent="0.2">
      <c r="B13" s="8">
        <v>36545</v>
      </c>
      <c r="C13" s="7">
        <v>9.5180000000000004E-3</v>
      </c>
    </row>
    <row r="14" spans="2:9" x14ac:dyDescent="0.2">
      <c r="B14" s="8">
        <v>36573</v>
      </c>
      <c r="C14" s="7">
        <v>8.9300000000000004E-3</v>
      </c>
      <c r="E14" s="9" t="s">
        <v>57</v>
      </c>
      <c r="F14" s="9" t="s">
        <v>19</v>
      </c>
      <c r="G14" s="11">
        <f>AVERAGE(C208:C327)</f>
        <v>7.0260809478651792E-2</v>
      </c>
    </row>
    <row r="15" spans="2:9" x14ac:dyDescent="0.2">
      <c r="B15" s="8">
        <v>36601</v>
      </c>
      <c r="C15" s="7">
        <v>9.7050000000000001E-3</v>
      </c>
    </row>
    <row r="16" spans="2:9" x14ac:dyDescent="0.2">
      <c r="B16" s="8">
        <v>36636</v>
      </c>
      <c r="C16" s="7">
        <v>1.2279999999999999E-2</v>
      </c>
      <c r="E16" s="9" t="s">
        <v>57</v>
      </c>
      <c r="F16" s="9" t="s">
        <v>12</v>
      </c>
      <c r="G16" s="11">
        <f>AVERAGE(C243:C327)</f>
        <v>6.9163495734567274E-2</v>
      </c>
    </row>
    <row r="17" spans="2:7" x14ac:dyDescent="0.2">
      <c r="B17" s="8">
        <v>36664</v>
      </c>
      <c r="C17" s="7">
        <v>1.091E-2</v>
      </c>
    </row>
    <row r="18" spans="2:7" x14ac:dyDescent="0.2">
      <c r="B18" s="8">
        <v>36692</v>
      </c>
      <c r="C18" s="7">
        <v>1.2150000000000001E-2</v>
      </c>
      <c r="E18" s="9" t="s">
        <v>57</v>
      </c>
      <c r="F18" s="9" t="s">
        <v>13</v>
      </c>
      <c r="G18" s="11">
        <f>AVERAGE(C267:C327)</f>
        <v>6.4957330121937953E-2</v>
      </c>
    </row>
    <row r="19" spans="2:7" x14ac:dyDescent="0.2">
      <c r="B19" s="8">
        <v>36727</v>
      </c>
      <c r="C19" s="7">
        <v>1.157E-2</v>
      </c>
    </row>
    <row r="20" spans="2:7" x14ac:dyDescent="0.2">
      <c r="B20" s="8">
        <v>36755</v>
      </c>
      <c r="C20" s="7">
        <v>1.363E-2</v>
      </c>
      <c r="E20" s="9" t="s">
        <v>57</v>
      </c>
      <c r="F20" s="9" t="s">
        <v>14</v>
      </c>
      <c r="G20" s="11">
        <f>C327</f>
        <v>5.4153610416551201E-2</v>
      </c>
    </row>
    <row r="21" spans="2:7" x14ac:dyDescent="0.2">
      <c r="B21" s="8">
        <v>36783</v>
      </c>
      <c r="C21" s="7">
        <v>1.406E-2</v>
      </c>
    </row>
    <row r="22" spans="2:7" x14ac:dyDescent="0.2">
      <c r="B22" s="8">
        <v>36818</v>
      </c>
      <c r="C22" s="7">
        <v>1.66E-2</v>
      </c>
    </row>
    <row r="23" spans="2:7" x14ac:dyDescent="0.2">
      <c r="B23" s="8">
        <v>36846</v>
      </c>
      <c r="C23" s="7">
        <v>1.5769999999999999E-2</v>
      </c>
    </row>
    <row r="24" spans="2:7" x14ac:dyDescent="0.2">
      <c r="B24" s="8">
        <v>36874</v>
      </c>
      <c r="C24" s="7">
        <v>1.6399999999999998E-2</v>
      </c>
    </row>
    <row r="25" spans="2:7" x14ac:dyDescent="0.2">
      <c r="B25" s="8">
        <v>36909</v>
      </c>
      <c r="C25" s="7">
        <v>1.8189999999999998E-2</v>
      </c>
    </row>
    <row r="26" spans="2:7" x14ac:dyDescent="0.2">
      <c r="B26" s="8">
        <v>36937</v>
      </c>
      <c r="C26" s="7">
        <v>1.5780000000000002E-2</v>
      </c>
    </row>
    <row r="27" spans="2:7" x14ac:dyDescent="0.2">
      <c r="B27" s="8">
        <v>36965</v>
      </c>
      <c r="C27" s="7">
        <v>2.257E-2</v>
      </c>
    </row>
    <row r="28" spans="2:7" x14ac:dyDescent="0.2">
      <c r="B28" s="8">
        <v>37000</v>
      </c>
      <c r="C28" s="7">
        <v>2.9020000000000001E-2</v>
      </c>
    </row>
    <row r="29" spans="2:7" x14ac:dyDescent="0.2">
      <c r="B29" s="8">
        <v>37028</v>
      </c>
      <c r="C29" s="7">
        <v>2.7869999999999999E-2</v>
      </c>
    </row>
    <row r="30" spans="2:7" x14ac:dyDescent="0.2">
      <c r="B30" s="8">
        <v>37056</v>
      </c>
      <c r="C30" s="7">
        <v>2.8130000000000002E-2</v>
      </c>
    </row>
    <row r="31" spans="2:7" x14ac:dyDescent="0.2">
      <c r="B31" s="8">
        <v>37091</v>
      </c>
      <c r="C31" s="7">
        <v>3.0089999999999999E-2</v>
      </c>
    </row>
    <row r="32" spans="2:7" x14ac:dyDescent="0.2">
      <c r="B32" s="8">
        <v>37119</v>
      </c>
      <c r="C32" s="7">
        <v>3.0130000000000001E-2</v>
      </c>
    </row>
    <row r="33" spans="2:3" x14ac:dyDescent="0.2">
      <c r="B33" s="8">
        <v>37154</v>
      </c>
      <c r="C33" s="7">
        <v>4.487E-2</v>
      </c>
    </row>
    <row r="34" spans="2:3" x14ac:dyDescent="0.2">
      <c r="B34" s="8">
        <v>37182</v>
      </c>
      <c r="C34" s="7">
        <v>3.5799999999999998E-2</v>
      </c>
    </row>
    <row r="35" spans="2:3" x14ac:dyDescent="0.2">
      <c r="B35" s="8">
        <v>37210</v>
      </c>
      <c r="C35" s="7">
        <v>3.0360000000000002E-2</v>
      </c>
    </row>
    <row r="36" spans="2:3" x14ac:dyDescent="0.2">
      <c r="B36" s="8">
        <v>37245</v>
      </c>
      <c r="C36" s="7">
        <v>2.8809999999999999E-2</v>
      </c>
    </row>
    <row r="37" spans="2:3" x14ac:dyDescent="0.2">
      <c r="B37" s="8">
        <v>37273</v>
      </c>
      <c r="C37" s="7">
        <v>2.7109999999999999E-2</v>
      </c>
    </row>
    <row r="38" spans="2:3" x14ac:dyDescent="0.2">
      <c r="B38" s="8">
        <v>37301</v>
      </c>
      <c r="C38" s="7">
        <v>2.6680000000000002E-2</v>
      </c>
    </row>
    <row r="39" spans="2:3" x14ac:dyDescent="0.2">
      <c r="B39" s="8">
        <v>37329</v>
      </c>
      <c r="C39" s="7">
        <v>2.0539999999999999E-2</v>
      </c>
    </row>
    <row r="40" spans="2:3" x14ac:dyDescent="0.2">
      <c r="B40" s="8">
        <v>37364</v>
      </c>
      <c r="C40" s="7">
        <v>2.1090000000000001E-2</v>
      </c>
    </row>
    <row r="41" spans="2:3" x14ac:dyDescent="0.2">
      <c r="B41" s="8">
        <v>37392</v>
      </c>
      <c r="C41" s="7">
        <v>2.2400000000000003E-2</v>
      </c>
    </row>
    <row r="42" spans="2:3" x14ac:dyDescent="0.2">
      <c r="B42" s="8">
        <v>37427</v>
      </c>
      <c r="C42" s="7">
        <v>2.9600000000000001E-2</v>
      </c>
    </row>
    <row r="43" spans="2:3" x14ac:dyDescent="0.2">
      <c r="B43" s="8">
        <v>37455</v>
      </c>
      <c r="C43" s="7">
        <v>3.4259999999999999E-2</v>
      </c>
    </row>
    <row r="44" spans="2:3" x14ac:dyDescent="0.2">
      <c r="B44" s="8">
        <v>37483</v>
      </c>
      <c r="C44" s="7">
        <v>3.8960000000000002E-2</v>
      </c>
    </row>
    <row r="45" spans="2:3" x14ac:dyDescent="0.2">
      <c r="B45" s="8">
        <v>37518</v>
      </c>
      <c r="C45" s="7">
        <v>4.5490000000000003E-2</v>
      </c>
    </row>
    <row r="46" spans="2:3" x14ac:dyDescent="0.2">
      <c r="B46" s="8">
        <v>37546</v>
      </c>
      <c r="C46" s="7">
        <v>4.5190000000000001E-2</v>
      </c>
    </row>
    <row r="47" spans="2:3" x14ac:dyDescent="0.2">
      <c r="B47" s="8">
        <v>37574</v>
      </c>
      <c r="C47" s="7">
        <v>4.444E-2</v>
      </c>
    </row>
    <row r="48" spans="2:3" x14ac:dyDescent="0.2">
      <c r="B48" s="8">
        <v>37609</v>
      </c>
      <c r="C48" s="7">
        <v>4.4089999999999997E-2</v>
      </c>
    </row>
    <row r="49" spans="2:3" x14ac:dyDescent="0.2">
      <c r="B49" s="8">
        <v>37637</v>
      </c>
      <c r="C49" s="7">
        <v>4.5060000000000003E-2</v>
      </c>
    </row>
    <row r="50" spans="2:3" x14ac:dyDescent="0.2">
      <c r="B50" s="8">
        <v>37672</v>
      </c>
      <c r="C50" s="7">
        <v>5.9709999999999999E-2</v>
      </c>
    </row>
    <row r="51" spans="2:3" x14ac:dyDescent="0.2">
      <c r="B51" s="8">
        <v>37700</v>
      </c>
      <c r="C51" s="7">
        <v>6.5320000000000003E-2</v>
      </c>
    </row>
    <row r="52" spans="2:3" x14ac:dyDescent="0.2">
      <c r="B52" s="8">
        <v>37728</v>
      </c>
      <c r="C52" s="7">
        <v>5.5810000000000005E-2</v>
      </c>
    </row>
    <row r="53" spans="2:3" x14ac:dyDescent="0.2">
      <c r="B53" s="8">
        <v>37756</v>
      </c>
      <c r="C53" s="7">
        <v>5.4640000000000001E-2</v>
      </c>
    </row>
    <row r="54" spans="2:3" x14ac:dyDescent="0.2">
      <c r="B54" s="8">
        <v>37791</v>
      </c>
      <c r="C54" s="7">
        <v>4.8440000000000004E-2</v>
      </c>
    </row>
    <row r="55" spans="2:3" x14ac:dyDescent="0.2">
      <c r="B55" s="8">
        <v>37819</v>
      </c>
      <c r="C55" s="7">
        <v>4.3060000000000001E-2</v>
      </c>
    </row>
    <row r="56" spans="2:3" x14ac:dyDescent="0.2">
      <c r="B56" s="8">
        <v>37847</v>
      </c>
      <c r="C56" s="7">
        <v>4.1130000000000007E-2</v>
      </c>
    </row>
    <row r="57" spans="2:3" x14ac:dyDescent="0.2">
      <c r="B57" s="8">
        <v>37882</v>
      </c>
      <c r="C57" s="7">
        <v>3.9079999999999997E-2</v>
      </c>
    </row>
    <row r="58" spans="2:3" x14ac:dyDescent="0.2">
      <c r="B58" s="8">
        <v>37910</v>
      </c>
      <c r="C58" s="7">
        <v>3.866E-2</v>
      </c>
    </row>
    <row r="59" spans="2:3" x14ac:dyDescent="0.2">
      <c r="B59" s="8">
        <v>37945</v>
      </c>
      <c r="C59" s="7">
        <v>3.7309999999999996E-2</v>
      </c>
    </row>
    <row r="60" spans="2:3" x14ac:dyDescent="0.2">
      <c r="B60" s="8">
        <v>37973</v>
      </c>
      <c r="C60" s="7">
        <v>3.5979999999999998E-2</v>
      </c>
    </row>
    <row r="61" spans="2:3" x14ac:dyDescent="0.2">
      <c r="B61" s="8">
        <v>38001</v>
      </c>
      <c r="C61" s="7">
        <v>3.499E-2</v>
      </c>
    </row>
    <row r="62" spans="2:3" x14ac:dyDescent="0.2">
      <c r="B62" s="8">
        <v>38036</v>
      </c>
      <c r="C62" s="7">
        <v>3.3520000000000001E-2</v>
      </c>
    </row>
    <row r="63" spans="2:3" x14ac:dyDescent="0.2">
      <c r="B63" s="8">
        <v>38064</v>
      </c>
      <c r="C63" s="7">
        <v>4.3270000000000003E-2</v>
      </c>
    </row>
    <row r="64" spans="2:3" x14ac:dyDescent="0.2">
      <c r="B64" s="8">
        <v>38092</v>
      </c>
      <c r="C64" s="7">
        <v>3.8879999999999998E-2</v>
      </c>
    </row>
    <row r="65" spans="2:3" x14ac:dyDescent="0.2">
      <c r="B65" s="8">
        <v>38127</v>
      </c>
      <c r="C65" s="7">
        <v>4.3589999999999997E-2</v>
      </c>
    </row>
    <row r="66" spans="2:3" x14ac:dyDescent="0.2">
      <c r="B66" s="8">
        <v>38155</v>
      </c>
      <c r="C66" s="7">
        <v>4.1820000000000003E-2</v>
      </c>
    </row>
    <row r="67" spans="2:3" x14ac:dyDescent="0.2">
      <c r="B67" s="8">
        <v>38183</v>
      </c>
      <c r="C67" s="7">
        <v>4.3810000000000002E-2</v>
      </c>
    </row>
    <row r="68" spans="2:3" x14ac:dyDescent="0.2">
      <c r="B68" s="8">
        <v>38218</v>
      </c>
      <c r="C68" s="7">
        <v>4.8570000000000002E-2</v>
      </c>
    </row>
    <row r="69" spans="2:3" x14ac:dyDescent="0.2">
      <c r="B69" s="8">
        <v>38246</v>
      </c>
      <c r="C69" s="7">
        <v>4.5229999999999999E-2</v>
      </c>
    </row>
    <row r="70" spans="2:3" x14ac:dyDescent="0.2">
      <c r="B70" s="8">
        <v>38274</v>
      </c>
      <c r="C70" s="7">
        <v>4.6479999999999994E-2</v>
      </c>
    </row>
    <row r="71" spans="2:3" x14ac:dyDescent="0.2">
      <c r="B71" s="8">
        <v>38309</v>
      </c>
      <c r="C71" s="7">
        <v>4.6029999999999995E-2</v>
      </c>
    </row>
    <row r="72" spans="2:3" x14ac:dyDescent="0.2">
      <c r="B72" s="8">
        <v>38337</v>
      </c>
      <c r="C72" s="7">
        <v>4.6969999999999998E-2</v>
      </c>
    </row>
    <row r="73" spans="2:3" x14ac:dyDescent="0.2">
      <c r="B73" s="8">
        <v>38372</v>
      </c>
      <c r="C73" s="7">
        <v>4.6310000000000004E-2</v>
      </c>
    </row>
    <row r="74" spans="2:3" x14ac:dyDescent="0.2">
      <c r="B74" s="8">
        <v>38400</v>
      </c>
      <c r="C74" s="7">
        <v>4.7869999999999996E-2</v>
      </c>
    </row>
    <row r="75" spans="2:3" x14ac:dyDescent="0.2">
      <c r="B75" s="8">
        <v>38428</v>
      </c>
      <c r="C75" s="7">
        <v>4.8219999999999999E-2</v>
      </c>
    </row>
    <row r="76" spans="2:3" x14ac:dyDescent="0.2">
      <c r="B76" s="8">
        <v>38456</v>
      </c>
      <c r="C76" s="7">
        <v>5.459E-2</v>
      </c>
    </row>
    <row r="77" spans="2:3" x14ac:dyDescent="0.2">
      <c r="B77" s="8">
        <v>38491</v>
      </c>
      <c r="C77" s="7">
        <v>6.046E-2</v>
      </c>
    </row>
    <row r="78" spans="2:3" x14ac:dyDescent="0.2">
      <c r="B78" s="8">
        <v>38519</v>
      </c>
      <c r="C78" s="7">
        <v>5.4489999999999997E-2</v>
      </c>
    </row>
    <row r="79" spans="2:3" x14ac:dyDescent="0.2">
      <c r="B79" s="8">
        <v>38547</v>
      </c>
      <c r="C79" s="7">
        <v>5.305E-2</v>
      </c>
    </row>
    <row r="80" spans="2:3" x14ac:dyDescent="0.2">
      <c r="B80" s="8">
        <v>38582</v>
      </c>
      <c r="C80" s="7">
        <v>5.2049999999999999E-2</v>
      </c>
    </row>
    <row r="81" spans="2:3" x14ac:dyDescent="0.2">
      <c r="B81" s="8">
        <v>38610</v>
      </c>
      <c r="C81" s="7">
        <v>5.2430000000000004E-2</v>
      </c>
    </row>
    <row r="82" spans="2:3" x14ac:dyDescent="0.2">
      <c r="B82" s="8">
        <v>38645</v>
      </c>
      <c r="C82" s="7">
        <v>5.1959999999999999E-2</v>
      </c>
    </row>
    <row r="83" spans="2:3" x14ac:dyDescent="0.2">
      <c r="B83" s="8">
        <v>38673</v>
      </c>
      <c r="C83" s="7">
        <v>4.9149999999999999E-2</v>
      </c>
    </row>
    <row r="84" spans="2:3" x14ac:dyDescent="0.2">
      <c r="B84" s="8">
        <v>38701</v>
      </c>
      <c r="C84" s="7">
        <v>4.8070000000000002E-2</v>
      </c>
    </row>
    <row r="85" spans="2:3" x14ac:dyDescent="0.2">
      <c r="B85" s="8">
        <v>38736</v>
      </c>
      <c r="C85" s="7">
        <v>4.6769999999999999E-2</v>
      </c>
    </row>
    <row r="86" spans="2:3" x14ac:dyDescent="0.2">
      <c r="B86" s="8">
        <v>38764</v>
      </c>
      <c r="C86" s="7">
        <v>4.3970000000000002E-2</v>
      </c>
    </row>
    <row r="87" spans="2:3" x14ac:dyDescent="0.2">
      <c r="B87" s="8">
        <v>38792</v>
      </c>
      <c r="C87" s="7">
        <v>4.24E-2</v>
      </c>
    </row>
    <row r="88" spans="2:3" x14ac:dyDescent="0.2">
      <c r="B88" s="8">
        <v>38827</v>
      </c>
      <c r="C88" s="7">
        <v>4.3390000000000005E-2</v>
      </c>
    </row>
    <row r="89" spans="2:3" x14ac:dyDescent="0.2">
      <c r="B89" s="8">
        <v>38855</v>
      </c>
      <c r="C89" s="7">
        <v>4.58E-2</v>
      </c>
    </row>
    <row r="90" spans="2:3" x14ac:dyDescent="0.2">
      <c r="B90" s="8">
        <v>38883</v>
      </c>
      <c r="C90" s="7">
        <v>5.3970000000000004E-2</v>
      </c>
    </row>
    <row r="91" spans="2:3" x14ac:dyDescent="0.2">
      <c r="B91" s="8">
        <v>38918</v>
      </c>
      <c r="C91" s="7">
        <v>5.2789999999999997E-2</v>
      </c>
    </row>
    <row r="92" spans="2:3" x14ac:dyDescent="0.2">
      <c r="B92" s="8">
        <v>38946</v>
      </c>
      <c r="C92" s="7">
        <v>4.8320000000000002E-2</v>
      </c>
    </row>
    <row r="93" spans="2:3" x14ac:dyDescent="0.2">
      <c r="B93" s="8">
        <v>38974</v>
      </c>
      <c r="C93" s="7">
        <v>4.7840000000000001E-2</v>
      </c>
    </row>
    <row r="94" spans="2:3" x14ac:dyDescent="0.2">
      <c r="B94" s="8">
        <v>39009</v>
      </c>
      <c r="C94" s="7">
        <v>4.5229999999999999E-2</v>
      </c>
    </row>
    <row r="95" spans="2:3" x14ac:dyDescent="0.2">
      <c r="B95" s="8">
        <v>39037</v>
      </c>
      <c r="C95" s="7">
        <v>4.4359999999999997E-2</v>
      </c>
    </row>
    <row r="96" spans="2:3" x14ac:dyDescent="0.2">
      <c r="B96" s="8">
        <v>39065</v>
      </c>
      <c r="C96" s="7">
        <v>4.3959999999999999E-2</v>
      </c>
    </row>
    <row r="97" spans="2:3" x14ac:dyDescent="0.2">
      <c r="B97" s="8">
        <v>39100</v>
      </c>
      <c r="C97" s="7">
        <v>4.0340000000000001E-2</v>
      </c>
    </row>
    <row r="98" spans="2:3" x14ac:dyDescent="0.2">
      <c r="B98" s="8">
        <v>39128</v>
      </c>
      <c r="C98" s="7">
        <v>4.095E-2</v>
      </c>
    </row>
    <row r="99" spans="2:3" x14ac:dyDescent="0.2">
      <c r="B99" s="8">
        <v>39156</v>
      </c>
      <c r="C99" s="7">
        <v>4.7190000000000003E-2</v>
      </c>
    </row>
    <row r="100" spans="2:3" x14ac:dyDescent="0.2">
      <c r="B100" s="8">
        <v>39191</v>
      </c>
      <c r="C100" s="7">
        <v>4.2000000000000003E-2</v>
      </c>
    </row>
    <row r="101" spans="2:3" x14ac:dyDescent="0.2">
      <c r="B101" s="8">
        <v>39219</v>
      </c>
      <c r="C101" s="7">
        <v>4.3129999999999995E-2</v>
      </c>
    </row>
    <row r="102" spans="2:3" x14ac:dyDescent="0.2">
      <c r="B102" s="8">
        <v>39247</v>
      </c>
      <c r="C102" s="7">
        <v>4.0579999999999998E-2</v>
      </c>
    </row>
    <row r="103" spans="2:3" x14ac:dyDescent="0.2">
      <c r="B103" s="8">
        <v>39282</v>
      </c>
      <c r="C103" s="7">
        <v>3.9969999999999999E-2</v>
      </c>
    </row>
    <row r="104" spans="2:3" x14ac:dyDescent="0.2">
      <c r="B104" s="8">
        <v>39310</v>
      </c>
      <c r="C104" s="7">
        <v>4.7110000000000006E-2</v>
      </c>
    </row>
    <row r="105" spans="2:3" x14ac:dyDescent="0.2">
      <c r="B105" s="8">
        <v>39345</v>
      </c>
      <c r="C105" s="7">
        <v>4.598E-2</v>
      </c>
    </row>
    <row r="106" spans="2:3" x14ac:dyDescent="0.2">
      <c r="B106" s="8">
        <v>39373</v>
      </c>
      <c r="C106" s="7">
        <v>4.3289999999999995E-2</v>
      </c>
    </row>
    <row r="107" spans="2:3" x14ac:dyDescent="0.2">
      <c r="B107" s="8">
        <v>39401</v>
      </c>
      <c r="C107" s="7">
        <v>4.8010000000000004E-2</v>
      </c>
    </row>
    <row r="108" spans="2:3" x14ac:dyDescent="0.2">
      <c r="B108" s="8">
        <v>39436</v>
      </c>
      <c r="C108" s="7">
        <v>4.7419999999999997E-2</v>
      </c>
    </row>
    <row r="109" spans="2:3" x14ac:dyDescent="0.2">
      <c r="B109" s="8">
        <v>39464</v>
      </c>
      <c r="C109" s="7">
        <v>5.1889999999999999E-2</v>
      </c>
    </row>
    <row r="110" spans="2:3" x14ac:dyDescent="0.2">
      <c r="B110" s="8">
        <v>39492</v>
      </c>
      <c r="C110" s="7">
        <v>5.7200000000000001E-2</v>
      </c>
    </row>
    <row r="111" spans="2:3" x14ac:dyDescent="0.2">
      <c r="B111" s="8">
        <v>39527</v>
      </c>
      <c r="C111" s="7">
        <v>6.8610000000000004E-2</v>
      </c>
    </row>
    <row r="112" spans="2:3" x14ac:dyDescent="0.2">
      <c r="B112" s="8">
        <v>39555</v>
      </c>
      <c r="C112" s="7">
        <v>6.3170000000000004E-2</v>
      </c>
    </row>
    <row r="113" spans="2:3" x14ac:dyDescent="0.2">
      <c r="B113" s="8">
        <v>39583</v>
      </c>
      <c r="C113" s="7">
        <v>5.7229999999999996E-2</v>
      </c>
    </row>
    <row r="114" spans="2:3" x14ac:dyDescent="0.2">
      <c r="B114" s="8">
        <v>39618</v>
      </c>
      <c r="C114" s="7">
        <v>5.7820000000000003E-2</v>
      </c>
    </row>
    <row r="115" spans="2:3" x14ac:dyDescent="0.2">
      <c r="B115" s="8">
        <v>39646</v>
      </c>
      <c r="C115" s="7">
        <v>6.7030000000000006E-2</v>
      </c>
    </row>
    <row r="116" spans="2:3" x14ac:dyDescent="0.2">
      <c r="B116" s="8">
        <v>39674</v>
      </c>
      <c r="C116" s="7">
        <v>6.1810000000000004E-2</v>
      </c>
    </row>
    <row r="117" spans="2:3" x14ac:dyDescent="0.2">
      <c r="B117" s="8">
        <v>39709</v>
      </c>
      <c r="C117" s="7">
        <v>6.8870000000000001E-2</v>
      </c>
    </row>
    <row r="118" spans="2:3" x14ac:dyDescent="0.2">
      <c r="B118" s="8">
        <v>39737</v>
      </c>
      <c r="C118" s="7">
        <v>7.5369999999999993E-2</v>
      </c>
    </row>
    <row r="119" spans="2:3" x14ac:dyDescent="0.2">
      <c r="B119" s="8">
        <v>39772</v>
      </c>
      <c r="C119" s="7">
        <v>7.9070000000000001E-2</v>
      </c>
    </row>
    <row r="120" spans="2:3" x14ac:dyDescent="0.2">
      <c r="B120" s="8">
        <v>39800</v>
      </c>
      <c r="C120" s="7">
        <v>7.8329999999999997E-2</v>
      </c>
    </row>
    <row r="121" spans="2:3" x14ac:dyDescent="0.2">
      <c r="B121" s="8">
        <v>39828</v>
      </c>
      <c r="C121" s="7">
        <v>8.0310000000000006E-2</v>
      </c>
    </row>
    <row r="122" spans="2:3" x14ac:dyDescent="0.2">
      <c r="B122" s="8">
        <v>39863</v>
      </c>
      <c r="C122" s="7">
        <v>7.8799999999999995E-2</v>
      </c>
    </row>
    <row r="123" spans="2:3" x14ac:dyDescent="0.2">
      <c r="B123" s="8">
        <v>39891</v>
      </c>
      <c r="C123" s="7">
        <v>8.158E-2</v>
      </c>
    </row>
    <row r="124" spans="2:3" x14ac:dyDescent="0.2">
      <c r="B124" s="8">
        <v>39919</v>
      </c>
      <c r="C124" s="7">
        <v>6.9589999999999999E-2</v>
      </c>
    </row>
    <row r="125" spans="2:3" x14ac:dyDescent="0.2">
      <c r="B125" s="8">
        <v>39947</v>
      </c>
      <c r="C125" s="7">
        <v>7.0989999999999998E-2</v>
      </c>
    </row>
    <row r="126" spans="2:3" x14ac:dyDescent="0.2">
      <c r="B126" s="8">
        <v>39982</v>
      </c>
      <c r="C126" s="7">
        <v>6.7560000000000009E-2</v>
      </c>
    </row>
    <row r="127" spans="2:3" x14ac:dyDescent="0.2">
      <c r="B127" s="8">
        <v>40010</v>
      </c>
      <c r="C127" s="7">
        <v>6.9640000000000007E-2</v>
      </c>
    </row>
    <row r="128" spans="2:3" x14ac:dyDescent="0.2">
      <c r="B128" s="8">
        <v>40045</v>
      </c>
      <c r="C128" s="7">
        <v>6.1210000000000007E-2</v>
      </c>
    </row>
    <row r="129" spans="2:3" x14ac:dyDescent="0.2">
      <c r="B129" s="8">
        <v>40073</v>
      </c>
      <c r="C129" s="7">
        <v>5.4730000000000001E-2</v>
      </c>
    </row>
    <row r="130" spans="2:3" x14ac:dyDescent="0.2">
      <c r="B130" s="8">
        <v>40101</v>
      </c>
      <c r="C130" s="7">
        <v>5.466E-2</v>
      </c>
    </row>
    <row r="131" spans="2:3" x14ac:dyDescent="0.2">
      <c r="B131" s="8">
        <v>40136</v>
      </c>
      <c r="C131" s="7">
        <v>5.5559999999999998E-2</v>
      </c>
    </row>
    <row r="132" spans="2:3" x14ac:dyDescent="0.2">
      <c r="B132" s="8">
        <v>40164</v>
      </c>
      <c r="C132" s="7">
        <v>5.6289999999999993E-2</v>
      </c>
    </row>
    <row r="133" spans="2:3" x14ac:dyDescent="0.2">
      <c r="B133" s="8">
        <v>40192</v>
      </c>
      <c r="C133" s="7">
        <v>5.3800000000000001E-2</v>
      </c>
    </row>
    <row r="134" spans="2:3" x14ac:dyDescent="0.2">
      <c r="B134" s="8">
        <v>40227</v>
      </c>
      <c r="C134" s="7">
        <v>6.1650000000000003E-2</v>
      </c>
    </row>
    <row r="135" spans="2:3" x14ac:dyDescent="0.2">
      <c r="B135" s="8">
        <v>40255</v>
      </c>
      <c r="C135" s="7">
        <v>6.3070000000000001E-2</v>
      </c>
    </row>
    <row r="136" spans="2:3" x14ac:dyDescent="0.2">
      <c r="B136" s="8">
        <v>40283</v>
      </c>
      <c r="C136" s="7">
        <v>6.1429999999999998E-2</v>
      </c>
    </row>
    <row r="137" spans="2:3" x14ac:dyDescent="0.2">
      <c r="B137" s="8">
        <v>40318</v>
      </c>
      <c r="C137" s="7">
        <v>7.0029999999999995E-2</v>
      </c>
    </row>
    <row r="138" spans="2:3" x14ac:dyDescent="0.2">
      <c r="B138" s="8">
        <v>40346</v>
      </c>
      <c r="C138" s="7">
        <v>6.9560000000000011E-2</v>
      </c>
    </row>
    <row r="139" spans="2:3" x14ac:dyDescent="0.2">
      <c r="B139" s="8">
        <v>40374</v>
      </c>
      <c r="C139" s="7">
        <v>6.9210000000000008E-2</v>
      </c>
    </row>
    <row r="140" spans="2:3" x14ac:dyDescent="0.2">
      <c r="B140" s="8">
        <v>40409</v>
      </c>
      <c r="C140" s="7">
        <v>7.324E-2</v>
      </c>
    </row>
    <row r="141" spans="2:3" x14ac:dyDescent="0.2">
      <c r="B141" s="8">
        <v>40437</v>
      </c>
      <c r="C141" s="7">
        <v>7.0580000000000004E-2</v>
      </c>
    </row>
    <row r="142" spans="2:3" x14ac:dyDescent="0.2">
      <c r="B142" s="8">
        <v>40465</v>
      </c>
      <c r="C142" s="7">
        <v>7.1440000000000003E-2</v>
      </c>
    </row>
    <row r="143" spans="2:3" x14ac:dyDescent="0.2">
      <c r="B143" s="8">
        <v>40500</v>
      </c>
      <c r="C143" s="7">
        <v>6.7060000000000008E-2</v>
      </c>
    </row>
    <row r="144" spans="2:3" x14ac:dyDescent="0.2">
      <c r="B144" s="8">
        <v>40528</v>
      </c>
      <c r="C144" s="7">
        <v>6.0949999999999997E-2</v>
      </c>
    </row>
    <row r="145" spans="2:3" x14ac:dyDescent="0.2">
      <c r="B145" s="8">
        <v>40563</v>
      </c>
      <c r="C145" s="7">
        <v>5.9109999999999996E-2</v>
      </c>
    </row>
    <row r="146" spans="2:3" x14ac:dyDescent="0.2">
      <c r="B146" s="8">
        <v>40591</v>
      </c>
      <c r="C146" s="7">
        <v>5.9290000000000002E-2</v>
      </c>
    </row>
    <row r="147" spans="2:3" x14ac:dyDescent="0.2">
      <c r="B147" s="8">
        <v>40619</v>
      </c>
      <c r="C147" s="7">
        <v>7.1709999999999996E-2</v>
      </c>
    </row>
    <row r="148" spans="2:3" x14ac:dyDescent="0.2">
      <c r="B148" s="8">
        <v>40647</v>
      </c>
      <c r="C148" s="7">
        <v>6.5730000000000011E-2</v>
      </c>
    </row>
    <row r="149" spans="2:3" x14ac:dyDescent="0.2">
      <c r="B149" s="8">
        <v>40682</v>
      </c>
      <c r="C149" s="7">
        <v>6.9440000000000002E-2</v>
      </c>
    </row>
    <row r="150" spans="2:3" x14ac:dyDescent="0.2">
      <c r="B150" s="8">
        <v>40710</v>
      </c>
      <c r="C150" s="7">
        <v>7.2389999999999996E-2</v>
      </c>
    </row>
    <row r="151" spans="2:3" x14ac:dyDescent="0.2">
      <c r="B151" s="8">
        <v>40738</v>
      </c>
      <c r="C151" s="7">
        <v>7.392E-2</v>
      </c>
    </row>
    <row r="152" spans="2:3" x14ac:dyDescent="0.2">
      <c r="B152" s="8">
        <v>40773</v>
      </c>
      <c r="C152" s="7">
        <v>9.3420000000000003E-2</v>
      </c>
    </row>
    <row r="153" spans="2:3" x14ac:dyDescent="0.2">
      <c r="B153" s="8">
        <v>40801</v>
      </c>
      <c r="C153" s="7">
        <v>0.10460000000000001</v>
      </c>
    </row>
    <row r="154" spans="2:3" x14ac:dyDescent="0.2">
      <c r="B154" s="8">
        <v>40836</v>
      </c>
      <c r="C154" s="7">
        <v>8.8079999999999992E-2</v>
      </c>
    </row>
    <row r="155" spans="2:3" x14ac:dyDescent="0.2">
      <c r="B155" s="8">
        <v>40864</v>
      </c>
      <c r="C155" s="7">
        <v>8.6880000000000013E-2</v>
      </c>
    </row>
    <row r="156" spans="2:3" x14ac:dyDescent="0.2">
      <c r="B156" s="8">
        <v>40892</v>
      </c>
      <c r="C156" s="7">
        <v>8.8109999999999994E-2</v>
      </c>
    </row>
    <row r="157" spans="2:3" x14ac:dyDescent="0.2">
      <c r="B157" s="8">
        <v>40927</v>
      </c>
      <c r="C157" s="7">
        <v>8.029E-2</v>
      </c>
    </row>
    <row r="158" spans="2:3" x14ac:dyDescent="0.2">
      <c r="B158" s="8">
        <v>40955</v>
      </c>
      <c r="C158" s="7">
        <v>7.6960000000000001E-2</v>
      </c>
    </row>
    <row r="159" spans="2:3" x14ac:dyDescent="0.2">
      <c r="B159" s="8">
        <v>40983</v>
      </c>
      <c r="C159" s="7">
        <v>7.6789999999999997E-2</v>
      </c>
    </row>
    <row r="160" spans="2:3" x14ac:dyDescent="0.2">
      <c r="B160" s="8">
        <v>41018</v>
      </c>
      <c r="C160" s="7">
        <v>8.3640000000000006E-2</v>
      </c>
    </row>
    <row r="161" spans="2:3" x14ac:dyDescent="0.2">
      <c r="B161" s="8">
        <v>41046</v>
      </c>
      <c r="C161" s="7">
        <v>9.351000000000001E-2</v>
      </c>
    </row>
    <row r="162" spans="2:3" x14ac:dyDescent="0.2">
      <c r="B162" s="8">
        <v>41074</v>
      </c>
      <c r="C162" s="7">
        <v>9.5690000000000011E-2</v>
      </c>
    </row>
    <row r="163" spans="2:3" x14ac:dyDescent="0.2">
      <c r="B163" s="8">
        <v>41109</v>
      </c>
      <c r="C163" s="7">
        <v>9.2089999999999991E-2</v>
      </c>
    </row>
    <row r="164" spans="2:3" x14ac:dyDescent="0.2">
      <c r="B164" s="8">
        <v>41137</v>
      </c>
      <c r="C164" s="7">
        <v>8.3729999999999999E-2</v>
      </c>
    </row>
    <row r="165" spans="2:3" x14ac:dyDescent="0.2">
      <c r="B165" s="8">
        <v>41172</v>
      </c>
      <c r="C165" s="7">
        <v>7.9050000000000009E-2</v>
      </c>
    </row>
    <row r="166" spans="2:3" x14ac:dyDescent="0.2">
      <c r="B166" s="8">
        <v>41200</v>
      </c>
      <c r="C166" s="7">
        <v>7.7009999999999995E-2</v>
      </c>
    </row>
    <row r="167" spans="2:3" x14ac:dyDescent="0.2">
      <c r="B167" s="8">
        <v>41228</v>
      </c>
      <c r="C167" s="7">
        <v>8.1549999999999997E-2</v>
      </c>
    </row>
    <row r="168" spans="2:3" x14ac:dyDescent="0.2">
      <c r="B168" s="8">
        <v>41263</v>
      </c>
      <c r="C168" s="7">
        <v>7.51E-2</v>
      </c>
    </row>
    <row r="169" spans="2:3" x14ac:dyDescent="0.2">
      <c r="B169" s="8">
        <v>41305</v>
      </c>
      <c r="C169" s="7">
        <v>6.8409999999999999E-2</v>
      </c>
    </row>
    <row r="170" spans="2:3" x14ac:dyDescent="0.2">
      <c r="B170" s="8">
        <v>41332</v>
      </c>
      <c r="C170" s="7">
        <v>7.2000000000000008E-2</v>
      </c>
    </row>
    <row r="171" spans="2:3" x14ac:dyDescent="0.2">
      <c r="B171" s="8">
        <v>41361</v>
      </c>
      <c r="C171" s="7">
        <v>7.6999999999999999E-2</v>
      </c>
    </row>
    <row r="172" spans="2:3" x14ac:dyDescent="0.2">
      <c r="B172" s="8">
        <v>41394</v>
      </c>
      <c r="C172" s="7">
        <v>7.9369999999999996E-2</v>
      </c>
    </row>
    <row r="173" spans="2:3" x14ac:dyDescent="0.2">
      <c r="B173" s="8">
        <v>41425</v>
      </c>
      <c r="C173" s="7">
        <v>7.3660000000000003E-2</v>
      </c>
    </row>
    <row r="174" spans="2:3" x14ac:dyDescent="0.2">
      <c r="B174" s="8">
        <v>41453</v>
      </c>
      <c r="C174" s="7">
        <v>7.4889999999999998E-2</v>
      </c>
    </row>
    <row r="175" spans="2:3" x14ac:dyDescent="0.2">
      <c r="B175" s="8">
        <v>41486</v>
      </c>
      <c r="C175" s="7">
        <v>7.1480000000000002E-2</v>
      </c>
    </row>
    <row r="176" spans="2:3" x14ac:dyDescent="0.2">
      <c r="B176" s="8">
        <v>41516</v>
      </c>
      <c r="C176" s="7">
        <v>6.9839999999999999E-2</v>
      </c>
    </row>
    <row r="177" spans="2:3" x14ac:dyDescent="0.2">
      <c r="B177" s="8">
        <v>41547</v>
      </c>
      <c r="C177" s="7">
        <v>6.4560000000000006E-2</v>
      </c>
    </row>
    <row r="178" spans="2:3" x14ac:dyDescent="0.2">
      <c r="B178" s="8">
        <v>41578</v>
      </c>
      <c r="C178" s="7">
        <v>6.1829999999999996E-2</v>
      </c>
    </row>
    <row r="179" spans="2:3" x14ac:dyDescent="0.2">
      <c r="B179" s="8">
        <v>41607</v>
      </c>
      <c r="C179" s="7">
        <v>5.9299999999999999E-2</v>
      </c>
    </row>
    <row r="180" spans="2:3" x14ac:dyDescent="0.2">
      <c r="B180" s="8">
        <v>41639</v>
      </c>
      <c r="C180" s="7">
        <v>5.5549999999999995E-2</v>
      </c>
    </row>
    <row r="181" spans="2:3" x14ac:dyDescent="0.2">
      <c r="B181" s="8">
        <v>41670</v>
      </c>
      <c r="C181" s="7">
        <v>6.0490000000000002E-2</v>
      </c>
    </row>
    <row r="182" spans="2:3" x14ac:dyDescent="0.2">
      <c r="B182" s="8">
        <v>41698</v>
      </c>
      <c r="C182" s="7">
        <v>5.9400000000000001E-2</v>
      </c>
    </row>
    <row r="183" spans="2:3" x14ac:dyDescent="0.2">
      <c r="B183" s="8">
        <v>41729</v>
      </c>
      <c r="C183" s="7">
        <v>6.1790000000000005E-2</v>
      </c>
    </row>
    <row r="184" spans="2:3" x14ac:dyDescent="0.2">
      <c r="B184" s="8">
        <v>41759</v>
      </c>
      <c r="C184" s="7">
        <v>6.3149999999999998E-2</v>
      </c>
    </row>
    <row r="185" spans="2:3" x14ac:dyDescent="0.2">
      <c r="B185" s="8">
        <v>41789</v>
      </c>
      <c r="C185" s="7">
        <v>6.3579999999999998E-2</v>
      </c>
    </row>
    <row r="186" spans="2:3" x14ac:dyDescent="0.2">
      <c r="B186" s="8">
        <v>41820</v>
      </c>
      <c r="C186" s="7">
        <v>6.4699999999999994E-2</v>
      </c>
    </row>
    <row r="187" spans="2:3" x14ac:dyDescent="0.2">
      <c r="B187" s="8">
        <v>41851</v>
      </c>
      <c r="C187" s="7">
        <v>6.831000000000001E-2</v>
      </c>
    </row>
    <row r="188" spans="2:3" x14ac:dyDescent="0.2">
      <c r="B188" s="8">
        <v>41880</v>
      </c>
      <c r="C188" s="7">
        <v>7.084E-2</v>
      </c>
    </row>
    <row r="189" spans="2:3" x14ac:dyDescent="0.2">
      <c r="B189" s="8">
        <v>41912</v>
      </c>
      <c r="C189" s="7">
        <v>7.2270000000000001E-2</v>
      </c>
    </row>
    <row r="190" spans="2:3" x14ac:dyDescent="0.2">
      <c r="B190" s="8">
        <v>41943</v>
      </c>
      <c r="C190" s="7">
        <v>7.1650000000000005E-2</v>
      </c>
    </row>
    <row r="191" spans="2:3" x14ac:dyDescent="0.2">
      <c r="B191" s="8">
        <v>41971</v>
      </c>
      <c r="C191" s="7">
        <v>6.7479999999999998E-2</v>
      </c>
    </row>
    <row r="192" spans="2:3" x14ac:dyDescent="0.2">
      <c r="B192" s="8">
        <v>42004</v>
      </c>
      <c r="C192" s="7">
        <v>6.9980000000000001E-2</v>
      </c>
    </row>
    <row r="193" spans="2:3" x14ac:dyDescent="0.2">
      <c r="B193" s="8">
        <v>42034</v>
      </c>
      <c r="C193" s="7">
        <v>6.794E-2</v>
      </c>
    </row>
    <row r="194" spans="2:3" x14ac:dyDescent="0.2">
      <c r="B194" s="8">
        <v>42062</v>
      </c>
      <c r="C194" s="7">
        <v>6.4950000000000008E-2</v>
      </c>
    </row>
    <row r="195" spans="2:3" x14ac:dyDescent="0.2">
      <c r="B195" s="8">
        <v>42094</v>
      </c>
      <c r="C195" s="7">
        <v>6.6750000000000004E-2</v>
      </c>
    </row>
    <row r="196" spans="2:3" x14ac:dyDescent="0.2">
      <c r="B196" s="8">
        <v>42124</v>
      </c>
      <c r="C196" s="7">
        <v>6.8190000000000001E-2</v>
      </c>
    </row>
    <row r="197" spans="2:3" x14ac:dyDescent="0.2">
      <c r="B197" s="8">
        <v>42153</v>
      </c>
      <c r="C197" s="7">
        <v>6.6570000000000004E-2</v>
      </c>
    </row>
    <row r="198" spans="2:3" x14ac:dyDescent="0.2">
      <c r="B198" s="8">
        <v>42185</v>
      </c>
      <c r="C198" s="7">
        <v>6.6879999999999995E-2</v>
      </c>
    </row>
    <row r="199" spans="2:3" x14ac:dyDescent="0.2">
      <c r="B199" s="8">
        <v>42216</v>
      </c>
      <c r="C199" s="7">
        <v>6.9120000000000001E-2</v>
      </c>
    </row>
    <row r="200" spans="2:3" x14ac:dyDescent="0.2">
      <c r="B200" s="8">
        <v>42247</v>
      </c>
      <c r="C200" s="7">
        <v>6.8729999999999999E-2</v>
      </c>
    </row>
    <row r="201" spans="2:3" x14ac:dyDescent="0.2">
      <c r="B201" s="8">
        <v>42277</v>
      </c>
      <c r="C201" s="7">
        <v>7.9829999999999998E-2</v>
      </c>
    </row>
    <row r="202" spans="2:3" x14ac:dyDescent="0.2">
      <c r="B202" s="8">
        <v>42308</v>
      </c>
      <c r="C202" s="7">
        <v>6.8349999999999994E-2</v>
      </c>
    </row>
    <row r="203" spans="2:3" x14ac:dyDescent="0.2">
      <c r="B203" s="8">
        <v>42338</v>
      </c>
      <c r="C203" s="7">
        <v>6.5390000000000004E-2</v>
      </c>
    </row>
    <row r="204" spans="2:3" x14ac:dyDescent="0.2">
      <c r="B204" s="8">
        <v>42369</v>
      </c>
      <c r="C204" s="7">
        <v>6.633E-2</v>
      </c>
    </row>
    <row r="205" spans="2:3" x14ac:dyDescent="0.2">
      <c r="B205" s="8">
        <v>42400</v>
      </c>
      <c r="C205" s="7">
        <v>7.8120000000000009E-2</v>
      </c>
    </row>
    <row r="206" spans="2:3" x14ac:dyDescent="0.2">
      <c r="B206" s="8">
        <v>42429</v>
      </c>
      <c r="C206" s="7">
        <v>8.276E-2</v>
      </c>
    </row>
    <row r="207" spans="2:3" x14ac:dyDescent="0.2">
      <c r="B207" s="8">
        <v>42460</v>
      </c>
      <c r="C207" s="7">
        <v>7.8909999999999994E-2</v>
      </c>
    </row>
    <row r="208" spans="2:3" x14ac:dyDescent="0.2">
      <c r="B208" s="8">
        <v>42490</v>
      </c>
      <c r="C208" s="7">
        <v>7.6999999999999999E-2</v>
      </c>
    </row>
    <row r="209" spans="2:3" x14ac:dyDescent="0.2">
      <c r="B209" s="8">
        <v>42521</v>
      </c>
      <c r="C209" s="7">
        <v>7.9210000000000003E-2</v>
      </c>
    </row>
    <row r="210" spans="2:3" x14ac:dyDescent="0.2">
      <c r="B210" s="8">
        <v>42551</v>
      </c>
      <c r="C210" s="7">
        <v>8.5760000000000003E-2</v>
      </c>
    </row>
    <row r="211" spans="2:3" x14ac:dyDescent="0.2">
      <c r="B211" s="8">
        <v>42582</v>
      </c>
      <c r="C211" s="7">
        <v>8.1140000000000004E-2</v>
      </c>
    </row>
    <row r="212" spans="2:3" x14ac:dyDescent="0.2">
      <c r="B212" s="8">
        <v>42613</v>
      </c>
      <c r="C212" s="7">
        <v>7.8880000000000006E-2</v>
      </c>
    </row>
    <row r="213" spans="2:3" x14ac:dyDescent="0.2">
      <c r="B213" s="8">
        <v>42643</v>
      </c>
      <c r="C213" s="7">
        <v>7.9640000000000002E-2</v>
      </c>
    </row>
    <row r="214" spans="2:3" x14ac:dyDescent="0.2">
      <c r="B214" s="8">
        <v>42674</v>
      </c>
      <c r="C214" s="7">
        <v>7.5789999999999996E-2</v>
      </c>
    </row>
    <row r="215" spans="2:3" x14ac:dyDescent="0.2">
      <c r="B215" s="8">
        <v>42704</v>
      </c>
      <c r="C215" s="7">
        <v>7.551999999999999E-2</v>
      </c>
    </row>
    <row r="216" spans="2:3" x14ac:dyDescent="0.2">
      <c r="B216" s="8">
        <v>42735</v>
      </c>
      <c r="C216" s="7">
        <v>7.3319999999999996E-2</v>
      </c>
    </row>
    <row r="217" spans="2:3" x14ac:dyDescent="0.2">
      <c r="B217" s="8">
        <v>42766</v>
      </c>
      <c r="C217" s="7">
        <v>6.744E-2</v>
      </c>
    </row>
    <row r="218" spans="2:3" x14ac:dyDescent="0.2">
      <c r="B218" s="8">
        <v>42794</v>
      </c>
      <c r="C218" s="7">
        <v>6.6830000000000001E-2</v>
      </c>
    </row>
    <row r="219" spans="2:3" x14ac:dyDescent="0.2">
      <c r="B219" s="8">
        <v>42825</v>
      </c>
      <c r="C219" s="7">
        <v>7.0610000000000006E-2</v>
      </c>
    </row>
    <row r="220" spans="2:3" x14ac:dyDescent="0.2">
      <c r="B220" s="8">
        <v>42855</v>
      </c>
      <c r="C220" s="7">
        <v>6.9640000000000007E-2</v>
      </c>
    </row>
    <row r="221" spans="2:3" x14ac:dyDescent="0.2">
      <c r="B221" s="8">
        <v>42886</v>
      </c>
      <c r="C221" s="7">
        <v>6.8529999999999994E-2</v>
      </c>
    </row>
    <row r="222" spans="2:3" x14ac:dyDescent="0.2">
      <c r="B222" s="8">
        <v>42916</v>
      </c>
      <c r="C222" s="7">
        <v>6.7350000000000007E-2</v>
      </c>
    </row>
    <row r="223" spans="2:3" x14ac:dyDescent="0.2">
      <c r="B223" s="8">
        <v>42947</v>
      </c>
      <c r="C223" s="7">
        <v>6.8349999999999994E-2</v>
      </c>
    </row>
    <row r="224" spans="2:3" x14ac:dyDescent="0.2">
      <c r="B224" s="8">
        <v>42978</v>
      </c>
      <c r="C224" s="7">
        <v>7.1550000000000002E-2</v>
      </c>
    </row>
    <row r="225" spans="2:3" x14ac:dyDescent="0.2">
      <c r="B225" s="8">
        <v>43008</v>
      </c>
      <c r="C225" s="7">
        <v>6.4280000000000004E-2</v>
      </c>
    </row>
    <row r="226" spans="2:3" x14ac:dyDescent="0.2">
      <c r="B226" s="8">
        <v>43039</v>
      </c>
      <c r="C226" s="7">
        <v>6.3939999999999997E-2</v>
      </c>
    </row>
    <row r="227" spans="2:3" x14ac:dyDescent="0.2">
      <c r="B227" s="8">
        <v>43069</v>
      </c>
      <c r="C227" s="7">
        <v>6.447E-2</v>
      </c>
    </row>
    <row r="228" spans="2:3" x14ac:dyDescent="0.2">
      <c r="B228" s="8">
        <v>43100</v>
      </c>
      <c r="C228" s="7">
        <v>6.3299999999999995E-2</v>
      </c>
    </row>
    <row r="229" spans="2:3" x14ac:dyDescent="0.2">
      <c r="B229" s="8">
        <v>43131</v>
      </c>
      <c r="C229" s="7">
        <v>6.2220000000000004E-2</v>
      </c>
    </row>
    <row r="230" spans="2:3" x14ac:dyDescent="0.2">
      <c r="B230" s="8">
        <v>43159</v>
      </c>
      <c r="C230" s="7">
        <v>6.8430000000000005E-2</v>
      </c>
    </row>
    <row r="231" spans="2:3" x14ac:dyDescent="0.2">
      <c r="B231" s="8">
        <v>43190</v>
      </c>
      <c r="C231" s="7">
        <v>7.4450000000000002E-2</v>
      </c>
    </row>
    <row r="232" spans="2:3" x14ac:dyDescent="0.2">
      <c r="B232" s="8">
        <v>43220</v>
      </c>
      <c r="C232" s="7">
        <v>7.059E-2</v>
      </c>
    </row>
    <row r="233" spans="2:3" x14ac:dyDescent="0.2">
      <c r="B233" s="8">
        <v>43251</v>
      </c>
      <c r="C233" s="7">
        <v>7.3440000000000005E-2</v>
      </c>
    </row>
    <row r="234" spans="2:3" x14ac:dyDescent="0.2">
      <c r="B234" s="8">
        <v>43281</v>
      </c>
      <c r="C234" s="7">
        <v>7.2550000000000003E-2</v>
      </c>
    </row>
    <row r="235" spans="2:3" x14ac:dyDescent="0.2">
      <c r="B235" s="8">
        <v>43312</v>
      </c>
      <c r="C235" s="7">
        <v>7.3249999999999996E-2</v>
      </c>
    </row>
    <row r="236" spans="2:3" x14ac:dyDescent="0.2">
      <c r="B236" s="8">
        <v>43343</v>
      </c>
      <c r="C236" s="7">
        <v>7.4469999999999995E-2</v>
      </c>
    </row>
    <row r="237" spans="2:3" x14ac:dyDescent="0.2">
      <c r="B237" s="8">
        <v>43373</v>
      </c>
      <c r="C237" s="7">
        <v>7.3660000000000003E-2</v>
      </c>
    </row>
    <row r="238" spans="2:3" x14ac:dyDescent="0.2">
      <c r="B238" s="8">
        <v>43404</v>
      </c>
      <c r="C238" s="7">
        <v>7.7109999999999998E-2</v>
      </c>
    </row>
    <row r="239" spans="2:3" x14ac:dyDescent="0.2">
      <c r="B239" s="8">
        <v>43434</v>
      </c>
      <c r="C239" s="7">
        <v>7.8920000000000004E-2</v>
      </c>
    </row>
    <row r="240" spans="2:3" x14ac:dyDescent="0.2">
      <c r="B240" s="8">
        <v>43465</v>
      </c>
      <c r="C240" s="7">
        <v>8.3030000000000007E-2</v>
      </c>
    </row>
    <row r="241" spans="2:3" x14ac:dyDescent="0.2">
      <c r="B241" s="8">
        <v>43496</v>
      </c>
      <c r="C241" s="7">
        <v>8.3190000000000014E-2</v>
      </c>
    </row>
    <row r="242" spans="2:3" x14ac:dyDescent="0.2">
      <c r="B242" s="8">
        <v>43524</v>
      </c>
      <c r="C242" s="7">
        <v>7.4539999999999995E-2</v>
      </c>
    </row>
    <row r="243" spans="2:3" x14ac:dyDescent="0.2">
      <c r="B243" s="8">
        <v>43555</v>
      </c>
      <c r="C243" s="7">
        <v>8.5370000000000001E-2</v>
      </c>
    </row>
    <row r="244" spans="2:3" x14ac:dyDescent="0.2">
      <c r="B244" s="8">
        <v>43585</v>
      </c>
      <c r="C244" s="7">
        <v>7.9920000000000005E-2</v>
      </c>
    </row>
    <row r="245" spans="2:3" x14ac:dyDescent="0.2">
      <c r="B245" s="8">
        <v>43616</v>
      </c>
      <c r="C245" s="7">
        <v>8.2790000000000002E-2</v>
      </c>
    </row>
    <row r="246" spans="2:3" x14ac:dyDescent="0.2">
      <c r="B246" s="8">
        <v>43646</v>
      </c>
      <c r="C246" s="7">
        <v>8.3710000000000007E-2</v>
      </c>
    </row>
    <row r="247" spans="2:3" x14ac:dyDescent="0.2">
      <c r="B247" s="8">
        <v>43677</v>
      </c>
      <c r="C247" s="7">
        <v>8.3360000000000004E-2</v>
      </c>
    </row>
    <row r="248" spans="2:3" x14ac:dyDescent="0.2">
      <c r="B248" s="8">
        <v>43708</v>
      </c>
      <c r="C248" s="7">
        <v>8.4360000000000004E-2</v>
      </c>
    </row>
    <row r="249" spans="2:3" x14ac:dyDescent="0.2">
      <c r="B249" s="8">
        <v>43738</v>
      </c>
      <c r="C249" s="7">
        <v>8.2420000000000007E-2</v>
      </c>
    </row>
    <row r="250" spans="2:3" x14ac:dyDescent="0.2">
      <c r="B250" s="8">
        <v>43769</v>
      </c>
      <c r="C250" s="7">
        <v>7.918E-2</v>
      </c>
    </row>
    <row r="251" spans="2:3" x14ac:dyDescent="0.2">
      <c r="B251" s="8">
        <v>43799</v>
      </c>
      <c r="C251" s="7">
        <v>7.5310000000000002E-2</v>
      </c>
    </row>
    <row r="252" spans="2:3" x14ac:dyDescent="0.2">
      <c r="B252" s="8">
        <v>43830</v>
      </c>
      <c r="C252" s="7">
        <v>7.2349999999999998E-2</v>
      </c>
    </row>
    <row r="253" spans="2:3" x14ac:dyDescent="0.2">
      <c r="B253" s="8">
        <v>43861</v>
      </c>
      <c r="C253" s="7">
        <v>7.5060000000000002E-2</v>
      </c>
    </row>
    <row r="254" spans="2:3" x14ac:dyDescent="0.2">
      <c r="B254" s="8">
        <v>43890</v>
      </c>
      <c r="C254" s="7">
        <v>7.4039999999999995E-2</v>
      </c>
    </row>
    <row r="255" spans="2:3" x14ac:dyDescent="0.2">
      <c r="B255" s="8">
        <v>43921</v>
      </c>
      <c r="C255" s="7">
        <v>0.10730000000000001</v>
      </c>
    </row>
    <row r="256" spans="2:3" x14ac:dyDescent="0.2">
      <c r="B256" s="8">
        <v>43951</v>
      </c>
      <c r="C256" s="7">
        <v>9.1620000000000007E-2</v>
      </c>
    </row>
    <row r="257" spans="2:3" x14ac:dyDescent="0.2">
      <c r="B257" s="8">
        <v>43982</v>
      </c>
      <c r="C257" s="7">
        <v>8.5129999999999997E-2</v>
      </c>
    </row>
    <row r="258" spans="2:3" x14ac:dyDescent="0.2">
      <c r="B258" s="8">
        <v>44012</v>
      </c>
      <c r="C258" s="7">
        <v>7.8170000000000003E-2</v>
      </c>
    </row>
    <row r="259" spans="2:3" x14ac:dyDescent="0.2">
      <c r="B259" s="8">
        <v>44043</v>
      </c>
      <c r="C259" s="7">
        <v>7.7689999999999995E-2</v>
      </c>
    </row>
    <row r="260" spans="2:3" x14ac:dyDescent="0.2">
      <c r="B260" s="8">
        <v>44074</v>
      </c>
      <c r="C260" s="7">
        <v>7.5420000000000001E-2</v>
      </c>
    </row>
    <row r="261" spans="2:3" x14ac:dyDescent="0.2">
      <c r="B261" s="8">
        <v>44104</v>
      </c>
      <c r="C261" s="7">
        <v>7.5300000000000006E-2</v>
      </c>
    </row>
    <row r="262" spans="2:3" x14ac:dyDescent="0.2">
      <c r="B262" s="8">
        <v>44135</v>
      </c>
      <c r="C262" s="7">
        <v>7.707E-2</v>
      </c>
    </row>
    <row r="263" spans="2:3" x14ac:dyDescent="0.2">
      <c r="B263" s="8">
        <v>44165</v>
      </c>
      <c r="C263" s="7">
        <v>7.5990000000000002E-2</v>
      </c>
    </row>
    <row r="264" spans="2:3" x14ac:dyDescent="0.2">
      <c r="B264" s="8">
        <v>44196</v>
      </c>
      <c r="C264" s="7">
        <v>7.4189999999999992E-2</v>
      </c>
    </row>
    <row r="265" spans="2:3" x14ac:dyDescent="0.2">
      <c r="B265" s="8">
        <v>44227</v>
      </c>
      <c r="C265" s="7">
        <v>7.1639999999999995E-2</v>
      </c>
    </row>
    <row r="266" spans="2:3" x14ac:dyDescent="0.2">
      <c r="B266" s="8">
        <v>44255</v>
      </c>
      <c r="C266" s="7">
        <v>6.9109999999999991E-2</v>
      </c>
    </row>
    <row r="267" spans="2:3" x14ac:dyDescent="0.2">
      <c r="B267" s="8">
        <v>44286</v>
      </c>
      <c r="C267" s="7">
        <v>7.6359999999999997E-2</v>
      </c>
    </row>
    <row r="268" spans="2:3" x14ac:dyDescent="0.2">
      <c r="B268" s="8">
        <v>44316</v>
      </c>
      <c r="C268" s="7">
        <v>7.1870000000000003E-2</v>
      </c>
    </row>
    <row r="269" spans="2:3" x14ac:dyDescent="0.2">
      <c r="B269" s="8">
        <v>44347</v>
      </c>
      <c r="C269" s="7">
        <v>7.2870000000000004E-2</v>
      </c>
    </row>
    <row r="270" spans="2:3" x14ac:dyDescent="0.2">
      <c r="B270" s="8">
        <v>44377</v>
      </c>
      <c r="C270" s="7">
        <v>7.0830000000000004E-2</v>
      </c>
    </row>
    <row r="271" spans="2:3" x14ac:dyDescent="0.2">
      <c r="B271" s="8">
        <v>44408</v>
      </c>
      <c r="C271" s="7">
        <v>7.3270000000000002E-2</v>
      </c>
    </row>
    <row r="272" spans="2:3" x14ac:dyDescent="0.2">
      <c r="B272" s="8">
        <v>44439</v>
      </c>
      <c r="C272" s="7">
        <v>7.2160000000000002E-2</v>
      </c>
    </row>
    <row r="273" spans="2:3" x14ac:dyDescent="0.2">
      <c r="B273" s="8">
        <v>44469</v>
      </c>
      <c r="C273" s="7">
        <v>7.0239999999999997E-2</v>
      </c>
    </row>
    <row r="274" spans="2:3" x14ac:dyDescent="0.2">
      <c r="B274" s="8">
        <v>44500</v>
      </c>
      <c r="C274" s="7">
        <v>7.3040000000000008E-2</v>
      </c>
    </row>
    <row r="275" spans="2:3" x14ac:dyDescent="0.2">
      <c r="B275" s="8">
        <v>44530</v>
      </c>
      <c r="C275" s="7">
        <v>7.2520000000000001E-2</v>
      </c>
    </row>
    <row r="276" spans="2:3" x14ac:dyDescent="0.2">
      <c r="B276" s="8">
        <v>44561</v>
      </c>
      <c r="C276" s="7">
        <v>7.3569999999999997E-2</v>
      </c>
    </row>
    <row r="277" spans="2:3" x14ac:dyDescent="0.2">
      <c r="B277" s="8">
        <v>44592</v>
      </c>
      <c r="C277" s="7">
        <v>7.1500000000000008E-2</v>
      </c>
    </row>
    <row r="278" spans="2:3" x14ac:dyDescent="0.2">
      <c r="B278" s="8">
        <v>44620</v>
      </c>
      <c r="C278" s="7">
        <v>7.0499999999999993E-2</v>
      </c>
    </row>
    <row r="279" spans="2:3" x14ac:dyDescent="0.2">
      <c r="B279" s="8">
        <v>44651</v>
      </c>
      <c r="C279" s="7">
        <v>7.9452556949183406E-2</v>
      </c>
    </row>
    <row r="280" spans="2:3" x14ac:dyDescent="0.2">
      <c r="B280" s="8">
        <v>44681</v>
      </c>
      <c r="C280" s="7">
        <v>7.7464787114135999E-2</v>
      </c>
    </row>
    <row r="281" spans="2:3" x14ac:dyDescent="0.2">
      <c r="B281" s="8">
        <v>44712</v>
      </c>
      <c r="C281" s="7">
        <v>7.68026519697841E-2</v>
      </c>
    </row>
    <row r="282" spans="2:3" x14ac:dyDescent="0.2">
      <c r="B282" s="8">
        <v>44742</v>
      </c>
      <c r="C282" s="7">
        <v>8.4904042679271999E-2</v>
      </c>
    </row>
    <row r="283" spans="2:3" x14ac:dyDescent="0.2">
      <c r="B283" s="8">
        <v>44773</v>
      </c>
      <c r="C283" s="7">
        <v>9.2488809949290901E-2</v>
      </c>
    </row>
    <row r="284" spans="2:3" x14ac:dyDescent="0.2">
      <c r="B284" s="8">
        <v>44804</v>
      </c>
      <c r="C284" s="7">
        <v>7.8308472481194102E-2</v>
      </c>
    </row>
    <row r="285" spans="2:3" x14ac:dyDescent="0.2">
      <c r="B285" s="8">
        <v>44834</v>
      </c>
      <c r="C285" s="7">
        <v>7.7251328052792306E-2</v>
      </c>
    </row>
    <row r="286" spans="2:3" x14ac:dyDescent="0.2">
      <c r="B286" s="8">
        <v>44865</v>
      </c>
      <c r="C286" s="7">
        <v>7.8841687116426196E-2</v>
      </c>
    </row>
    <row r="287" spans="2:3" x14ac:dyDescent="0.2">
      <c r="B287" s="8">
        <v>44895</v>
      </c>
      <c r="C287" s="7">
        <v>7.1513546953717699E-2</v>
      </c>
    </row>
    <row r="288" spans="2:3" x14ac:dyDescent="0.2">
      <c r="B288" s="8">
        <v>44926</v>
      </c>
      <c r="C288" s="7">
        <v>6.5242762754699105E-2</v>
      </c>
    </row>
    <row r="289" spans="2:3" x14ac:dyDescent="0.2">
      <c r="B289" s="8">
        <v>44957</v>
      </c>
      <c r="C289" s="7">
        <v>6.3995081846655907E-2</v>
      </c>
    </row>
    <row r="290" spans="2:3" x14ac:dyDescent="0.2">
      <c r="B290" s="8">
        <v>44985</v>
      </c>
      <c r="C290" s="7">
        <v>5.7517617132492503E-2</v>
      </c>
    </row>
    <row r="291" spans="2:3" x14ac:dyDescent="0.2">
      <c r="B291" s="8">
        <v>45016</v>
      </c>
      <c r="C291" s="7">
        <v>6.5899840826764602E-2</v>
      </c>
    </row>
    <row r="292" spans="2:3" x14ac:dyDescent="0.2">
      <c r="B292" s="8">
        <v>45046</v>
      </c>
      <c r="C292" s="7">
        <v>6.5887000424103295E-2</v>
      </c>
    </row>
    <row r="293" spans="2:3" x14ac:dyDescent="0.2">
      <c r="B293" s="8">
        <v>45077</v>
      </c>
      <c r="C293" s="7">
        <v>6.96667607741739E-2</v>
      </c>
    </row>
    <row r="294" spans="2:3" x14ac:dyDescent="0.2">
      <c r="B294" s="8">
        <v>45107</v>
      </c>
      <c r="C294" s="7">
        <v>6.8106197927109993E-2</v>
      </c>
    </row>
    <row r="295" spans="2:3" x14ac:dyDescent="0.2">
      <c r="B295" s="8">
        <v>45138</v>
      </c>
      <c r="C295" s="7">
        <v>6.8820666683162501E-2</v>
      </c>
    </row>
    <row r="296" spans="2:3" x14ac:dyDescent="0.2">
      <c r="B296" s="8">
        <v>45169</v>
      </c>
      <c r="C296" s="7">
        <v>6.8378687949317105E-2</v>
      </c>
    </row>
    <row r="297" spans="2:3" x14ac:dyDescent="0.2">
      <c r="B297" s="8">
        <v>45199</v>
      </c>
      <c r="C297" s="7">
        <v>6.6875948203247701E-2</v>
      </c>
    </row>
    <row r="298" spans="2:3" x14ac:dyDescent="0.2">
      <c r="B298" s="8">
        <v>45230</v>
      </c>
      <c r="C298" s="7">
        <v>6.7975098324143404E-2</v>
      </c>
    </row>
    <row r="299" spans="2:3" x14ac:dyDescent="0.2">
      <c r="B299" s="8">
        <v>45260</v>
      </c>
      <c r="C299" s="7">
        <v>6.9518261366980499E-2</v>
      </c>
    </row>
    <row r="300" spans="2:3" x14ac:dyDescent="0.2">
      <c r="B300" s="8">
        <v>45291</v>
      </c>
      <c r="C300" s="7">
        <v>6.7200341775578001E-2</v>
      </c>
    </row>
    <row r="301" spans="2:3" x14ac:dyDescent="0.2">
      <c r="B301" s="8">
        <v>45322</v>
      </c>
      <c r="C301" s="7">
        <v>6.6659887046396096E-2</v>
      </c>
    </row>
    <row r="302" spans="2:3" x14ac:dyDescent="0.2">
      <c r="B302" s="8">
        <v>45351</v>
      </c>
      <c r="C302" s="7">
        <v>6.0384553157784904E-2</v>
      </c>
    </row>
    <row r="303" spans="2:3" x14ac:dyDescent="0.2">
      <c r="B303" s="8">
        <v>45382</v>
      </c>
      <c r="C303" s="7">
        <v>6.0419488618406098E-2</v>
      </c>
    </row>
    <row r="304" spans="2:3" x14ac:dyDescent="0.2">
      <c r="B304" s="8">
        <v>45412</v>
      </c>
      <c r="C304" s="7">
        <v>6.1182004602516098E-2</v>
      </c>
    </row>
    <row r="305" spans="2:3" x14ac:dyDescent="0.2">
      <c r="B305" s="8">
        <v>45443</v>
      </c>
      <c r="C305" s="7">
        <v>5.8242859626533201E-2</v>
      </c>
    </row>
    <row r="306" spans="2:3" x14ac:dyDescent="0.2">
      <c r="B306" s="8">
        <v>45473</v>
      </c>
      <c r="C306" s="7">
        <v>6.2162557718958705E-2</v>
      </c>
    </row>
    <row r="307" spans="2:3" x14ac:dyDescent="0.2">
      <c r="B307" s="8">
        <v>45504</v>
      </c>
      <c r="C307" s="7">
        <v>6.2021188664363E-2</v>
      </c>
    </row>
    <row r="308" spans="2:3" x14ac:dyDescent="0.2">
      <c r="B308" s="8">
        <v>45535</v>
      </c>
      <c r="C308" s="7">
        <v>6.8520147827824299E-2</v>
      </c>
    </row>
    <row r="309" spans="2:3" x14ac:dyDescent="0.2">
      <c r="B309" s="8">
        <v>45565</v>
      </c>
      <c r="C309" s="7">
        <v>6.629748640174489E-2</v>
      </c>
    </row>
    <row r="310" spans="2:3" x14ac:dyDescent="0.2">
      <c r="B310" s="8">
        <v>45596</v>
      </c>
      <c r="C310" s="7">
        <v>5.9407162283035907E-2</v>
      </c>
    </row>
    <row r="311" spans="2:3" x14ac:dyDescent="0.2">
      <c r="B311" s="8">
        <v>45626</v>
      </c>
      <c r="C311" s="7">
        <v>6.45395001974685E-2</v>
      </c>
    </row>
    <row r="312" spans="2:3" x14ac:dyDescent="0.2">
      <c r="B312" s="8">
        <v>45657</v>
      </c>
      <c r="C312" s="7">
        <v>5.7893442875148707E-2</v>
      </c>
    </row>
    <row r="313" spans="2:3" x14ac:dyDescent="0.2">
      <c r="B313" s="8">
        <v>45688</v>
      </c>
      <c r="C313" s="7">
        <v>5.5054461337976202E-2</v>
      </c>
    </row>
    <row r="314" spans="2:3" x14ac:dyDescent="0.2">
      <c r="B314" s="8">
        <v>45716</v>
      </c>
      <c r="C314" s="7">
        <v>4.8691672625856601E-2</v>
      </c>
    </row>
    <row r="315" spans="2:3" x14ac:dyDescent="0.2">
      <c r="B315" s="8">
        <v>45747</v>
      </c>
      <c r="C315" s="7">
        <v>5.2460313308982397E-2</v>
      </c>
    </row>
    <row r="316" spans="2:3" x14ac:dyDescent="0.2">
      <c r="B316" s="8">
        <v>45777</v>
      </c>
      <c r="C316" s="7">
        <v>5.8948690247480201E-2</v>
      </c>
    </row>
    <row r="317" spans="2:3" x14ac:dyDescent="0.2">
      <c r="B317" s="8">
        <v>45808</v>
      </c>
      <c r="C317" s="7">
        <v>5.1766028589203303E-2</v>
      </c>
    </row>
    <row r="318" spans="2:3" x14ac:dyDescent="0.2">
      <c r="B318" s="8">
        <v>45838</v>
      </c>
      <c r="C318" s="7">
        <v>5.2569533555098601E-2</v>
      </c>
    </row>
    <row r="319" spans="2:3" x14ac:dyDescent="0.2">
      <c r="B319" s="8">
        <v>45869</v>
      </c>
      <c r="C319" s="7">
        <v>5.0268613536306905E-2</v>
      </c>
    </row>
    <row r="320" spans="2:3" x14ac:dyDescent="0.2">
      <c r="B320" s="8">
        <v>45900</v>
      </c>
      <c r="C320" s="7">
        <v>4.8582058774747895E-2</v>
      </c>
    </row>
    <row r="321" spans="2:3" x14ac:dyDescent="0.2">
      <c r="B321" s="8">
        <v>45930</v>
      </c>
      <c r="C321" s="7">
        <v>5.0482068358095405E-2</v>
      </c>
    </row>
    <row r="322" spans="2:3" x14ac:dyDescent="0.2">
      <c r="B322" s="8">
        <v>45961</v>
      </c>
      <c r="C322" s="7">
        <v>4.8722725508267201E-2</v>
      </c>
    </row>
    <row r="323" spans="2:3" x14ac:dyDescent="0.2">
      <c r="B323" s="8">
        <v>45991</v>
      </c>
      <c r="C323" s="7">
        <v>5.1854741383359305E-2</v>
      </c>
    </row>
    <row r="324" spans="2:3" x14ac:dyDescent="0.2">
      <c r="B324" s="8">
        <v>46022</v>
      </c>
      <c r="C324" s="7">
        <v>4.7762072039821607E-2</v>
      </c>
    </row>
    <row r="325" spans="2:3" x14ac:dyDescent="0.2">
      <c r="B325" s="8">
        <v>46053</v>
      </c>
      <c r="C325" s="7">
        <v>4.5163510869022504E-2</v>
      </c>
    </row>
    <row r="326" spans="2:3" x14ac:dyDescent="0.2">
      <c r="B326" s="8">
        <v>46081</v>
      </c>
      <c r="C326" s="7">
        <v>4.7344608613039699E-2</v>
      </c>
    </row>
    <row r="327" spans="2:3" x14ac:dyDescent="0.2">
      <c r="B327" s="8">
        <v>46112</v>
      </c>
      <c r="C327" s="7">
        <v>5.4153610416551201E-2</v>
      </c>
    </row>
  </sheetData>
  <hyperlinks>
    <hyperlink ref="F8" r:id="rId1" xr:uid="{95B44680-1C09-1D49-B51B-2E0BFC97EB07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A696-0B67-B84E-861D-165FF628BAD1}">
  <dimension ref="A1:O121"/>
  <sheetViews>
    <sheetView showGridLines="0" topLeftCell="G1" zoomScale="170" workbookViewId="0">
      <selection activeCell="H22" sqref="H22"/>
    </sheetView>
  </sheetViews>
  <sheetFormatPr baseColWidth="10" defaultRowHeight="15" x14ac:dyDescent="0.2"/>
  <cols>
    <col min="1" max="1" width="2" customWidth="1"/>
    <col min="2" max="2" width="31" bestFit="1" customWidth="1"/>
    <col min="3" max="3" width="13.33203125" bestFit="1" customWidth="1"/>
    <col min="4" max="4" width="12.1640625" bestFit="1" customWidth="1"/>
    <col min="5" max="5" width="17.33203125" bestFit="1" customWidth="1"/>
    <col min="7" max="7" width="21" customWidth="1"/>
    <col min="9" max="9" width="19.1640625" customWidth="1"/>
    <col min="10" max="10" width="15" customWidth="1"/>
    <col min="11" max="11" width="30" customWidth="1"/>
    <col min="12" max="12" width="49.83203125" customWidth="1"/>
    <col min="13" max="13" width="28" customWidth="1"/>
    <col min="14" max="14" width="33" customWidth="1"/>
    <col min="15" max="15" width="23.83203125" customWidth="1"/>
  </cols>
  <sheetData>
    <row r="1" spans="1:15" x14ac:dyDescent="0.2">
      <c r="A1" t="s">
        <v>0</v>
      </c>
    </row>
    <row r="2" spans="1:15" x14ac:dyDescent="0.2">
      <c r="B2" s="48" t="s">
        <v>58</v>
      </c>
      <c r="C2" s="48" t="s">
        <v>59</v>
      </c>
      <c r="D2" s="48" t="s">
        <v>60</v>
      </c>
      <c r="E2" s="48" t="s">
        <v>61</v>
      </c>
      <c r="F2" s="48" t="s">
        <v>158</v>
      </c>
      <c r="G2" s="48" t="s">
        <v>159</v>
      </c>
    </row>
    <row r="3" spans="1:15" x14ac:dyDescent="0.2">
      <c r="B3" s="1" t="s">
        <v>62</v>
      </c>
      <c r="C3" s="1">
        <v>88</v>
      </c>
      <c r="D3" s="1">
        <v>1932.8385000000003</v>
      </c>
      <c r="E3" s="1">
        <v>3077.17</v>
      </c>
      <c r="F3" s="1">
        <f>IF(E3&gt;D3,(E3-D3),0)</f>
        <v>1144.3314999999998</v>
      </c>
      <c r="G3" s="7">
        <f>F3/D3</f>
        <v>0.59204713689219224</v>
      </c>
    </row>
    <row r="4" spans="1:15" x14ac:dyDescent="0.2">
      <c r="B4" s="1" t="s">
        <v>63</v>
      </c>
      <c r="C4" s="1">
        <v>67</v>
      </c>
      <c r="D4" s="1">
        <v>6637.3575000000019</v>
      </c>
      <c r="E4" s="1">
        <v>10200.005000000003</v>
      </c>
      <c r="F4" s="1">
        <f t="shared" ref="F4:F67" si="0">IF(E4&gt;D4,(E4-D4),0)</f>
        <v>3562.6475000000009</v>
      </c>
      <c r="G4" s="7">
        <f t="shared" ref="G4:G67" si="1">F4/D4</f>
        <v>0.53675690965870071</v>
      </c>
    </row>
    <row r="5" spans="1:15" x14ac:dyDescent="0.2">
      <c r="B5" s="1" t="s">
        <v>64</v>
      </c>
      <c r="C5" s="1">
        <v>33</v>
      </c>
      <c r="D5" s="1">
        <v>3599.5568999999996</v>
      </c>
      <c r="E5" s="1">
        <v>4566.3709999999992</v>
      </c>
      <c r="F5" s="1">
        <f t="shared" si="0"/>
        <v>966.8140999999996</v>
      </c>
      <c r="G5" s="7">
        <f t="shared" si="1"/>
        <v>0.26859253148630591</v>
      </c>
    </row>
    <row r="6" spans="1:15" x14ac:dyDescent="0.2">
      <c r="B6" s="1" t="s">
        <v>65</v>
      </c>
      <c r="C6" s="1">
        <v>107</v>
      </c>
      <c r="D6" s="1">
        <v>18732.503799999999</v>
      </c>
      <c r="E6" s="1">
        <v>20297.027999999998</v>
      </c>
      <c r="F6" s="1">
        <f t="shared" si="0"/>
        <v>1564.5241999999998</v>
      </c>
      <c r="G6" s="7">
        <f t="shared" si="1"/>
        <v>8.3519225016786061E-2</v>
      </c>
      <c r="K6" s="101"/>
      <c r="L6" s="101"/>
    </row>
    <row r="7" spans="1:15" x14ac:dyDescent="0.2">
      <c r="B7" s="1" t="s">
        <v>66</v>
      </c>
      <c r="C7" s="1">
        <v>32</v>
      </c>
      <c r="D7" s="1">
        <v>19517.7</v>
      </c>
      <c r="E7" s="1">
        <v>31488.920000000002</v>
      </c>
      <c r="F7" s="1">
        <f t="shared" si="0"/>
        <v>11971.220000000001</v>
      </c>
      <c r="G7" s="7">
        <f t="shared" si="1"/>
        <v>0.61335198307177596</v>
      </c>
      <c r="K7" s="101"/>
      <c r="L7" s="101"/>
    </row>
    <row r="8" spans="1:15" x14ac:dyDescent="0.2">
      <c r="B8" s="1" t="s">
        <v>67</v>
      </c>
      <c r="C8" s="1">
        <v>60</v>
      </c>
      <c r="D8" s="1">
        <v>2141.4086000000002</v>
      </c>
      <c r="E8" s="1">
        <v>7805.6909999999989</v>
      </c>
      <c r="F8" s="1">
        <f t="shared" si="0"/>
        <v>5664.2823999999982</v>
      </c>
      <c r="G8" s="7">
        <f t="shared" si="1"/>
        <v>2.6451198524186359</v>
      </c>
      <c r="K8" s="101"/>
      <c r="L8" s="101"/>
    </row>
    <row r="9" spans="1:15" x14ac:dyDescent="0.2">
      <c r="B9" s="1" t="s">
        <v>68</v>
      </c>
      <c r="C9" s="1">
        <v>114</v>
      </c>
      <c r="D9" s="1">
        <v>86808.72480000004</v>
      </c>
      <c r="E9" s="1">
        <v>48894.616999999984</v>
      </c>
      <c r="F9" s="1">
        <f t="shared" si="0"/>
        <v>0</v>
      </c>
      <c r="G9" s="7">
        <f t="shared" si="1"/>
        <v>0</v>
      </c>
    </row>
    <row r="10" spans="1:15" x14ac:dyDescent="0.2">
      <c r="B10" s="1" t="s">
        <v>69</v>
      </c>
      <c r="C10" s="1">
        <v>73</v>
      </c>
      <c r="D10" s="1">
        <v>2395.9139199999991</v>
      </c>
      <c r="E10" s="1">
        <v>1526.8410000000006</v>
      </c>
      <c r="F10" s="1">
        <f t="shared" si="0"/>
        <v>0</v>
      </c>
      <c r="G10" s="7">
        <f t="shared" si="1"/>
        <v>0</v>
      </c>
    </row>
    <row r="11" spans="1:15" x14ac:dyDescent="0.2">
      <c r="B11" s="1" t="s">
        <v>70</v>
      </c>
      <c r="C11" s="1">
        <v>50</v>
      </c>
      <c r="D11" s="1">
        <v>6931.9167999999981</v>
      </c>
      <c r="E11" s="1">
        <v>8947.9449999999979</v>
      </c>
      <c r="F11" s="1">
        <f t="shared" si="0"/>
        <v>2016.0281999999997</v>
      </c>
      <c r="G11" s="7">
        <f t="shared" si="1"/>
        <v>0.29083271743827049</v>
      </c>
    </row>
    <row r="12" spans="1:15" x14ac:dyDescent="0.2">
      <c r="B12" s="1" t="s">
        <v>71</v>
      </c>
      <c r="C12" s="1">
        <v>15</v>
      </c>
      <c r="D12" s="1">
        <v>1539.2699999999998</v>
      </c>
      <c r="E12" s="1">
        <v>1791.3999999999996</v>
      </c>
      <c r="F12" s="1">
        <f t="shared" si="0"/>
        <v>252.12999999999988</v>
      </c>
      <c r="G12" s="7">
        <f t="shared" si="1"/>
        <v>0.16379842392822566</v>
      </c>
      <c r="K12" s="100" t="s">
        <v>176</v>
      </c>
      <c r="L12" s="100"/>
    </row>
    <row r="13" spans="1:15" x14ac:dyDescent="0.2">
      <c r="B13" s="1" t="s">
        <v>72</v>
      </c>
      <c r="C13" s="1">
        <v>21</v>
      </c>
      <c r="D13" s="1">
        <v>1341.8465000000001</v>
      </c>
      <c r="E13" s="1">
        <v>1458.3689999999999</v>
      </c>
      <c r="F13" s="1">
        <f t="shared" si="0"/>
        <v>116.52249999999981</v>
      </c>
      <c r="G13" s="7">
        <f t="shared" si="1"/>
        <v>8.6837428871334985E-2</v>
      </c>
      <c r="K13" s="1" t="s">
        <v>160</v>
      </c>
      <c r="L13" s="37" t="s">
        <v>168</v>
      </c>
    </row>
    <row r="14" spans="1:15" x14ac:dyDescent="0.2">
      <c r="B14" s="1" t="s">
        <v>73</v>
      </c>
      <c r="C14" s="1">
        <v>75</v>
      </c>
      <c r="D14" s="1">
        <v>1401.9416599999995</v>
      </c>
      <c r="E14" s="1">
        <v>1843.9349999999995</v>
      </c>
      <c r="F14" s="1">
        <f t="shared" si="0"/>
        <v>441.99333999999999</v>
      </c>
      <c r="G14" s="7">
        <f t="shared" si="1"/>
        <v>0.31527227744983349</v>
      </c>
      <c r="K14" s="1" t="s">
        <v>162</v>
      </c>
      <c r="L14" s="3">
        <v>0.17330000000000001</v>
      </c>
    </row>
    <row r="15" spans="1:15" x14ac:dyDescent="0.2">
      <c r="B15" s="1" t="s">
        <v>74</v>
      </c>
      <c r="C15" s="1">
        <v>88</v>
      </c>
      <c r="D15" s="1">
        <v>5356.0547200000028</v>
      </c>
      <c r="E15" s="1">
        <v>9666.7860000000019</v>
      </c>
      <c r="F15" s="1">
        <f t="shared" si="0"/>
        <v>4310.7312799999991</v>
      </c>
      <c r="G15" s="7">
        <f t="shared" si="1"/>
        <v>0.80483331581795281</v>
      </c>
      <c r="K15" s="1" t="s">
        <v>161</v>
      </c>
      <c r="L15" s="3">
        <v>0.15240000000000001</v>
      </c>
      <c r="N15" s="106" t="s">
        <v>172</v>
      </c>
      <c r="O15" s="106"/>
    </row>
    <row r="16" spans="1:15" x14ac:dyDescent="0.2">
      <c r="B16" s="1" t="s">
        <v>75</v>
      </c>
      <c r="C16" s="1">
        <v>183</v>
      </c>
      <c r="D16" s="1">
        <v>6383.3046039999954</v>
      </c>
      <c r="E16" s="1">
        <v>10311.511999999995</v>
      </c>
      <c r="F16" s="1">
        <f t="shared" si="0"/>
        <v>3928.2073959999998</v>
      </c>
      <c r="G16" s="7">
        <f t="shared" si="1"/>
        <v>0.61538774031533006</v>
      </c>
      <c r="K16" s="1" t="s">
        <v>163</v>
      </c>
      <c r="L16" s="3">
        <v>0.115</v>
      </c>
      <c r="N16" t="s">
        <v>172</v>
      </c>
      <c r="O16" s="5">
        <f>SUMPRODUCT(N28:N121,O28:O121)</f>
        <v>0.72936160247459503</v>
      </c>
    </row>
    <row r="17" spans="2:15" x14ac:dyDescent="0.2">
      <c r="B17" s="1" t="s">
        <v>76</v>
      </c>
      <c r="C17" s="1">
        <v>3</v>
      </c>
      <c r="D17" s="1">
        <v>1.07</v>
      </c>
      <c r="E17" s="1">
        <v>1.07</v>
      </c>
      <c r="F17" s="1">
        <f t="shared" si="0"/>
        <v>0</v>
      </c>
      <c r="G17" s="7">
        <f t="shared" si="1"/>
        <v>0</v>
      </c>
      <c r="K17" s="1" t="s">
        <v>164</v>
      </c>
      <c r="L17" s="3">
        <v>0.1076</v>
      </c>
    </row>
    <row r="18" spans="2:15" x14ac:dyDescent="0.2">
      <c r="B18" s="1" t="s">
        <v>77</v>
      </c>
      <c r="C18" s="1">
        <v>62</v>
      </c>
      <c r="D18" s="1">
        <v>267.18499999999995</v>
      </c>
      <c r="E18" s="1">
        <v>179.92099999999999</v>
      </c>
      <c r="F18" s="1">
        <f t="shared" si="0"/>
        <v>0</v>
      </c>
      <c r="G18" s="7">
        <f t="shared" si="1"/>
        <v>0</v>
      </c>
      <c r="K18" s="1" t="s">
        <v>169</v>
      </c>
      <c r="L18" s="3">
        <v>0.1037</v>
      </c>
    </row>
    <row r="19" spans="2:15" x14ac:dyDescent="0.2">
      <c r="B19" s="1" t="s">
        <v>78</v>
      </c>
      <c r="C19" s="1">
        <v>7</v>
      </c>
      <c r="D19" s="1">
        <v>4028.3</v>
      </c>
      <c r="E19" s="1">
        <v>5012.6000000000004</v>
      </c>
      <c r="F19" s="1">
        <f t="shared" si="0"/>
        <v>984.30000000000018</v>
      </c>
      <c r="G19" s="7">
        <f t="shared" si="1"/>
        <v>0.24434625027927417</v>
      </c>
      <c r="K19" s="1" t="s">
        <v>165</v>
      </c>
      <c r="L19" s="3">
        <v>8.4699999999999998E-2</v>
      </c>
    </row>
    <row r="20" spans="2:15" x14ac:dyDescent="0.2">
      <c r="B20" s="1" t="s">
        <v>79</v>
      </c>
      <c r="C20" s="1">
        <v>98</v>
      </c>
      <c r="D20" s="1">
        <v>10094.6505</v>
      </c>
      <c r="E20" s="1">
        <v>15848.774999999998</v>
      </c>
      <c r="F20" s="1">
        <f t="shared" si="0"/>
        <v>5754.1244999999981</v>
      </c>
      <c r="G20" s="7">
        <f t="shared" si="1"/>
        <v>0.57001720861955529</v>
      </c>
      <c r="K20" s="1" t="s">
        <v>166</v>
      </c>
      <c r="L20" s="3">
        <v>5.5300000000000002E-2</v>
      </c>
    </row>
    <row r="21" spans="2:15" x14ac:dyDescent="0.2">
      <c r="B21" s="1" t="s">
        <v>80</v>
      </c>
      <c r="C21" s="1">
        <v>14</v>
      </c>
      <c r="D21" s="1">
        <v>81.918999999999997</v>
      </c>
      <c r="E21" s="1">
        <v>35.344000000000001</v>
      </c>
      <c r="F21" s="1">
        <f t="shared" si="0"/>
        <v>0</v>
      </c>
      <c r="G21" s="7">
        <f t="shared" si="1"/>
        <v>0</v>
      </c>
      <c r="K21" s="1" t="s">
        <v>167</v>
      </c>
      <c r="L21" s="3">
        <v>0.20799999999999999</v>
      </c>
    </row>
    <row r="22" spans="2:15" x14ac:dyDescent="0.2">
      <c r="B22" s="1" t="s">
        <v>81</v>
      </c>
      <c r="C22" s="1">
        <v>213</v>
      </c>
      <c r="D22" s="1">
        <v>5680.9383500000013</v>
      </c>
      <c r="E22" s="1">
        <v>11890.389000000003</v>
      </c>
      <c r="F22" s="1">
        <f t="shared" si="0"/>
        <v>6209.4506500000016</v>
      </c>
      <c r="G22" s="7">
        <f t="shared" si="1"/>
        <v>1.0930325709308217</v>
      </c>
    </row>
    <row r="23" spans="2:15" x14ac:dyDescent="0.2">
      <c r="B23" s="1" t="s">
        <v>82</v>
      </c>
      <c r="C23" s="1">
        <v>42</v>
      </c>
      <c r="D23" s="1">
        <v>269.27480000000003</v>
      </c>
      <c r="E23" s="1">
        <v>877.904</v>
      </c>
      <c r="F23" s="1">
        <f t="shared" si="0"/>
        <v>608.62919999999997</v>
      </c>
      <c r="G23" s="7">
        <f t="shared" si="1"/>
        <v>2.2602530946081845</v>
      </c>
    </row>
    <row r="24" spans="2:15" x14ac:dyDescent="0.2">
      <c r="B24" s="1" t="s">
        <v>83</v>
      </c>
      <c r="C24" s="1">
        <v>118</v>
      </c>
      <c r="D24" s="1">
        <v>11719.378899999992</v>
      </c>
      <c r="E24" s="1">
        <v>16587.812999999995</v>
      </c>
      <c r="F24" s="1">
        <f t="shared" si="0"/>
        <v>4868.4341000000022</v>
      </c>
      <c r="G24" s="7">
        <f t="shared" si="1"/>
        <v>0.41541741602022997</v>
      </c>
    </row>
    <row r="25" spans="2:15" x14ac:dyDescent="0.2">
      <c r="B25" s="1" t="s">
        <v>84</v>
      </c>
      <c r="C25" s="1">
        <v>72</v>
      </c>
      <c r="D25" s="1">
        <v>9906.133799999996</v>
      </c>
      <c r="E25" s="1">
        <v>13362.527999999997</v>
      </c>
      <c r="F25" s="1">
        <f t="shared" si="0"/>
        <v>3456.3942000000006</v>
      </c>
      <c r="G25" s="7">
        <f t="shared" si="1"/>
        <v>0.34891454827714946</v>
      </c>
    </row>
    <row r="26" spans="2:15" ht="16" thickBot="1" x14ac:dyDescent="0.25">
      <c r="B26" s="1" t="s">
        <v>85</v>
      </c>
      <c r="C26" s="1">
        <v>219</v>
      </c>
      <c r="D26" s="1">
        <v>118.66</v>
      </c>
      <c r="E26" s="1">
        <v>1840.5150000000001</v>
      </c>
      <c r="F26" s="1">
        <f t="shared" si="0"/>
        <v>1721.855</v>
      </c>
      <c r="G26" s="7">
        <f t="shared" si="1"/>
        <v>14.510829260070791</v>
      </c>
    </row>
    <row r="27" spans="2:15" x14ac:dyDescent="0.2">
      <c r="B27" s="1" t="s">
        <v>86</v>
      </c>
      <c r="C27" s="1">
        <v>123</v>
      </c>
      <c r="D27" s="1">
        <v>34041.097200000011</v>
      </c>
      <c r="E27" s="1">
        <v>46443.833000000013</v>
      </c>
      <c r="F27" s="1">
        <f t="shared" si="0"/>
        <v>12402.735800000002</v>
      </c>
      <c r="G27" s="7">
        <f t="shared" si="1"/>
        <v>0.36434594711007134</v>
      </c>
      <c r="K27" s="38" t="s">
        <v>174</v>
      </c>
      <c r="L27" s="39" t="s">
        <v>170</v>
      </c>
      <c r="M27" s="39" t="s">
        <v>171</v>
      </c>
      <c r="N27" s="39" t="s">
        <v>173</v>
      </c>
      <c r="O27" s="40" t="s">
        <v>175</v>
      </c>
    </row>
    <row r="28" spans="2:15" x14ac:dyDescent="0.2">
      <c r="B28" s="1" t="s">
        <v>87</v>
      </c>
      <c r="C28" s="1">
        <v>20</v>
      </c>
      <c r="D28" s="1">
        <v>250.61744000000002</v>
      </c>
      <c r="E28" s="1">
        <v>922.09699999999987</v>
      </c>
      <c r="F28" s="1">
        <f t="shared" si="0"/>
        <v>671.47955999999988</v>
      </c>
      <c r="G28" s="7">
        <f t="shared" si="1"/>
        <v>2.6793010095386811</v>
      </c>
      <c r="K28" s="102" t="s">
        <v>164</v>
      </c>
      <c r="L28" s="41" t="s">
        <v>66</v>
      </c>
      <c r="M28" s="42" cm="1">
        <f t="array" ref="M28">_xlfn.XLOOKUP(L28,$B$2:B98,$G$2:G98)</f>
        <v>0.61335198307177596</v>
      </c>
      <c r="N28" s="92">
        <f>TRIMMEAN(M28:M30,0.05)</f>
        <v>1.1337719027673769</v>
      </c>
      <c r="O28" s="103">
        <f>VLOOKUP(K28,$K$13:$L$21,2,TRUE)</f>
        <v>0.1076</v>
      </c>
    </row>
    <row r="29" spans="2:15" x14ac:dyDescent="0.2">
      <c r="B29" s="1" t="s">
        <v>88</v>
      </c>
      <c r="C29" s="1">
        <v>151</v>
      </c>
      <c r="D29" s="1">
        <v>7266.6817399999982</v>
      </c>
      <c r="E29" s="1">
        <v>11400.366</v>
      </c>
      <c r="F29" s="1">
        <f t="shared" si="0"/>
        <v>4133.6842600000018</v>
      </c>
      <c r="G29" s="7">
        <f t="shared" si="1"/>
        <v>0.5688544521285176</v>
      </c>
      <c r="K29" s="102"/>
      <c r="L29" s="41" t="s">
        <v>67</v>
      </c>
      <c r="M29" s="42" cm="1">
        <f t="array" ref="M29">_xlfn.XLOOKUP(L29,$B$2:B99,$G$2:G99)</f>
        <v>2.6451198524186359</v>
      </c>
      <c r="N29" s="93"/>
      <c r="O29" s="103"/>
    </row>
    <row r="30" spans="2:15" x14ac:dyDescent="0.2">
      <c r="B30" s="1" t="s">
        <v>89</v>
      </c>
      <c r="C30" s="1">
        <v>20</v>
      </c>
      <c r="D30" s="1">
        <v>600.23199999999997</v>
      </c>
      <c r="E30" s="1">
        <v>683.65599999999995</v>
      </c>
      <c r="F30" s="1">
        <f t="shared" si="0"/>
        <v>83.423999999999978</v>
      </c>
      <c r="G30" s="7">
        <f t="shared" si="1"/>
        <v>0.13898625864665659</v>
      </c>
      <c r="K30" s="102"/>
      <c r="L30" s="41" t="s">
        <v>138</v>
      </c>
      <c r="M30" s="42" cm="1">
        <f t="array" ref="M30">_xlfn.XLOOKUP(L30,$B$2:B100,$G$2:G100)</f>
        <v>0.14284387281171854</v>
      </c>
      <c r="N30" s="93"/>
      <c r="O30" s="103"/>
    </row>
    <row r="31" spans="2:15" x14ac:dyDescent="0.2">
      <c r="B31" s="1" t="s">
        <v>90</v>
      </c>
      <c r="C31" s="1">
        <v>151</v>
      </c>
      <c r="D31" s="1">
        <v>2071.8273000000004</v>
      </c>
      <c r="E31" s="1">
        <v>4361.1379999999999</v>
      </c>
      <c r="F31" s="1">
        <f t="shared" si="0"/>
        <v>2289.3106999999995</v>
      </c>
      <c r="G31" s="7">
        <f t="shared" si="1"/>
        <v>1.1049717802251178</v>
      </c>
      <c r="K31" s="102" t="s">
        <v>161</v>
      </c>
      <c r="L31" s="41" t="s">
        <v>77</v>
      </c>
      <c r="M31" s="42" cm="1">
        <f t="array" ref="M31">_xlfn.XLOOKUP(L31,$B$2:B101,$G$2:G101)</f>
        <v>0</v>
      </c>
      <c r="N31" s="92">
        <f>TRIMMEAN(M31:M33,0.05)</f>
        <v>0.27145448629960983</v>
      </c>
      <c r="O31" s="104">
        <f>L15</f>
        <v>0.15240000000000001</v>
      </c>
    </row>
    <row r="32" spans="2:15" x14ac:dyDescent="0.2">
      <c r="B32" s="1" t="s">
        <v>91</v>
      </c>
      <c r="C32" s="1">
        <v>158</v>
      </c>
      <c r="D32" s="1">
        <v>8409.853439999999</v>
      </c>
      <c r="E32" s="1">
        <v>12033.324000000001</v>
      </c>
      <c r="F32" s="1">
        <f t="shared" si="0"/>
        <v>3623.4705600000016</v>
      </c>
      <c r="G32" s="7">
        <f t="shared" si="1"/>
        <v>0.43086013161247222</v>
      </c>
      <c r="K32" s="102"/>
      <c r="L32" s="41" t="s">
        <v>78</v>
      </c>
      <c r="M32" s="42" cm="1">
        <f t="array" ref="M32">_xlfn.XLOOKUP(L32,$B$2:B102,$G$2:G102)</f>
        <v>0.24434625027927417</v>
      </c>
      <c r="N32" s="93"/>
      <c r="O32" s="105"/>
    </row>
    <row r="33" spans="2:15" x14ac:dyDescent="0.2">
      <c r="B33" s="1" t="s">
        <v>92</v>
      </c>
      <c r="C33" s="1">
        <v>201</v>
      </c>
      <c r="D33" s="1">
        <v>2054.8639000000003</v>
      </c>
      <c r="E33" s="1">
        <v>2513.5930000000003</v>
      </c>
      <c r="F33" s="1">
        <f t="shared" si="0"/>
        <v>458.72910000000002</v>
      </c>
      <c r="G33" s="7">
        <f t="shared" si="1"/>
        <v>0.22324062435473219</v>
      </c>
      <c r="K33" s="102"/>
      <c r="L33" s="41" t="s">
        <v>79</v>
      </c>
      <c r="M33" s="42" cm="1">
        <f t="array" ref="M33">_xlfn.XLOOKUP(L33,$B$2:B103,$G$2:G103)</f>
        <v>0.57001720861955529</v>
      </c>
      <c r="N33" s="93"/>
      <c r="O33" s="105"/>
    </row>
    <row r="34" spans="2:15" x14ac:dyDescent="0.2">
      <c r="B34" s="1" t="s">
        <v>93</v>
      </c>
      <c r="C34" s="1">
        <v>51</v>
      </c>
      <c r="D34" s="1">
        <v>558.09470000000022</v>
      </c>
      <c r="E34" s="1">
        <v>804.70600000000013</v>
      </c>
      <c r="F34" s="1">
        <f t="shared" si="0"/>
        <v>246.61129999999991</v>
      </c>
      <c r="G34" s="7">
        <f t="shared" si="1"/>
        <v>0.44188074174508346</v>
      </c>
      <c r="K34" s="102" t="s">
        <v>162</v>
      </c>
      <c r="L34" s="41" t="s">
        <v>63</v>
      </c>
      <c r="M34" s="42" cm="1">
        <f t="array" ref="M34">_xlfn.XLOOKUP(L34,$B$2:B104,$G$2:G104)</f>
        <v>0.53675690965870071</v>
      </c>
      <c r="N34" s="92">
        <f>TRIMMEAN(M34:M47,0.05)</f>
        <v>0.36891816944316441</v>
      </c>
      <c r="O34" s="97">
        <f>L14</f>
        <v>0.17330000000000001</v>
      </c>
    </row>
    <row r="35" spans="2:15" x14ac:dyDescent="0.2">
      <c r="B35" s="1" t="s">
        <v>94</v>
      </c>
      <c r="C35" s="1">
        <v>48</v>
      </c>
      <c r="D35" s="1">
        <v>1343.0170700000001</v>
      </c>
      <c r="E35" s="1">
        <v>2489.1839999999997</v>
      </c>
      <c r="F35" s="1">
        <f t="shared" si="0"/>
        <v>1146.1669299999996</v>
      </c>
      <c r="G35" s="7">
        <f t="shared" si="1"/>
        <v>0.85342692628620098</v>
      </c>
      <c r="K35" s="102"/>
      <c r="L35" s="41" t="s">
        <v>74</v>
      </c>
      <c r="M35" s="42" cm="1">
        <f t="array" ref="M35">_xlfn.XLOOKUP(L35,$B$2:B105,$G$2:G105)</f>
        <v>0.80483331581795281</v>
      </c>
      <c r="N35" s="93"/>
      <c r="O35" s="98"/>
    </row>
    <row r="36" spans="2:15" x14ac:dyDescent="0.2">
      <c r="B36" s="1" t="s">
        <v>95</v>
      </c>
      <c r="C36" s="1">
        <v>147</v>
      </c>
      <c r="D36" s="1">
        <v>8386.0802000000058</v>
      </c>
      <c r="E36" s="1">
        <v>12301.124</v>
      </c>
      <c r="F36" s="1">
        <f t="shared" si="0"/>
        <v>3915.043799999994</v>
      </c>
      <c r="G36" s="7">
        <f t="shared" si="1"/>
        <v>0.46685026933083601</v>
      </c>
      <c r="K36" s="102"/>
      <c r="L36" s="41" t="s">
        <v>83</v>
      </c>
      <c r="M36" s="42" cm="1">
        <f t="array" ref="M36">_xlfn.XLOOKUP(L36,$B$2:B106,$G$2:G106)</f>
        <v>0.41541741602022997</v>
      </c>
      <c r="N36" s="93"/>
      <c r="O36" s="98"/>
    </row>
    <row r="37" spans="2:15" x14ac:dyDescent="0.2">
      <c r="B37" s="1" t="s">
        <v>96</v>
      </c>
      <c r="C37" s="1">
        <v>178</v>
      </c>
      <c r="D37" s="1">
        <v>15818.514500000001</v>
      </c>
      <c r="E37" s="1">
        <v>23951.348000000005</v>
      </c>
      <c r="F37" s="1">
        <f t="shared" si="0"/>
        <v>8132.8335000000043</v>
      </c>
      <c r="G37" s="7">
        <f t="shared" si="1"/>
        <v>0.5141338334898643</v>
      </c>
      <c r="K37" s="102"/>
      <c r="L37" s="41" t="s">
        <v>88</v>
      </c>
      <c r="M37" s="42" cm="1">
        <f t="array" ref="M37">_xlfn.XLOOKUP(L37,$B$2:B107,$G$2:G107)</f>
        <v>0.5688544521285176</v>
      </c>
      <c r="N37" s="93"/>
      <c r="O37" s="98"/>
    </row>
    <row r="38" spans="2:15" x14ac:dyDescent="0.2">
      <c r="B38" s="1" t="s">
        <v>97</v>
      </c>
      <c r="C38" s="1">
        <v>12</v>
      </c>
      <c r="D38" s="1">
        <v>300.41499999999996</v>
      </c>
      <c r="E38" s="1">
        <v>316.24999999999994</v>
      </c>
      <c r="F38" s="1">
        <f t="shared" si="0"/>
        <v>15.83499999999998</v>
      </c>
      <c r="G38" s="7">
        <f t="shared" si="1"/>
        <v>5.2710417256128961E-2</v>
      </c>
      <c r="K38" s="102"/>
      <c r="L38" s="41" t="s">
        <v>91</v>
      </c>
      <c r="M38" s="42" cm="1">
        <f t="array" ref="M38">_xlfn.XLOOKUP(L38,$B$2:B108,$G$2:G108)</f>
        <v>0.43086013161247222</v>
      </c>
      <c r="N38" s="93"/>
      <c r="O38" s="98"/>
    </row>
    <row r="39" spans="2:15" x14ac:dyDescent="0.2">
      <c r="B39" s="1" t="s">
        <v>98</v>
      </c>
      <c r="C39" s="1">
        <v>52</v>
      </c>
      <c r="D39" s="1">
        <v>407.42755999999997</v>
      </c>
      <c r="E39" s="1">
        <v>514.48500000000001</v>
      </c>
      <c r="F39" s="1">
        <f t="shared" si="0"/>
        <v>107.05744000000004</v>
      </c>
      <c r="G39" s="7">
        <f t="shared" si="1"/>
        <v>0.26276435496901596</v>
      </c>
      <c r="K39" s="102"/>
      <c r="L39" s="41" t="s">
        <v>112</v>
      </c>
      <c r="M39" s="42" cm="1">
        <f t="array" ref="M39">_xlfn.XLOOKUP(L39,$B$2:B109,$G$2:G109)</f>
        <v>0.14227208017473184</v>
      </c>
      <c r="N39" s="93"/>
      <c r="O39" s="98"/>
    </row>
    <row r="40" spans="2:15" x14ac:dyDescent="0.2">
      <c r="B40" s="1" t="s">
        <v>99</v>
      </c>
      <c r="C40" s="1">
        <v>63</v>
      </c>
      <c r="D40" s="1">
        <v>862.48860000000025</v>
      </c>
      <c r="E40" s="1">
        <v>1888.0509999999999</v>
      </c>
      <c r="F40" s="1">
        <f t="shared" si="0"/>
        <v>1025.5623999999998</v>
      </c>
      <c r="G40" s="7">
        <f t="shared" si="1"/>
        <v>1.1890735715231477</v>
      </c>
      <c r="K40" s="102"/>
      <c r="L40" s="41" t="s">
        <v>119</v>
      </c>
      <c r="M40" s="42" cm="1">
        <f t="array" ref="M40">_xlfn.XLOOKUP(L40,$B$2:B110,$G$2:G110)</f>
        <v>4.8380376224535934E-2</v>
      </c>
      <c r="N40" s="93"/>
      <c r="O40" s="98"/>
    </row>
    <row r="41" spans="2:15" x14ac:dyDescent="0.2">
      <c r="B41" s="1" t="s">
        <v>100</v>
      </c>
      <c r="C41" s="1">
        <v>172</v>
      </c>
      <c r="D41" s="1">
        <v>8564.2615299999998</v>
      </c>
      <c r="E41" s="1">
        <v>14043.754999999997</v>
      </c>
      <c r="F41" s="1">
        <f t="shared" si="0"/>
        <v>5479.4934699999976</v>
      </c>
      <c r="G41" s="7">
        <f t="shared" si="1"/>
        <v>0.63980921773648802</v>
      </c>
      <c r="K41" s="102"/>
      <c r="L41" s="41" t="s">
        <v>120</v>
      </c>
      <c r="M41" s="42" cm="1">
        <f t="array" ref="M41">_xlfn.XLOOKUP(L41,$B$2:B111,$G$2:G111)</f>
        <v>4.2649150926653633E-2</v>
      </c>
      <c r="N41" s="93"/>
      <c r="O41" s="98"/>
    </row>
    <row r="42" spans="2:15" x14ac:dyDescent="0.2">
      <c r="B42" s="1" t="s">
        <v>101</v>
      </c>
      <c r="C42" s="1">
        <v>43</v>
      </c>
      <c r="D42" s="1">
        <v>753.30600000000004</v>
      </c>
      <c r="E42" s="1">
        <v>785.30500000000006</v>
      </c>
      <c r="F42" s="1">
        <f t="shared" si="0"/>
        <v>31.999000000000024</v>
      </c>
      <c r="G42" s="7">
        <f t="shared" si="1"/>
        <v>4.2478089912996869E-2</v>
      </c>
      <c r="K42" s="102"/>
      <c r="L42" s="41" t="s">
        <v>141</v>
      </c>
      <c r="M42" s="42" cm="1">
        <f t="array" ref="M42">_xlfn.XLOOKUP(L42,$B$2:B112,$G$2:G112)</f>
        <v>0.24633370847417987</v>
      </c>
      <c r="N42" s="93"/>
      <c r="O42" s="98"/>
    </row>
    <row r="43" spans="2:15" x14ac:dyDescent="0.2">
      <c r="B43" s="1" t="s">
        <v>102</v>
      </c>
      <c r="C43" s="1">
        <v>94</v>
      </c>
      <c r="D43" s="1">
        <v>1060.0283999999999</v>
      </c>
      <c r="E43" s="1">
        <v>2920.9780000000001</v>
      </c>
      <c r="F43" s="1">
        <f t="shared" si="0"/>
        <v>1860.9496000000001</v>
      </c>
      <c r="G43" s="7">
        <f t="shared" si="1"/>
        <v>1.7555657942749461</v>
      </c>
      <c r="K43" s="102"/>
      <c r="L43" s="41" t="s">
        <v>95</v>
      </c>
      <c r="M43" s="42" cm="1">
        <f t="array" ref="M43">_xlfn.XLOOKUP(L43,$B$2:B113,$G$2:G113)</f>
        <v>0.46685026933083601</v>
      </c>
      <c r="N43" s="93"/>
      <c r="O43" s="98"/>
    </row>
    <row r="44" spans="2:15" x14ac:dyDescent="0.2">
      <c r="B44" s="1" t="s">
        <v>103</v>
      </c>
      <c r="C44" s="1">
        <v>38</v>
      </c>
      <c r="D44" s="1">
        <v>1769.8783999999994</v>
      </c>
      <c r="E44" s="1">
        <v>2066.7989999999995</v>
      </c>
      <c r="F44" s="1">
        <f t="shared" si="0"/>
        <v>296.92060000000015</v>
      </c>
      <c r="G44" s="7">
        <f t="shared" si="1"/>
        <v>0.16776327684433023</v>
      </c>
      <c r="K44" s="102"/>
      <c r="L44" s="41" t="s">
        <v>108</v>
      </c>
      <c r="M44" s="42" cm="1">
        <f t="array" ref="M44">_xlfn.XLOOKUP(L44,$B$2:B114,$G$2:G114)</f>
        <v>0.33115567485249714</v>
      </c>
      <c r="N44" s="93"/>
      <c r="O44" s="98"/>
    </row>
    <row r="45" spans="2:15" x14ac:dyDescent="0.2">
      <c r="B45" s="1" t="s">
        <v>104</v>
      </c>
      <c r="C45" s="1">
        <v>28</v>
      </c>
      <c r="D45" s="1">
        <v>231.74100000000001</v>
      </c>
      <c r="E45" s="1">
        <v>356.899</v>
      </c>
      <c r="F45" s="1">
        <f t="shared" si="0"/>
        <v>125.15799999999999</v>
      </c>
      <c r="G45" s="7">
        <f t="shared" si="1"/>
        <v>0.54007706879663064</v>
      </c>
      <c r="K45" s="102"/>
      <c r="L45" s="41" t="s">
        <v>109</v>
      </c>
      <c r="M45" s="42" cm="1">
        <f t="array" ref="M45">_xlfn.XLOOKUP(L45,$B$2:B115,$G$2:G115)</f>
        <v>0.47229096224437994</v>
      </c>
      <c r="N45" s="93"/>
      <c r="O45" s="98"/>
    </row>
    <row r="46" spans="2:15" x14ac:dyDescent="0.2">
      <c r="B46" s="1" t="s">
        <v>105</v>
      </c>
      <c r="C46" s="1">
        <v>106</v>
      </c>
      <c r="D46" s="1">
        <v>3466.0592000000011</v>
      </c>
      <c r="E46" s="1">
        <v>8329.4650000000001</v>
      </c>
      <c r="F46" s="1">
        <f t="shared" si="0"/>
        <v>4863.4057999999986</v>
      </c>
      <c r="G46" s="7">
        <f t="shared" si="1"/>
        <v>1.4031513945289789</v>
      </c>
      <c r="K46" s="102"/>
      <c r="L46" s="41" t="s">
        <v>110</v>
      </c>
      <c r="M46" s="42" cm="1">
        <f t="array" ref="M46">_xlfn.XLOOKUP(L46,$B$2:B116,$G$2:G116)</f>
        <v>0.65819992473861433</v>
      </c>
      <c r="N46" s="93"/>
      <c r="O46" s="98"/>
    </row>
    <row r="47" spans="2:15" x14ac:dyDescent="0.2">
      <c r="B47" s="1" t="s">
        <v>106</v>
      </c>
      <c r="C47" s="1">
        <v>69</v>
      </c>
      <c r="D47" s="1">
        <v>12367.262637000002</v>
      </c>
      <c r="E47" s="1">
        <v>14947.028000000002</v>
      </c>
      <c r="F47" s="1">
        <f t="shared" si="0"/>
        <v>2579.7653630000004</v>
      </c>
      <c r="G47" s="7">
        <f t="shared" si="1"/>
        <v>0.20859631098008194</v>
      </c>
      <c r="K47" s="102"/>
      <c r="L47" s="41" t="s">
        <v>129</v>
      </c>
      <c r="M47" s="42" cm="1">
        <f t="array" ref="M47">_xlfn.XLOOKUP(L47,$B$2:B117,$G$2:G117)</f>
        <v>0</v>
      </c>
      <c r="N47" s="93"/>
      <c r="O47" s="98"/>
    </row>
    <row r="48" spans="2:15" x14ac:dyDescent="0.2">
      <c r="B48" s="1" t="s">
        <v>107</v>
      </c>
      <c r="C48" s="1">
        <v>5</v>
      </c>
      <c r="D48" s="1">
        <v>247.5</v>
      </c>
      <c r="E48" s="1">
        <v>710.4</v>
      </c>
      <c r="F48" s="1">
        <f t="shared" si="0"/>
        <v>462.9</v>
      </c>
      <c r="G48" s="7">
        <f t="shared" si="1"/>
        <v>1.8703030303030301</v>
      </c>
      <c r="K48" s="102" t="s">
        <v>167</v>
      </c>
      <c r="L48" s="41" t="s">
        <v>62</v>
      </c>
      <c r="M48" s="42" cm="1">
        <f t="array" ref="M48">_xlfn.XLOOKUP(L48,$B$2:B118,$G$2:G118)</f>
        <v>0.59204713689219224</v>
      </c>
      <c r="N48" s="94">
        <f>TRIMMEAN(M48:M106,0.05)</f>
        <v>0.46302674869881649</v>
      </c>
      <c r="O48" s="97">
        <f>L21</f>
        <v>0.20799999999999999</v>
      </c>
    </row>
    <row r="49" spans="2:15" x14ac:dyDescent="0.2">
      <c r="B49" s="1" t="s">
        <v>108</v>
      </c>
      <c r="C49" s="1">
        <v>37</v>
      </c>
      <c r="D49" s="1">
        <v>18416.417000000001</v>
      </c>
      <c r="E49" s="1">
        <v>24515.118000000002</v>
      </c>
      <c r="F49" s="1">
        <f t="shared" si="0"/>
        <v>6098.7010000000009</v>
      </c>
      <c r="G49" s="7">
        <f t="shared" si="1"/>
        <v>0.33115567485249714</v>
      </c>
      <c r="K49" s="102"/>
      <c r="L49" s="41" t="s">
        <v>64</v>
      </c>
      <c r="M49" s="42" cm="1">
        <f t="array" ref="M49">_xlfn.XLOOKUP(L49,$B$2:B119,$G$2:G119)</f>
        <v>0.26859253148630591</v>
      </c>
      <c r="N49" s="94"/>
      <c r="O49" s="98"/>
    </row>
    <row r="50" spans="2:15" x14ac:dyDescent="0.2">
      <c r="B50" s="1" t="s">
        <v>109</v>
      </c>
      <c r="C50" s="1">
        <v>16</v>
      </c>
      <c r="D50" s="1">
        <v>6009.3569999999991</v>
      </c>
      <c r="E50" s="1">
        <v>8847.521999999999</v>
      </c>
      <c r="F50" s="1">
        <f t="shared" si="0"/>
        <v>2838.165</v>
      </c>
      <c r="G50" s="7">
        <f t="shared" si="1"/>
        <v>0.47229096224437994</v>
      </c>
      <c r="K50" s="102"/>
      <c r="L50" s="41" t="s">
        <v>65</v>
      </c>
      <c r="M50" s="42" cm="1">
        <f t="array" ref="M50">_xlfn.XLOOKUP(L50,$B$2:B120,$G$2:G120)</f>
        <v>8.3519225016786061E-2</v>
      </c>
      <c r="N50" s="94"/>
      <c r="O50" s="98"/>
    </row>
    <row r="51" spans="2:15" x14ac:dyDescent="0.2">
      <c r="B51" s="1" t="s">
        <v>110</v>
      </c>
      <c r="C51" s="1">
        <v>19</v>
      </c>
      <c r="D51" s="1">
        <v>4065.8300000000004</v>
      </c>
      <c r="E51" s="1">
        <v>6741.9590000000007</v>
      </c>
      <c r="F51" s="1">
        <f t="shared" si="0"/>
        <v>2676.1290000000004</v>
      </c>
      <c r="G51" s="7">
        <f t="shared" si="1"/>
        <v>0.65819992473861433</v>
      </c>
      <c r="K51" s="102"/>
      <c r="L51" s="41" t="s">
        <v>68</v>
      </c>
      <c r="M51" s="42" cm="1">
        <f t="array" ref="M51">_xlfn.XLOOKUP(L51,$B$2:B121,$G$2:G121)</f>
        <v>0</v>
      </c>
      <c r="N51" s="94"/>
      <c r="O51" s="98"/>
    </row>
    <row r="52" spans="2:15" x14ac:dyDescent="0.2">
      <c r="B52" s="1" t="s">
        <v>111</v>
      </c>
      <c r="C52" s="1">
        <v>354</v>
      </c>
      <c r="D52" s="1">
        <v>8950.6217189999988</v>
      </c>
      <c r="E52" s="1">
        <v>10805.145</v>
      </c>
      <c r="F52" s="1">
        <f t="shared" si="0"/>
        <v>1854.5232810000016</v>
      </c>
      <c r="G52" s="7">
        <f t="shared" si="1"/>
        <v>0.20719491217725117</v>
      </c>
      <c r="K52" s="102"/>
      <c r="L52" s="41" t="s">
        <v>69</v>
      </c>
      <c r="M52" s="42" cm="1">
        <f t="array" ref="M52">_xlfn.XLOOKUP(L52,$B$2:B122,$G$2:G122)</f>
        <v>0</v>
      </c>
      <c r="N52" s="94"/>
      <c r="O52" s="98"/>
    </row>
    <row r="53" spans="2:15" x14ac:dyDescent="0.2">
      <c r="B53" s="1" t="s">
        <v>112</v>
      </c>
      <c r="C53" s="1">
        <v>215</v>
      </c>
      <c r="D53" s="1">
        <v>8026.3731899999966</v>
      </c>
      <c r="E53" s="1">
        <v>9168.3019999999942</v>
      </c>
      <c r="F53" s="1">
        <f t="shared" si="0"/>
        <v>1141.9288099999976</v>
      </c>
      <c r="G53" s="7">
        <f t="shared" si="1"/>
        <v>0.14227208017473184</v>
      </c>
      <c r="K53" s="102"/>
      <c r="L53" s="41" t="s">
        <v>70</v>
      </c>
      <c r="M53" s="42" cm="1">
        <f t="array" ref="M53">_xlfn.XLOOKUP(L53,$B$2:B123,$G$2:G123)</f>
        <v>0.29083271743827049</v>
      </c>
      <c r="N53" s="94"/>
      <c r="O53" s="98"/>
    </row>
    <row r="54" spans="2:15" x14ac:dyDescent="0.2">
      <c r="B54" s="1" t="s">
        <v>113</v>
      </c>
      <c r="C54" s="1">
        <v>117</v>
      </c>
      <c r="D54" s="1">
        <v>13288.583200000003</v>
      </c>
      <c r="E54" s="1">
        <v>15924.641000000003</v>
      </c>
      <c r="F54" s="1">
        <f t="shared" si="0"/>
        <v>2636.0578000000005</v>
      </c>
      <c r="G54" s="7">
        <f t="shared" si="1"/>
        <v>0.19837011668783472</v>
      </c>
      <c r="K54" s="102"/>
      <c r="L54" s="41" t="s">
        <v>71</v>
      </c>
      <c r="M54" s="42" cm="1">
        <f t="array" ref="M54">_xlfn.XLOOKUP(L54,$B$2:B124,$G$2:G124)</f>
        <v>0.16379842392822566</v>
      </c>
      <c r="N54" s="94"/>
      <c r="O54" s="98"/>
    </row>
    <row r="55" spans="2:15" x14ac:dyDescent="0.2">
      <c r="B55" s="1" t="s">
        <v>114</v>
      </c>
      <c r="C55" s="1">
        <v>20</v>
      </c>
      <c r="D55" s="1">
        <v>257.12700000000001</v>
      </c>
      <c r="E55" s="1">
        <v>147.34399999999999</v>
      </c>
      <c r="F55" s="1">
        <f t="shared" si="0"/>
        <v>0</v>
      </c>
      <c r="G55" s="7">
        <f t="shared" si="1"/>
        <v>0</v>
      </c>
      <c r="K55" s="102"/>
      <c r="L55" s="41" t="s">
        <v>73</v>
      </c>
      <c r="M55" s="42" cm="1">
        <f t="array" ref="M55">_xlfn.XLOOKUP(L55,$B$2:B125,$G$2:G125)</f>
        <v>0.31527227744983349</v>
      </c>
      <c r="N55" s="94"/>
      <c r="O55" s="98"/>
    </row>
    <row r="56" spans="2:15" x14ac:dyDescent="0.2">
      <c r="B56" s="1" t="s">
        <v>115</v>
      </c>
      <c r="C56" s="1">
        <v>12</v>
      </c>
      <c r="D56" s="1">
        <v>32216.649999999998</v>
      </c>
      <c r="E56" s="1">
        <v>72470.189999999988</v>
      </c>
      <c r="F56" s="1">
        <f t="shared" si="0"/>
        <v>40253.539999999994</v>
      </c>
      <c r="G56" s="7">
        <f t="shared" si="1"/>
        <v>1.2494638641820299</v>
      </c>
      <c r="K56" s="102"/>
      <c r="L56" s="41" t="s">
        <v>75</v>
      </c>
      <c r="M56" s="42" cm="1">
        <f t="array" ref="M56">_xlfn.XLOOKUP(L56,$B$2:B126,$G$2:G126)</f>
        <v>0.61538774031533006</v>
      </c>
      <c r="N56" s="94"/>
      <c r="O56" s="98"/>
    </row>
    <row r="57" spans="2:15" x14ac:dyDescent="0.2">
      <c r="B57" s="1" t="s">
        <v>116</v>
      </c>
      <c r="C57" s="1">
        <v>82</v>
      </c>
      <c r="D57" s="1">
        <v>3633.9150000000004</v>
      </c>
      <c r="E57" s="1">
        <v>3815.1190000000006</v>
      </c>
      <c r="F57" s="1">
        <f t="shared" si="0"/>
        <v>181.20400000000018</v>
      </c>
      <c r="G57" s="7">
        <f t="shared" si="1"/>
        <v>4.9864677627297321E-2</v>
      </c>
      <c r="K57" s="102"/>
      <c r="L57" s="41" t="s">
        <v>80</v>
      </c>
      <c r="M57" s="42" cm="1">
        <f t="array" ref="M57">_xlfn.XLOOKUP(L57,$B$2:B127,$G$2:G127)</f>
        <v>0</v>
      </c>
      <c r="N57" s="94"/>
      <c r="O57" s="98"/>
    </row>
    <row r="58" spans="2:15" x14ac:dyDescent="0.2">
      <c r="B58" s="1" t="s">
        <v>117</v>
      </c>
      <c r="C58" s="1">
        <v>29</v>
      </c>
      <c r="D58" s="1">
        <v>2834.7020000000002</v>
      </c>
      <c r="E58" s="1">
        <v>3297.7470000000003</v>
      </c>
      <c r="F58" s="1">
        <f t="shared" si="0"/>
        <v>463.04500000000007</v>
      </c>
      <c r="G58" s="7">
        <f t="shared" si="1"/>
        <v>0.16334874000864996</v>
      </c>
      <c r="K58" s="102"/>
      <c r="L58" s="41" t="s">
        <v>82</v>
      </c>
      <c r="M58" s="42" cm="1">
        <f t="array" ref="M58">_xlfn.XLOOKUP(L58,$B$2:B128,$G$2:G128)</f>
        <v>2.2602530946081845</v>
      </c>
      <c r="N58" s="94"/>
      <c r="O58" s="98"/>
    </row>
    <row r="59" spans="2:15" x14ac:dyDescent="0.2">
      <c r="B59" s="1" t="s">
        <v>118</v>
      </c>
      <c r="C59" s="1">
        <v>60</v>
      </c>
      <c r="D59" s="1">
        <v>4000.3808000000004</v>
      </c>
      <c r="E59" s="1">
        <v>5541.2960000000003</v>
      </c>
      <c r="F59" s="1">
        <f t="shared" si="0"/>
        <v>1540.9151999999999</v>
      </c>
      <c r="G59" s="7">
        <f t="shared" si="1"/>
        <v>0.3851921297092516</v>
      </c>
      <c r="K59" s="102"/>
      <c r="L59" s="41" t="s">
        <v>84</v>
      </c>
      <c r="M59" s="42" cm="1">
        <f t="array" ref="M59">_xlfn.XLOOKUP(L59,$B$2:B129,$G$2:G129)</f>
        <v>0.34891454827714946</v>
      </c>
      <c r="N59" s="94"/>
      <c r="O59" s="98"/>
    </row>
    <row r="60" spans="2:15" x14ac:dyDescent="0.2">
      <c r="B60" s="1" t="s">
        <v>119</v>
      </c>
      <c r="C60" s="1">
        <v>44</v>
      </c>
      <c r="D60" s="1">
        <v>2923.1480000000001</v>
      </c>
      <c r="E60" s="1">
        <v>3064.5709999999999</v>
      </c>
      <c r="F60" s="1">
        <f t="shared" si="0"/>
        <v>141.42299999999977</v>
      </c>
      <c r="G60" s="7">
        <f t="shared" si="1"/>
        <v>4.8380376224535934E-2</v>
      </c>
      <c r="K60" s="102"/>
      <c r="L60" s="41" t="s">
        <v>87</v>
      </c>
      <c r="M60" s="42" cm="1">
        <f t="array" ref="M60">_xlfn.XLOOKUP(L60,$B$2:B130,$G$2:G130)</f>
        <v>2.6793010095386811</v>
      </c>
      <c r="N60" s="94"/>
      <c r="O60" s="98"/>
    </row>
    <row r="61" spans="2:15" x14ac:dyDescent="0.2">
      <c r="B61" s="1" t="s">
        <v>120</v>
      </c>
      <c r="C61" s="1">
        <v>37</v>
      </c>
      <c r="D61" s="1">
        <v>2870.3173999999995</v>
      </c>
      <c r="E61" s="1">
        <v>2992.7339999999995</v>
      </c>
      <c r="F61" s="1">
        <f t="shared" si="0"/>
        <v>122.41660000000002</v>
      </c>
      <c r="G61" s="7">
        <f t="shared" si="1"/>
        <v>4.2649150926653633E-2</v>
      </c>
      <c r="K61" s="102"/>
      <c r="L61" s="41" t="s">
        <v>89</v>
      </c>
      <c r="M61" s="42" cm="1">
        <f t="array" ref="M61">_xlfn.XLOOKUP(L61,$B$2:B131,$G$2:G131)</f>
        <v>0.13898625864665659</v>
      </c>
      <c r="N61" s="94"/>
      <c r="O61" s="98"/>
    </row>
    <row r="62" spans="2:15" x14ac:dyDescent="0.2">
      <c r="B62" s="1" t="s">
        <v>121</v>
      </c>
      <c r="C62" s="1">
        <v>71</v>
      </c>
      <c r="D62" s="1">
        <v>24079.041659999992</v>
      </c>
      <c r="E62" s="1">
        <v>21316.922999999992</v>
      </c>
      <c r="F62" s="1">
        <f t="shared" si="0"/>
        <v>0</v>
      </c>
      <c r="G62" s="7">
        <f t="shared" si="1"/>
        <v>0</v>
      </c>
      <c r="K62" s="102"/>
      <c r="L62" s="41" t="s">
        <v>90</v>
      </c>
      <c r="M62" s="42" cm="1">
        <f t="array" ref="M62">_xlfn.XLOOKUP(L62,$B$2:B132,$G$2:G132)</f>
        <v>1.1049717802251178</v>
      </c>
      <c r="N62" s="94"/>
      <c r="O62" s="98"/>
    </row>
    <row r="63" spans="2:15" x14ac:dyDescent="0.2">
      <c r="B63" s="1" t="s">
        <v>122</v>
      </c>
      <c r="C63" s="1">
        <v>42</v>
      </c>
      <c r="D63" s="1">
        <v>235.16</v>
      </c>
      <c r="E63" s="1">
        <v>310.02999999999997</v>
      </c>
      <c r="F63" s="1">
        <f t="shared" si="0"/>
        <v>74.869999999999976</v>
      </c>
      <c r="G63" s="7">
        <f t="shared" si="1"/>
        <v>0.3183789760163292</v>
      </c>
      <c r="K63" s="102"/>
      <c r="L63" s="41" t="s">
        <v>92</v>
      </c>
      <c r="M63" s="42" cm="1">
        <f t="array" ref="M63">_xlfn.XLOOKUP(L63,$B$2:B133,$G$2:G133)</f>
        <v>0.22324062435473219</v>
      </c>
      <c r="N63" s="94"/>
      <c r="O63" s="98"/>
    </row>
    <row r="64" spans="2:15" x14ac:dyDescent="0.2">
      <c r="B64" s="1" t="s">
        <v>123</v>
      </c>
      <c r="C64" s="1">
        <v>70</v>
      </c>
      <c r="D64" s="1">
        <v>2407.7765040000004</v>
      </c>
      <c r="E64" s="1">
        <v>2689.3910000000005</v>
      </c>
      <c r="F64" s="1">
        <f t="shared" si="0"/>
        <v>281.61449600000014</v>
      </c>
      <c r="G64" s="7">
        <f t="shared" si="1"/>
        <v>0.11696039708509429</v>
      </c>
      <c r="K64" s="102"/>
      <c r="L64" s="41" t="s">
        <v>93</v>
      </c>
      <c r="M64" s="42" cm="1">
        <f t="array" ref="M64">_xlfn.XLOOKUP(L64,$B$2:B134,$G$2:G134)</f>
        <v>0.44188074174508346</v>
      </c>
      <c r="N64" s="94"/>
      <c r="O64" s="98"/>
    </row>
    <row r="65" spans="2:15" x14ac:dyDescent="0.2">
      <c r="B65" s="1" t="s">
        <v>124</v>
      </c>
      <c r="C65" s="1">
        <v>141</v>
      </c>
      <c r="D65" s="1">
        <v>5173.1814800000047</v>
      </c>
      <c r="E65" s="1">
        <v>4801.9860000000026</v>
      </c>
      <c r="F65" s="1">
        <f t="shared" si="0"/>
        <v>0</v>
      </c>
      <c r="G65" s="7">
        <f t="shared" si="1"/>
        <v>0</v>
      </c>
      <c r="K65" s="102"/>
      <c r="L65" s="41" t="s">
        <v>94</v>
      </c>
      <c r="M65" s="42" cm="1">
        <f t="array" ref="M65">_xlfn.XLOOKUP(L65,$B$2:B135,$G$2:G135)</f>
        <v>0.85342692628620098</v>
      </c>
      <c r="N65" s="94"/>
      <c r="O65" s="98"/>
    </row>
    <row r="66" spans="2:15" x14ac:dyDescent="0.2">
      <c r="B66" s="1" t="s">
        <v>125</v>
      </c>
      <c r="C66" s="1">
        <v>60</v>
      </c>
      <c r="D66" s="1">
        <v>422.62219999999996</v>
      </c>
      <c r="E66" s="1">
        <v>480.65</v>
      </c>
      <c r="F66" s="1">
        <f t="shared" si="0"/>
        <v>58.027800000000013</v>
      </c>
      <c r="G66" s="7">
        <f t="shared" si="1"/>
        <v>0.13730419272816247</v>
      </c>
      <c r="K66" s="102"/>
      <c r="L66" s="41" t="s">
        <v>96</v>
      </c>
      <c r="M66" s="42" cm="1">
        <f t="array" ref="M66">_xlfn.XLOOKUP(L66,$B$2:B136,$G$2:G136)</f>
        <v>0.5141338334898643</v>
      </c>
      <c r="N66" s="94"/>
      <c r="O66" s="98"/>
    </row>
    <row r="67" spans="2:15" x14ac:dyDescent="0.2">
      <c r="B67" s="1" t="s">
        <v>126</v>
      </c>
      <c r="C67" s="1">
        <v>42</v>
      </c>
      <c r="D67" s="1">
        <v>362.45199999999994</v>
      </c>
      <c r="E67" s="1">
        <v>413.23399999999992</v>
      </c>
      <c r="F67" s="1">
        <f t="shared" si="0"/>
        <v>50.781999999999982</v>
      </c>
      <c r="G67" s="7">
        <f t="shared" si="1"/>
        <v>0.14010682793859597</v>
      </c>
      <c r="K67" s="102"/>
      <c r="L67" s="41" t="s">
        <v>97</v>
      </c>
      <c r="M67" s="42" cm="1">
        <f t="array" ref="M67">_xlfn.XLOOKUP(L67,$B$2:B137,$G$2:G137)</f>
        <v>5.2710417256128961E-2</v>
      </c>
      <c r="N67" s="94"/>
      <c r="O67" s="98"/>
    </row>
    <row r="68" spans="2:15" x14ac:dyDescent="0.2">
      <c r="B68" s="1" t="s">
        <v>127</v>
      </c>
      <c r="C68" s="1">
        <v>227</v>
      </c>
      <c r="D68" s="1">
        <v>5833.3563599999961</v>
      </c>
      <c r="E68" s="1">
        <v>7009.5199999999968</v>
      </c>
      <c r="F68" s="1">
        <f t="shared" ref="F68:F98" si="2">IF(E68&gt;D68,(E68-D68),0)</f>
        <v>1176.1636400000007</v>
      </c>
      <c r="G68" s="7">
        <f t="shared" ref="G68:G98" si="3">F68/D68</f>
        <v>0.2016272566622351</v>
      </c>
      <c r="K68" s="102"/>
      <c r="L68" s="41" t="s">
        <v>98</v>
      </c>
      <c r="M68" s="42" cm="1">
        <f t="array" ref="M68">_xlfn.XLOOKUP(L68,$B$2:B138,$G$2:G138)</f>
        <v>0.26276435496901596</v>
      </c>
      <c r="N68" s="94"/>
      <c r="O68" s="98"/>
    </row>
    <row r="69" spans="2:15" x14ac:dyDescent="0.2">
      <c r="B69" s="1" t="s">
        <v>128</v>
      </c>
      <c r="C69" s="1">
        <v>57</v>
      </c>
      <c r="D69" s="1">
        <v>709.12709999999993</v>
      </c>
      <c r="E69" s="1">
        <v>687.81599999999992</v>
      </c>
      <c r="F69" s="1">
        <f t="shared" si="2"/>
        <v>0</v>
      </c>
      <c r="G69" s="7">
        <f t="shared" si="3"/>
        <v>0</v>
      </c>
      <c r="K69" s="102"/>
      <c r="L69" s="41" t="s">
        <v>99</v>
      </c>
      <c r="M69" s="42" cm="1">
        <f t="array" ref="M69">_xlfn.XLOOKUP(L69,$B$2:B139,$G$2:G139)</f>
        <v>1.1890735715231477</v>
      </c>
      <c r="N69" s="94"/>
      <c r="O69" s="98"/>
    </row>
    <row r="70" spans="2:15" x14ac:dyDescent="0.2">
      <c r="B70" s="1" t="s">
        <v>129</v>
      </c>
      <c r="C70" s="1">
        <v>4</v>
      </c>
      <c r="D70" s="1">
        <v>5197.9799999999996</v>
      </c>
      <c r="E70" s="1">
        <v>1070.2</v>
      </c>
      <c r="F70" s="1">
        <f t="shared" si="2"/>
        <v>0</v>
      </c>
      <c r="G70" s="7">
        <f t="shared" si="3"/>
        <v>0</v>
      </c>
      <c r="K70" s="102"/>
      <c r="L70" s="41" t="s">
        <v>103</v>
      </c>
      <c r="M70" s="42" cm="1">
        <f t="array" ref="M70">_xlfn.XLOOKUP(L70,$B$2:B140,$G$2:G140)</f>
        <v>0.16776327684433023</v>
      </c>
      <c r="N70" s="94"/>
      <c r="O70" s="98"/>
    </row>
    <row r="71" spans="2:15" x14ac:dyDescent="0.2">
      <c r="B71" s="1" t="s">
        <v>130</v>
      </c>
      <c r="C71" s="1">
        <v>41</v>
      </c>
      <c r="D71" s="1">
        <v>2755.2873999999993</v>
      </c>
      <c r="E71" s="1">
        <v>4248.1939999999995</v>
      </c>
      <c r="F71" s="1">
        <f t="shared" si="2"/>
        <v>1492.9066000000003</v>
      </c>
      <c r="G71" s="7">
        <f t="shared" si="3"/>
        <v>0.5418333492179439</v>
      </c>
      <c r="K71" s="102"/>
      <c r="L71" s="41" t="s">
        <v>105</v>
      </c>
      <c r="M71" s="42" cm="1">
        <f t="array" ref="M71">_xlfn.XLOOKUP(L71,$B$2:B141,$G$2:G141)</f>
        <v>1.4031513945289789</v>
      </c>
      <c r="N71" s="94"/>
      <c r="O71" s="98"/>
    </row>
    <row r="72" spans="2:15" x14ac:dyDescent="0.2">
      <c r="B72" s="1" t="s">
        <v>131</v>
      </c>
      <c r="C72" s="1">
        <v>26</v>
      </c>
      <c r="D72" s="1">
        <v>483.15300000000002</v>
      </c>
      <c r="E72" s="1">
        <v>540.37400000000002</v>
      </c>
      <c r="F72" s="1">
        <f t="shared" si="2"/>
        <v>57.221000000000004</v>
      </c>
      <c r="G72" s="7">
        <f t="shared" si="3"/>
        <v>0.11843246342255973</v>
      </c>
      <c r="K72" s="102"/>
      <c r="L72" s="41" t="s">
        <v>106</v>
      </c>
      <c r="M72" s="42" cm="1">
        <f t="array" ref="M72">_xlfn.XLOOKUP(L72,$B$2:B142,$G$2:G142)</f>
        <v>0.20859631098008194</v>
      </c>
      <c r="N72" s="94"/>
      <c r="O72" s="98"/>
    </row>
    <row r="73" spans="2:15" x14ac:dyDescent="0.2">
      <c r="B73" s="1" t="s">
        <v>132</v>
      </c>
      <c r="C73" s="1">
        <v>28</v>
      </c>
      <c r="D73" s="1">
        <v>661.03150000000005</v>
      </c>
      <c r="E73" s="1">
        <v>892.96299999999997</v>
      </c>
      <c r="F73" s="1">
        <f t="shared" si="2"/>
        <v>231.93149999999991</v>
      </c>
      <c r="G73" s="7">
        <f t="shared" si="3"/>
        <v>0.35086300728482667</v>
      </c>
      <c r="K73" s="102"/>
      <c r="L73" s="41" t="s">
        <v>107</v>
      </c>
      <c r="M73" s="42" cm="1">
        <f t="array" ref="M73">_xlfn.XLOOKUP(L73,$B$2:B143,$G$2:G143)</f>
        <v>1.8703030303030301</v>
      </c>
      <c r="N73" s="94"/>
      <c r="O73" s="98"/>
    </row>
    <row r="74" spans="2:15" x14ac:dyDescent="0.2">
      <c r="B74" s="1" t="s">
        <v>133</v>
      </c>
      <c r="C74" s="1">
        <v>118</v>
      </c>
      <c r="D74" s="1">
        <v>3408.0259000000005</v>
      </c>
      <c r="E74" s="1">
        <v>6357.6190000000006</v>
      </c>
      <c r="F74" s="1">
        <f t="shared" si="2"/>
        <v>2949.5931</v>
      </c>
      <c r="G74" s="7">
        <f t="shared" si="3"/>
        <v>0.86548435562065407</v>
      </c>
      <c r="K74" s="102"/>
      <c r="L74" s="41" t="s">
        <v>111</v>
      </c>
      <c r="M74" s="42" cm="1">
        <f t="array" ref="M74">_xlfn.XLOOKUP(L74,$B$2:B144,$G$2:G144)</f>
        <v>0.20719491217725117</v>
      </c>
      <c r="N74" s="94"/>
      <c r="O74" s="98"/>
    </row>
    <row r="75" spans="2:15" x14ac:dyDescent="0.2">
      <c r="B75" s="1" t="s">
        <v>134</v>
      </c>
      <c r="C75" s="1">
        <v>31</v>
      </c>
      <c r="D75" s="1">
        <v>1475.6999999999998</v>
      </c>
      <c r="E75" s="1">
        <v>9403.56</v>
      </c>
      <c r="F75" s="1">
        <f t="shared" si="2"/>
        <v>7927.86</v>
      </c>
      <c r="G75" s="7">
        <f t="shared" si="3"/>
        <v>5.3722707867452737</v>
      </c>
      <c r="K75" s="102"/>
      <c r="L75" s="41" t="s">
        <v>113</v>
      </c>
      <c r="M75" s="42" cm="1">
        <f t="array" ref="M75">_xlfn.XLOOKUP(L75,$B$2:B145,$G$2:G145)</f>
        <v>0.19837011668783472</v>
      </c>
      <c r="N75" s="94"/>
      <c r="O75" s="98"/>
    </row>
    <row r="76" spans="2:15" x14ac:dyDescent="0.2">
      <c r="B76" s="1" t="s">
        <v>135</v>
      </c>
      <c r="C76" s="1">
        <v>33</v>
      </c>
      <c r="D76" s="1">
        <v>4460.9712399999989</v>
      </c>
      <c r="E76" s="1">
        <v>7159.1670000000004</v>
      </c>
      <c r="F76" s="1">
        <f t="shared" si="2"/>
        <v>2698.1957600000014</v>
      </c>
      <c r="G76" s="7">
        <f t="shared" si="3"/>
        <v>0.60484491265180229</v>
      </c>
      <c r="K76" s="102"/>
      <c r="L76" s="41" t="s">
        <v>114</v>
      </c>
      <c r="M76" s="42" cm="1">
        <f t="array" ref="M76">_xlfn.XLOOKUP(L76,$B$2:B146,$G$2:G146)</f>
        <v>0</v>
      </c>
      <c r="N76" s="94"/>
      <c r="O76" s="98"/>
    </row>
    <row r="77" spans="2:15" x14ac:dyDescent="0.2">
      <c r="B77" s="1" t="s">
        <v>136</v>
      </c>
      <c r="C77" s="1">
        <v>32</v>
      </c>
      <c r="D77" s="1">
        <v>1850.2499999999998</v>
      </c>
      <c r="E77" s="1">
        <v>2051.2669999999998</v>
      </c>
      <c r="F77" s="1">
        <f t="shared" si="2"/>
        <v>201.01700000000005</v>
      </c>
      <c r="G77" s="7">
        <f t="shared" si="3"/>
        <v>0.10864315633022568</v>
      </c>
      <c r="K77" s="102"/>
      <c r="L77" s="41" t="s">
        <v>115</v>
      </c>
      <c r="M77" s="42" cm="1">
        <f t="array" ref="M77">_xlfn.XLOOKUP(L77,$B$2:B147,$G$2:G147)</f>
        <v>1.2494638641820299</v>
      </c>
      <c r="N77" s="94"/>
      <c r="O77" s="98"/>
    </row>
    <row r="78" spans="2:15" x14ac:dyDescent="0.2">
      <c r="B78" s="1" t="s">
        <v>137</v>
      </c>
      <c r="C78" s="1">
        <v>106</v>
      </c>
      <c r="D78" s="1">
        <v>1949.7626599999999</v>
      </c>
      <c r="E78" s="1">
        <v>2653.5390000000002</v>
      </c>
      <c r="F78" s="1">
        <f t="shared" si="2"/>
        <v>703.77634000000035</v>
      </c>
      <c r="G78" s="7">
        <f t="shared" si="3"/>
        <v>0.36095487642583146</v>
      </c>
      <c r="K78" s="102"/>
      <c r="L78" s="41" t="s">
        <v>116</v>
      </c>
      <c r="M78" s="42" cm="1">
        <f t="array" ref="M78">_xlfn.XLOOKUP(L78,$B$2:B148,$G$2:G148)</f>
        <v>4.9864677627297321E-2</v>
      </c>
      <c r="N78" s="94"/>
      <c r="O78" s="98"/>
    </row>
    <row r="79" spans="2:15" x14ac:dyDescent="0.2">
      <c r="B79" s="1" t="s">
        <v>138</v>
      </c>
      <c r="C79" s="1">
        <v>9</v>
      </c>
      <c r="D79" s="1">
        <v>1399.5</v>
      </c>
      <c r="E79" s="1">
        <v>1599.41</v>
      </c>
      <c r="F79" s="1">
        <f t="shared" si="2"/>
        <v>199.91000000000008</v>
      </c>
      <c r="G79" s="7">
        <f t="shared" si="3"/>
        <v>0.14284387281171854</v>
      </c>
      <c r="K79" s="102"/>
      <c r="L79" s="41" t="s">
        <v>117</v>
      </c>
      <c r="M79" s="42" cm="1">
        <f t="array" ref="M79">_xlfn.XLOOKUP(L79,$B$2:B149,$G$2:G149)</f>
        <v>0.16334874000864996</v>
      </c>
      <c r="N79" s="94"/>
      <c r="O79" s="98"/>
    </row>
    <row r="80" spans="2:15" x14ac:dyDescent="0.2">
      <c r="B80" s="1" t="s">
        <v>139</v>
      </c>
      <c r="C80" s="1">
        <v>37</v>
      </c>
      <c r="D80" s="1">
        <v>2051.4840999999997</v>
      </c>
      <c r="E80" s="1">
        <v>4086.2820000000002</v>
      </c>
      <c r="F80" s="1">
        <f t="shared" si="2"/>
        <v>2034.7979000000005</v>
      </c>
      <c r="G80" s="7">
        <f t="shared" si="3"/>
        <v>0.9918662786613851</v>
      </c>
      <c r="K80" s="102"/>
      <c r="L80" s="41" t="s">
        <v>118</v>
      </c>
      <c r="M80" s="42" cm="1">
        <f t="array" ref="M80">_xlfn.XLOOKUP(L80,$B$2:B150,$G$2:G150)</f>
        <v>0.3851921297092516</v>
      </c>
      <c r="N80" s="94"/>
      <c r="O80" s="98"/>
    </row>
    <row r="81" spans="2:15" x14ac:dyDescent="0.2">
      <c r="B81" s="1" t="s">
        <v>140</v>
      </c>
      <c r="C81" s="1">
        <v>22</v>
      </c>
      <c r="D81" s="1">
        <v>3167.28</v>
      </c>
      <c r="E81" s="1">
        <v>3996.8540000000003</v>
      </c>
      <c r="F81" s="1">
        <f t="shared" si="2"/>
        <v>829.57400000000007</v>
      </c>
      <c r="G81" s="7">
        <f t="shared" si="3"/>
        <v>0.26192000707231444</v>
      </c>
      <c r="K81" s="102"/>
      <c r="L81" s="41" t="s">
        <v>121</v>
      </c>
      <c r="M81" s="42" cm="1">
        <f t="array" ref="M81">_xlfn.XLOOKUP(L81,$B$2:B151,$G$2:G151)</f>
        <v>0</v>
      </c>
      <c r="N81" s="94"/>
      <c r="O81" s="98"/>
    </row>
    <row r="82" spans="2:15" x14ac:dyDescent="0.2">
      <c r="B82" s="1" t="s">
        <v>141</v>
      </c>
      <c r="C82" s="1">
        <v>62</v>
      </c>
      <c r="D82" s="1">
        <v>8321.1502099999998</v>
      </c>
      <c r="E82" s="1">
        <v>10370.93</v>
      </c>
      <c r="F82" s="1">
        <f t="shared" si="2"/>
        <v>2049.7797900000005</v>
      </c>
      <c r="G82" s="7">
        <f t="shared" si="3"/>
        <v>0.24633370847417987</v>
      </c>
      <c r="K82" s="102"/>
      <c r="L82" s="41" t="s">
        <v>122</v>
      </c>
      <c r="M82" s="42" cm="1">
        <f t="array" ref="M82">_xlfn.XLOOKUP(L82,$B$2:B152,$G$2:G152)</f>
        <v>0.3183789760163292</v>
      </c>
      <c r="N82" s="94"/>
      <c r="O82" s="98"/>
    </row>
    <row r="83" spans="2:15" x14ac:dyDescent="0.2">
      <c r="B83" s="1" t="s">
        <v>142</v>
      </c>
      <c r="C83" s="1">
        <v>8</v>
      </c>
      <c r="D83" s="1">
        <v>156.76599999999999</v>
      </c>
      <c r="E83" s="1">
        <v>60.548000000000002</v>
      </c>
      <c r="F83" s="1">
        <f t="shared" si="2"/>
        <v>0</v>
      </c>
      <c r="G83" s="7">
        <f t="shared" si="3"/>
        <v>0</v>
      </c>
      <c r="K83" s="102"/>
      <c r="L83" s="41" t="s">
        <v>123</v>
      </c>
      <c r="M83" s="42" cm="1">
        <f t="array" ref="M83">_xlfn.XLOOKUP(L83,$B$2:B153,$G$2:G153)</f>
        <v>0.11696039708509429</v>
      </c>
      <c r="N83" s="94"/>
      <c r="O83" s="98"/>
    </row>
    <row r="84" spans="2:15" x14ac:dyDescent="0.2">
      <c r="B84" s="1" t="s">
        <v>143</v>
      </c>
      <c r="C84" s="1">
        <v>58</v>
      </c>
      <c r="D84" s="1">
        <v>434.858</v>
      </c>
      <c r="E84" s="1">
        <v>836.23500000000001</v>
      </c>
      <c r="F84" s="1">
        <f t="shared" si="2"/>
        <v>401.37700000000001</v>
      </c>
      <c r="G84" s="7">
        <f t="shared" si="3"/>
        <v>0.92300705057742993</v>
      </c>
      <c r="K84" s="102"/>
      <c r="L84" s="41" t="s">
        <v>124</v>
      </c>
      <c r="M84" s="42" cm="1">
        <f t="array" ref="M84">_xlfn.XLOOKUP(L84,$B$2:B154,$G$2:G154)</f>
        <v>0</v>
      </c>
      <c r="N84" s="94"/>
      <c r="O84" s="98"/>
    </row>
    <row r="85" spans="2:15" x14ac:dyDescent="0.2">
      <c r="B85" s="1" t="s">
        <v>144</v>
      </c>
      <c r="C85" s="1">
        <v>24</v>
      </c>
      <c r="D85" s="1">
        <v>25.205000000000002</v>
      </c>
      <c r="E85" s="1">
        <v>61.784000000000006</v>
      </c>
      <c r="F85" s="1">
        <f t="shared" si="2"/>
        <v>36.579000000000008</v>
      </c>
      <c r="G85" s="7">
        <f t="shared" si="3"/>
        <v>1.4512596707002581</v>
      </c>
      <c r="K85" s="102"/>
      <c r="L85" s="41" t="s">
        <v>125</v>
      </c>
      <c r="M85" s="42" cm="1">
        <f t="array" ref="M85">_xlfn.XLOOKUP(L85,$B$2:B155,$G$2:G155)</f>
        <v>0.13730419272816247</v>
      </c>
      <c r="N85" s="94"/>
      <c r="O85" s="98"/>
    </row>
    <row r="86" spans="2:15" x14ac:dyDescent="0.2">
      <c r="B86" s="1" t="s">
        <v>145</v>
      </c>
      <c r="C86" s="1">
        <v>311</v>
      </c>
      <c r="D86" s="1">
        <v>4916.5892999999996</v>
      </c>
      <c r="E86" s="1">
        <v>8287.5319999999992</v>
      </c>
      <c r="F86" s="1">
        <f t="shared" si="2"/>
        <v>3370.9426999999996</v>
      </c>
      <c r="G86" s="7">
        <f t="shared" si="3"/>
        <v>0.68562625314260028</v>
      </c>
      <c r="K86" s="102"/>
      <c r="L86" s="41" t="s">
        <v>126</v>
      </c>
      <c r="M86" s="42" cm="1">
        <f t="array" ref="M86">_xlfn.XLOOKUP(L86,$B$2:B156,$G$2:G156)</f>
        <v>0.14010682793859597</v>
      </c>
      <c r="N86" s="94"/>
      <c r="O86" s="98"/>
    </row>
    <row r="87" spans="2:15" x14ac:dyDescent="0.2">
      <c r="B87" s="1" t="s">
        <v>146</v>
      </c>
      <c r="C87" s="1">
        <v>59</v>
      </c>
      <c r="D87" s="1">
        <v>1889.0159999999996</v>
      </c>
      <c r="E87" s="1">
        <v>3951.7839999999997</v>
      </c>
      <c r="F87" s="1">
        <f t="shared" si="2"/>
        <v>2062.768</v>
      </c>
      <c r="G87" s="7">
        <f t="shared" si="3"/>
        <v>1.0919801632172519</v>
      </c>
      <c r="K87" s="102"/>
      <c r="L87" s="41" t="s">
        <v>127</v>
      </c>
      <c r="M87" s="42" cm="1">
        <f t="array" ref="M87">_xlfn.XLOOKUP(L87,$B$2:B157,$G$2:G157)</f>
        <v>0.2016272566622351</v>
      </c>
      <c r="N87" s="94"/>
      <c r="O87" s="98"/>
    </row>
    <row r="88" spans="2:15" x14ac:dyDescent="0.2">
      <c r="B88" s="1" t="s">
        <v>147</v>
      </c>
      <c r="C88" s="1">
        <v>11</v>
      </c>
      <c r="D88" s="1">
        <v>3731.0619999999994</v>
      </c>
      <c r="E88" s="1">
        <v>4884.8019999999997</v>
      </c>
      <c r="F88" s="1">
        <f t="shared" si="2"/>
        <v>1153.7400000000002</v>
      </c>
      <c r="G88" s="7">
        <f t="shared" si="3"/>
        <v>0.30922563066494213</v>
      </c>
      <c r="K88" s="102"/>
      <c r="L88" s="41" t="s">
        <v>128</v>
      </c>
      <c r="M88" s="42" cm="1">
        <f t="array" ref="M88">_xlfn.XLOOKUP(L88,$B$2:B158,$G$2:G158)</f>
        <v>0</v>
      </c>
      <c r="N88" s="94"/>
      <c r="O88" s="98"/>
    </row>
    <row r="89" spans="2:15" x14ac:dyDescent="0.2">
      <c r="B89" s="1" t="s">
        <v>148</v>
      </c>
      <c r="C89" s="1">
        <v>52</v>
      </c>
      <c r="D89" s="1">
        <v>1769.1409999999998</v>
      </c>
      <c r="E89" s="1">
        <v>2216.2579999999998</v>
      </c>
      <c r="F89" s="1">
        <f t="shared" si="2"/>
        <v>447.11699999999996</v>
      </c>
      <c r="G89" s="7">
        <f t="shared" si="3"/>
        <v>0.25273112770547967</v>
      </c>
      <c r="K89" s="102"/>
      <c r="L89" s="41" t="s">
        <v>130</v>
      </c>
      <c r="M89" s="42" cm="1">
        <f t="array" ref="M89">_xlfn.XLOOKUP(L89,$B$2:B159,$G$2:G159)</f>
        <v>0.5418333492179439</v>
      </c>
      <c r="N89" s="94"/>
      <c r="O89" s="98"/>
    </row>
    <row r="90" spans="2:15" x14ac:dyDescent="0.2">
      <c r="B90" s="1" t="s">
        <v>149</v>
      </c>
      <c r="C90" s="1">
        <v>63</v>
      </c>
      <c r="D90" s="1">
        <v>18307.837760000006</v>
      </c>
      <c r="E90" s="1">
        <v>21750.847000000002</v>
      </c>
      <c r="F90" s="1">
        <f t="shared" si="2"/>
        <v>3443.0092399999958</v>
      </c>
      <c r="G90" s="7">
        <f t="shared" si="3"/>
        <v>0.18806203578679706</v>
      </c>
      <c r="K90" s="102"/>
      <c r="L90" s="41" t="s">
        <v>131</v>
      </c>
      <c r="M90" s="42" cm="1">
        <f t="array" ref="M90">_xlfn.XLOOKUP(L90,$B$2:B160,$G$2:G160)</f>
        <v>0.11843246342255973</v>
      </c>
      <c r="N90" s="94"/>
      <c r="O90" s="98"/>
    </row>
    <row r="91" spans="2:15" x14ac:dyDescent="0.2">
      <c r="B91" s="1" t="s">
        <v>150</v>
      </c>
      <c r="C91" s="1">
        <v>6</v>
      </c>
      <c r="D91" s="1">
        <v>8710.7000000000007</v>
      </c>
      <c r="E91" s="1">
        <v>10766.7</v>
      </c>
      <c r="F91" s="1">
        <f t="shared" si="2"/>
        <v>2056</v>
      </c>
      <c r="G91" s="7">
        <f t="shared" si="3"/>
        <v>0.2360315474072118</v>
      </c>
      <c r="K91" s="102"/>
      <c r="L91" s="41" t="s">
        <v>132</v>
      </c>
      <c r="M91" s="42" cm="1">
        <f t="array" ref="M91">_xlfn.XLOOKUP(L91,$B$2:B161,$G$2:G161)</f>
        <v>0.35086300728482667</v>
      </c>
      <c r="N91" s="94"/>
      <c r="O91" s="98"/>
    </row>
    <row r="92" spans="2:15" x14ac:dyDescent="0.2">
      <c r="B92" s="1" t="s">
        <v>151</v>
      </c>
      <c r="C92" s="1">
        <v>55</v>
      </c>
      <c r="D92" s="1">
        <v>4022.3717999999999</v>
      </c>
      <c r="E92" s="1">
        <v>6181.1929999999993</v>
      </c>
      <c r="F92" s="1">
        <f t="shared" si="2"/>
        <v>2158.8211999999994</v>
      </c>
      <c r="G92" s="7">
        <f t="shared" si="3"/>
        <v>0.53670354391406572</v>
      </c>
      <c r="K92" s="102"/>
      <c r="L92" s="41" t="s">
        <v>133</v>
      </c>
      <c r="M92" s="42" cm="1">
        <f t="array" ref="M92">_xlfn.XLOOKUP(L92,$B$2:B162,$G$2:G162)</f>
        <v>0.86548435562065407</v>
      </c>
      <c r="N92" s="94"/>
      <c r="O92" s="98"/>
    </row>
    <row r="93" spans="2:15" x14ac:dyDescent="0.2">
      <c r="B93" s="1" t="s">
        <v>152</v>
      </c>
      <c r="C93" s="1">
        <v>8</v>
      </c>
      <c r="D93" s="1">
        <v>209.87199999999999</v>
      </c>
      <c r="E93" s="1">
        <v>413.75199999999995</v>
      </c>
      <c r="F93" s="1">
        <f t="shared" si="2"/>
        <v>203.87999999999997</v>
      </c>
      <c r="G93" s="7">
        <f t="shared" si="3"/>
        <v>0.97144926431348622</v>
      </c>
      <c r="K93" s="102"/>
      <c r="L93" s="41" t="s">
        <v>134</v>
      </c>
      <c r="M93" s="42" cm="1">
        <f t="array" ref="M93">_xlfn.XLOOKUP(L93,$B$2:B163,$G$2:G163)</f>
        <v>5.3722707867452737</v>
      </c>
      <c r="N93" s="94"/>
      <c r="O93" s="98"/>
    </row>
    <row r="94" spans="2:15" x14ac:dyDescent="0.2">
      <c r="B94" s="1" t="s">
        <v>153</v>
      </c>
      <c r="C94" s="1">
        <v>7</v>
      </c>
      <c r="D94" s="1">
        <v>69.037999999999997</v>
      </c>
      <c r="E94" s="1">
        <v>70.287999999999997</v>
      </c>
      <c r="F94" s="1">
        <f t="shared" si="2"/>
        <v>1.25</v>
      </c>
      <c r="G94" s="7">
        <f t="shared" si="3"/>
        <v>1.810597062487326E-2</v>
      </c>
      <c r="K94" s="102"/>
      <c r="L94" s="41" t="s">
        <v>135</v>
      </c>
      <c r="M94" s="42" cm="1">
        <f t="array" ref="M94">_xlfn.XLOOKUP(L94,$B$2:B164,$G$2:G164)</f>
        <v>0.60484491265180229</v>
      </c>
      <c r="N94" s="94"/>
      <c r="O94" s="98"/>
    </row>
    <row r="95" spans="2:15" x14ac:dyDescent="0.2">
      <c r="B95" s="1" t="s">
        <v>154</v>
      </c>
      <c r="C95" s="1">
        <v>18</v>
      </c>
      <c r="D95" s="1">
        <v>10342.578</v>
      </c>
      <c r="E95" s="1">
        <v>11471.23</v>
      </c>
      <c r="F95" s="1">
        <f t="shared" si="2"/>
        <v>1128.652</v>
      </c>
      <c r="G95" s="7">
        <f t="shared" si="3"/>
        <v>0.10912675737132464</v>
      </c>
      <c r="K95" s="102"/>
      <c r="L95" s="41" t="s">
        <v>136</v>
      </c>
      <c r="M95" s="42" cm="1">
        <f t="array" ref="M95">_xlfn.XLOOKUP(L95,$B$2:B165,$G$2:G165)</f>
        <v>0.10864315633022568</v>
      </c>
      <c r="N95" s="94"/>
      <c r="O95" s="98"/>
    </row>
    <row r="96" spans="2:15" x14ac:dyDescent="0.2">
      <c r="B96" s="1" t="s">
        <v>155</v>
      </c>
      <c r="C96" s="1">
        <v>11</v>
      </c>
      <c r="D96" s="1">
        <v>1096.3179299999997</v>
      </c>
      <c r="E96" s="1">
        <v>1104.5969999999998</v>
      </c>
      <c r="F96" s="1">
        <f t="shared" si="2"/>
        <v>8.279070000000047</v>
      </c>
      <c r="G96" s="7">
        <f t="shared" si="3"/>
        <v>7.5517053707222035E-3</v>
      </c>
      <c r="K96" s="102"/>
      <c r="L96" s="41" t="s">
        <v>137</v>
      </c>
      <c r="M96" s="42" cm="1">
        <f t="array" ref="M96">_xlfn.XLOOKUP(L96,$B$2:B166,$G$2:G166)</f>
        <v>0.36095487642583146</v>
      </c>
      <c r="N96" s="94"/>
      <c r="O96" s="98"/>
    </row>
    <row r="97" spans="2:15" x14ac:dyDescent="0.2">
      <c r="B97" s="1" t="s">
        <v>156</v>
      </c>
      <c r="C97" s="1">
        <v>6776</v>
      </c>
      <c r="D97" s="1">
        <v>557298.16488400032</v>
      </c>
      <c r="E97" s="1">
        <v>723826.38000000047</v>
      </c>
      <c r="F97" s="1">
        <f t="shared" si="2"/>
        <v>166528.21511600015</v>
      </c>
      <c r="G97" s="7">
        <f t="shared" si="3"/>
        <v>0.2988134998626138</v>
      </c>
      <c r="K97" s="102"/>
      <c r="L97" s="41" t="s">
        <v>139</v>
      </c>
      <c r="M97" s="42" cm="1">
        <f t="array" ref="M97">_xlfn.XLOOKUP(L97,$B$2:B167,$G$2:G167)</f>
        <v>0.9918662786613851</v>
      </c>
      <c r="N97" s="94"/>
      <c r="O97" s="98"/>
    </row>
    <row r="98" spans="2:15" x14ac:dyDescent="0.2">
      <c r="B98" s="1" t="s">
        <v>157</v>
      </c>
      <c r="C98" s="1">
        <v>5941</v>
      </c>
      <c r="D98" s="1">
        <v>420863.27858500025</v>
      </c>
      <c r="E98" s="1">
        <v>608350.11900000053</v>
      </c>
      <c r="F98" s="1">
        <f t="shared" si="2"/>
        <v>187486.84041500028</v>
      </c>
      <c r="G98" s="7">
        <f t="shared" si="3"/>
        <v>0.44548158500631513</v>
      </c>
      <c r="K98" s="102"/>
      <c r="L98" s="41" t="s">
        <v>140</v>
      </c>
      <c r="M98" s="42" cm="1">
        <f t="array" ref="M98">_xlfn.XLOOKUP(L98,$B$2:B168,$G$2:G168)</f>
        <v>0.26192000707231444</v>
      </c>
      <c r="N98" s="94"/>
      <c r="O98" s="98"/>
    </row>
    <row r="99" spans="2:15" x14ac:dyDescent="0.2">
      <c r="K99" s="102"/>
      <c r="L99" s="41" t="s">
        <v>142</v>
      </c>
      <c r="M99" s="42" cm="1">
        <f t="array" ref="M99">_xlfn.XLOOKUP(L99,$B$2:B169,$G$2:G169)</f>
        <v>0</v>
      </c>
      <c r="N99" s="94"/>
      <c r="O99" s="98"/>
    </row>
    <row r="100" spans="2:15" x14ac:dyDescent="0.2">
      <c r="K100" s="102"/>
      <c r="L100" s="41" t="s">
        <v>146</v>
      </c>
      <c r="M100" s="42" cm="1">
        <f t="array" ref="M100">_xlfn.XLOOKUP(L100,$B$2:B170,$G$2:G170)</f>
        <v>1.0919801632172519</v>
      </c>
      <c r="N100" s="94"/>
      <c r="O100" s="98"/>
    </row>
    <row r="101" spans="2:15" x14ac:dyDescent="0.2">
      <c r="K101" s="102"/>
      <c r="L101" s="41" t="s">
        <v>150</v>
      </c>
      <c r="M101" s="42" cm="1">
        <f t="array" ref="M101">_xlfn.XLOOKUP(L101,$B$2:B171,$G$2:G171)</f>
        <v>0.2360315474072118</v>
      </c>
      <c r="N101" s="94"/>
      <c r="O101" s="98"/>
    </row>
    <row r="102" spans="2:15" x14ac:dyDescent="0.2">
      <c r="K102" s="102"/>
      <c r="L102" s="41" t="s">
        <v>151</v>
      </c>
      <c r="M102" s="42" cm="1">
        <f t="array" ref="M102">_xlfn.XLOOKUP(L102,$B$2:B172,$G$2:G172)</f>
        <v>0.53670354391406572</v>
      </c>
      <c r="N102" s="94"/>
      <c r="O102" s="98"/>
    </row>
    <row r="103" spans="2:15" x14ac:dyDescent="0.2">
      <c r="K103" s="102"/>
      <c r="L103" s="41" t="s">
        <v>152</v>
      </c>
      <c r="M103" s="42" cm="1">
        <f t="array" ref="M103">_xlfn.XLOOKUP(L103,$B$2:B173,$G$2:G173)</f>
        <v>0.97144926431348622</v>
      </c>
      <c r="N103" s="94"/>
      <c r="O103" s="98"/>
    </row>
    <row r="104" spans="2:15" x14ac:dyDescent="0.2">
      <c r="K104" s="102"/>
      <c r="L104" s="41" t="s">
        <v>153</v>
      </c>
      <c r="M104" s="42" cm="1">
        <f t="array" ref="M104">_xlfn.XLOOKUP(L104,$B$2:B174,$G$2:G174)</f>
        <v>1.810597062487326E-2</v>
      </c>
      <c r="N104" s="94"/>
      <c r="O104" s="98"/>
    </row>
    <row r="105" spans="2:15" x14ac:dyDescent="0.2">
      <c r="K105" s="102"/>
      <c r="L105" s="41" t="s">
        <v>154</v>
      </c>
      <c r="M105" s="42" cm="1">
        <f t="array" ref="M105">_xlfn.XLOOKUP(L105,$B$2:B175,$G$2:G175)</f>
        <v>0.10912675737132464</v>
      </c>
      <c r="N105" s="94"/>
      <c r="O105" s="98"/>
    </row>
    <row r="106" spans="2:15" x14ac:dyDescent="0.2">
      <c r="K106" s="102"/>
      <c r="L106" s="41" t="s">
        <v>155</v>
      </c>
      <c r="M106" s="42" cm="1">
        <f t="array" ref="M106">_xlfn.XLOOKUP(L106,$B$2:B176,$G$2:G176)</f>
        <v>7.5517053707222035E-3</v>
      </c>
      <c r="N106" s="94"/>
      <c r="O106" s="98"/>
    </row>
    <row r="107" spans="2:15" x14ac:dyDescent="0.2">
      <c r="K107" s="102" t="s">
        <v>169</v>
      </c>
      <c r="L107" s="41" t="s">
        <v>85</v>
      </c>
      <c r="M107" s="42" cm="1">
        <f t="array" ref="M107">_xlfn.XLOOKUP(L107,$B$2:B177,$G$2:G177)</f>
        <v>14.510829260070791</v>
      </c>
      <c r="N107" s="94">
        <f>TRIMMEAN(M107:M112,0.05)</f>
        <v>2.9755175629836539</v>
      </c>
      <c r="O107" s="97">
        <f>L18</f>
        <v>0.1037</v>
      </c>
    </row>
    <row r="108" spans="2:15" x14ac:dyDescent="0.2">
      <c r="K108" s="102"/>
      <c r="L108" s="41" t="s">
        <v>86</v>
      </c>
      <c r="M108" s="42" cm="1">
        <f t="array" ref="M108">_xlfn.XLOOKUP(L108,$B$2:B178,$G$2:G178)</f>
        <v>0.36434594711007134</v>
      </c>
      <c r="N108" s="94"/>
      <c r="O108" s="98"/>
    </row>
    <row r="109" spans="2:15" x14ac:dyDescent="0.2">
      <c r="K109" s="102"/>
      <c r="L109" s="41" t="s">
        <v>100</v>
      </c>
      <c r="M109" s="42" cm="1">
        <f t="array" ref="M109">_xlfn.XLOOKUP(L109,$B$2:B179,$G$2:G179)</f>
        <v>0.63980921773648802</v>
      </c>
      <c r="N109" s="94"/>
      <c r="O109" s="98"/>
    </row>
    <row r="110" spans="2:15" x14ac:dyDescent="0.2">
      <c r="K110" s="102"/>
      <c r="L110" s="41" t="s">
        <v>101</v>
      </c>
      <c r="M110" s="42" cm="1">
        <f t="array" ref="M110">_xlfn.XLOOKUP(L110,$B$2:B180,$G$2:G180)</f>
        <v>4.2478089912996869E-2</v>
      </c>
      <c r="N110" s="94"/>
      <c r="O110" s="98"/>
    </row>
    <row r="111" spans="2:15" x14ac:dyDescent="0.2">
      <c r="K111" s="102"/>
      <c r="L111" s="41" t="s">
        <v>102</v>
      </c>
      <c r="M111" s="42" cm="1">
        <f t="array" ref="M111">_xlfn.XLOOKUP(L111,$B$2:B181,$G$2:G181)</f>
        <v>1.7555657942749461</v>
      </c>
      <c r="N111" s="94"/>
      <c r="O111" s="98"/>
    </row>
    <row r="112" spans="2:15" x14ac:dyDescent="0.2">
      <c r="K112" s="102"/>
      <c r="L112" s="41" t="s">
        <v>104</v>
      </c>
      <c r="M112" s="42" cm="1">
        <f t="array" ref="M112">_xlfn.XLOOKUP(L112,$B$2:B182,$G$2:G182)</f>
        <v>0.54007706879663064</v>
      </c>
      <c r="N112" s="94"/>
      <c r="O112" s="98"/>
    </row>
    <row r="113" spans="11:15" x14ac:dyDescent="0.2">
      <c r="K113" s="107" t="s">
        <v>165</v>
      </c>
      <c r="L113" s="43" t="s">
        <v>81</v>
      </c>
      <c r="M113" s="44" cm="1">
        <f t="array" ref="M113">_xlfn.XLOOKUP(L113,$B$2:B183,$G$2:G183)</f>
        <v>1.0930325709308217</v>
      </c>
      <c r="N113" s="95">
        <f>TRIMMEAN(M113:M116,0.05)</f>
        <v>1.0382313863377775</v>
      </c>
      <c r="O113" s="97">
        <f>L19</f>
        <v>8.4699999999999998E-2</v>
      </c>
    </row>
    <row r="114" spans="11:15" x14ac:dyDescent="0.2">
      <c r="K114" s="107"/>
      <c r="L114" s="45" t="s">
        <v>143</v>
      </c>
      <c r="M114" s="44" cm="1">
        <f t="array" ref="M114">_xlfn.XLOOKUP(L114,$B$2:B184,$G$2:G184)</f>
        <v>0.92300705057742993</v>
      </c>
      <c r="N114" s="95"/>
      <c r="O114" s="98"/>
    </row>
    <row r="115" spans="11:15" x14ac:dyDescent="0.2">
      <c r="K115" s="107"/>
      <c r="L115" s="43" t="s">
        <v>144</v>
      </c>
      <c r="M115" s="44" cm="1">
        <f t="array" ref="M115">_xlfn.XLOOKUP(L115,$B$2:B185,$G$2:G185)</f>
        <v>1.4512596707002581</v>
      </c>
      <c r="N115" s="95"/>
      <c r="O115" s="98"/>
    </row>
    <row r="116" spans="11:15" x14ac:dyDescent="0.2">
      <c r="K116" s="107"/>
      <c r="L116" s="45" t="s">
        <v>145</v>
      </c>
      <c r="M116" s="44" cm="1">
        <f t="array" ref="M116">_xlfn.XLOOKUP(L116,$B$2:B186,$G$2:G186)</f>
        <v>0.68562625314260028</v>
      </c>
      <c r="N116" s="95"/>
      <c r="O116" s="98"/>
    </row>
    <row r="117" spans="11:15" x14ac:dyDescent="0.2">
      <c r="K117" s="107" t="s">
        <v>166</v>
      </c>
      <c r="L117" s="43" t="s">
        <v>72</v>
      </c>
      <c r="M117" s="44" cm="1">
        <f t="array" ref="M117">_xlfn.XLOOKUP(L117,$B$2:B187,$G$2:G187)</f>
        <v>8.6837428871334985E-2</v>
      </c>
      <c r="N117" s="95">
        <f>TRIMMEAN(M117:M121,0.05)</f>
        <v>0.16737124460571079</v>
      </c>
      <c r="O117" s="97">
        <f>L20</f>
        <v>5.5300000000000002E-2</v>
      </c>
    </row>
    <row r="118" spans="11:15" x14ac:dyDescent="0.2">
      <c r="K118" s="107"/>
      <c r="L118" s="45" t="s">
        <v>76</v>
      </c>
      <c r="M118" s="44" cm="1">
        <f t="array" ref="M118">_xlfn.XLOOKUP(L118,$B$2:B188,$G$2:G188)</f>
        <v>0</v>
      </c>
      <c r="N118" s="95"/>
      <c r="O118" s="98"/>
    </row>
    <row r="119" spans="11:15" x14ac:dyDescent="0.2">
      <c r="K119" s="107"/>
      <c r="L119" s="43" t="s">
        <v>147</v>
      </c>
      <c r="M119" s="44" cm="1">
        <f t="array" ref="M119">_xlfn.XLOOKUP(L119,$B$2:B189,$G$2:G189)</f>
        <v>0.30922563066494213</v>
      </c>
      <c r="N119" s="95"/>
      <c r="O119" s="98"/>
    </row>
    <row r="120" spans="11:15" x14ac:dyDescent="0.2">
      <c r="K120" s="107"/>
      <c r="L120" s="45" t="s">
        <v>148</v>
      </c>
      <c r="M120" s="44" cm="1">
        <f t="array" ref="M120">_xlfn.XLOOKUP(L120,$B$2:B190,$G$2:G190)</f>
        <v>0.25273112770547967</v>
      </c>
      <c r="N120" s="95"/>
      <c r="O120" s="98"/>
    </row>
    <row r="121" spans="11:15" ht="16" thickBot="1" x14ac:dyDescent="0.25">
      <c r="K121" s="108"/>
      <c r="L121" s="46" t="s">
        <v>149</v>
      </c>
      <c r="M121" s="47" cm="1">
        <f t="array" ref="M121">_xlfn.XLOOKUP(L121,$B$2:B191,$G$2:G191)</f>
        <v>0.18806203578679706</v>
      </c>
      <c r="N121" s="96"/>
      <c r="O121" s="99"/>
    </row>
  </sheetData>
  <mergeCells count="24">
    <mergeCell ref="K34:K47"/>
    <mergeCell ref="K48:K106"/>
    <mergeCell ref="K107:K112"/>
    <mergeCell ref="K113:K116"/>
    <mergeCell ref="K117:K121"/>
    <mergeCell ref="K12:L12"/>
    <mergeCell ref="K6:L8"/>
    <mergeCell ref="K28:K30"/>
    <mergeCell ref="K31:K33"/>
    <mergeCell ref="O28:O30"/>
    <mergeCell ref="O31:O33"/>
    <mergeCell ref="N28:N30"/>
    <mergeCell ref="N31:N33"/>
    <mergeCell ref="N15:O15"/>
    <mergeCell ref="O34:O47"/>
    <mergeCell ref="O48:O106"/>
    <mergeCell ref="O107:O112"/>
    <mergeCell ref="O113:O116"/>
    <mergeCell ref="O117:O121"/>
    <mergeCell ref="N34:N47"/>
    <mergeCell ref="N48:N106"/>
    <mergeCell ref="N107:N112"/>
    <mergeCell ref="N113:N116"/>
    <mergeCell ref="N117:N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Valuation&gt;</vt:lpstr>
      <vt:lpstr>DE 40 Valuation</vt:lpstr>
      <vt:lpstr>Data&gt;</vt:lpstr>
      <vt:lpstr>Expected Dividend &amp; BuyBack</vt:lpstr>
      <vt:lpstr>DE 40 EPSGrowth</vt:lpstr>
      <vt:lpstr>DE 40 Historical Data</vt:lpstr>
      <vt:lpstr>DE 40 Perf Historical Data</vt:lpstr>
      <vt:lpstr>Risk Free Rate Calculation</vt:lpstr>
      <vt:lpstr>ERP Historical Data</vt:lpstr>
      <vt:lpstr>Dividend Payout Ratio 2025 - 26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YESH SINHA</dc:creator>
  <cp:lastModifiedBy>ANU YESH SINHA</cp:lastModifiedBy>
  <dcterms:created xsi:type="dcterms:W3CDTF">2026-05-18T07:21:02Z</dcterms:created>
  <dcterms:modified xsi:type="dcterms:W3CDTF">2026-09-05T10:33:43Z</dcterms:modified>
</cp:coreProperties>
</file>